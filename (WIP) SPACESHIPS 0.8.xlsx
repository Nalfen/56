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66925"/>
  <xr:revisionPtr revIDLastSave="19" documentId="13_ncr:1_{12028F02-06D5-4C67-9BB3-0EAEDF1A3FF3}" xr6:coauthVersionLast="47" xr6:coauthVersionMax="47" xr10:uidLastSave="{C19867C8-8DFC-415B-89DC-04836FD30073}"/>
  <bookViews>
    <workbookView xWindow="57480" yWindow="-120" windowWidth="38640" windowHeight="21120" activeTab="2" xr2:uid="{F391EADE-AE19-4BDC-A9F8-6B296E3116C9}"/>
  </bookViews>
  <sheets>
    <sheet name="RULES" sheetId="4" r:id="rId1"/>
    <sheet name="SHIPS" sheetId="1" r:id="rId2"/>
    <sheet name="COMPONENTS" sheetId="2" r:id="rId3"/>
    <sheet name="COMPLETE_SHIPS" sheetId="3" r:id="rId4"/>
  </sheets>
  <externalReferences>
    <externalReference r:id="rId5"/>
  </externalReferences>
  <definedNames>
    <definedName name="_xlnm._FilterDatabase" localSheetId="2" hidden="1">COMPONENTS!$A$15:$BU$15</definedName>
    <definedName name="gun_ranges">[1]!tbl_gun_ranges[Range]</definedName>
    <definedName name="table_ammo">[1]!Table3[#Data]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81" i="2" l="1" a="1"/>
  <c r="B381" i="2" s="1"/>
  <c r="BB32" i="2"/>
  <c r="G32" i="2"/>
  <c r="E32" i="2"/>
  <c r="BB31" i="2"/>
  <c r="G31" i="2"/>
  <c r="E31" i="2"/>
  <c r="BB30" i="2"/>
  <c r="G30" i="2"/>
  <c r="E30" i="2"/>
  <c r="BB29" i="2"/>
  <c r="G29" i="2"/>
  <c r="E29" i="2"/>
  <c r="BB28" i="2"/>
  <c r="G28" i="2"/>
  <c r="E28" i="2"/>
  <c r="BB35" i="2"/>
  <c r="G35" i="2"/>
  <c r="E35" i="2"/>
  <c r="E33" i="2"/>
  <c r="E34" i="2"/>
  <c r="G33" i="2"/>
  <c r="G34" i="2"/>
  <c r="BB33" i="2"/>
  <c r="BB34" i="2"/>
  <c r="BD725" i="2" l="1" a="1"/>
  <c r="BD725" i="2" s="1"/>
  <c r="BC725" i="2" a="1"/>
  <c r="BC725" i="2" s="1"/>
  <c r="BA725" i="2" a="1"/>
  <c r="BA725" i="2" s="1"/>
  <c r="AZ725" i="2" a="1"/>
  <c r="AZ725" i="2" s="1"/>
  <c r="AY725" i="2" a="1"/>
  <c r="AY725" i="2" s="1"/>
  <c r="AX725" i="2" a="1"/>
  <c r="AX725" i="2" s="1"/>
  <c r="AW725" i="2" a="1"/>
  <c r="AW725" i="2" s="1"/>
  <c r="AV725" i="2" a="1"/>
  <c r="AV725" i="2" s="1"/>
  <c r="AU725" i="2" a="1"/>
  <c r="AU725" i="2" s="1"/>
  <c r="AT725" i="2" a="1"/>
  <c r="AT725" i="2" s="1"/>
  <c r="AS725" i="2" a="1"/>
  <c r="AS725" i="2" s="1"/>
  <c r="AR725" i="2" a="1"/>
  <c r="AR725" i="2" s="1"/>
  <c r="AQ725" i="2" a="1"/>
  <c r="AQ725" i="2" s="1"/>
  <c r="AP725" i="2" a="1"/>
  <c r="AP725" i="2" s="1"/>
  <c r="AO725" i="2" a="1"/>
  <c r="AO725" i="2" s="1"/>
  <c r="AN725" i="2" a="1"/>
  <c r="AN725" i="2" s="1"/>
  <c r="AM725" i="2" a="1"/>
  <c r="AM725" i="2" s="1"/>
  <c r="AL725" i="2" a="1"/>
  <c r="AL725" i="2" s="1"/>
  <c r="AK725" i="2" a="1"/>
  <c r="AK725" i="2" s="1"/>
  <c r="AJ725" i="2" a="1"/>
  <c r="AJ725" i="2" s="1"/>
  <c r="AI725" i="2" a="1"/>
  <c r="AI725" i="2" s="1"/>
  <c r="AH725" i="2" a="1"/>
  <c r="AH725" i="2" s="1"/>
  <c r="AG725" i="2" a="1"/>
  <c r="AG725" i="2" s="1"/>
  <c r="AF725" i="2" a="1"/>
  <c r="AF725" i="2" s="1"/>
  <c r="AE725" i="2" a="1"/>
  <c r="AE725" i="2" s="1"/>
  <c r="AD725" i="2" a="1"/>
  <c r="AD725" i="2" s="1"/>
  <c r="AC725" i="2" a="1"/>
  <c r="AC725" i="2" s="1"/>
  <c r="AB725" i="2"/>
  <c r="AA725" i="2" a="1"/>
  <c r="AA725" i="2" s="1"/>
  <c r="Z725" i="2" a="1"/>
  <c r="Z725" i="2" s="1"/>
  <c r="Y725" i="2" a="1"/>
  <c r="Y725" i="2" s="1"/>
  <c r="X725" i="2" a="1"/>
  <c r="X725" i="2" s="1"/>
  <c r="W725" i="2" a="1"/>
  <c r="W725" i="2" s="1"/>
  <c r="BB725" i="2" s="1" a="1"/>
  <c r="BB725" i="2" s="1"/>
  <c r="V725" i="2" a="1"/>
  <c r="V725" i="2" s="1"/>
  <c r="E725" i="2" s="1" a="1"/>
  <c r="E725" i="2" s="1"/>
  <c r="U725" i="2" a="1"/>
  <c r="U725" i="2" s="1"/>
  <c r="T725" i="2" a="1"/>
  <c r="T725" i="2" s="1"/>
  <c r="S725" i="2" a="1"/>
  <c r="S725" i="2" s="1"/>
  <c r="R725" i="2" a="1"/>
  <c r="R725" i="2" s="1"/>
  <c r="Q725" i="2" a="1"/>
  <c r="Q725" i="2" s="1"/>
  <c r="P725" i="2" a="1"/>
  <c r="P725" i="2" s="1"/>
  <c r="O725" i="2" a="1"/>
  <c r="O725" i="2" s="1"/>
  <c r="N725" i="2" a="1"/>
  <c r="N725" i="2" s="1"/>
  <c r="M725" i="2" a="1"/>
  <c r="M725" i="2" s="1"/>
  <c r="L725" i="2" a="1"/>
  <c r="L725" i="2" s="1"/>
  <c r="K725" i="2" a="1"/>
  <c r="K725" i="2" s="1"/>
  <c r="J725" i="2" a="1"/>
  <c r="J725" i="2" s="1"/>
  <c r="I725" i="2" a="1"/>
  <c r="I725" i="2" s="1"/>
  <c r="H725" i="2" a="1"/>
  <c r="H725" i="2" s="1"/>
  <c r="F725" i="2" a="1"/>
  <c r="F725" i="2" s="1"/>
  <c r="D725" i="2" a="1"/>
  <c r="D725" i="2" s="1"/>
  <c r="B725" i="2" a="1"/>
  <c r="B725" i="2" s="1"/>
  <c r="BD724" i="2" a="1"/>
  <c r="BD724" i="2" s="1"/>
  <c r="BC724" i="2" a="1"/>
  <c r="BC724" i="2" s="1"/>
  <c r="BA724" i="2" a="1"/>
  <c r="BA724" i="2" s="1"/>
  <c r="AZ724" i="2" a="1"/>
  <c r="AZ724" i="2" s="1"/>
  <c r="AY724" i="2" a="1"/>
  <c r="AY724" i="2" s="1"/>
  <c r="AX724" i="2" a="1"/>
  <c r="AX724" i="2" s="1"/>
  <c r="AW724" i="2" a="1"/>
  <c r="AW724" i="2" s="1"/>
  <c r="AV724" i="2" a="1"/>
  <c r="AV724" i="2" s="1"/>
  <c r="AU724" i="2" a="1"/>
  <c r="AU724" i="2" s="1"/>
  <c r="AT724" i="2" a="1"/>
  <c r="AT724" i="2" s="1"/>
  <c r="AS724" i="2" a="1"/>
  <c r="AS724" i="2" s="1"/>
  <c r="AR724" i="2" a="1"/>
  <c r="AR724" i="2" s="1"/>
  <c r="AQ724" i="2" a="1"/>
  <c r="AQ724" i="2" s="1"/>
  <c r="AP724" i="2" a="1"/>
  <c r="AP724" i="2" s="1"/>
  <c r="AO724" i="2" a="1"/>
  <c r="AO724" i="2" s="1"/>
  <c r="AN724" i="2" a="1"/>
  <c r="AN724" i="2" s="1"/>
  <c r="AM724" i="2" a="1"/>
  <c r="AM724" i="2" s="1"/>
  <c r="AL724" i="2" a="1"/>
  <c r="AL724" i="2" s="1"/>
  <c r="AK724" i="2" a="1"/>
  <c r="AK724" i="2" s="1"/>
  <c r="AJ724" i="2" a="1"/>
  <c r="AJ724" i="2" s="1"/>
  <c r="AI724" i="2" a="1"/>
  <c r="AI724" i="2" s="1"/>
  <c r="AH724" i="2" a="1"/>
  <c r="AH724" i="2" s="1"/>
  <c r="AG724" i="2" a="1"/>
  <c r="AG724" i="2" s="1"/>
  <c r="AF724" i="2" a="1"/>
  <c r="AF724" i="2" s="1"/>
  <c r="AE724" i="2" a="1"/>
  <c r="AE724" i="2" s="1"/>
  <c r="AD724" i="2" a="1"/>
  <c r="AD724" i="2" s="1"/>
  <c r="AC724" i="2" a="1"/>
  <c r="AC724" i="2" s="1"/>
  <c r="AB724" i="2"/>
  <c r="AA724" i="2" a="1"/>
  <c r="AA724" i="2" s="1"/>
  <c r="Z724" i="2" a="1"/>
  <c r="Z724" i="2" s="1"/>
  <c r="Y724" i="2" a="1"/>
  <c r="Y724" i="2" s="1"/>
  <c r="X724" i="2" a="1"/>
  <c r="X724" i="2" s="1"/>
  <c r="W724" i="2" a="1"/>
  <c r="W724" i="2" s="1"/>
  <c r="BB724" i="2" s="1" a="1"/>
  <c r="BB724" i="2" s="1"/>
  <c r="V724" i="2" a="1"/>
  <c r="V724" i="2" s="1"/>
  <c r="E724" i="2" s="1" a="1"/>
  <c r="E724" i="2" s="1"/>
  <c r="U724" i="2" a="1"/>
  <c r="U724" i="2" s="1"/>
  <c r="T724" i="2" a="1"/>
  <c r="T724" i="2" s="1"/>
  <c r="S724" i="2" a="1"/>
  <c r="S724" i="2" s="1"/>
  <c r="R724" i="2" a="1"/>
  <c r="R724" i="2" s="1"/>
  <c r="Q724" i="2" a="1"/>
  <c r="Q724" i="2" s="1"/>
  <c r="P724" i="2" a="1"/>
  <c r="P724" i="2" s="1"/>
  <c r="O724" i="2" a="1"/>
  <c r="O724" i="2" s="1"/>
  <c r="N724" i="2" a="1"/>
  <c r="N724" i="2" s="1"/>
  <c r="M724" i="2" a="1"/>
  <c r="M724" i="2" s="1"/>
  <c r="L724" i="2" a="1"/>
  <c r="L724" i="2" s="1"/>
  <c r="K724" i="2" a="1"/>
  <c r="K724" i="2" s="1"/>
  <c r="J724" i="2" a="1"/>
  <c r="J724" i="2" s="1"/>
  <c r="I724" i="2" a="1"/>
  <c r="I724" i="2" s="1"/>
  <c r="H724" i="2" a="1"/>
  <c r="H724" i="2" s="1"/>
  <c r="F724" i="2" a="1"/>
  <c r="F724" i="2" s="1"/>
  <c r="D724" i="2" a="1"/>
  <c r="D724" i="2" s="1"/>
  <c r="B724" i="2" a="1"/>
  <c r="B724" i="2" s="1"/>
  <c r="BD723" i="2" a="1"/>
  <c r="BD723" i="2" s="1"/>
  <c r="BC723" i="2" a="1"/>
  <c r="BC723" i="2" s="1"/>
  <c r="BA723" i="2" a="1"/>
  <c r="BA723" i="2" s="1"/>
  <c r="AZ723" i="2" a="1"/>
  <c r="AZ723" i="2" s="1"/>
  <c r="AY723" i="2" a="1"/>
  <c r="AY723" i="2" s="1"/>
  <c r="AX723" i="2" a="1"/>
  <c r="AX723" i="2" s="1"/>
  <c r="AW723" i="2" a="1"/>
  <c r="AW723" i="2" s="1"/>
  <c r="AV723" i="2" a="1"/>
  <c r="AV723" i="2" s="1"/>
  <c r="AU723" i="2" a="1"/>
  <c r="AU723" i="2" s="1"/>
  <c r="AT723" i="2" a="1"/>
  <c r="AT723" i="2" s="1"/>
  <c r="AS723" i="2" a="1"/>
  <c r="AS723" i="2" s="1"/>
  <c r="AR723" i="2" a="1"/>
  <c r="AR723" i="2" s="1"/>
  <c r="AQ723" i="2" a="1"/>
  <c r="AQ723" i="2" s="1"/>
  <c r="AP723" i="2" a="1"/>
  <c r="AP723" i="2" s="1"/>
  <c r="AO723" i="2" a="1"/>
  <c r="AO723" i="2" s="1"/>
  <c r="AN723" i="2" a="1"/>
  <c r="AN723" i="2" s="1"/>
  <c r="AM723" i="2" a="1"/>
  <c r="AM723" i="2" s="1"/>
  <c r="AL723" i="2" a="1"/>
  <c r="AL723" i="2" s="1"/>
  <c r="AK723" i="2" a="1"/>
  <c r="AK723" i="2" s="1"/>
  <c r="AJ723" i="2" a="1"/>
  <c r="AJ723" i="2" s="1"/>
  <c r="AI723" i="2" a="1"/>
  <c r="AI723" i="2" s="1"/>
  <c r="AH723" i="2" a="1"/>
  <c r="AH723" i="2" s="1"/>
  <c r="AG723" i="2" a="1"/>
  <c r="AG723" i="2" s="1"/>
  <c r="AF723" i="2" a="1"/>
  <c r="AF723" i="2" s="1"/>
  <c r="AE723" i="2" a="1"/>
  <c r="AE723" i="2" s="1"/>
  <c r="AD723" i="2" a="1"/>
  <c r="AD723" i="2" s="1"/>
  <c r="AC723" i="2" a="1"/>
  <c r="AC723" i="2" s="1"/>
  <c r="AB723" i="2"/>
  <c r="AA723" i="2" a="1"/>
  <c r="AA723" i="2" s="1"/>
  <c r="Z723" i="2" a="1"/>
  <c r="Z723" i="2" s="1"/>
  <c r="Y723" i="2" a="1"/>
  <c r="Y723" i="2" s="1"/>
  <c r="X723" i="2" a="1"/>
  <c r="X723" i="2" s="1"/>
  <c r="W723" i="2" a="1"/>
  <c r="W723" i="2" s="1"/>
  <c r="BB723" i="2" s="1" a="1"/>
  <c r="BB723" i="2" s="1"/>
  <c r="V723" i="2" a="1"/>
  <c r="V723" i="2" s="1"/>
  <c r="E723" i="2" s="1" a="1"/>
  <c r="E723" i="2" s="1"/>
  <c r="U723" i="2" a="1"/>
  <c r="U723" i="2" s="1"/>
  <c r="T723" i="2" a="1"/>
  <c r="T723" i="2" s="1"/>
  <c r="S723" i="2" a="1"/>
  <c r="S723" i="2" s="1"/>
  <c r="R723" i="2" a="1"/>
  <c r="R723" i="2" s="1"/>
  <c r="Q723" i="2" a="1"/>
  <c r="Q723" i="2" s="1"/>
  <c r="P723" i="2" a="1"/>
  <c r="P723" i="2" s="1"/>
  <c r="O723" i="2" a="1"/>
  <c r="O723" i="2" s="1"/>
  <c r="N723" i="2" a="1"/>
  <c r="N723" i="2" s="1"/>
  <c r="M723" i="2" a="1"/>
  <c r="M723" i="2" s="1"/>
  <c r="L723" i="2" a="1"/>
  <c r="L723" i="2" s="1"/>
  <c r="K723" i="2" a="1"/>
  <c r="K723" i="2" s="1"/>
  <c r="J723" i="2" a="1"/>
  <c r="J723" i="2" s="1"/>
  <c r="I723" i="2" a="1"/>
  <c r="I723" i="2" s="1"/>
  <c r="H723" i="2" a="1"/>
  <c r="H723" i="2" s="1"/>
  <c r="F723" i="2" a="1"/>
  <c r="F723" i="2" s="1"/>
  <c r="D723" i="2" a="1"/>
  <c r="D723" i="2" s="1"/>
  <c r="B723" i="2" a="1"/>
  <c r="B723" i="2" s="1"/>
  <c r="BD722" i="2" a="1"/>
  <c r="BD722" i="2" s="1"/>
  <c r="BC722" i="2" a="1"/>
  <c r="BC722" i="2" s="1"/>
  <c r="BA722" i="2" a="1"/>
  <c r="BA722" i="2" s="1"/>
  <c r="AZ722" i="2" a="1"/>
  <c r="AZ722" i="2" s="1"/>
  <c r="AY722" i="2" a="1"/>
  <c r="AY722" i="2" s="1"/>
  <c r="AX722" i="2" a="1"/>
  <c r="AX722" i="2" s="1"/>
  <c r="AW722" i="2" a="1"/>
  <c r="AW722" i="2" s="1"/>
  <c r="AV722" i="2" a="1"/>
  <c r="AV722" i="2" s="1"/>
  <c r="AU722" i="2" a="1"/>
  <c r="AU722" i="2" s="1"/>
  <c r="AT722" i="2" a="1"/>
  <c r="AT722" i="2" s="1"/>
  <c r="AS722" i="2" a="1"/>
  <c r="AS722" i="2" s="1"/>
  <c r="AR722" i="2" a="1"/>
  <c r="AR722" i="2" s="1"/>
  <c r="AQ722" i="2" a="1"/>
  <c r="AQ722" i="2" s="1"/>
  <c r="AP722" i="2" a="1"/>
  <c r="AP722" i="2" s="1"/>
  <c r="AO722" i="2" a="1"/>
  <c r="AO722" i="2" s="1"/>
  <c r="AN722" i="2" a="1"/>
  <c r="AN722" i="2" s="1"/>
  <c r="AM722" i="2" a="1"/>
  <c r="AM722" i="2" s="1"/>
  <c r="AL722" i="2" a="1"/>
  <c r="AL722" i="2" s="1"/>
  <c r="AK722" i="2" a="1"/>
  <c r="AK722" i="2" s="1"/>
  <c r="AJ722" i="2" a="1"/>
  <c r="AJ722" i="2" s="1"/>
  <c r="AI722" i="2" a="1"/>
  <c r="AI722" i="2" s="1"/>
  <c r="AH722" i="2" a="1"/>
  <c r="AH722" i="2" s="1"/>
  <c r="AG722" i="2" a="1"/>
  <c r="AG722" i="2" s="1"/>
  <c r="AF722" i="2" a="1"/>
  <c r="AF722" i="2" s="1"/>
  <c r="AE722" i="2" a="1"/>
  <c r="AE722" i="2" s="1"/>
  <c r="AD722" i="2" a="1"/>
  <c r="AD722" i="2" s="1"/>
  <c r="AC722" i="2" a="1"/>
  <c r="AC722" i="2" s="1"/>
  <c r="AB722" i="2"/>
  <c r="AA722" i="2" a="1"/>
  <c r="AA722" i="2" s="1"/>
  <c r="Z722" i="2" a="1"/>
  <c r="Z722" i="2" s="1"/>
  <c r="Y722" i="2" a="1"/>
  <c r="Y722" i="2" s="1"/>
  <c r="X722" i="2" a="1"/>
  <c r="X722" i="2" s="1"/>
  <c r="W722" i="2" a="1"/>
  <c r="W722" i="2" s="1"/>
  <c r="BB722" i="2" s="1" a="1"/>
  <c r="BB722" i="2" s="1"/>
  <c r="V722" i="2" a="1"/>
  <c r="V722" i="2" s="1"/>
  <c r="E722" i="2" s="1" a="1"/>
  <c r="E722" i="2" s="1"/>
  <c r="U722" i="2" a="1"/>
  <c r="U722" i="2" s="1"/>
  <c r="T722" i="2" a="1"/>
  <c r="T722" i="2" s="1"/>
  <c r="S722" i="2" a="1"/>
  <c r="S722" i="2" s="1"/>
  <c r="R722" i="2" a="1"/>
  <c r="R722" i="2" s="1"/>
  <c r="Q722" i="2" a="1"/>
  <c r="Q722" i="2" s="1"/>
  <c r="P722" i="2" a="1"/>
  <c r="P722" i="2" s="1"/>
  <c r="O722" i="2" a="1"/>
  <c r="O722" i="2" s="1"/>
  <c r="N722" i="2" a="1"/>
  <c r="N722" i="2" s="1"/>
  <c r="M722" i="2" a="1"/>
  <c r="M722" i="2" s="1"/>
  <c r="L722" i="2" a="1"/>
  <c r="L722" i="2" s="1"/>
  <c r="K722" i="2" a="1"/>
  <c r="K722" i="2" s="1"/>
  <c r="J722" i="2" a="1"/>
  <c r="J722" i="2" s="1"/>
  <c r="I722" i="2" a="1"/>
  <c r="I722" i="2" s="1"/>
  <c r="H722" i="2" a="1"/>
  <c r="H722" i="2" s="1"/>
  <c r="F722" i="2" a="1"/>
  <c r="F722" i="2" s="1"/>
  <c r="D722" i="2" a="1"/>
  <c r="D722" i="2" s="1"/>
  <c r="B722" i="2" a="1"/>
  <c r="B722" i="2" s="1"/>
  <c r="BD721" i="2" a="1"/>
  <c r="BD721" i="2" s="1"/>
  <c r="BC721" i="2" a="1"/>
  <c r="BC721" i="2" s="1"/>
  <c r="BA721" i="2" a="1"/>
  <c r="BA721" i="2" s="1"/>
  <c r="AZ721" i="2" a="1"/>
  <c r="AZ721" i="2" s="1"/>
  <c r="AY721" i="2" a="1"/>
  <c r="AY721" i="2" s="1"/>
  <c r="AX721" i="2" a="1"/>
  <c r="AX721" i="2" s="1"/>
  <c r="AW721" i="2" a="1"/>
  <c r="AW721" i="2" s="1"/>
  <c r="AV721" i="2" a="1"/>
  <c r="AV721" i="2" s="1"/>
  <c r="AU721" i="2" a="1"/>
  <c r="AU721" i="2" s="1"/>
  <c r="AT721" i="2" a="1"/>
  <c r="AT721" i="2" s="1"/>
  <c r="AS721" i="2" a="1"/>
  <c r="AS721" i="2" s="1"/>
  <c r="AR721" i="2" a="1"/>
  <c r="AR721" i="2" s="1"/>
  <c r="AQ721" i="2" a="1"/>
  <c r="AQ721" i="2" s="1"/>
  <c r="AP721" i="2" a="1"/>
  <c r="AP721" i="2" s="1"/>
  <c r="AO721" i="2" a="1"/>
  <c r="AO721" i="2" s="1"/>
  <c r="AN721" i="2" a="1"/>
  <c r="AN721" i="2" s="1"/>
  <c r="AM721" i="2" a="1"/>
  <c r="AM721" i="2" s="1"/>
  <c r="AL721" i="2" a="1"/>
  <c r="AL721" i="2" s="1"/>
  <c r="AK721" i="2" a="1"/>
  <c r="AK721" i="2" s="1"/>
  <c r="AJ721" i="2" a="1"/>
  <c r="AJ721" i="2" s="1"/>
  <c r="AI721" i="2" a="1"/>
  <c r="AI721" i="2" s="1"/>
  <c r="AH721" i="2" a="1"/>
  <c r="AH721" i="2" s="1"/>
  <c r="AG721" i="2" a="1"/>
  <c r="AG721" i="2" s="1"/>
  <c r="AF721" i="2" a="1"/>
  <c r="AF721" i="2" s="1"/>
  <c r="AE721" i="2" a="1"/>
  <c r="AE721" i="2" s="1"/>
  <c r="AD721" i="2" a="1"/>
  <c r="AD721" i="2" s="1"/>
  <c r="AC721" i="2" a="1"/>
  <c r="AC721" i="2" s="1"/>
  <c r="AB721" i="2"/>
  <c r="AA721" i="2" a="1"/>
  <c r="AA721" i="2" s="1"/>
  <c r="Z721" i="2" a="1"/>
  <c r="Z721" i="2" s="1"/>
  <c r="Y721" i="2" a="1"/>
  <c r="Y721" i="2" s="1"/>
  <c r="X721" i="2" a="1"/>
  <c r="X721" i="2" s="1"/>
  <c r="W721" i="2" a="1"/>
  <c r="W721" i="2" s="1"/>
  <c r="BB721" i="2" s="1" a="1"/>
  <c r="BB721" i="2" s="1"/>
  <c r="V721" i="2" a="1"/>
  <c r="V721" i="2" s="1"/>
  <c r="E721" i="2" s="1" a="1"/>
  <c r="E721" i="2" s="1"/>
  <c r="U721" i="2" a="1"/>
  <c r="U721" i="2" s="1"/>
  <c r="T721" i="2" a="1"/>
  <c r="T721" i="2" s="1"/>
  <c r="S721" i="2" a="1"/>
  <c r="S721" i="2" s="1"/>
  <c r="R721" i="2" a="1"/>
  <c r="R721" i="2" s="1"/>
  <c r="Q721" i="2" a="1"/>
  <c r="Q721" i="2" s="1"/>
  <c r="P721" i="2" a="1"/>
  <c r="P721" i="2" s="1"/>
  <c r="O721" i="2" a="1"/>
  <c r="O721" i="2" s="1"/>
  <c r="N721" i="2" a="1"/>
  <c r="N721" i="2" s="1"/>
  <c r="M721" i="2" a="1"/>
  <c r="M721" i="2" s="1"/>
  <c r="L721" i="2" a="1"/>
  <c r="L721" i="2" s="1"/>
  <c r="K721" i="2" a="1"/>
  <c r="K721" i="2" s="1"/>
  <c r="J721" i="2" a="1"/>
  <c r="J721" i="2" s="1"/>
  <c r="I721" i="2" a="1"/>
  <c r="I721" i="2" s="1"/>
  <c r="H721" i="2" a="1"/>
  <c r="H721" i="2" s="1"/>
  <c r="F721" i="2" a="1"/>
  <c r="F721" i="2" s="1"/>
  <c r="D721" i="2" a="1"/>
  <c r="D721" i="2" s="1"/>
  <c r="B721" i="2" a="1"/>
  <c r="B721" i="2" s="1"/>
  <c r="BD720" i="2" a="1"/>
  <c r="BD720" i="2" s="1"/>
  <c r="BC720" i="2" a="1"/>
  <c r="BC720" i="2" s="1"/>
  <c r="BA720" i="2" a="1"/>
  <c r="BA720" i="2" s="1"/>
  <c r="AZ720" i="2" a="1"/>
  <c r="AZ720" i="2" s="1"/>
  <c r="AY720" i="2" a="1"/>
  <c r="AY720" i="2" s="1"/>
  <c r="AX720" i="2" a="1"/>
  <c r="AX720" i="2" s="1"/>
  <c r="AW720" i="2" a="1"/>
  <c r="AW720" i="2" s="1"/>
  <c r="AV720" i="2" a="1"/>
  <c r="AV720" i="2" s="1"/>
  <c r="AU720" i="2" a="1"/>
  <c r="AU720" i="2" s="1"/>
  <c r="AT720" i="2" a="1"/>
  <c r="AT720" i="2" s="1"/>
  <c r="AS720" i="2" a="1"/>
  <c r="AS720" i="2" s="1"/>
  <c r="AR720" i="2" a="1"/>
  <c r="AR720" i="2" s="1"/>
  <c r="AQ720" i="2" a="1"/>
  <c r="AQ720" i="2" s="1"/>
  <c r="AP720" i="2" a="1"/>
  <c r="AP720" i="2" s="1"/>
  <c r="AO720" i="2" a="1"/>
  <c r="AO720" i="2" s="1"/>
  <c r="AN720" i="2" a="1"/>
  <c r="AN720" i="2" s="1"/>
  <c r="AM720" i="2" a="1"/>
  <c r="AM720" i="2" s="1"/>
  <c r="AL720" i="2" a="1"/>
  <c r="AL720" i="2" s="1"/>
  <c r="AK720" i="2" a="1"/>
  <c r="AK720" i="2" s="1"/>
  <c r="AJ720" i="2" a="1"/>
  <c r="AJ720" i="2" s="1"/>
  <c r="AI720" i="2" a="1"/>
  <c r="AI720" i="2" s="1"/>
  <c r="AH720" i="2" a="1"/>
  <c r="AH720" i="2" s="1"/>
  <c r="AG720" i="2" a="1"/>
  <c r="AG720" i="2" s="1"/>
  <c r="AF720" i="2" a="1"/>
  <c r="AF720" i="2" s="1"/>
  <c r="AE720" i="2" a="1"/>
  <c r="AE720" i="2" s="1"/>
  <c r="AD720" i="2" a="1"/>
  <c r="AD720" i="2" s="1"/>
  <c r="AC720" i="2" a="1"/>
  <c r="AC720" i="2" s="1"/>
  <c r="AB720" i="2"/>
  <c r="AA720" i="2" a="1"/>
  <c r="AA720" i="2" s="1"/>
  <c r="Z720" i="2" a="1"/>
  <c r="Z720" i="2" s="1"/>
  <c r="Y720" i="2" a="1"/>
  <c r="Y720" i="2" s="1"/>
  <c r="X720" i="2" a="1"/>
  <c r="X720" i="2" s="1"/>
  <c r="W720" i="2" a="1"/>
  <c r="W720" i="2" s="1"/>
  <c r="BB720" i="2" s="1" a="1"/>
  <c r="BB720" i="2" s="1"/>
  <c r="V720" i="2" a="1"/>
  <c r="V720" i="2" s="1"/>
  <c r="E720" i="2" s="1" a="1"/>
  <c r="E720" i="2" s="1"/>
  <c r="U720" i="2" a="1"/>
  <c r="U720" i="2" s="1"/>
  <c r="T720" i="2" a="1"/>
  <c r="T720" i="2" s="1"/>
  <c r="S720" i="2" a="1"/>
  <c r="S720" i="2" s="1"/>
  <c r="R720" i="2" a="1"/>
  <c r="R720" i="2" s="1"/>
  <c r="Q720" i="2" a="1"/>
  <c r="Q720" i="2" s="1"/>
  <c r="P720" i="2" a="1"/>
  <c r="P720" i="2" s="1"/>
  <c r="O720" i="2" a="1"/>
  <c r="O720" i="2" s="1"/>
  <c r="N720" i="2" a="1"/>
  <c r="N720" i="2" s="1"/>
  <c r="M720" i="2" a="1"/>
  <c r="M720" i="2" s="1"/>
  <c r="L720" i="2" a="1"/>
  <c r="L720" i="2" s="1"/>
  <c r="K720" i="2" a="1"/>
  <c r="K720" i="2" s="1"/>
  <c r="J720" i="2" a="1"/>
  <c r="J720" i="2" s="1"/>
  <c r="I720" i="2" a="1"/>
  <c r="I720" i="2" s="1"/>
  <c r="H720" i="2" a="1"/>
  <c r="H720" i="2" s="1"/>
  <c r="F720" i="2" a="1"/>
  <c r="F720" i="2" s="1"/>
  <c r="D720" i="2" a="1"/>
  <c r="D720" i="2" s="1"/>
  <c r="B720" i="2" a="1"/>
  <c r="B720" i="2" s="1"/>
  <c r="BD719" i="2" a="1"/>
  <c r="BD719" i="2" s="1"/>
  <c r="BC719" i="2" a="1"/>
  <c r="BC719" i="2" s="1"/>
  <c r="BA719" i="2" a="1"/>
  <c r="BA719" i="2" s="1"/>
  <c r="AZ719" i="2" a="1"/>
  <c r="AZ719" i="2" s="1"/>
  <c r="AY719" i="2" a="1"/>
  <c r="AY719" i="2" s="1"/>
  <c r="AX719" i="2" a="1"/>
  <c r="AX719" i="2" s="1"/>
  <c r="AW719" i="2" a="1"/>
  <c r="AW719" i="2" s="1"/>
  <c r="AV719" i="2" a="1"/>
  <c r="AV719" i="2" s="1"/>
  <c r="AU719" i="2" a="1"/>
  <c r="AU719" i="2" s="1"/>
  <c r="AT719" i="2" a="1"/>
  <c r="AT719" i="2" s="1"/>
  <c r="AS719" i="2" a="1"/>
  <c r="AS719" i="2" s="1"/>
  <c r="AR719" i="2" a="1"/>
  <c r="AR719" i="2" s="1"/>
  <c r="AQ719" i="2" a="1"/>
  <c r="AQ719" i="2" s="1"/>
  <c r="AP719" i="2" a="1"/>
  <c r="AP719" i="2" s="1"/>
  <c r="AO719" i="2" a="1"/>
  <c r="AO719" i="2" s="1"/>
  <c r="AN719" i="2" a="1"/>
  <c r="AN719" i="2" s="1"/>
  <c r="AM719" i="2" a="1"/>
  <c r="AM719" i="2" s="1"/>
  <c r="AL719" i="2" a="1"/>
  <c r="AL719" i="2" s="1"/>
  <c r="AK719" i="2" a="1"/>
  <c r="AK719" i="2" s="1"/>
  <c r="AJ719" i="2" a="1"/>
  <c r="AJ719" i="2" s="1"/>
  <c r="AI719" i="2" a="1"/>
  <c r="AI719" i="2" s="1"/>
  <c r="AH719" i="2" a="1"/>
  <c r="AH719" i="2" s="1"/>
  <c r="AG719" i="2" a="1"/>
  <c r="AG719" i="2" s="1"/>
  <c r="AF719" i="2" a="1"/>
  <c r="AF719" i="2" s="1"/>
  <c r="AE719" i="2" a="1"/>
  <c r="AE719" i="2" s="1"/>
  <c r="AD719" i="2" a="1"/>
  <c r="AD719" i="2" s="1"/>
  <c r="AC719" i="2" a="1"/>
  <c r="AC719" i="2" s="1"/>
  <c r="AB719" i="2"/>
  <c r="AA719" i="2" a="1"/>
  <c r="AA719" i="2" s="1"/>
  <c r="Z719" i="2" a="1"/>
  <c r="Z719" i="2" s="1"/>
  <c r="Y719" i="2" a="1"/>
  <c r="Y719" i="2" s="1"/>
  <c r="X719" i="2" a="1"/>
  <c r="X719" i="2" s="1"/>
  <c r="W719" i="2" a="1"/>
  <c r="W719" i="2" s="1"/>
  <c r="BB719" i="2" s="1" a="1"/>
  <c r="BB719" i="2" s="1"/>
  <c r="V719" i="2" a="1"/>
  <c r="V719" i="2" s="1"/>
  <c r="E719" i="2" s="1" a="1"/>
  <c r="E719" i="2" s="1"/>
  <c r="U719" i="2" a="1"/>
  <c r="U719" i="2" s="1"/>
  <c r="T719" i="2" a="1"/>
  <c r="T719" i="2" s="1"/>
  <c r="S719" i="2" a="1"/>
  <c r="S719" i="2" s="1"/>
  <c r="R719" i="2" a="1"/>
  <c r="R719" i="2" s="1"/>
  <c r="Q719" i="2" a="1"/>
  <c r="Q719" i="2" s="1"/>
  <c r="P719" i="2" a="1"/>
  <c r="P719" i="2" s="1"/>
  <c r="O719" i="2" a="1"/>
  <c r="O719" i="2" s="1"/>
  <c r="N719" i="2" a="1"/>
  <c r="N719" i="2" s="1"/>
  <c r="M719" i="2" a="1"/>
  <c r="M719" i="2" s="1"/>
  <c r="L719" i="2" a="1"/>
  <c r="L719" i="2" s="1"/>
  <c r="K719" i="2" a="1"/>
  <c r="K719" i="2" s="1"/>
  <c r="J719" i="2" a="1"/>
  <c r="J719" i="2" s="1"/>
  <c r="I719" i="2" a="1"/>
  <c r="I719" i="2" s="1"/>
  <c r="H719" i="2" a="1"/>
  <c r="H719" i="2" s="1"/>
  <c r="F719" i="2" a="1"/>
  <c r="F719" i="2" s="1"/>
  <c r="D719" i="2" a="1"/>
  <c r="D719" i="2" s="1"/>
  <c r="B719" i="2" a="1"/>
  <c r="B719" i="2" s="1"/>
  <c r="BD718" i="2" a="1"/>
  <c r="BD718" i="2" s="1"/>
  <c r="BC718" i="2" a="1"/>
  <c r="BC718" i="2" s="1"/>
  <c r="BA718" i="2" a="1"/>
  <c r="BA718" i="2" s="1"/>
  <c r="AZ718" i="2" a="1"/>
  <c r="AZ718" i="2" s="1"/>
  <c r="AY718" i="2" a="1"/>
  <c r="AY718" i="2" s="1"/>
  <c r="AX718" i="2" a="1"/>
  <c r="AX718" i="2" s="1"/>
  <c r="AW718" i="2" a="1"/>
  <c r="AW718" i="2" s="1"/>
  <c r="AV718" i="2" a="1"/>
  <c r="AV718" i="2" s="1"/>
  <c r="AU718" i="2" a="1"/>
  <c r="AU718" i="2" s="1"/>
  <c r="AT718" i="2" a="1"/>
  <c r="AT718" i="2" s="1"/>
  <c r="AS718" i="2" a="1"/>
  <c r="AS718" i="2" s="1"/>
  <c r="AR718" i="2" a="1"/>
  <c r="AR718" i="2" s="1"/>
  <c r="AQ718" i="2" a="1"/>
  <c r="AQ718" i="2" s="1"/>
  <c r="AP718" i="2" a="1"/>
  <c r="AP718" i="2" s="1"/>
  <c r="AO718" i="2" a="1"/>
  <c r="AO718" i="2" s="1"/>
  <c r="AN718" i="2" a="1"/>
  <c r="AN718" i="2" s="1"/>
  <c r="AM718" i="2" a="1"/>
  <c r="AM718" i="2" s="1"/>
  <c r="AL718" i="2" a="1"/>
  <c r="AL718" i="2" s="1"/>
  <c r="AK718" i="2" a="1"/>
  <c r="AK718" i="2" s="1"/>
  <c r="AJ718" i="2" a="1"/>
  <c r="AJ718" i="2" s="1"/>
  <c r="AI718" i="2" a="1"/>
  <c r="AI718" i="2" s="1"/>
  <c r="AH718" i="2" a="1"/>
  <c r="AH718" i="2" s="1"/>
  <c r="AG718" i="2" a="1"/>
  <c r="AG718" i="2" s="1"/>
  <c r="AF718" i="2" a="1"/>
  <c r="AF718" i="2" s="1"/>
  <c r="AE718" i="2" a="1"/>
  <c r="AE718" i="2" s="1"/>
  <c r="AD718" i="2" a="1"/>
  <c r="AD718" i="2" s="1"/>
  <c r="AC718" i="2" a="1"/>
  <c r="AC718" i="2" s="1"/>
  <c r="AB718" i="2"/>
  <c r="AA718" i="2" a="1"/>
  <c r="AA718" i="2" s="1"/>
  <c r="Z718" i="2" a="1"/>
  <c r="Z718" i="2" s="1"/>
  <c r="Y718" i="2" a="1"/>
  <c r="Y718" i="2" s="1"/>
  <c r="X718" i="2" a="1"/>
  <c r="X718" i="2" s="1"/>
  <c r="W718" i="2" a="1"/>
  <c r="W718" i="2" s="1"/>
  <c r="BB718" i="2" s="1" a="1"/>
  <c r="BB718" i="2" s="1"/>
  <c r="V718" i="2" a="1"/>
  <c r="V718" i="2" s="1"/>
  <c r="E718" i="2" s="1" a="1"/>
  <c r="E718" i="2" s="1"/>
  <c r="U718" i="2" a="1"/>
  <c r="U718" i="2" s="1"/>
  <c r="T718" i="2" a="1"/>
  <c r="T718" i="2" s="1"/>
  <c r="S718" i="2" a="1"/>
  <c r="S718" i="2" s="1"/>
  <c r="R718" i="2" a="1"/>
  <c r="R718" i="2" s="1"/>
  <c r="Q718" i="2" a="1"/>
  <c r="Q718" i="2" s="1"/>
  <c r="P718" i="2" a="1"/>
  <c r="P718" i="2" s="1"/>
  <c r="O718" i="2" a="1"/>
  <c r="O718" i="2" s="1"/>
  <c r="N718" i="2" a="1"/>
  <c r="N718" i="2" s="1"/>
  <c r="M718" i="2" a="1"/>
  <c r="M718" i="2" s="1"/>
  <c r="L718" i="2" a="1"/>
  <c r="L718" i="2" s="1"/>
  <c r="K718" i="2" a="1"/>
  <c r="K718" i="2" s="1"/>
  <c r="J718" i="2" a="1"/>
  <c r="J718" i="2" s="1"/>
  <c r="I718" i="2" a="1"/>
  <c r="I718" i="2" s="1"/>
  <c r="H718" i="2" a="1"/>
  <c r="H718" i="2" s="1"/>
  <c r="F718" i="2" a="1"/>
  <c r="F718" i="2" s="1"/>
  <c r="D718" i="2" a="1"/>
  <c r="D718" i="2" s="1"/>
  <c r="B718" i="2" a="1"/>
  <c r="B718" i="2" s="1"/>
  <c r="BD716" i="2" a="1"/>
  <c r="BD716" i="2" s="1"/>
  <c r="BC716" i="2" a="1"/>
  <c r="BC716" i="2" s="1"/>
  <c r="BA716" i="2" a="1"/>
  <c r="BA716" i="2" s="1"/>
  <c r="AZ716" i="2" a="1"/>
  <c r="AZ716" i="2" s="1"/>
  <c r="AY716" i="2" a="1"/>
  <c r="AY716" i="2" s="1"/>
  <c r="AX716" i="2" a="1"/>
  <c r="AX716" i="2" s="1"/>
  <c r="AW716" i="2" a="1"/>
  <c r="AW716" i="2" s="1"/>
  <c r="AV716" i="2" a="1"/>
  <c r="AV716" i="2" s="1"/>
  <c r="AU716" i="2" a="1"/>
  <c r="AU716" i="2" s="1"/>
  <c r="AT716" i="2" a="1"/>
  <c r="AT716" i="2" s="1"/>
  <c r="AS716" i="2" a="1"/>
  <c r="AS716" i="2" s="1"/>
  <c r="AR716" i="2" a="1"/>
  <c r="AR716" i="2" s="1"/>
  <c r="AQ716" i="2" a="1"/>
  <c r="AQ716" i="2" s="1"/>
  <c r="AP716" i="2" a="1"/>
  <c r="AP716" i="2" s="1"/>
  <c r="AO716" i="2" a="1"/>
  <c r="AO716" i="2" s="1"/>
  <c r="AN716" i="2" a="1"/>
  <c r="AN716" i="2" s="1"/>
  <c r="AM716" i="2" a="1"/>
  <c r="AM716" i="2" s="1"/>
  <c r="AL716" i="2" a="1"/>
  <c r="AL716" i="2" s="1"/>
  <c r="AK716" i="2" a="1"/>
  <c r="AK716" i="2" s="1"/>
  <c r="AJ716" i="2" a="1"/>
  <c r="AJ716" i="2" s="1"/>
  <c r="AI716" i="2" a="1"/>
  <c r="AI716" i="2" s="1"/>
  <c r="AH716" i="2" a="1"/>
  <c r="AH716" i="2" s="1"/>
  <c r="AG716" i="2" a="1"/>
  <c r="AG716" i="2" s="1"/>
  <c r="AF716" i="2" a="1"/>
  <c r="AF716" i="2" s="1"/>
  <c r="AE716" i="2" a="1"/>
  <c r="AE716" i="2" s="1"/>
  <c r="AD716" i="2" a="1"/>
  <c r="AD716" i="2" s="1"/>
  <c r="AC716" i="2" a="1"/>
  <c r="AC716" i="2" s="1"/>
  <c r="AB716" i="2"/>
  <c r="AA716" i="2" a="1"/>
  <c r="AA716" i="2" s="1"/>
  <c r="Z716" i="2" a="1"/>
  <c r="Z716" i="2" s="1"/>
  <c r="Y716" i="2" a="1"/>
  <c r="Y716" i="2" s="1"/>
  <c r="X716" i="2" a="1"/>
  <c r="X716" i="2" s="1"/>
  <c r="W716" i="2" a="1"/>
  <c r="W716" i="2" s="1"/>
  <c r="BB716" i="2" s="1" a="1"/>
  <c r="BB716" i="2" s="1"/>
  <c r="V716" i="2" a="1"/>
  <c r="V716" i="2" s="1"/>
  <c r="E716" i="2" s="1" a="1"/>
  <c r="E716" i="2" s="1"/>
  <c r="U716" i="2" a="1"/>
  <c r="U716" i="2" s="1"/>
  <c r="T716" i="2" a="1"/>
  <c r="T716" i="2" s="1"/>
  <c r="S716" i="2" a="1"/>
  <c r="S716" i="2" s="1"/>
  <c r="R716" i="2" a="1"/>
  <c r="R716" i="2" s="1"/>
  <c r="Q716" i="2" a="1"/>
  <c r="Q716" i="2" s="1"/>
  <c r="P716" i="2" a="1"/>
  <c r="P716" i="2" s="1"/>
  <c r="O716" i="2" a="1"/>
  <c r="O716" i="2" s="1"/>
  <c r="N716" i="2" a="1"/>
  <c r="N716" i="2" s="1"/>
  <c r="M716" i="2" a="1"/>
  <c r="M716" i="2" s="1"/>
  <c r="L716" i="2" a="1"/>
  <c r="L716" i="2" s="1"/>
  <c r="K716" i="2" a="1"/>
  <c r="K716" i="2" s="1"/>
  <c r="J716" i="2" a="1"/>
  <c r="J716" i="2" s="1"/>
  <c r="I716" i="2" a="1"/>
  <c r="I716" i="2" s="1"/>
  <c r="H716" i="2" a="1"/>
  <c r="H716" i="2" s="1"/>
  <c r="F716" i="2" a="1"/>
  <c r="F716" i="2" s="1"/>
  <c r="D716" i="2" a="1"/>
  <c r="D716" i="2" s="1"/>
  <c r="B716" i="2" a="1"/>
  <c r="B716" i="2" s="1"/>
  <c r="BD715" i="2" a="1"/>
  <c r="BD715" i="2" s="1"/>
  <c r="BC715" i="2" a="1"/>
  <c r="BC715" i="2" s="1"/>
  <c r="BA715" i="2" a="1"/>
  <c r="BA715" i="2" s="1"/>
  <c r="AZ715" i="2" a="1"/>
  <c r="AZ715" i="2" s="1"/>
  <c r="AY715" i="2" a="1"/>
  <c r="AY715" i="2" s="1"/>
  <c r="AX715" i="2" a="1"/>
  <c r="AX715" i="2" s="1"/>
  <c r="AW715" i="2" a="1"/>
  <c r="AW715" i="2" s="1"/>
  <c r="AV715" i="2" a="1"/>
  <c r="AV715" i="2" s="1"/>
  <c r="AU715" i="2" a="1"/>
  <c r="AU715" i="2" s="1"/>
  <c r="AT715" i="2" a="1"/>
  <c r="AT715" i="2" s="1"/>
  <c r="AS715" i="2" a="1"/>
  <c r="AS715" i="2" s="1"/>
  <c r="AR715" i="2" a="1"/>
  <c r="AR715" i="2" s="1"/>
  <c r="AQ715" i="2" a="1"/>
  <c r="AQ715" i="2" s="1"/>
  <c r="AP715" i="2" a="1"/>
  <c r="AP715" i="2" s="1"/>
  <c r="AO715" i="2" a="1"/>
  <c r="AO715" i="2" s="1"/>
  <c r="AN715" i="2" a="1"/>
  <c r="AN715" i="2" s="1"/>
  <c r="AM715" i="2" a="1"/>
  <c r="AM715" i="2" s="1"/>
  <c r="AL715" i="2" a="1"/>
  <c r="AL715" i="2" s="1"/>
  <c r="AK715" i="2" a="1"/>
  <c r="AK715" i="2" s="1"/>
  <c r="AJ715" i="2" a="1"/>
  <c r="AJ715" i="2" s="1"/>
  <c r="AI715" i="2" a="1"/>
  <c r="AI715" i="2" s="1"/>
  <c r="AH715" i="2" a="1"/>
  <c r="AH715" i="2" s="1"/>
  <c r="AG715" i="2" a="1"/>
  <c r="AG715" i="2" s="1"/>
  <c r="AF715" i="2" a="1"/>
  <c r="AF715" i="2" s="1"/>
  <c r="AE715" i="2" a="1"/>
  <c r="AE715" i="2" s="1"/>
  <c r="AD715" i="2" a="1"/>
  <c r="AD715" i="2" s="1"/>
  <c r="AC715" i="2" a="1"/>
  <c r="AC715" i="2" s="1"/>
  <c r="AB715" i="2"/>
  <c r="AA715" i="2" a="1"/>
  <c r="AA715" i="2" s="1"/>
  <c r="Z715" i="2" a="1"/>
  <c r="Z715" i="2" s="1"/>
  <c r="Y715" i="2" a="1"/>
  <c r="Y715" i="2" s="1"/>
  <c r="X715" i="2" a="1"/>
  <c r="X715" i="2" s="1"/>
  <c r="W715" i="2" a="1"/>
  <c r="W715" i="2" s="1"/>
  <c r="BB715" i="2" s="1" a="1"/>
  <c r="BB715" i="2" s="1"/>
  <c r="V715" i="2" a="1"/>
  <c r="V715" i="2" s="1"/>
  <c r="E715" i="2" s="1" a="1"/>
  <c r="E715" i="2" s="1"/>
  <c r="U715" i="2" a="1"/>
  <c r="U715" i="2" s="1"/>
  <c r="T715" i="2" a="1"/>
  <c r="T715" i="2" s="1"/>
  <c r="S715" i="2" a="1"/>
  <c r="S715" i="2" s="1"/>
  <c r="R715" i="2" a="1"/>
  <c r="R715" i="2" s="1"/>
  <c r="Q715" i="2" a="1"/>
  <c r="Q715" i="2" s="1"/>
  <c r="P715" i="2" a="1"/>
  <c r="P715" i="2" s="1"/>
  <c r="O715" i="2" a="1"/>
  <c r="O715" i="2" s="1"/>
  <c r="N715" i="2" a="1"/>
  <c r="N715" i="2" s="1"/>
  <c r="M715" i="2" a="1"/>
  <c r="M715" i="2" s="1"/>
  <c r="L715" i="2" a="1"/>
  <c r="L715" i="2" s="1"/>
  <c r="K715" i="2" a="1"/>
  <c r="K715" i="2" s="1"/>
  <c r="J715" i="2" a="1"/>
  <c r="J715" i="2" s="1"/>
  <c r="I715" i="2" a="1"/>
  <c r="I715" i="2" s="1"/>
  <c r="H715" i="2" a="1"/>
  <c r="H715" i="2" s="1"/>
  <c r="F715" i="2" a="1"/>
  <c r="F715" i="2" s="1"/>
  <c r="D715" i="2" a="1"/>
  <c r="D715" i="2" s="1"/>
  <c r="B715" i="2" a="1"/>
  <c r="B715" i="2" s="1"/>
  <c r="BD714" i="2" a="1"/>
  <c r="BD714" i="2" s="1"/>
  <c r="BC714" i="2" a="1"/>
  <c r="BC714" i="2" s="1"/>
  <c r="BA714" i="2" a="1"/>
  <c r="BA714" i="2" s="1"/>
  <c r="AZ714" i="2" a="1"/>
  <c r="AZ714" i="2" s="1"/>
  <c r="AY714" i="2" a="1"/>
  <c r="AY714" i="2" s="1"/>
  <c r="AX714" i="2" a="1"/>
  <c r="AX714" i="2" s="1"/>
  <c r="AW714" i="2" a="1"/>
  <c r="AW714" i="2" s="1"/>
  <c r="AV714" i="2" a="1"/>
  <c r="AV714" i="2" s="1"/>
  <c r="AU714" i="2" a="1"/>
  <c r="AU714" i="2" s="1"/>
  <c r="AT714" i="2" a="1"/>
  <c r="AT714" i="2" s="1"/>
  <c r="AS714" i="2" a="1"/>
  <c r="AS714" i="2" s="1"/>
  <c r="AR714" i="2" a="1"/>
  <c r="AR714" i="2" s="1"/>
  <c r="AQ714" i="2" a="1"/>
  <c r="AQ714" i="2" s="1"/>
  <c r="AP714" i="2" a="1"/>
  <c r="AP714" i="2" s="1"/>
  <c r="AO714" i="2" a="1"/>
  <c r="AO714" i="2" s="1"/>
  <c r="AN714" i="2" a="1"/>
  <c r="AN714" i="2" s="1"/>
  <c r="AM714" i="2" a="1"/>
  <c r="AM714" i="2" s="1"/>
  <c r="AL714" i="2" a="1"/>
  <c r="AL714" i="2" s="1"/>
  <c r="AK714" i="2" a="1"/>
  <c r="AK714" i="2" s="1"/>
  <c r="AJ714" i="2" a="1"/>
  <c r="AJ714" i="2" s="1"/>
  <c r="AI714" i="2" a="1"/>
  <c r="AI714" i="2" s="1"/>
  <c r="AH714" i="2" a="1"/>
  <c r="AH714" i="2" s="1"/>
  <c r="AG714" i="2" a="1"/>
  <c r="AG714" i="2" s="1"/>
  <c r="AF714" i="2" a="1"/>
  <c r="AF714" i="2" s="1"/>
  <c r="AE714" i="2" a="1"/>
  <c r="AE714" i="2" s="1"/>
  <c r="AD714" i="2" a="1"/>
  <c r="AD714" i="2" s="1"/>
  <c r="AC714" i="2" a="1"/>
  <c r="AC714" i="2" s="1"/>
  <c r="AB714" i="2"/>
  <c r="AA714" i="2" a="1"/>
  <c r="AA714" i="2" s="1"/>
  <c r="Z714" i="2" a="1"/>
  <c r="Z714" i="2" s="1"/>
  <c r="Y714" i="2" a="1"/>
  <c r="Y714" i="2" s="1"/>
  <c r="X714" i="2" a="1"/>
  <c r="X714" i="2" s="1"/>
  <c r="W714" i="2" a="1"/>
  <c r="W714" i="2" s="1"/>
  <c r="BB714" i="2" s="1" a="1"/>
  <c r="BB714" i="2" s="1"/>
  <c r="V714" i="2" a="1"/>
  <c r="V714" i="2" s="1"/>
  <c r="E714" i="2" s="1" a="1"/>
  <c r="E714" i="2" s="1"/>
  <c r="U714" i="2" a="1"/>
  <c r="U714" i="2" s="1"/>
  <c r="T714" i="2" a="1"/>
  <c r="T714" i="2" s="1"/>
  <c r="S714" i="2" a="1"/>
  <c r="S714" i="2" s="1"/>
  <c r="R714" i="2" a="1"/>
  <c r="R714" i="2" s="1"/>
  <c r="Q714" i="2" a="1"/>
  <c r="Q714" i="2" s="1"/>
  <c r="P714" i="2" a="1"/>
  <c r="P714" i="2" s="1"/>
  <c r="O714" i="2" a="1"/>
  <c r="O714" i="2" s="1"/>
  <c r="N714" i="2" a="1"/>
  <c r="N714" i="2" s="1"/>
  <c r="M714" i="2" a="1"/>
  <c r="M714" i="2" s="1"/>
  <c r="L714" i="2" a="1"/>
  <c r="L714" i="2" s="1"/>
  <c r="K714" i="2" a="1"/>
  <c r="K714" i="2" s="1"/>
  <c r="J714" i="2" a="1"/>
  <c r="J714" i="2" s="1"/>
  <c r="I714" i="2" a="1"/>
  <c r="I714" i="2" s="1"/>
  <c r="H714" i="2" a="1"/>
  <c r="H714" i="2" s="1"/>
  <c r="F714" i="2" a="1"/>
  <c r="F714" i="2" s="1"/>
  <c r="D714" i="2" a="1"/>
  <c r="D714" i="2" s="1"/>
  <c r="B714" i="2" a="1"/>
  <c r="B714" i="2" s="1"/>
  <c r="BD713" i="2" a="1"/>
  <c r="BD713" i="2" s="1"/>
  <c r="BC713" i="2" a="1"/>
  <c r="BC713" i="2" s="1"/>
  <c r="BA713" i="2" a="1"/>
  <c r="BA713" i="2" s="1"/>
  <c r="AZ713" i="2" a="1"/>
  <c r="AZ713" i="2" s="1"/>
  <c r="AY713" i="2" a="1"/>
  <c r="AY713" i="2" s="1"/>
  <c r="AX713" i="2" a="1"/>
  <c r="AX713" i="2" s="1"/>
  <c r="AW713" i="2" a="1"/>
  <c r="AW713" i="2" s="1"/>
  <c r="AV713" i="2" a="1"/>
  <c r="AV713" i="2" s="1"/>
  <c r="AU713" i="2" a="1"/>
  <c r="AU713" i="2" s="1"/>
  <c r="AT713" i="2" a="1"/>
  <c r="AT713" i="2" s="1"/>
  <c r="AS713" i="2" a="1"/>
  <c r="AS713" i="2" s="1"/>
  <c r="AR713" i="2" a="1"/>
  <c r="AR713" i="2" s="1"/>
  <c r="AQ713" i="2" a="1"/>
  <c r="AQ713" i="2" s="1"/>
  <c r="AP713" i="2" a="1"/>
  <c r="AP713" i="2" s="1"/>
  <c r="AO713" i="2" a="1"/>
  <c r="AO713" i="2" s="1"/>
  <c r="AN713" i="2" a="1"/>
  <c r="AN713" i="2" s="1"/>
  <c r="AM713" i="2" a="1"/>
  <c r="AM713" i="2" s="1"/>
  <c r="AL713" i="2" a="1"/>
  <c r="AL713" i="2" s="1"/>
  <c r="AK713" i="2" a="1"/>
  <c r="AK713" i="2" s="1"/>
  <c r="AJ713" i="2" a="1"/>
  <c r="AJ713" i="2" s="1"/>
  <c r="AI713" i="2" a="1"/>
  <c r="AI713" i="2" s="1"/>
  <c r="AH713" i="2" a="1"/>
  <c r="AH713" i="2" s="1"/>
  <c r="AG713" i="2" a="1"/>
  <c r="AG713" i="2" s="1"/>
  <c r="AF713" i="2" a="1"/>
  <c r="AF713" i="2" s="1"/>
  <c r="AE713" i="2" a="1"/>
  <c r="AE713" i="2" s="1"/>
  <c r="AD713" i="2" a="1"/>
  <c r="AD713" i="2" s="1"/>
  <c r="AC713" i="2" a="1"/>
  <c r="AC713" i="2" s="1"/>
  <c r="AB713" i="2"/>
  <c r="AA713" i="2" a="1"/>
  <c r="AA713" i="2" s="1"/>
  <c r="Z713" i="2" a="1"/>
  <c r="Z713" i="2" s="1"/>
  <c r="Y713" i="2" a="1"/>
  <c r="Y713" i="2" s="1"/>
  <c r="X713" i="2" a="1"/>
  <c r="X713" i="2" s="1"/>
  <c r="W713" i="2" a="1"/>
  <c r="W713" i="2" s="1"/>
  <c r="BB713" i="2" s="1" a="1"/>
  <c r="BB713" i="2" s="1"/>
  <c r="V713" i="2" a="1"/>
  <c r="V713" i="2" s="1"/>
  <c r="E713" i="2" s="1" a="1"/>
  <c r="E713" i="2" s="1"/>
  <c r="U713" i="2" a="1"/>
  <c r="U713" i="2" s="1"/>
  <c r="T713" i="2" a="1"/>
  <c r="T713" i="2" s="1"/>
  <c r="S713" i="2" a="1"/>
  <c r="S713" i="2" s="1"/>
  <c r="R713" i="2" a="1"/>
  <c r="R713" i="2" s="1"/>
  <c r="Q713" i="2" a="1"/>
  <c r="Q713" i="2" s="1"/>
  <c r="P713" i="2" a="1"/>
  <c r="P713" i="2" s="1"/>
  <c r="O713" i="2" a="1"/>
  <c r="O713" i="2" s="1"/>
  <c r="N713" i="2" a="1"/>
  <c r="N713" i="2" s="1"/>
  <c r="M713" i="2" a="1"/>
  <c r="M713" i="2" s="1"/>
  <c r="L713" i="2" a="1"/>
  <c r="L713" i="2" s="1"/>
  <c r="K713" i="2" a="1"/>
  <c r="K713" i="2" s="1"/>
  <c r="J713" i="2" a="1"/>
  <c r="J713" i="2" s="1"/>
  <c r="I713" i="2" a="1"/>
  <c r="I713" i="2" s="1"/>
  <c r="H713" i="2" a="1"/>
  <c r="H713" i="2" s="1"/>
  <c r="F713" i="2" a="1"/>
  <c r="F713" i="2" s="1"/>
  <c r="D713" i="2" a="1"/>
  <c r="D713" i="2" s="1"/>
  <c r="B713" i="2" a="1"/>
  <c r="B713" i="2" s="1"/>
  <c r="BD712" i="2" a="1"/>
  <c r="BD712" i="2" s="1"/>
  <c r="BC712" i="2" a="1"/>
  <c r="BC712" i="2" s="1"/>
  <c r="BA712" i="2" a="1"/>
  <c r="BA712" i="2" s="1"/>
  <c r="AZ712" i="2" a="1"/>
  <c r="AZ712" i="2" s="1"/>
  <c r="AY712" i="2" a="1"/>
  <c r="AY712" i="2" s="1"/>
  <c r="AX712" i="2" a="1"/>
  <c r="AX712" i="2" s="1"/>
  <c r="AW712" i="2" a="1"/>
  <c r="AW712" i="2" s="1"/>
  <c r="AV712" i="2" a="1"/>
  <c r="AV712" i="2" s="1"/>
  <c r="AU712" i="2" a="1"/>
  <c r="AU712" i="2" s="1"/>
  <c r="AT712" i="2" a="1"/>
  <c r="AT712" i="2" s="1"/>
  <c r="AS712" i="2" a="1"/>
  <c r="AS712" i="2" s="1"/>
  <c r="AR712" i="2" a="1"/>
  <c r="AR712" i="2" s="1"/>
  <c r="AQ712" i="2" a="1"/>
  <c r="AQ712" i="2" s="1"/>
  <c r="AP712" i="2" a="1"/>
  <c r="AP712" i="2" s="1"/>
  <c r="AO712" i="2" a="1"/>
  <c r="AO712" i="2" s="1"/>
  <c r="AN712" i="2" a="1"/>
  <c r="AN712" i="2" s="1"/>
  <c r="AM712" i="2" a="1"/>
  <c r="AM712" i="2" s="1"/>
  <c r="AL712" i="2" a="1"/>
  <c r="AL712" i="2" s="1"/>
  <c r="AK712" i="2" a="1"/>
  <c r="AK712" i="2" s="1"/>
  <c r="AJ712" i="2" a="1"/>
  <c r="AJ712" i="2" s="1"/>
  <c r="AI712" i="2" a="1"/>
  <c r="AI712" i="2" s="1"/>
  <c r="AH712" i="2" a="1"/>
  <c r="AH712" i="2" s="1"/>
  <c r="AG712" i="2" a="1"/>
  <c r="AG712" i="2" s="1"/>
  <c r="AF712" i="2" a="1"/>
  <c r="AF712" i="2" s="1"/>
  <c r="AE712" i="2" a="1"/>
  <c r="AE712" i="2" s="1"/>
  <c r="AD712" i="2" a="1"/>
  <c r="AD712" i="2" s="1"/>
  <c r="AC712" i="2" a="1"/>
  <c r="AC712" i="2" s="1"/>
  <c r="AB712" i="2"/>
  <c r="AA712" i="2" a="1"/>
  <c r="AA712" i="2" s="1"/>
  <c r="Z712" i="2" a="1"/>
  <c r="Z712" i="2" s="1"/>
  <c r="Y712" i="2" a="1"/>
  <c r="Y712" i="2" s="1"/>
  <c r="X712" i="2" a="1"/>
  <c r="X712" i="2" s="1"/>
  <c r="W712" i="2" a="1"/>
  <c r="W712" i="2" s="1"/>
  <c r="BB712" i="2" s="1" a="1"/>
  <c r="BB712" i="2" s="1"/>
  <c r="V712" i="2" a="1"/>
  <c r="V712" i="2" s="1"/>
  <c r="E712" i="2" s="1" a="1"/>
  <c r="E712" i="2" s="1"/>
  <c r="U712" i="2" a="1"/>
  <c r="U712" i="2" s="1"/>
  <c r="T712" i="2" a="1"/>
  <c r="T712" i="2" s="1"/>
  <c r="S712" i="2" a="1"/>
  <c r="S712" i="2" s="1"/>
  <c r="R712" i="2" a="1"/>
  <c r="R712" i="2" s="1"/>
  <c r="Q712" i="2" a="1"/>
  <c r="Q712" i="2" s="1"/>
  <c r="P712" i="2" a="1"/>
  <c r="P712" i="2" s="1"/>
  <c r="O712" i="2" a="1"/>
  <c r="O712" i="2" s="1"/>
  <c r="N712" i="2" a="1"/>
  <c r="N712" i="2" s="1"/>
  <c r="M712" i="2" a="1"/>
  <c r="M712" i="2" s="1"/>
  <c r="L712" i="2" a="1"/>
  <c r="L712" i="2" s="1"/>
  <c r="K712" i="2" a="1"/>
  <c r="K712" i="2" s="1"/>
  <c r="J712" i="2" a="1"/>
  <c r="J712" i="2" s="1"/>
  <c r="I712" i="2" a="1"/>
  <c r="I712" i="2" s="1"/>
  <c r="H712" i="2" a="1"/>
  <c r="H712" i="2" s="1"/>
  <c r="F712" i="2" a="1"/>
  <c r="F712" i="2" s="1"/>
  <c r="D712" i="2" a="1"/>
  <c r="D712" i="2" s="1"/>
  <c r="B712" i="2" a="1"/>
  <c r="B712" i="2" s="1"/>
  <c r="BD711" i="2" a="1"/>
  <c r="BD711" i="2" s="1"/>
  <c r="BC711" i="2" a="1"/>
  <c r="BC711" i="2" s="1"/>
  <c r="BA711" i="2" a="1"/>
  <c r="BA711" i="2" s="1"/>
  <c r="AZ711" i="2" a="1"/>
  <c r="AZ711" i="2" s="1"/>
  <c r="AY711" i="2" a="1"/>
  <c r="AY711" i="2" s="1"/>
  <c r="AX711" i="2" a="1"/>
  <c r="AX711" i="2" s="1"/>
  <c r="AW711" i="2" a="1"/>
  <c r="AW711" i="2" s="1"/>
  <c r="AV711" i="2" a="1"/>
  <c r="AV711" i="2" s="1"/>
  <c r="AU711" i="2" a="1"/>
  <c r="AU711" i="2" s="1"/>
  <c r="AT711" i="2" a="1"/>
  <c r="AT711" i="2" s="1"/>
  <c r="AS711" i="2" a="1"/>
  <c r="AS711" i="2" s="1"/>
  <c r="AR711" i="2" a="1"/>
  <c r="AR711" i="2" s="1"/>
  <c r="AQ711" i="2" a="1"/>
  <c r="AQ711" i="2" s="1"/>
  <c r="AP711" i="2" a="1"/>
  <c r="AP711" i="2" s="1"/>
  <c r="AO711" i="2" a="1"/>
  <c r="AO711" i="2" s="1"/>
  <c r="AN711" i="2" a="1"/>
  <c r="AN711" i="2" s="1"/>
  <c r="AM711" i="2" a="1"/>
  <c r="AM711" i="2" s="1"/>
  <c r="AL711" i="2" a="1"/>
  <c r="AL711" i="2" s="1"/>
  <c r="AK711" i="2" a="1"/>
  <c r="AK711" i="2" s="1"/>
  <c r="AJ711" i="2" a="1"/>
  <c r="AJ711" i="2" s="1"/>
  <c r="AI711" i="2" a="1"/>
  <c r="AI711" i="2" s="1"/>
  <c r="AH711" i="2" a="1"/>
  <c r="AH711" i="2" s="1"/>
  <c r="AG711" i="2" a="1"/>
  <c r="AG711" i="2" s="1"/>
  <c r="AF711" i="2" a="1"/>
  <c r="AF711" i="2" s="1"/>
  <c r="AE711" i="2" a="1"/>
  <c r="AE711" i="2" s="1"/>
  <c r="AD711" i="2" a="1"/>
  <c r="AD711" i="2" s="1"/>
  <c r="AC711" i="2" a="1"/>
  <c r="AC711" i="2" s="1"/>
  <c r="AB711" i="2"/>
  <c r="AA711" i="2" a="1"/>
  <c r="AA711" i="2" s="1"/>
  <c r="Z711" i="2" a="1"/>
  <c r="Z711" i="2" s="1"/>
  <c r="Y711" i="2" a="1"/>
  <c r="Y711" i="2" s="1"/>
  <c r="X711" i="2" a="1"/>
  <c r="X711" i="2" s="1"/>
  <c r="W711" i="2" a="1"/>
  <c r="W711" i="2" s="1"/>
  <c r="BB711" i="2" s="1" a="1"/>
  <c r="BB711" i="2" s="1"/>
  <c r="V711" i="2" a="1"/>
  <c r="V711" i="2" s="1"/>
  <c r="E711" i="2" s="1" a="1"/>
  <c r="E711" i="2" s="1"/>
  <c r="U711" i="2" a="1"/>
  <c r="U711" i="2" s="1"/>
  <c r="T711" i="2" a="1"/>
  <c r="T711" i="2" s="1"/>
  <c r="S711" i="2" a="1"/>
  <c r="S711" i="2" s="1"/>
  <c r="R711" i="2" a="1"/>
  <c r="R711" i="2" s="1"/>
  <c r="Q711" i="2" a="1"/>
  <c r="Q711" i="2" s="1"/>
  <c r="P711" i="2" a="1"/>
  <c r="P711" i="2" s="1"/>
  <c r="O711" i="2" a="1"/>
  <c r="O711" i="2" s="1"/>
  <c r="N711" i="2" a="1"/>
  <c r="N711" i="2" s="1"/>
  <c r="M711" i="2" a="1"/>
  <c r="M711" i="2" s="1"/>
  <c r="L711" i="2" a="1"/>
  <c r="L711" i="2" s="1"/>
  <c r="K711" i="2" a="1"/>
  <c r="K711" i="2" s="1"/>
  <c r="J711" i="2" a="1"/>
  <c r="J711" i="2" s="1"/>
  <c r="I711" i="2" a="1"/>
  <c r="I711" i="2" s="1"/>
  <c r="H711" i="2" a="1"/>
  <c r="H711" i="2" s="1"/>
  <c r="F711" i="2" a="1"/>
  <c r="F711" i="2" s="1"/>
  <c r="D711" i="2" a="1"/>
  <c r="D711" i="2" s="1"/>
  <c r="B711" i="2" a="1"/>
  <c r="B711" i="2" s="1"/>
  <c r="BD710" i="2" a="1"/>
  <c r="BD710" i="2" s="1"/>
  <c r="BC710" i="2" a="1"/>
  <c r="BC710" i="2" s="1"/>
  <c r="BA710" i="2" a="1"/>
  <c r="BA710" i="2" s="1"/>
  <c r="AZ710" i="2" a="1"/>
  <c r="AZ710" i="2" s="1"/>
  <c r="AY710" i="2" a="1"/>
  <c r="AY710" i="2" s="1"/>
  <c r="AX710" i="2" a="1"/>
  <c r="AX710" i="2" s="1"/>
  <c r="AW710" i="2" a="1"/>
  <c r="AW710" i="2" s="1"/>
  <c r="AV710" i="2" a="1"/>
  <c r="AV710" i="2" s="1"/>
  <c r="AU710" i="2" a="1"/>
  <c r="AU710" i="2" s="1"/>
  <c r="AT710" i="2" a="1"/>
  <c r="AT710" i="2" s="1"/>
  <c r="AS710" i="2" a="1"/>
  <c r="AS710" i="2" s="1"/>
  <c r="AR710" i="2" a="1"/>
  <c r="AR710" i="2" s="1"/>
  <c r="AQ710" i="2" a="1"/>
  <c r="AQ710" i="2" s="1"/>
  <c r="AP710" i="2" a="1"/>
  <c r="AP710" i="2" s="1"/>
  <c r="AO710" i="2" a="1"/>
  <c r="AO710" i="2" s="1"/>
  <c r="AN710" i="2" a="1"/>
  <c r="AN710" i="2" s="1"/>
  <c r="AM710" i="2" a="1"/>
  <c r="AM710" i="2" s="1"/>
  <c r="AL710" i="2" a="1"/>
  <c r="AL710" i="2" s="1"/>
  <c r="AK710" i="2" a="1"/>
  <c r="AK710" i="2" s="1"/>
  <c r="AJ710" i="2" a="1"/>
  <c r="AJ710" i="2" s="1"/>
  <c r="AI710" i="2" a="1"/>
  <c r="AI710" i="2" s="1"/>
  <c r="AH710" i="2" a="1"/>
  <c r="AH710" i="2" s="1"/>
  <c r="AG710" i="2" a="1"/>
  <c r="AG710" i="2" s="1"/>
  <c r="AF710" i="2" a="1"/>
  <c r="AF710" i="2" s="1"/>
  <c r="AE710" i="2" a="1"/>
  <c r="AE710" i="2" s="1"/>
  <c r="AD710" i="2" a="1"/>
  <c r="AD710" i="2" s="1"/>
  <c r="AC710" i="2" a="1"/>
  <c r="AC710" i="2" s="1"/>
  <c r="AB710" i="2"/>
  <c r="AA710" i="2" a="1"/>
  <c r="AA710" i="2" s="1"/>
  <c r="Z710" i="2" a="1"/>
  <c r="Z710" i="2" s="1"/>
  <c r="Y710" i="2" a="1"/>
  <c r="Y710" i="2" s="1"/>
  <c r="X710" i="2" a="1"/>
  <c r="X710" i="2" s="1"/>
  <c r="W710" i="2" a="1"/>
  <c r="W710" i="2" s="1"/>
  <c r="BB710" i="2" s="1" a="1"/>
  <c r="BB710" i="2" s="1"/>
  <c r="V710" i="2" a="1"/>
  <c r="V710" i="2" s="1"/>
  <c r="E710" i="2" s="1" a="1"/>
  <c r="E710" i="2" s="1"/>
  <c r="U710" i="2" a="1"/>
  <c r="U710" i="2" s="1"/>
  <c r="T710" i="2" a="1"/>
  <c r="T710" i="2" s="1"/>
  <c r="S710" i="2" a="1"/>
  <c r="S710" i="2" s="1"/>
  <c r="R710" i="2" a="1"/>
  <c r="R710" i="2" s="1"/>
  <c r="Q710" i="2" a="1"/>
  <c r="Q710" i="2" s="1"/>
  <c r="P710" i="2" a="1"/>
  <c r="P710" i="2" s="1"/>
  <c r="O710" i="2" a="1"/>
  <c r="O710" i="2" s="1"/>
  <c r="N710" i="2" a="1"/>
  <c r="N710" i="2" s="1"/>
  <c r="M710" i="2" a="1"/>
  <c r="M710" i="2" s="1"/>
  <c r="L710" i="2" a="1"/>
  <c r="L710" i="2" s="1"/>
  <c r="K710" i="2" a="1"/>
  <c r="K710" i="2" s="1"/>
  <c r="J710" i="2" a="1"/>
  <c r="J710" i="2" s="1"/>
  <c r="I710" i="2" a="1"/>
  <c r="I710" i="2" s="1"/>
  <c r="H710" i="2" a="1"/>
  <c r="H710" i="2" s="1"/>
  <c r="F710" i="2" a="1"/>
  <c r="F710" i="2" s="1"/>
  <c r="D710" i="2" a="1"/>
  <c r="D710" i="2" s="1"/>
  <c r="B710" i="2" a="1"/>
  <c r="B710" i="2" s="1"/>
  <c r="BD709" i="2" a="1"/>
  <c r="BD709" i="2" s="1"/>
  <c r="BC709" i="2" a="1"/>
  <c r="BC709" i="2" s="1"/>
  <c r="BA709" i="2" a="1"/>
  <c r="BA709" i="2" s="1"/>
  <c r="AZ709" i="2" a="1"/>
  <c r="AZ709" i="2" s="1"/>
  <c r="AY709" i="2" a="1"/>
  <c r="AY709" i="2" s="1"/>
  <c r="AX709" i="2" a="1"/>
  <c r="AX709" i="2" s="1"/>
  <c r="AW709" i="2" a="1"/>
  <c r="AW709" i="2" s="1"/>
  <c r="AV709" i="2" a="1"/>
  <c r="AV709" i="2" s="1"/>
  <c r="AU709" i="2" a="1"/>
  <c r="AU709" i="2" s="1"/>
  <c r="AT709" i="2" a="1"/>
  <c r="AT709" i="2" s="1"/>
  <c r="AS709" i="2" a="1"/>
  <c r="AS709" i="2" s="1"/>
  <c r="AR709" i="2" a="1"/>
  <c r="AR709" i="2" s="1"/>
  <c r="AQ709" i="2" a="1"/>
  <c r="AQ709" i="2" s="1"/>
  <c r="AP709" i="2" a="1"/>
  <c r="AP709" i="2" s="1"/>
  <c r="AO709" i="2" a="1"/>
  <c r="AO709" i="2" s="1"/>
  <c r="AN709" i="2" a="1"/>
  <c r="AN709" i="2" s="1"/>
  <c r="AM709" i="2" a="1"/>
  <c r="AM709" i="2" s="1"/>
  <c r="AL709" i="2" a="1"/>
  <c r="AL709" i="2" s="1"/>
  <c r="AK709" i="2" a="1"/>
  <c r="AK709" i="2" s="1"/>
  <c r="AJ709" i="2" a="1"/>
  <c r="AJ709" i="2" s="1"/>
  <c r="AI709" i="2" a="1"/>
  <c r="AI709" i="2" s="1"/>
  <c r="AH709" i="2" a="1"/>
  <c r="AH709" i="2" s="1"/>
  <c r="AG709" i="2" a="1"/>
  <c r="AG709" i="2" s="1"/>
  <c r="AF709" i="2" a="1"/>
  <c r="AF709" i="2" s="1"/>
  <c r="AE709" i="2" a="1"/>
  <c r="AE709" i="2" s="1"/>
  <c r="AD709" i="2" a="1"/>
  <c r="AD709" i="2" s="1"/>
  <c r="AC709" i="2" a="1"/>
  <c r="AC709" i="2" s="1"/>
  <c r="AB709" i="2"/>
  <c r="AA709" i="2" a="1"/>
  <c r="AA709" i="2" s="1"/>
  <c r="Z709" i="2" a="1"/>
  <c r="Z709" i="2" s="1"/>
  <c r="Y709" i="2" a="1"/>
  <c r="Y709" i="2" s="1"/>
  <c r="X709" i="2" a="1"/>
  <c r="X709" i="2" s="1"/>
  <c r="W709" i="2" a="1"/>
  <c r="W709" i="2" s="1"/>
  <c r="BB709" i="2" s="1" a="1"/>
  <c r="BB709" i="2" s="1"/>
  <c r="V709" i="2" a="1"/>
  <c r="V709" i="2" s="1"/>
  <c r="E709" i="2" s="1" a="1"/>
  <c r="E709" i="2" s="1"/>
  <c r="U709" i="2" a="1"/>
  <c r="U709" i="2" s="1"/>
  <c r="T709" i="2" a="1"/>
  <c r="T709" i="2" s="1"/>
  <c r="S709" i="2" a="1"/>
  <c r="S709" i="2" s="1"/>
  <c r="R709" i="2" a="1"/>
  <c r="R709" i="2" s="1"/>
  <c r="Q709" i="2" a="1"/>
  <c r="Q709" i="2" s="1"/>
  <c r="P709" i="2" a="1"/>
  <c r="P709" i="2" s="1"/>
  <c r="O709" i="2" a="1"/>
  <c r="O709" i="2" s="1"/>
  <c r="N709" i="2" a="1"/>
  <c r="N709" i="2" s="1"/>
  <c r="M709" i="2" a="1"/>
  <c r="M709" i="2" s="1"/>
  <c r="L709" i="2" a="1"/>
  <c r="L709" i="2" s="1"/>
  <c r="K709" i="2" a="1"/>
  <c r="K709" i="2" s="1"/>
  <c r="J709" i="2" a="1"/>
  <c r="J709" i="2" s="1"/>
  <c r="I709" i="2" a="1"/>
  <c r="I709" i="2" s="1"/>
  <c r="H709" i="2" a="1"/>
  <c r="H709" i="2" s="1"/>
  <c r="F709" i="2" a="1"/>
  <c r="F709" i="2" s="1"/>
  <c r="D709" i="2" a="1"/>
  <c r="D709" i="2" s="1"/>
  <c r="B709" i="2" a="1"/>
  <c r="B709" i="2" s="1"/>
  <c r="BD708" i="2" a="1"/>
  <c r="BD708" i="2" s="1"/>
  <c r="BC708" i="2" a="1"/>
  <c r="BC708" i="2" s="1"/>
  <c r="BA708" i="2" a="1"/>
  <c r="BA708" i="2" s="1"/>
  <c r="AZ708" i="2" a="1"/>
  <c r="AZ708" i="2" s="1"/>
  <c r="AY708" i="2" a="1"/>
  <c r="AY708" i="2" s="1"/>
  <c r="AX708" i="2" a="1"/>
  <c r="AX708" i="2" s="1"/>
  <c r="AW708" i="2" a="1"/>
  <c r="AW708" i="2" s="1"/>
  <c r="AV708" i="2" a="1"/>
  <c r="AV708" i="2" s="1"/>
  <c r="AU708" i="2" a="1"/>
  <c r="AU708" i="2" s="1"/>
  <c r="AT708" i="2" a="1"/>
  <c r="AT708" i="2" s="1"/>
  <c r="AS708" i="2" a="1"/>
  <c r="AS708" i="2" s="1"/>
  <c r="AR708" i="2" a="1"/>
  <c r="AR708" i="2" s="1"/>
  <c r="AQ708" i="2" a="1"/>
  <c r="AQ708" i="2" s="1"/>
  <c r="AP708" i="2" a="1"/>
  <c r="AP708" i="2" s="1"/>
  <c r="AO708" i="2" a="1"/>
  <c r="AO708" i="2" s="1"/>
  <c r="AN708" i="2" a="1"/>
  <c r="AN708" i="2" s="1"/>
  <c r="AM708" i="2" a="1"/>
  <c r="AM708" i="2" s="1"/>
  <c r="AL708" i="2" a="1"/>
  <c r="AL708" i="2" s="1"/>
  <c r="AK708" i="2" a="1"/>
  <c r="AK708" i="2" s="1"/>
  <c r="AJ708" i="2" a="1"/>
  <c r="AJ708" i="2" s="1"/>
  <c r="AI708" i="2" a="1"/>
  <c r="AI708" i="2" s="1"/>
  <c r="AH708" i="2" a="1"/>
  <c r="AH708" i="2" s="1"/>
  <c r="AG708" i="2" a="1"/>
  <c r="AG708" i="2" s="1"/>
  <c r="AF708" i="2" a="1"/>
  <c r="AF708" i="2" s="1"/>
  <c r="AE708" i="2" a="1"/>
  <c r="AE708" i="2" s="1"/>
  <c r="AD708" i="2" a="1"/>
  <c r="AD708" i="2" s="1"/>
  <c r="AC708" i="2" a="1"/>
  <c r="AC708" i="2" s="1"/>
  <c r="AB708" i="2"/>
  <c r="AA708" i="2" a="1"/>
  <c r="AA708" i="2" s="1"/>
  <c r="Z708" i="2" a="1"/>
  <c r="Z708" i="2" s="1"/>
  <c r="Y708" i="2" a="1"/>
  <c r="Y708" i="2" s="1"/>
  <c r="X708" i="2" a="1"/>
  <c r="X708" i="2" s="1"/>
  <c r="W708" i="2" a="1"/>
  <c r="W708" i="2" s="1"/>
  <c r="BB708" i="2" s="1" a="1"/>
  <c r="BB708" i="2" s="1"/>
  <c r="V708" i="2" a="1"/>
  <c r="V708" i="2" s="1"/>
  <c r="E708" i="2" s="1" a="1"/>
  <c r="E708" i="2" s="1"/>
  <c r="U708" i="2" a="1"/>
  <c r="U708" i="2" s="1"/>
  <c r="T708" i="2" a="1"/>
  <c r="T708" i="2" s="1"/>
  <c r="S708" i="2" a="1"/>
  <c r="S708" i="2" s="1"/>
  <c r="R708" i="2" a="1"/>
  <c r="R708" i="2" s="1"/>
  <c r="Q708" i="2" a="1"/>
  <c r="Q708" i="2" s="1"/>
  <c r="P708" i="2" a="1"/>
  <c r="P708" i="2" s="1"/>
  <c r="O708" i="2" a="1"/>
  <c r="O708" i="2" s="1"/>
  <c r="N708" i="2" a="1"/>
  <c r="N708" i="2" s="1"/>
  <c r="M708" i="2" a="1"/>
  <c r="M708" i="2" s="1"/>
  <c r="L708" i="2" a="1"/>
  <c r="L708" i="2" s="1"/>
  <c r="K708" i="2" a="1"/>
  <c r="K708" i="2" s="1"/>
  <c r="J708" i="2" a="1"/>
  <c r="J708" i="2" s="1"/>
  <c r="I708" i="2" a="1"/>
  <c r="I708" i="2" s="1"/>
  <c r="H708" i="2" a="1"/>
  <c r="H708" i="2" s="1"/>
  <c r="F708" i="2" a="1"/>
  <c r="F708" i="2" s="1"/>
  <c r="D708" i="2" a="1"/>
  <c r="D708" i="2" s="1"/>
  <c r="B708" i="2" a="1"/>
  <c r="B708" i="2" s="1"/>
  <c r="BD707" i="2" a="1"/>
  <c r="BD707" i="2" s="1"/>
  <c r="BC707" i="2" a="1"/>
  <c r="BC707" i="2" s="1"/>
  <c r="BA707" i="2" a="1"/>
  <c r="BA707" i="2" s="1"/>
  <c r="AZ707" i="2" a="1"/>
  <c r="AZ707" i="2" s="1"/>
  <c r="AY707" i="2" a="1"/>
  <c r="AY707" i="2" s="1"/>
  <c r="AX707" i="2" a="1"/>
  <c r="AX707" i="2" s="1"/>
  <c r="AW707" i="2" a="1"/>
  <c r="AW707" i="2" s="1"/>
  <c r="AV707" i="2" a="1"/>
  <c r="AV707" i="2" s="1"/>
  <c r="AU707" i="2" a="1"/>
  <c r="AU707" i="2" s="1"/>
  <c r="AT707" i="2" a="1"/>
  <c r="AT707" i="2" s="1"/>
  <c r="AS707" i="2" a="1"/>
  <c r="AS707" i="2" s="1"/>
  <c r="AR707" i="2" a="1"/>
  <c r="AR707" i="2" s="1"/>
  <c r="AQ707" i="2" a="1"/>
  <c r="AQ707" i="2" s="1"/>
  <c r="AP707" i="2" a="1"/>
  <c r="AP707" i="2" s="1"/>
  <c r="AO707" i="2" a="1"/>
  <c r="AO707" i="2" s="1"/>
  <c r="AN707" i="2" a="1"/>
  <c r="AN707" i="2" s="1"/>
  <c r="AM707" i="2" a="1"/>
  <c r="AM707" i="2" s="1"/>
  <c r="AL707" i="2" a="1"/>
  <c r="AL707" i="2" s="1"/>
  <c r="AK707" i="2" a="1"/>
  <c r="AK707" i="2" s="1"/>
  <c r="AJ707" i="2" a="1"/>
  <c r="AJ707" i="2" s="1"/>
  <c r="AI707" i="2" a="1"/>
  <c r="AI707" i="2" s="1"/>
  <c r="AH707" i="2" a="1"/>
  <c r="AH707" i="2" s="1"/>
  <c r="AG707" i="2" a="1"/>
  <c r="AG707" i="2" s="1"/>
  <c r="AF707" i="2" a="1"/>
  <c r="AF707" i="2" s="1"/>
  <c r="AE707" i="2" a="1"/>
  <c r="AE707" i="2" s="1"/>
  <c r="AD707" i="2" a="1"/>
  <c r="AD707" i="2" s="1"/>
  <c r="AC707" i="2" a="1"/>
  <c r="AC707" i="2" s="1"/>
  <c r="AB707" i="2"/>
  <c r="AA707" i="2" a="1"/>
  <c r="AA707" i="2" s="1"/>
  <c r="Z707" i="2" a="1"/>
  <c r="Z707" i="2" s="1"/>
  <c r="Y707" i="2" a="1"/>
  <c r="Y707" i="2" s="1"/>
  <c r="X707" i="2" a="1"/>
  <c r="X707" i="2" s="1"/>
  <c r="W707" i="2" a="1"/>
  <c r="W707" i="2" s="1"/>
  <c r="BB707" i="2" s="1" a="1"/>
  <c r="BB707" i="2" s="1"/>
  <c r="V707" i="2" a="1"/>
  <c r="V707" i="2" s="1"/>
  <c r="E707" i="2" s="1" a="1"/>
  <c r="E707" i="2" s="1"/>
  <c r="U707" i="2" a="1"/>
  <c r="U707" i="2" s="1"/>
  <c r="T707" i="2" a="1"/>
  <c r="T707" i="2" s="1"/>
  <c r="S707" i="2" a="1"/>
  <c r="S707" i="2" s="1"/>
  <c r="R707" i="2" a="1"/>
  <c r="R707" i="2" s="1"/>
  <c r="Q707" i="2" a="1"/>
  <c r="Q707" i="2" s="1"/>
  <c r="P707" i="2" a="1"/>
  <c r="P707" i="2" s="1"/>
  <c r="O707" i="2" a="1"/>
  <c r="O707" i="2" s="1"/>
  <c r="N707" i="2" a="1"/>
  <c r="N707" i="2" s="1"/>
  <c r="M707" i="2" a="1"/>
  <c r="M707" i="2" s="1"/>
  <c r="L707" i="2" a="1"/>
  <c r="L707" i="2" s="1"/>
  <c r="K707" i="2" a="1"/>
  <c r="K707" i="2" s="1"/>
  <c r="J707" i="2" a="1"/>
  <c r="J707" i="2" s="1"/>
  <c r="I707" i="2" a="1"/>
  <c r="I707" i="2" s="1"/>
  <c r="H707" i="2" a="1"/>
  <c r="H707" i="2" s="1"/>
  <c r="F707" i="2" a="1"/>
  <c r="F707" i="2" s="1"/>
  <c r="D707" i="2" a="1"/>
  <c r="D707" i="2" s="1"/>
  <c r="B707" i="2" a="1"/>
  <c r="B707" i="2" s="1"/>
  <c r="BD706" i="2" a="1"/>
  <c r="BD706" i="2" s="1"/>
  <c r="BC706" i="2" a="1"/>
  <c r="BC706" i="2" s="1"/>
  <c r="BA706" i="2" a="1"/>
  <c r="BA706" i="2" s="1"/>
  <c r="AZ706" i="2" a="1"/>
  <c r="AZ706" i="2" s="1"/>
  <c r="AY706" i="2" a="1"/>
  <c r="AY706" i="2" s="1"/>
  <c r="AX706" i="2" a="1"/>
  <c r="AX706" i="2" s="1"/>
  <c r="AW706" i="2" a="1"/>
  <c r="AW706" i="2" s="1"/>
  <c r="AV706" i="2" a="1"/>
  <c r="AV706" i="2" s="1"/>
  <c r="AU706" i="2" a="1"/>
  <c r="AU706" i="2" s="1"/>
  <c r="AT706" i="2" a="1"/>
  <c r="AT706" i="2" s="1"/>
  <c r="AS706" i="2" a="1"/>
  <c r="AS706" i="2" s="1"/>
  <c r="AR706" i="2" a="1"/>
  <c r="AR706" i="2" s="1"/>
  <c r="AQ706" i="2" a="1"/>
  <c r="AQ706" i="2" s="1"/>
  <c r="AP706" i="2" a="1"/>
  <c r="AP706" i="2" s="1"/>
  <c r="AO706" i="2" a="1"/>
  <c r="AO706" i="2" s="1"/>
  <c r="AN706" i="2" a="1"/>
  <c r="AN706" i="2" s="1"/>
  <c r="AM706" i="2" a="1"/>
  <c r="AM706" i="2" s="1"/>
  <c r="AL706" i="2" a="1"/>
  <c r="AL706" i="2" s="1"/>
  <c r="AK706" i="2" a="1"/>
  <c r="AK706" i="2" s="1"/>
  <c r="AJ706" i="2" a="1"/>
  <c r="AJ706" i="2" s="1"/>
  <c r="AI706" i="2" a="1"/>
  <c r="AI706" i="2" s="1"/>
  <c r="AH706" i="2" a="1"/>
  <c r="AH706" i="2" s="1"/>
  <c r="AG706" i="2" a="1"/>
  <c r="AG706" i="2" s="1"/>
  <c r="AF706" i="2" a="1"/>
  <c r="AF706" i="2" s="1"/>
  <c r="AE706" i="2" a="1"/>
  <c r="AE706" i="2" s="1"/>
  <c r="AD706" i="2" a="1"/>
  <c r="AD706" i="2" s="1"/>
  <c r="AC706" i="2" a="1"/>
  <c r="AC706" i="2" s="1"/>
  <c r="AB706" i="2"/>
  <c r="AA706" i="2" a="1"/>
  <c r="AA706" i="2" s="1"/>
  <c r="Z706" i="2" a="1"/>
  <c r="Z706" i="2" s="1"/>
  <c r="Y706" i="2" a="1"/>
  <c r="Y706" i="2" s="1"/>
  <c r="X706" i="2" a="1"/>
  <c r="X706" i="2" s="1"/>
  <c r="W706" i="2" a="1"/>
  <c r="W706" i="2" s="1"/>
  <c r="BB706" i="2" s="1" a="1"/>
  <c r="BB706" i="2" s="1"/>
  <c r="V706" i="2" a="1"/>
  <c r="V706" i="2" s="1"/>
  <c r="E706" i="2" s="1" a="1"/>
  <c r="E706" i="2" s="1"/>
  <c r="U706" i="2" a="1"/>
  <c r="U706" i="2" s="1"/>
  <c r="T706" i="2" a="1"/>
  <c r="T706" i="2" s="1"/>
  <c r="S706" i="2" a="1"/>
  <c r="S706" i="2" s="1"/>
  <c r="R706" i="2" a="1"/>
  <c r="R706" i="2" s="1"/>
  <c r="Q706" i="2" a="1"/>
  <c r="Q706" i="2" s="1"/>
  <c r="P706" i="2" a="1"/>
  <c r="P706" i="2" s="1"/>
  <c r="O706" i="2" a="1"/>
  <c r="O706" i="2" s="1"/>
  <c r="N706" i="2" a="1"/>
  <c r="N706" i="2" s="1"/>
  <c r="M706" i="2" a="1"/>
  <c r="M706" i="2" s="1"/>
  <c r="L706" i="2" a="1"/>
  <c r="L706" i="2" s="1"/>
  <c r="K706" i="2" a="1"/>
  <c r="K706" i="2" s="1"/>
  <c r="J706" i="2" a="1"/>
  <c r="J706" i="2" s="1"/>
  <c r="I706" i="2" a="1"/>
  <c r="I706" i="2" s="1"/>
  <c r="H706" i="2" a="1"/>
  <c r="H706" i="2" s="1"/>
  <c r="F706" i="2" a="1"/>
  <c r="F706" i="2" s="1"/>
  <c r="D706" i="2" a="1"/>
  <c r="D706" i="2" s="1"/>
  <c r="B706" i="2" a="1"/>
  <c r="B706" i="2" s="1"/>
  <c r="BD704" i="2" a="1"/>
  <c r="BD704" i="2" s="1"/>
  <c r="BC704" i="2" a="1"/>
  <c r="BC704" i="2" s="1"/>
  <c r="BA704" i="2" a="1"/>
  <c r="BA704" i="2" s="1"/>
  <c r="AZ704" i="2" a="1"/>
  <c r="AZ704" i="2" s="1"/>
  <c r="AY704" i="2" a="1"/>
  <c r="AY704" i="2" s="1"/>
  <c r="AX704" i="2" a="1"/>
  <c r="AX704" i="2" s="1"/>
  <c r="AW704" i="2" a="1"/>
  <c r="AW704" i="2" s="1"/>
  <c r="AV704" i="2" a="1"/>
  <c r="AV704" i="2" s="1"/>
  <c r="AU704" i="2" a="1"/>
  <c r="AU704" i="2" s="1"/>
  <c r="AT704" i="2" a="1"/>
  <c r="AT704" i="2" s="1"/>
  <c r="AS704" i="2" a="1"/>
  <c r="AS704" i="2" s="1"/>
  <c r="AR704" i="2" a="1"/>
  <c r="AR704" i="2" s="1"/>
  <c r="AQ704" i="2" a="1"/>
  <c r="AQ704" i="2" s="1"/>
  <c r="AP704" i="2" a="1"/>
  <c r="AP704" i="2" s="1"/>
  <c r="AO704" i="2" a="1"/>
  <c r="AO704" i="2" s="1"/>
  <c r="AN704" i="2" a="1"/>
  <c r="AN704" i="2" s="1"/>
  <c r="AM704" i="2" a="1"/>
  <c r="AM704" i="2" s="1"/>
  <c r="AL704" i="2" a="1"/>
  <c r="AL704" i="2" s="1"/>
  <c r="AK704" i="2" a="1"/>
  <c r="AK704" i="2" s="1"/>
  <c r="AJ704" i="2" a="1"/>
  <c r="AJ704" i="2" s="1"/>
  <c r="AI704" i="2" a="1"/>
  <c r="AI704" i="2" s="1"/>
  <c r="AH704" i="2" a="1"/>
  <c r="AH704" i="2" s="1"/>
  <c r="AG704" i="2" a="1"/>
  <c r="AG704" i="2" s="1"/>
  <c r="AF704" i="2" a="1"/>
  <c r="AF704" i="2" s="1"/>
  <c r="AE704" i="2" a="1"/>
  <c r="AE704" i="2" s="1"/>
  <c r="AD704" i="2" a="1"/>
  <c r="AD704" i="2" s="1"/>
  <c r="AC704" i="2" a="1"/>
  <c r="AC704" i="2" s="1"/>
  <c r="AB704" i="2"/>
  <c r="AA704" i="2" a="1"/>
  <c r="AA704" i="2" s="1"/>
  <c r="Z704" i="2" a="1"/>
  <c r="Z704" i="2" s="1"/>
  <c r="Y704" i="2" a="1"/>
  <c r="Y704" i="2" s="1"/>
  <c r="X704" i="2" a="1"/>
  <c r="X704" i="2" s="1"/>
  <c r="W704" i="2" a="1"/>
  <c r="W704" i="2" s="1"/>
  <c r="BB704" i="2" s="1" a="1"/>
  <c r="BB704" i="2" s="1"/>
  <c r="V704" i="2" a="1"/>
  <c r="V704" i="2" s="1"/>
  <c r="E704" i="2" s="1" a="1"/>
  <c r="E704" i="2" s="1"/>
  <c r="U704" i="2" a="1"/>
  <c r="U704" i="2" s="1"/>
  <c r="T704" i="2" a="1"/>
  <c r="T704" i="2" s="1"/>
  <c r="S704" i="2" a="1"/>
  <c r="S704" i="2" s="1"/>
  <c r="R704" i="2" a="1"/>
  <c r="R704" i="2" s="1"/>
  <c r="Q704" i="2" a="1"/>
  <c r="Q704" i="2" s="1"/>
  <c r="P704" i="2" a="1"/>
  <c r="P704" i="2" s="1"/>
  <c r="O704" i="2" a="1"/>
  <c r="O704" i="2" s="1"/>
  <c r="N704" i="2" a="1"/>
  <c r="N704" i="2" s="1"/>
  <c r="M704" i="2" a="1"/>
  <c r="M704" i="2" s="1"/>
  <c r="L704" i="2" a="1"/>
  <c r="L704" i="2" s="1"/>
  <c r="K704" i="2" a="1"/>
  <c r="K704" i="2" s="1"/>
  <c r="J704" i="2" a="1"/>
  <c r="J704" i="2" s="1"/>
  <c r="I704" i="2" a="1"/>
  <c r="I704" i="2" s="1"/>
  <c r="H704" i="2" a="1"/>
  <c r="H704" i="2" s="1"/>
  <c r="F704" i="2" a="1"/>
  <c r="F704" i="2" s="1"/>
  <c r="D704" i="2" a="1"/>
  <c r="D704" i="2" s="1"/>
  <c r="B704" i="2" a="1"/>
  <c r="B704" i="2" s="1"/>
  <c r="BD703" i="2" a="1"/>
  <c r="BD703" i="2" s="1"/>
  <c r="BC703" i="2" a="1"/>
  <c r="BC703" i="2" s="1"/>
  <c r="BA703" i="2" a="1"/>
  <c r="BA703" i="2" s="1"/>
  <c r="AZ703" i="2" a="1"/>
  <c r="AZ703" i="2" s="1"/>
  <c r="AY703" i="2" a="1"/>
  <c r="AY703" i="2" s="1"/>
  <c r="AX703" i="2" a="1"/>
  <c r="AX703" i="2" s="1"/>
  <c r="AW703" i="2" a="1"/>
  <c r="AW703" i="2" s="1"/>
  <c r="AV703" i="2" a="1"/>
  <c r="AV703" i="2" s="1"/>
  <c r="AU703" i="2" a="1"/>
  <c r="AU703" i="2" s="1"/>
  <c r="AT703" i="2" a="1"/>
  <c r="AT703" i="2" s="1"/>
  <c r="AS703" i="2" a="1"/>
  <c r="AS703" i="2" s="1"/>
  <c r="AR703" i="2" a="1"/>
  <c r="AR703" i="2" s="1"/>
  <c r="AQ703" i="2" a="1"/>
  <c r="AQ703" i="2" s="1"/>
  <c r="AP703" i="2" a="1"/>
  <c r="AP703" i="2" s="1"/>
  <c r="AO703" i="2" a="1"/>
  <c r="AO703" i="2" s="1"/>
  <c r="AN703" i="2" a="1"/>
  <c r="AN703" i="2" s="1"/>
  <c r="AM703" i="2" a="1"/>
  <c r="AM703" i="2" s="1"/>
  <c r="AL703" i="2" a="1"/>
  <c r="AL703" i="2" s="1"/>
  <c r="AK703" i="2" a="1"/>
  <c r="AK703" i="2" s="1"/>
  <c r="AJ703" i="2" a="1"/>
  <c r="AJ703" i="2" s="1"/>
  <c r="AI703" i="2" a="1"/>
  <c r="AI703" i="2" s="1"/>
  <c r="AH703" i="2" a="1"/>
  <c r="AH703" i="2" s="1"/>
  <c r="AG703" i="2" a="1"/>
  <c r="AG703" i="2" s="1"/>
  <c r="AF703" i="2" a="1"/>
  <c r="AF703" i="2" s="1"/>
  <c r="AE703" i="2" a="1"/>
  <c r="AE703" i="2" s="1"/>
  <c r="AD703" i="2" a="1"/>
  <c r="AD703" i="2" s="1"/>
  <c r="AC703" i="2" a="1"/>
  <c r="AC703" i="2" s="1"/>
  <c r="AB703" i="2"/>
  <c r="AA703" i="2" a="1"/>
  <c r="AA703" i="2" s="1"/>
  <c r="Z703" i="2" a="1"/>
  <c r="Z703" i="2" s="1"/>
  <c r="Y703" i="2" a="1"/>
  <c r="Y703" i="2" s="1"/>
  <c r="X703" i="2" a="1"/>
  <c r="X703" i="2" s="1"/>
  <c r="W703" i="2" a="1"/>
  <c r="W703" i="2" s="1"/>
  <c r="BB703" i="2" s="1" a="1"/>
  <c r="BB703" i="2" s="1"/>
  <c r="V703" i="2" a="1"/>
  <c r="V703" i="2" s="1"/>
  <c r="E703" i="2" s="1" a="1"/>
  <c r="E703" i="2" s="1"/>
  <c r="U703" i="2" a="1"/>
  <c r="U703" i="2" s="1"/>
  <c r="T703" i="2" a="1"/>
  <c r="T703" i="2" s="1"/>
  <c r="S703" i="2" a="1"/>
  <c r="S703" i="2" s="1"/>
  <c r="R703" i="2" a="1"/>
  <c r="R703" i="2" s="1"/>
  <c r="Q703" i="2" a="1"/>
  <c r="Q703" i="2" s="1"/>
  <c r="P703" i="2" a="1"/>
  <c r="P703" i="2" s="1"/>
  <c r="O703" i="2" a="1"/>
  <c r="O703" i="2" s="1"/>
  <c r="N703" i="2" a="1"/>
  <c r="N703" i="2" s="1"/>
  <c r="M703" i="2" a="1"/>
  <c r="M703" i="2" s="1"/>
  <c r="L703" i="2" a="1"/>
  <c r="L703" i="2" s="1"/>
  <c r="K703" i="2" a="1"/>
  <c r="K703" i="2" s="1"/>
  <c r="J703" i="2" a="1"/>
  <c r="J703" i="2" s="1"/>
  <c r="I703" i="2" a="1"/>
  <c r="I703" i="2" s="1"/>
  <c r="H703" i="2" a="1"/>
  <c r="H703" i="2" s="1"/>
  <c r="F703" i="2" a="1"/>
  <c r="F703" i="2" s="1"/>
  <c r="D703" i="2" a="1"/>
  <c r="D703" i="2" s="1"/>
  <c r="B703" i="2" a="1"/>
  <c r="B703" i="2" s="1"/>
  <c r="BD702" i="2" a="1"/>
  <c r="BD702" i="2" s="1"/>
  <c r="BC702" i="2" a="1"/>
  <c r="BC702" i="2" s="1"/>
  <c r="BA702" i="2" a="1"/>
  <c r="BA702" i="2" s="1"/>
  <c r="AZ702" i="2" a="1"/>
  <c r="AZ702" i="2" s="1"/>
  <c r="AY702" i="2" a="1"/>
  <c r="AY702" i="2" s="1"/>
  <c r="AX702" i="2" a="1"/>
  <c r="AX702" i="2" s="1"/>
  <c r="AW702" i="2" a="1"/>
  <c r="AW702" i="2" s="1"/>
  <c r="AV702" i="2" a="1"/>
  <c r="AV702" i="2" s="1"/>
  <c r="AU702" i="2" a="1"/>
  <c r="AU702" i="2" s="1"/>
  <c r="AT702" i="2" a="1"/>
  <c r="AT702" i="2" s="1"/>
  <c r="AS702" i="2" a="1"/>
  <c r="AS702" i="2" s="1"/>
  <c r="AR702" i="2" a="1"/>
  <c r="AR702" i="2" s="1"/>
  <c r="AQ702" i="2" a="1"/>
  <c r="AQ702" i="2" s="1"/>
  <c r="AP702" i="2" a="1"/>
  <c r="AP702" i="2" s="1"/>
  <c r="AO702" i="2" a="1"/>
  <c r="AO702" i="2" s="1"/>
  <c r="AN702" i="2" a="1"/>
  <c r="AN702" i="2" s="1"/>
  <c r="AM702" i="2" a="1"/>
  <c r="AM702" i="2" s="1"/>
  <c r="AL702" i="2" a="1"/>
  <c r="AL702" i="2" s="1"/>
  <c r="AK702" i="2" a="1"/>
  <c r="AK702" i="2" s="1"/>
  <c r="AJ702" i="2" a="1"/>
  <c r="AJ702" i="2" s="1"/>
  <c r="AI702" i="2" a="1"/>
  <c r="AI702" i="2" s="1"/>
  <c r="AH702" i="2" a="1"/>
  <c r="AH702" i="2" s="1"/>
  <c r="AG702" i="2" a="1"/>
  <c r="AG702" i="2" s="1"/>
  <c r="AF702" i="2" a="1"/>
  <c r="AF702" i="2" s="1"/>
  <c r="AE702" i="2" a="1"/>
  <c r="AE702" i="2" s="1"/>
  <c r="AD702" i="2" a="1"/>
  <c r="AD702" i="2" s="1"/>
  <c r="AC702" i="2" a="1"/>
  <c r="AC702" i="2" s="1"/>
  <c r="AB702" i="2"/>
  <c r="AA702" i="2" a="1"/>
  <c r="AA702" i="2" s="1"/>
  <c r="Z702" i="2" a="1"/>
  <c r="Z702" i="2" s="1"/>
  <c r="Y702" i="2" a="1"/>
  <c r="Y702" i="2" s="1"/>
  <c r="X702" i="2" a="1"/>
  <c r="X702" i="2" s="1"/>
  <c r="W702" i="2" a="1"/>
  <c r="W702" i="2" s="1"/>
  <c r="BB702" i="2" s="1" a="1"/>
  <c r="BB702" i="2" s="1"/>
  <c r="V702" i="2" a="1"/>
  <c r="V702" i="2" s="1"/>
  <c r="E702" i="2" s="1" a="1"/>
  <c r="E702" i="2" s="1"/>
  <c r="U702" i="2" a="1"/>
  <c r="U702" i="2" s="1"/>
  <c r="T702" i="2" a="1"/>
  <c r="T702" i="2" s="1"/>
  <c r="S702" i="2" a="1"/>
  <c r="S702" i="2" s="1"/>
  <c r="R702" i="2" a="1"/>
  <c r="R702" i="2" s="1"/>
  <c r="Q702" i="2" a="1"/>
  <c r="Q702" i="2" s="1"/>
  <c r="P702" i="2" a="1"/>
  <c r="P702" i="2" s="1"/>
  <c r="O702" i="2" a="1"/>
  <c r="O702" i="2" s="1"/>
  <c r="N702" i="2" a="1"/>
  <c r="N702" i="2" s="1"/>
  <c r="M702" i="2" a="1"/>
  <c r="M702" i="2" s="1"/>
  <c r="L702" i="2" a="1"/>
  <c r="L702" i="2" s="1"/>
  <c r="K702" i="2" a="1"/>
  <c r="K702" i="2" s="1"/>
  <c r="J702" i="2" a="1"/>
  <c r="J702" i="2" s="1"/>
  <c r="I702" i="2" a="1"/>
  <c r="I702" i="2" s="1"/>
  <c r="H702" i="2" a="1"/>
  <c r="H702" i="2" s="1"/>
  <c r="F702" i="2" a="1"/>
  <c r="F702" i="2" s="1"/>
  <c r="D702" i="2" a="1"/>
  <c r="D702" i="2" s="1"/>
  <c r="B702" i="2" a="1"/>
  <c r="B702" i="2" s="1"/>
  <c r="BD701" i="2" a="1"/>
  <c r="BD701" i="2" s="1"/>
  <c r="BC701" i="2" a="1"/>
  <c r="BC701" i="2" s="1"/>
  <c r="BA701" i="2" a="1"/>
  <c r="BA701" i="2" s="1"/>
  <c r="AZ701" i="2" a="1"/>
  <c r="AZ701" i="2" s="1"/>
  <c r="AY701" i="2" a="1"/>
  <c r="AY701" i="2" s="1"/>
  <c r="AX701" i="2" a="1"/>
  <c r="AX701" i="2" s="1"/>
  <c r="AW701" i="2" a="1"/>
  <c r="AW701" i="2" s="1"/>
  <c r="AV701" i="2" a="1"/>
  <c r="AV701" i="2" s="1"/>
  <c r="AU701" i="2" a="1"/>
  <c r="AU701" i="2" s="1"/>
  <c r="AT701" i="2" a="1"/>
  <c r="AT701" i="2" s="1"/>
  <c r="AS701" i="2" a="1"/>
  <c r="AS701" i="2" s="1"/>
  <c r="AR701" i="2" a="1"/>
  <c r="AR701" i="2" s="1"/>
  <c r="AQ701" i="2" a="1"/>
  <c r="AQ701" i="2" s="1"/>
  <c r="AP701" i="2" a="1"/>
  <c r="AP701" i="2" s="1"/>
  <c r="AO701" i="2" a="1"/>
  <c r="AO701" i="2" s="1"/>
  <c r="AN701" i="2" a="1"/>
  <c r="AN701" i="2" s="1"/>
  <c r="AM701" i="2" a="1"/>
  <c r="AM701" i="2" s="1"/>
  <c r="AL701" i="2" a="1"/>
  <c r="AL701" i="2" s="1"/>
  <c r="AK701" i="2" a="1"/>
  <c r="AK701" i="2" s="1"/>
  <c r="AJ701" i="2" a="1"/>
  <c r="AJ701" i="2" s="1"/>
  <c r="AI701" i="2" a="1"/>
  <c r="AI701" i="2" s="1"/>
  <c r="AH701" i="2" a="1"/>
  <c r="AH701" i="2" s="1"/>
  <c r="AG701" i="2" a="1"/>
  <c r="AG701" i="2" s="1"/>
  <c r="AF701" i="2" a="1"/>
  <c r="AF701" i="2" s="1"/>
  <c r="AE701" i="2" a="1"/>
  <c r="AE701" i="2" s="1"/>
  <c r="AD701" i="2" a="1"/>
  <c r="AD701" i="2" s="1"/>
  <c r="AC701" i="2" a="1"/>
  <c r="AC701" i="2" s="1"/>
  <c r="AB701" i="2"/>
  <c r="AA701" i="2" a="1"/>
  <c r="AA701" i="2" s="1"/>
  <c r="Z701" i="2" a="1"/>
  <c r="Z701" i="2" s="1"/>
  <c r="Y701" i="2" a="1"/>
  <c r="Y701" i="2" s="1"/>
  <c r="X701" i="2" a="1"/>
  <c r="X701" i="2" s="1"/>
  <c r="W701" i="2" a="1"/>
  <c r="W701" i="2" s="1"/>
  <c r="BB701" i="2" s="1" a="1"/>
  <c r="BB701" i="2" s="1"/>
  <c r="V701" i="2" a="1"/>
  <c r="V701" i="2" s="1"/>
  <c r="E701" i="2" s="1" a="1"/>
  <c r="E701" i="2" s="1"/>
  <c r="U701" i="2" a="1"/>
  <c r="U701" i="2" s="1"/>
  <c r="T701" i="2" a="1"/>
  <c r="T701" i="2" s="1"/>
  <c r="S701" i="2" a="1"/>
  <c r="S701" i="2" s="1"/>
  <c r="R701" i="2" a="1"/>
  <c r="R701" i="2" s="1"/>
  <c r="Q701" i="2" a="1"/>
  <c r="Q701" i="2" s="1"/>
  <c r="P701" i="2" a="1"/>
  <c r="P701" i="2" s="1"/>
  <c r="O701" i="2" a="1"/>
  <c r="O701" i="2" s="1"/>
  <c r="N701" i="2" a="1"/>
  <c r="N701" i="2" s="1"/>
  <c r="M701" i="2" a="1"/>
  <c r="M701" i="2" s="1"/>
  <c r="L701" i="2" a="1"/>
  <c r="L701" i="2" s="1"/>
  <c r="K701" i="2" a="1"/>
  <c r="K701" i="2" s="1"/>
  <c r="J701" i="2" a="1"/>
  <c r="J701" i="2" s="1"/>
  <c r="I701" i="2" a="1"/>
  <c r="I701" i="2" s="1"/>
  <c r="H701" i="2" a="1"/>
  <c r="H701" i="2" s="1"/>
  <c r="F701" i="2" a="1"/>
  <c r="F701" i="2" s="1"/>
  <c r="D701" i="2" a="1"/>
  <c r="D701" i="2" s="1"/>
  <c r="B701" i="2" a="1"/>
  <c r="B701" i="2" s="1"/>
  <c r="BD700" i="2" a="1"/>
  <c r="BD700" i="2" s="1"/>
  <c r="BC700" i="2" a="1"/>
  <c r="BC700" i="2" s="1"/>
  <c r="BA700" i="2" a="1"/>
  <c r="BA700" i="2" s="1"/>
  <c r="AZ700" i="2" a="1"/>
  <c r="AZ700" i="2" s="1"/>
  <c r="AY700" i="2" a="1"/>
  <c r="AY700" i="2" s="1"/>
  <c r="AX700" i="2" a="1"/>
  <c r="AX700" i="2" s="1"/>
  <c r="AW700" i="2" a="1"/>
  <c r="AW700" i="2" s="1"/>
  <c r="AV700" i="2" a="1"/>
  <c r="AV700" i="2" s="1"/>
  <c r="AU700" i="2" a="1"/>
  <c r="AU700" i="2" s="1"/>
  <c r="AT700" i="2" a="1"/>
  <c r="AT700" i="2" s="1"/>
  <c r="AS700" i="2" a="1"/>
  <c r="AS700" i="2" s="1"/>
  <c r="AR700" i="2" a="1"/>
  <c r="AR700" i="2" s="1"/>
  <c r="AQ700" i="2" a="1"/>
  <c r="AQ700" i="2" s="1"/>
  <c r="AP700" i="2" a="1"/>
  <c r="AP700" i="2" s="1"/>
  <c r="AO700" i="2" a="1"/>
  <c r="AO700" i="2" s="1"/>
  <c r="AN700" i="2" a="1"/>
  <c r="AN700" i="2" s="1"/>
  <c r="AM700" i="2" a="1"/>
  <c r="AM700" i="2" s="1"/>
  <c r="AL700" i="2" a="1"/>
  <c r="AL700" i="2" s="1"/>
  <c r="AK700" i="2" a="1"/>
  <c r="AK700" i="2" s="1"/>
  <c r="AJ700" i="2" a="1"/>
  <c r="AJ700" i="2" s="1"/>
  <c r="AI700" i="2" a="1"/>
  <c r="AI700" i="2" s="1"/>
  <c r="AH700" i="2" a="1"/>
  <c r="AH700" i="2" s="1"/>
  <c r="AG700" i="2" a="1"/>
  <c r="AG700" i="2" s="1"/>
  <c r="AF700" i="2" a="1"/>
  <c r="AF700" i="2" s="1"/>
  <c r="AE700" i="2" a="1"/>
  <c r="AE700" i="2" s="1"/>
  <c r="AD700" i="2" a="1"/>
  <c r="AD700" i="2" s="1"/>
  <c r="AC700" i="2" a="1"/>
  <c r="AC700" i="2" s="1"/>
  <c r="AB700" i="2"/>
  <c r="AA700" i="2" a="1"/>
  <c r="AA700" i="2" s="1"/>
  <c r="Z700" i="2" a="1"/>
  <c r="Z700" i="2" s="1"/>
  <c r="Y700" i="2" a="1"/>
  <c r="Y700" i="2" s="1"/>
  <c r="X700" i="2" a="1"/>
  <c r="X700" i="2" s="1"/>
  <c r="W700" i="2" a="1"/>
  <c r="W700" i="2" s="1"/>
  <c r="BB700" i="2" s="1" a="1"/>
  <c r="BB700" i="2" s="1"/>
  <c r="V700" i="2" a="1"/>
  <c r="V700" i="2" s="1"/>
  <c r="E700" i="2" s="1" a="1"/>
  <c r="E700" i="2" s="1"/>
  <c r="U700" i="2" a="1"/>
  <c r="U700" i="2" s="1"/>
  <c r="T700" i="2" a="1"/>
  <c r="T700" i="2" s="1"/>
  <c r="S700" i="2" a="1"/>
  <c r="S700" i="2" s="1"/>
  <c r="R700" i="2" a="1"/>
  <c r="R700" i="2" s="1"/>
  <c r="Q700" i="2" a="1"/>
  <c r="Q700" i="2" s="1"/>
  <c r="P700" i="2" a="1"/>
  <c r="P700" i="2" s="1"/>
  <c r="O700" i="2" a="1"/>
  <c r="O700" i="2" s="1"/>
  <c r="N700" i="2" a="1"/>
  <c r="N700" i="2" s="1"/>
  <c r="M700" i="2" a="1"/>
  <c r="M700" i="2" s="1"/>
  <c r="L700" i="2" a="1"/>
  <c r="L700" i="2" s="1"/>
  <c r="K700" i="2" a="1"/>
  <c r="K700" i="2" s="1"/>
  <c r="J700" i="2" a="1"/>
  <c r="J700" i="2" s="1"/>
  <c r="I700" i="2" a="1"/>
  <c r="I700" i="2" s="1"/>
  <c r="H700" i="2" a="1"/>
  <c r="H700" i="2" s="1"/>
  <c r="F700" i="2" a="1"/>
  <c r="F700" i="2" s="1"/>
  <c r="D700" i="2" a="1"/>
  <c r="D700" i="2" s="1"/>
  <c r="B700" i="2" a="1"/>
  <c r="B700" i="2" s="1"/>
  <c r="BD699" i="2" a="1"/>
  <c r="BD699" i="2" s="1"/>
  <c r="BC699" i="2" a="1"/>
  <c r="BC699" i="2" s="1"/>
  <c r="BA699" i="2" a="1"/>
  <c r="BA699" i="2" s="1"/>
  <c r="AZ699" i="2" a="1"/>
  <c r="AZ699" i="2" s="1"/>
  <c r="AY699" i="2" a="1"/>
  <c r="AY699" i="2" s="1"/>
  <c r="AX699" i="2" a="1"/>
  <c r="AX699" i="2" s="1"/>
  <c r="AW699" i="2" a="1"/>
  <c r="AW699" i="2" s="1"/>
  <c r="AV699" i="2" a="1"/>
  <c r="AV699" i="2" s="1"/>
  <c r="AU699" i="2" a="1"/>
  <c r="AU699" i="2" s="1"/>
  <c r="AT699" i="2" a="1"/>
  <c r="AT699" i="2" s="1"/>
  <c r="AS699" i="2" a="1"/>
  <c r="AS699" i="2" s="1"/>
  <c r="AR699" i="2" a="1"/>
  <c r="AR699" i="2" s="1"/>
  <c r="AQ699" i="2" a="1"/>
  <c r="AQ699" i="2" s="1"/>
  <c r="AP699" i="2" a="1"/>
  <c r="AP699" i="2" s="1"/>
  <c r="AO699" i="2" a="1"/>
  <c r="AO699" i="2" s="1"/>
  <c r="AN699" i="2" a="1"/>
  <c r="AN699" i="2" s="1"/>
  <c r="AM699" i="2" a="1"/>
  <c r="AM699" i="2" s="1"/>
  <c r="AL699" i="2" a="1"/>
  <c r="AL699" i="2" s="1"/>
  <c r="AK699" i="2" a="1"/>
  <c r="AK699" i="2" s="1"/>
  <c r="AJ699" i="2" a="1"/>
  <c r="AJ699" i="2" s="1"/>
  <c r="AI699" i="2" a="1"/>
  <c r="AI699" i="2" s="1"/>
  <c r="AH699" i="2" a="1"/>
  <c r="AH699" i="2" s="1"/>
  <c r="AG699" i="2" a="1"/>
  <c r="AG699" i="2" s="1"/>
  <c r="AF699" i="2" a="1"/>
  <c r="AF699" i="2" s="1"/>
  <c r="AE699" i="2" a="1"/>
  <c r="AE699" i="2" s="1"/>
  <c r="AD699" i="2" a="1"/>
  <c r="AD699" i="2" s="1"/>
  <c r="AC699" i="2" a="1"/>
  <c r="AC699" i="2" s="1"/>
  <c r="AB699" i="2"/>
  <c r="AA699" i="2" a="1"/>
  <c r="AA699" i="2" s="1"/>
  <c r="Z699" i="2" a="1"/>
  <c r="Z699" i="2" s="1"/>
  <c r="Y699" i="2" a="1"/>
  <c r="Y699" i="2" s="1"/>
  <c r="X699" i="2" a="1"/>
  <c r="X699" i="2" s="1"/>
  <c r="W699" i="2" a="1"/>
  <c r="W699" i="2" s="1"/>
  <c r="BB699" i="2" s="1" a="1"/>
  <c r="BB699" i="2" s="1"/>
  <c r="V699" i="2" a="1"/>
  <c r="V699" i="2" s="1"/>
  <c r="E699" i="2" s="1" a="1"/>
  <c r="E699" i="2" s="1"/>
  <c r="U699" i="2" a="1"/>
  <c r="U699" i="2" s="1"/>
  <c r="T699" i="2" a="1"/>
  <c r="T699" i="2" s="1"/>
  <c r="S699" i="2" a="1"/>
  <c r="S699" i="2" s="1"/>
  <c r="R699" i="2" a="1"/>
  <c r="R699" i="2" s="1"/>
  <c r="Q699" i="2" a="1"/>
  <c r="Q699" i="2" s="1"/>
  <c r="P699" i="2" a="1"/>
  <c r="P699" i="2" s="1"/>
  <c r="O699" i="2" a="1"/>
  <c r="O699" i="2" s="1"/>
  <c r="N699" i="2" a="1"/>
  <c r="N699" i="2" s="1"/>
  <c r="M699" i="2" a="1"/>
  <c r="M699" i="2" s="1"/>
  <c r="L699" i="2" a="1"/>
  <c r="L699" i="2" s="1"/>
  <c r="K699" i="2" a="1"/>
  <c r="K699" i="2" s="1"/>
  <c r="J699" i="2" a="1"/>
  <c r="J699" i="2" s="1"/>
  <c r="I699" i="2" a="1"/>
  <c r="I699" i="2" s="1"/>
  <c r="H699" i="2" a="1"/>
  <c r="H699" i="2" s="1"/>
  <c r="F699" i="2" a="1"/>
  <c r="F699" i="2" s="1"/>
  <c r="D699" i="2" a="1"/>
  <c r="D699" i="2" s="1"/>
  <c r="B699" i="2" a="1"/>
  <c r="B699" i="2" s="1"/>
  <c r="BD695" i="2" a="1"/>
  <c r="BD695" i="2" s="1"/>
  <c r="BC695" i="2" a="1"/>
  <c r="BC695" i="2" s="1"/>
  <c r="AZ695" i="2" a="1"/>
  <c r="AZ695" i="2" s="1"/>
  <c r="AY695" i="2" a="1"/>
  <c r="AY695" i="2" s="1"/>
  <c r="AX695" i="2" a="1"/>
  <c r="AX695" i="2" s="1"/>
  <c r="AW695" i="2" a="1"/>
  <c r="AW695" i="2" s="1"/>
  <c r="AV695" i="2" a="1"/>
  <c r="AV695" i="2" s="1"/>
  <c r="AU695" i="2" a="1"/>
  <c r="AU695" i="2" s="1"/>
  <c r="AT695" i="2" a="1"/>
  <c r="AT695" i="2" s="1"/>
  <c r="AS695" i="2" a="1"/>
  <c r="AS695" i="2" s="1"/>
  <c r="AR695" i="2" a="1"/>
  <c r="AR695" i="2" s="1"/>
  <c r="AQ695" i="2" a="1"/>
  <c r="AQ695" i="2" s="1"/>
  <c r="AP695" i="2" a="1"/>
  <c r="AP695" i="2" s="1"/>
  <c r="AO695" i="2" a="1"/>
  <c r="AO695" i="2" s="1"/>
  <c r="AN695" i="2" a="1"/>
  <c r="AN695" i="2" s="1"/>
  <c r="AM695" i="2" a="1"/>
  <c r="AM695" i="2" s="1"/>
  <c r="AL695" i="2" a="1"/>
  <c r="AL695" i="2" s="1"/>
  <c r="AK695" i="2" a="1"/>
  <c r="AK695" i="2" s="1"/>
  <c r="AJ695" i="2" a="1"/>
  <c r="AJ695" i="2" s="1"/>
  <c r="AI695" i="2" a="1"/>
  <c r="AI695" i="2" s="1"/>
  <c r="AH695" i="2" a="1"/>
  <c r="AH695" i="2" s="1"/>
  <c r="AG695" i="2" a="1"/>
  <c r="AG695" i="2" s="1"/>
  <c r="AF695" i="2" a="1"/>
  <c r="AF695" i="2" s="1"/>
  <c r="AE695" i="2" a="1"/>
  <c r="AE695" i="2" s="1"/>
  <c r="AD695" i="2" a="1"/>
  <c r="AD695" i="2" s="1"/>
  <c r="AC695" i="2" a="1"/>
  <c r="AC695" i="2" s="1"/>
  <c r="AB695" i="2" a="1"/>
  <c r="AB695" i="2" s="1"/>
  <c r="AA695" i="2" a="1"/>
  <c r="AA695" i="2" s="1"/>
  <c r="Z695" i="2" a="1"/>
  <c r="Z695" i="2" s="1"/>
  <c r="Y695" i="2" a="1"/>
  <c r="Y695" i="2" s="1"/>
  <c r="X695" i="2" a="1"/>
  <c r="X695" i="2" s="1"/>
  <c r="W695" i="2" a="1"/>
  <c r="W695" i="2" s="1"/>
  <c r="V695" i="2" a="1"/>
  <c r="V695" i="2" s="1"/>
  <c r="E695" i="2" s="1" a="1"/>
  <c r="E695" i="2" s="1"/>
  <c r="U695" i="2" a="1"/>
  <c r="U695" i="2" s="1"/>
  <c r="T695" i="2" a="1"/>
  <c r="T695" i="2" s="1"/>
  <c r="S695" i="2" a="1"/>
  <c r="S695" i="2" s="1"/>
  <c r="R695" i="2" a="1"/>
  <c r="R695" i="2" s="1"/>
  <c r="Q695" i="2" a="1"/>
  <c r="Q695" i="2" s="1"/>
  <c r="P695" i="2" a="1"/>
  <c r="P695" i="2" s="1"/>
  <c r="O695" i="2" a="1"/>
  <c r="O695" i="2" s="1"/>
  <c r="N695" i="2" a="1"/>
  <c r="N695" i="2" s="1"/>
  <c r="M695" i="2" a="1"/>
  <c r="M695" i="2" s="1"/>
  <c r="L695" i="2" a="1"/>
  <c r="L695" i="2" s="1"/>
  <c r="K695" i="2" a="1"/>
  <c r="K695" i="2" s="1"/>
  <c r="J695" i="2" a="1"/>
  <c r="J695" i="2" s="1"/>
  <c r="I695" i="2" a="1"/>
  <c r="I695" i="2" s="1"/>
  <c r="H695" i="2" a="1"/>
  <c r="H695" i="2" s="1"/>
  <c r="F695" i="2" a="1"/>
  <c r="F695" i="2" s="1"/>
  <c r="D695" i="2" a="1"/>
  <c r="D695" i="2" s="1"/>
  <c r="B695" i="2" a="1"/>
  <c r="B695" i="2" s="1"/>
  <c r="BD691" i="2" a="1"/>
  <c r="BD691" i="2" s="1"/>
  <c r="BC691" i="2" a="1"/>
  <c r="BC691" i="2" s="1"/>
  <c r="BA691" i="2" a="1"/>
  <c r="BA691" i="2" s="1"/>
  <c r="AZ691" i="2" a="1"/>
  <c r="AZ691" i="2" s="1"/>
  <c r="AY691" i="2" a="1"/>
  <c r="AY691" i="2" s="1"/>
  <c r="AX691" i="2" a="1"/>
  <c r="AX691" i="2" s="1"/>
  <c r="AW691" i="2" a="1"/>
  <c r="AW691" i="2" s="1"/>
  <c r="AV691" i="2" a="1"/>
  <c r="AV691" i="2" s="1"/>
  <c r="AU691" i="2" a="1"/>
  <c r="AU691" i="2" s="1"/>
  <c r="AT691" i="2" a="1"/>
  <c r="AT691" i="2" s="1"/>
  <c r="AS691" i="2" a="1"/>
  <c r="AS691" i="2" s="1"/>
  <c r="AR691" i="2" a="1"/>
  <c r="AR691" i="2" s="1"/>
  <c r="AQ691" i="2" a="1"/>
  <c r="AQ691" i="2" s="1"/>
  <c r="AP691" i="2" a="1"/>
  <c r="AP691" i="2" s="1"/>
  <c r="AO691" i="2" a="1"/>
  <c r="AO691" i="2" s="1"/>
  <c r="AN691" i="2" a="1"/>
  <c r="AN691" i="2" s="1"/>
  <c r="AM691" i="2" a="1"/>
  <c r="AM691" i="2" s="1"/>
  <c r="AL691" i="2" a="1"/>
  <c r="AL691" i="2" s="1"/>
  <c r="AK691" i="2" a="1"/>
  <c r="AK691" i="2" s="1"/>
  <c r="AJ691" i="2" a="1"/>
  <c r="AJ691" i="2" s="1"/>
  <c r="AI691" i="2" a="1"/>
  <c r="AI691" i="2" s="1"/>
  <c r="AH691" i="2" a="1"/>
  <c r="AH691" i="2" s="1"/>
  <c r="AG691" i="2" a="1"/>
  <c r="AG691" i="2" s="1"/>
  <c r="AF691" i="2" a="1"/>
  <c r="AF691" i="2" s="1"/>
  <c r="AE691" i="2" a="1"/>
  <c r="AE691" i="2" s="1"/>
  <c r="AD691" i="2" a="1"/>
  <c r="AD691" i="2" s="1"/>
  <c r="AC691" i="2" a="1"/>
  <c r="AC691" i="2" s="1"/>
  <c r="AB691" i="2"/>
  <c r="AA691" i="2" a="1"/>
  <c r="AA691" i="2" s="1"/>
  <c r="Z691" i="2" a="1"/>
  <c r="Z691" i="2" s="1"/>
  <c r="Y691" i="2" a="1"/>
  <c r="Y691" i="2" s="1"/>
  <c r="X691" i="2" a="1"/>
  <c r="X691" i="2" s="1"/>
  <c r="W691" i="2" a="1"/>
  <c r="W691" i="2" s="1"/>
  <c r="BB691" i="2" s="1" a="1"/>
  <c r="BB691" i="2" s="1"/>
  <c r="V691" i="2" a="1"/>
  <c r="V691" i="2" s="1"/>
  <c r="E691" i="2" s="1" a="1"/>
  <c r="E691" i="2" s="1"/>
  <c r="U691" i="2" a="1"/>
  <c r="U691" i="2" s="1"/>
  <c r="T691" i="2" a="1"/>
  <c r="T691" i="2" s="1"/>
  <c r="S691" i="2" a="1"/>
  <c r="S691" i="2" s="1"/>
  <c r="R691" i="2" a="1"/>
  <c r="R691" i="2" s="1"/>
  <c r="Q691" i="2" a="1"/>
  <c r="Q691" i="2" s="1"/>
  <c r="P691" i="2" a="1"/>
  <c r="P691" i="2" s="1"/>
  <c r="O691" i="2" a="1"/>
  <c r="O691" i="2" s="1"/>
  <c r="N691" i="2" a="1"/>
  <c r="N691" i="2" s="1"/>
  <c r="M691" i="2" a="1"/>
  <c r="M691" i="2" s="1"/>
  <c r="L691" i="2" a="1"/>
  <c r="L691" i="2" s="1"/>
  <c r="K691" i="2" a="1"/>
  <c r="K691" i="2" s="1"/>
  <c r="J691" i="2" a="1"/>
  <c r="J691" i="2" s="1"/>
  <c r="I691" i="2" a="1"/>
  <c r="I691" i="2" s="1"/>
  <c r="H691" i="2" a="1"/>
  <c r="H691" i="2" s="1"/>
  <c r="F691" i="2" a="1"/>
  <c r="F691" i="2" s="1"/>
  <c r="D691" i="2" a="1"/>
  <c r="D691" i="2" s="1"/>
  <c r="B691" i="2" a="1"/>
  <c r="B691" i="2" s="1"/>
  <c r="BD690" i="2" a="1"/>
  <c r="BD690" i="2" s="1"/>
  <c r="BC690" i="2" a="1"/>
  <c r="BC690" i="2" s="1"/>
  <c r="BA690" i="2" a="1"/>
  <c r="BA690" i="2" s="1"/>
  <c r="AZ690" i="2" a="1"/>
  <c r="AZ690" i="2" s="1"/>
  <c r="AY690" i="2" a="1"/>
  <c r="AY690" i="2" s="1"/>
  <c r="AX690" i="2" a="1"/>
  <c r="AX690" i="2" s="1"/>
  <c r="AW690" i="2" a="1"/>
  <c r="AW690" i="2" s="1"/>
  <c r="AV690" i="2" a="1"/>
  <c r="AV690" i="2" s="1"/>
  <c r="AU690" i="2" a="1"/>
  <c r="AU690" i="2" s="1"/>
  <c r="AT690" i="2" a="1"/>
  <c r="AT690" i="2" s="1"/>
  <c r="AS690" i="2" a="1"/>
  <c r="AS690" i="2" s="1"/>
  <c r="AR690" i="2" a="1"/>
  <c r="AR690" i="2" s="1"/>
  <c r="AQ690" i="2" a="1"/>
  <c r="AQ690" i="2" s="1"/>
  <c r="AP690" i="2" a="1"/>
  <c r="AP690" i="2" s="1"/>
  <c r="AO690" i="2" a="1"/>
  <c r="AO690" i="2" s="1"/>
  <c r="AN690" i="2" a="1"/>
  <c r="AN690" i="2" s="1"/>
  <c r="AM690" i="2" a="1"/>
  <c r="AM690" i="2" s="1"/>
  <c r="AL690" i="2" a="1"/>
  <c r="AL690" i="2" s="1"/>
  <c r="AK690" i="2" a="1"/>
  <c r="AK690" i="2" s="1"/>
  <c r="AJ690" i="2" a="1"/>
  <c r="AJ690" i="2" s="1"/>
  <c r="AI690" i="2" a="1"/>
  <c r="AI690" i="2" s="1"/>
  <c r="AH690" i="2" a="1"/>
  <c r="AH690" i="2" s="1"/>
  <c r="AG690" i="2" a="1"/>
  <c r="AG690" i="2" s="1"/>
  <c r="AF690" i="2" a="1"/>
  <c r="AF690" i="2" s="1"/>
  <c r="AE690" i="2" a="1"/>
  <c r="AE690" i="2" s="1"/>
  <c r="AD690" i="2" a="1"/>
  <c r="AD690" i="2" s="1"/>
  <c r="AC690" i="2" a="1"/>
  <c r="AC690" i="2" s="1"/>
  <c r="AB690" i="2"/>
  <c r="AA690" i="2" a="1"/>
  <c r="AA690" i="2" s="1"/>
  <c r="Z690" i="2" a="1"/>
  <c r="Z690" i="2" s="1"/>
  <c r="Y690" i="2" a="1"/>
  <c r="Y690" i="2" s="1"/>
  <c r="X690" i="2" a="1"/>
  <c r="X690" i="2" s="1"/>
  <c r="W690" i="2" a="1"/>
  <c r="W690" i="2" s="1"/>
  <c r="BB690" i="2" s="1" a="1"/>
  <c r="BB690" i="2" s="1"/>
  <c r="V690" i="2" a="1"/>
  <c r="V690" i="2" s="1"/>
  <c r="E690" i="2" s="1" a="1"/>
  <c r="E690" i="2" s="1"/>
  <c r="U690" i="2" a="1"/>
  <c r="U690" i="2" s="1"/>
  <c r="T690" i="2" a="1"/>
  <c r="T690" i="2" s="1"/>
  <c r="S690" i="2" a="1"/>
  <c r="S690" i="2" s="1"/>
  <c r="R690" i="2" a="1"/>
  <c r="R690" i="2" s="1"/>
  <c r="Q690" i="2" a="1"/>
  <c r="Q690" i="2" s="1"/>
  <c r="P690" i="2" a="1"/>
  <c r="P690" i="2" s="1"/>
  <c r="O690" i="2" a="1"/>
  <c r="O690" i="2" s="1"/>
  <c r="N690" i="2" a="1"/>
  <c r="N690" i="2" s="1"/>
  <c r="M690" i="2" a="1"/>
  <c r="M690" i="2" s="1"/>
  <c r="L690" i="2" a="1"/>
  <c r="L690" i="2" s="1"/>
  <c r="K690" i="2" a="1"/>
  <c r="K690" i="2" s="1"/>
  <c r="J690" i="2" a="1"/>
  <c r="J690" i="2" s="1"/>
  <c r="I690" i="2" a="1"/>
  <c r="I690" i="2" s="1"/>
  <c r="H690" i="2" a="1"/>
  <c r="H690" i="2" s="1"/>
  <c r="F690" i="2" a="1"/>
  <c r="F690" i="2" s="1"/>
  <c r="D690" i="2" a="1"/>
  <c r="D690" i="2" s="1"/>
  <c r="B690" i="2" a="1"/>
  <c r="B690" i="2" s="1"/>
  <c r="BD689" i="2" a="1"/>
  <c r="BD689" i="2" s="1"/>
  <c r="BC689" i="2" a="1"/>
  <c r="BC689" i="2" s="1"/>
  <c r="BA689" i="2" a="1"/>
  <c r="BA689" i="2" s="1"/>
  <c r="AZ689" i="2" a="1"/>
  <c r="AZ689" i="2" s="1"/>
  <c r="AY689" i="2" a="1"/>
  <c r="AY689" i="2" s="1"/>
  <c r="AX689" i="2" a="1"/>
  <c r="AX689" i="2" s="1"/>
  <c r="AW689" i="2" a="1"/>
  <c r="AW689" i="2" s="1"/>
  <c r="AV689" i="2" a="1"/>
  <c r="AV689" i="2" s="1"/>
  <c r="AU689" i="2" a="1"/>
  <c r="AU689" i="2" s="1"/>
  <c r="AT689" i="2" a="1"/>
  <c r="AT689" i="2" s="1"/>
  <c r="AS689" i="2" a="1"/>
  <c r="AS689" i="2" s="1"/>
  <c r="AR689" i="2" a="1"/>
  <c r="AR689" i="2" s="1"/>
  <c r="AQ689" i="2" a="1"/>
  <c r="AQ689" i="2" s="1"/>
  <c r="AP689" i="2" a="1"/>
  <c r="AP689" i="2" s="1"/>
  <c r="AO689" i="2" a="1"/>
  <c r="AO689" i="2" s="1"/>
  <c r="AN689" i="2" a="1"/>
  <c r="AN689" i="2" s="1"/>
  <c r="AM689" i="2" a="1"/>
  <c r="AM689" i="2" s="1"/>
  <c r="AL689" i="2" a="1"/>
  <c r="AL689" i="2" s="1"/>
  <c r="AK689" i="2" a="1"/>
  <c r="AK689" i="2" s="1"/>
  <c r="AJ689" i="2" a="1"/>
  <c r="AJ689" i="2" s="1"/>
  <c r="AI689" i="2" a="1"/>
  <c r="AI689" i="2" s="1"/>
  <c r="AH689" i="2" a="1"/>
  <c r="AH689" i="2" s="1"/>
  <c r="AG689" i="2" a="1"/>
  <c r="AG689" i="2" s="1"/>
  <c r="AF689" i="2" a="1"/>
  <c r="AF689" i="2" s="1"/>
  <c r="AE689" i="2" a="1"/>
  <c r="AE689" i="2" s="1"/>
  <c r="AD689" i="2" a="1"/>
  <c r="AD689" i="2" s="1"/>
  <c r="AC689" i="2" a="1"/>
  <c r="AC689" i="2" s="1"/>
  <c r="AB689" i="2"/>
  <c r="AA689" i="2" a="1"/>
  <c r="AA689" i="2" s="1"/>
  <c r="Z689" i="2" a="1"/>
  <c r="Z689" i="2" s="1"/>
  <c r="Y689" i="2" a="1"/>
  <c r="Y689" i="2" s="1"/>
  <c r="X689" i="2" a="1"/>
  <c r="X689" i="2" s="1"/>
  <c r="W689" i="2" a="1"/>
  <c r="W689" i="2" s="1"/>
  <c r="BB689" i="2" s="1" a="1"/>
  <c r="BB689" i="2" s="1"/>
  <c r="V689" i="2" a="1"/>
  <c r="V689" i="2" s="1"/>
  <c r="E689" i="2" s="1" a="1"/>
  <c r="E689" i="2" s="1"/>
  <c r="U689" i="2" a="1"/>
  <c r="U689" i="2" s="1"/>
  <c r="T689" i="2" a="1"/>
  <c r="T689" i="2" s="1"/>
  <c r="S689" i="2" a="1"/>
  <c r="S689" i="2" s="1"/>
  <c r="R689" i="2" a="1"/>
  <c r="R689" i="2" s="1"/>
  <c r="Q689" i="2" a="1"/>
  <c r="Q689" i="2" s="1"/>
  <c r="P689" i="2" a="1"/>
  <c r="P689" i="2" s="1"/>
  <c r="O689" i="2" a="1"/>
  <c r="O689" i="2" s="1"/>
  <c r="N689" i="2" a="1"/>
  <c r="N689" i="2" s="1"/>
  <c r="M689" i="2" a="1"/>
  <c r="M689" i="2" s="1"/>
  <c r="L689" i="2" a="1"/>
  <c r="L689" i="2" s="1"/>
  <c r="K689" i="2" a="1"/>
  <c r="K689" i="2" s="1"/>
  <c r="J689" i="2" a="1"/>
  <c r="J689" i="2" s="1"/>
  <c r="I689" i="2" a="1"/>
  <c r="I689" i="2" s="1"/>
  <c r="H689" i="2" a="1"/>
  <c r="H689" i="2" s="1"/>
  <c r="F689" i="2" a="1"/>
  <c r="F689" i="2" s="1"/>
  <c r="D689" i="2" a="1"/>
  <c r="D689" i="2" s="1"/>
  <c r="B689" i="2" a="1"/>
  <c r="B689" i="2" s="1"/>
  <c r="BD688" i="2" a="1"/>
  <c r="BD688" i="2" s="1"/>
  <c r="BC688" i="2" a="1"/>
  <c r="BC688" i="2" s="1"/>
  <c r="BA688" i="2" a="1"/>
  <c r="BA688" i="2" s="1"/>
  <c r="AZ688" i="2" a="1"/>
  <c r="AZ688" i="2" s="1"/>
  <c r="AY688" i="2" a="1"/>
  <c r="AY688" i="2" s="1"/>
  <c r="AX688" i="2" a="1"/>
  <c r="AX688" i="2" s="1"/>
  <c r="AW688" i="2" a="1"/>
  <c r="AW688" i="2" s="1"/>
  <c r="AV688" i="2" a="1"/>
  <c r="AV688" i="2" s="1"/>
  <c r="AU688" i="2" a="1"/>
  <c r="AU688" i="2" s="1"/>
  <c r="AT688" i="2" a="1"/>
  <c r="AT688" i="2" s="1"/>
  <c r="AS688" i="2" a="1"/>
  <c r="AS688" i="2" s="1"/>
  <c r="AR688" i="2" a="1"/>
  <c r="AR688" i="2" s="1"/>
  <c r="AQ688" i="2" a="1"/>
  <c r="AQ688" i="2" s="1"/>
  <c r="AP688" i="2" a="1"/>
  <c r="AP688" i="2" s="1"/>
  <c r="AO688" i="2" a="1"/>
  <c r="AO688" i="2" s="1"/>
  <c r="AN688" i="2" a="1"/>
  <c r="AN688" i="2" s="1"/>
  <c r="AM688" i="2" a="1"/>
  <c r="AM688" i="2" s="1"/>
  <c r="AL688" i="2" a="1"/>
  <c r="AL688" i="2" s="1"/>
  <c r="AK688" i="2" a="1"/>
  <c r="AK688" i="2" s="1"/>
  <c r="AJ688" i="2" a="1"/>
  <c r="AJ688" i="2" s="1"/>
  <c r="AI688" i="2" a="1"/>
  <c r="AI688" i="2" s="1"/>
  <c r="AH688" i="2" a="1"/>
  <c r="AH688" i="2" s="1"/>
  <c r="AG688" i="2" a="1"/>
  <c r="AG688" i="2" s="1"/>
  <c r="AF688" i="2" a="1"/>
  <c r="AF688" i="2" s="1"/>
  <c r="AE688" i="2" a="1"/>
  <c r="AE688" i="2" s="1"/>
  <c r="AD688" i="2" a="1"/>
  <c r="AD688" i="2" s="1"/>
  <c r="AC688" i="2" a="1"/>
  <c r="AC688" i="2" s="1"/>
  <c r="AB688" i="2"/>
  <c r="AA688" i="2" a="1"/>
  <c r="AA688" i="2" s="1"/>
  <c r="Z688" i="2" a="1"/>
  <c r="Z688" i="2" s="1"/>
  <c r="Y688" i="2" a="1"/>
  <c r="Y688" i="2" s="1"/>
  <c r="X688" i="2" a="1"/>
  <c r="X688" i="2" s="1"/>
  <c r="W688" i="2" a="1"/>
  <c r="W688" i="2" s="1"/>
  <c r="BB688" i="2" s="1" a="1"/>
  <c r="BB688" i="2" s="1"/>
  <c r="V688" i="2" a="1"/>
  <c r="V688" i="2" s="1"/>
  <c r="E688" i="2" s="1" a="1"/>
  <c r="E688" i="2" s="1"/>
  <c r="U688" i="2" a="1"/>
  <c r="U688" i="2" s="1"/>
  <c r="T688" i="2" a="1"/>
  <c r="T688" i="2" s="1"/>
  <c r="S688" i="2" a="1"/>
  <c r="S688" i="2" s="1"/>
  <c r="R688" i="2" a="1"/>
  <c r="R688" i="2" s="1"/>
  <c r="Q688" i="2" a="1"/>
  <c r="Q688" i="2" s="1"/>
  <c r="P688" i="2" a="1"/>
  <c r="P688" i="2" s="1"/>
  <c r="O688" i="2" a="1"/>
  <c r="O688" i="2" s="1"/>
  <c r="N688" i="2" a="1"/>
  <c r="N688" i="2" s="1"/>
  <c r="M688" i="2" a="1"/>
  <c r="M688" i="2" s="1"/>
  <c r="L688" i="2" a="1"/>
  <c r="L688" i="2" s="1"/>
  <c r="K688" i="2" a="1"/>
  <c r="K688" i="2" s="1"/>
  <c r="J688" i="2" a="1"/>
  <c r="J688" i="2" s="1"/>
  <c r="I688" i="2" a="1"/>
  <c r="I688" i="2" s="1"/>
  <c r="H688" i="2" a="1"/>
  <c r="H688" i="2" s="1"/>
  <c r="F688" i="2" a="1"/>
  <c r="F688" i="2" s="1"/>
  <c r="D688" i="2" a="1"/>
  <c r="D688" i="2" s="1"/>
  <c r="B688" i="2" a="1"/>
  <c r="B688" i="2" s="1"/>
  <c r="BD687" i="2" a="1"/>
  <c r="BD687" i="2" s="1"/>
  <c r="BC687" i="2" a="1"/>
  <c r="BC687" i="2" s="1"/>
  <c r="BA687" i="2" a="1"/>
  <c r="BA687" i="2" s="1"/>
  <c r="AZ687" i="2" a="1"/>
  <c r="AZ687" i="2" s="1"/>
  <c r="AY687" i="2" a="1"/>
  <c r="AY687" i="2" s="1"/>
  <c r="AX687" i="2" a="1"/>
  <c r="AX687" i="2" s="1"/>
  <c r="AW687" i="2" a="1"/>
  <c r="AW687" i="2" s="1"/>
  <c r="AV687" i="2" a="1"/>
  <c r="AV687" i="2" s="1"/>
  <c r="AU687" i="2" a="1"/>
  <c r="AU687" i="2" s="1"/>
  <c r="AT687" i="2" a="1"/>
  <c r="AT687" i="2" s="1"/>
  <c r="AS687" i="2" a="1"/>
  <c r="AS687" i="2" s="1"/>
  <c r="AR687" i="2" a="1"/>
  <c r="AR687" i="2" s="1"/>
  <c r="AQ687" i="2" a="1"/>
  <c r="AQ687" i="2" s="1"/>
  <c r="AP687" i="2" a="1"/>
  <c r="AP687" i="2" s="1"/>
  <c r="AO687" i="2" a="1"/>
  <c r="AO687" i="2" s="1"/>
  <c r="AN687" i="2" a="1"/>
  <c r="AN687" i="2" s="1"/>
  <c r="AM687" i="2" a="1"/>
  <c r="AM687" i="2" s="1"/>
  <c r="AL687" i="2" a="1"/>
  <c r="AL687" i="2" s="1"/>
  <c r="AK687" i="2" a="1"/>
  <c r="AK687" i="2" s="1"/>
  <c r="AJ687" i="2" a="1"/>
  <c r="AJ687" i="2" s="1"/>
  <c r="AI687" i="2" a="1"/>
  <c r="AI687" i="2" s="1"/>
  <c r="AH687" i="2" a="1"/>
  <c r="AH687" i="2" s="1"/>
  <c r="AG687" i="2" a="1"/>
  <c r="AG687" i="2" s="1"/>
  <c r="AF687" i="2" a="1"/>
  <c r="AF687" i="2" s="1"/>
  <c r="AE687" i="2" a="1"/>
  <c r="AE687" i="2" s="1"/>
  <c r="AD687" i="2" a="1"/>
  <c r="AD687" i="2" s="1"/>
  <c r="AC687" i="2" a="1"/>
  <c r="AC687" i="2" s="1"/>
  <c r="AB687" i="2"/>
  <c r="AA687" i="2" a="1"/>
  <c r="AA687" i="2" s="1"/>
  <c r="Z687" i="2" a="1"/>
  <c r="Z687" i="2" s="1"/>
  <c r="Y687" i="2" a="1"/>
  <c r="Y687" i="2" s="1"/>
  <c r="X687" i="2" a="1"/>
  <c r="X687" i="2" s="1"/>
  <c r="W687" i="2" a="1"/>
  <c r="W687" i="2" s="1"/>
  <c r="BB687" i="2" s="1" a="1"/>
  <c r="BB687" i="2" s="1"/>
  <c r="V687" i="2" a="1"/>
  <c r="V687" i="2" s="1"/>
  <c r="E687" i="2" s="1" a="1"/>
  <c r="E687" i="2" s="1"/>
  <c r="U687" i="2" a="1"/>
  <c r="U687" i="2" s="1"/>
  <c r="T687" i="2" a="1"/>
  <c r="T687" i="2" s="1"/>
  <c r="S687" i="2" a="1"/>
  <c r="S687" i="2" s="1"/>
  <c r="R687" i="2" a="1"/>
  <c r="R687" i="2" s="1"/>
  <c r="Q687" i="2" a="1"/>
  <c r="Q687" i="2" s="1"/>
  <c r="P687" i="2" a="1"/>
  <c r="P687" i="2" s="1"/>
  <c r="O687" i="2" a="1"/>
  <c r="O687" i="2" s="1"/>
  <c r="N687" i="2" a="1"/>
  <c r="N687" i="2" s="1"/>
  <c r="M687" i="2" a="1"/>
  <c r="M687" i="2" s="1"/>
  <c r="L687" i="2" a="1"/>
  <c r="L687" i="2" s="1"/>
  <c r="K687" i="2" a="1"/>
  <c r="K687" i="2" s="1"/>
  <c r="J687" i="2" a="1"/>
  <c r="J687" i="2" s="1"/>
  <c r="I687" i="2" a="1"/>
  <c r="I687" i="2" s="1"/>
  <c r="H687" i="2" a="1"/>
  <c r="H687" i="2" s="1"/>
  <c r="F687" i="2" a="1"/>
  <c r="F687" i="2" s="1"/>
  <c r="D687" i="2" a="1"/>
  <c r="D687" i="2" s="1"/>
  <c r="B687" i="2" a="1"/>
  <c r="B687" i="2" s="1"/>
  <c r="BD686" i="2" a="1"/>
  <c r="BD686" i="2" s="1"/>
  <c r="BC686" i="2" a="1"/>
  <c r="BC686" i="2" s="1"/>
  <c r="BA686" i="2" a="1"/>
  <c r="BA686" i="2" s="1"/>
  <c r="AZ686" i="2" a="1"/>
  <c r="AZ686" i="2" s="1"/>
  <c r="AY686" i="2" a="1"/>
  <c r="AY686" i="2" s="1"/>
  <c r="AX686" i="2" a="1"/>
  <c r="AX686" i="2" s="1"/>
  <c r="AW686" i="2" a="1"/>
  <c r="AW686" i="2" s="1"/>
  <c r="AV686" i="2" a="1"/>
  <c r="AV686" i="2" s="1"/>
  <c r="AU686" i="2" a="1"/>
  <c r="AU686" i="2" s="1"/>
  <c r="AT686" i="2" a="1"/>
  <c r="AT686" i="2" s="1"/>
  <c r="AS686" i="2" a="1"/>
  <c r="AS686" i="2" s="1"/>
  <c r="AR686" i="2" a="1"/>
  <c r="AR686" i="2" s="1"/>
  <c r="AQ686" i="2" a="1"/>
  <c r="AQ686" i="2" s="1"/>
  <c r="AP686" i="2" a="1"/>
  <c r="AP686" i="2" s="1"/>
  <c r="AO686" i="2" a="1"/>
  <c r="AO686" i="2" s="1"/>
  <c r="AN686" i="2" a="1"/>
  <c r="AN686" i="2" s="1"/>
  <c r="AM686" i="2" a="1"/>
  <c r="AM686" i="2" s="1"/>
  <c r="AL686" i="2" a="1"/>
  <c r="AL686" i="2" s="1"/>
  <c r="AK686" i="2" a="1"/>
  <c r="AK686" i="2" s="1"/>
  <c r="AJ686" i="2" a="1"/>
  <c r="AJ686" i="2" s="1"/>
  <c r="AI686" i="2" a="1"/>
  <c r="AI686" i="2" s="1"/>
  <c r="AH686" i="2" a="1"/>
  <c r="AH686" i="2" s="1"/>
  <c r="AG686" i="2" a="1"/>
  <c r="AG686" i="2" s="1"/>
  <c r="AF686" i="2" a="1"/>
  <c r="AF686" i="2" s="1"/>
  <c r="AE686" i="2" a="1"/>
  <c r="AE686" i="2" s="1"/>
  <c r="AD686" i="2" a="1"/>
  <c r="AD686" i="2" s="1"/>
  <c r="AC686" i="2" a="1"/>
  <c r="AC686" i="2" s="1"/>
  <c r="AB686" i="2"/>
  <c r="AA686" i="2" a="1"/>
  <c r="AA686" i="2" s="1"/>
  <c r="Z686" i="2" a="1"/>
  <c r="Z686" i="2" s="1"/>
  <c r="Y686" i="2" a="1"/>
  <c r="Y686" i="2" s="1"/>
  <c r="X686" i="2" a="1"/>
  <c r="X686" i="2" s="1"/>
  <c r="W686" i="2" a="1"/>
  <c r="W686" i="2" s="1"/>
  <c r="BB686" i="2" s="1" a="1"/>
  <c r="BB686" i="2" s="1"/>
  <c r="V686" i="2" a="1"/>
  <c r="V686" i="2" s="1"/>
  <c r="E686" i="2" s="1" a="1"/>
  <c r="E686" i="2" s="1"/>
  <c r="U686" i="2" a="1"/>
  <c r="U686" i="2" s="1"/>
  <c r="T686" i="2" a="1"/>
  <c r="T686" i="2" s="1"/>
  <c r="S686" i="2" a="1"/>
  <c r="S686" i="2" s="1"/>
  <c r="R686" i="2" a="1"/>
  <c r="R686" i="2" s="1"/>
  <c r="Q686" i="2" a="1"/>
  <c r="Q686" i="2" s="1"/>
  <c r="P686" i="2" a="1"/>
  <c r="P686" i="2" s="1"/>
  <c r="O686" i="2" a="1"/>
  <c r="O686" i="2" s="1"/>
  <c r="N686" i="2" a="1"/>
  <c r="N686" i="2" s="1"/>
  <c r="M686" i="2" a="1"/>
  <c r="M686" i="2" s="1"/>
  <c r="L686" i="2" a="1"/>
  <c r="L686" i="2" s="1"/>
  <c r="K686" i="2" a="1"/>
  <c r="K686" i="2" s="1"/>
  <c r="J686" i="2" a="1"/>
  <c r="J686" i="2" s="1"/>
  <c r="I686" i="2" a="1"/>
  <c r="I686" i="2" s="1"/>
  <c r="H686" i="2" a="1"/>
  <c r="H686" i="2" s="1"/>
  <c r="F686" i="2" a="1"/>
  <c r="F686" i="2" s="1"/>
  <c r="D686" i="2" a="1"/>
  <c r="D686" i="2" s="1"/>
  <c r="B686" i="2" a="1"/>
  <c r="B686" i="2" s="1"/>
  <c r="BD685" i="2" a="1"/>
  <c r="BD685" i="2" s="1"/>
  <c r="BC685" i="2" a="1"/>
  <c r="BC685" i="2" s="1"/>
  <c r="BA685" i="2" a="1"/>
  <c r="BA685" i="2" s="1"/>
  <c r="AZ685" i="2" a="1"/>
  <c r="AZ685" i="2" s="1"/>
  <c r="AY685" i="2" a="1"/>
  <c r="AY685" i="2" s="1"/>
  <c r="AX685" i="2" a="1"/>
  <c r="AX685" i="2" s="1"/>
  <c r="AW685" i="2" a="1"/>
  <c r="AW685" i="2" s="1"/>
  <c r="AV685" i="2" a="1"/>
  <c r="AV685" i="2" s="1"/>
  <c r="AU685" i="2" a="1"/>
  <c r="AU685" i="2" s="1"/>
  <c r="AT685" i="2" a="1"/>
  <c r="AT685" i="2" s="1"/>
  <c r="AS685" i="2" a="1"/>
  <c r="AS685" i="2" s="1"/>
  <c r="AR685" i="2" a="1"/>
  <c r="AR685" i="2" s="1"/>
  <c r="AQ685" i="2" a="1"/>
  <c r="AQ685" i="2" s="1"/>
  <c r="AP685" i="2" a="1"/>
  <c r="AP685" i="2" s="1"/>
  <c r="AO685" i="2" a="1"/>
  <c r="AO685" i="2" s="1"/>
  <c r="AN685" i="2" a="1"/>
  <c r="AN685" i="2" s="1"/>
  <c r="AM685" i="2" a="1"/>
  <c r="AM685" i="2" s="1"/>
  <c r="AL685" i="2" a="1"/>
  <c r="AL685" i="2" s="1"/>
  <c r="AK685" i="2" a="1"/>
  <c r="AK685" i="2" s="1"/>
  <c r="AJ685" i="2" a="1"/>
  <c r="AJ685" i="2" s="1"/>
  <c r="AI685" i="2" a="1"/>
  <c r="AI685" i="2" s="1"/>
  <c r="AH685" i="2" a="1"/>
  <c r="AH685" i="2" s="1"/>
  <c r="AG685" i="2" a="1"/>
  <c r="AG685" i="2" s="1"/>
  <c r="AF685" i="2" a="1"/>
  <c r="AF685" i="2" s="1"/>
  <c r="AE685" i="2" a="1"/>
  <c r="AE685" i="2" s="1"/>
  <c r="AD685" i="2" a="1"/>
  <c r="AD685" i="2" s="1"/>
  <c r="AC685" i="2" a="1"/>
  <c r="AC685" i="2" s="1"/>
  <c r="AB685" i="2"/>
  <c r="AA685" i="2" a="1"/>
  <c r="AA685" i="2" s="1"/>
  <c r="Z685" i="2" a="1"/>
  <c r="Z685" i="2" s="1"/>
  <c r="Y685" i="2" a="1"/>
  <c r="Y685" i="2" s="1"/>
  <c r="X685" i="2" a="1"/>
  <c r="X685" i="2" s="1"/>
  <c r="W685" i="2" a="1"/>
  <c r="W685" i="2" s="1"/>
  <c r="BB685" i="2" s="1" a="1"/>
  <c r="BB685" i="2" s="1"/>
  <c r="V685" i="2" a="1"/>
  <c r="V685" i="2" s="1"/>
  <c r="E685" i="2" s="1" a="1"/>
  <c r="E685" i="2" s="1"/>
  <c r="U685" i="2" a="1"/>
  <c r="U685" i="2" s="1"/>
  <c r="T685" i="2" a="1"/>
  <c r="T685" i="2" s="1"/>
  <c r="S685" i="2" a="1"/>
  <c r="S685" i="2" s="1"/>
  <c r="R685" i="2" a="1"/>
  <c r="R685" i="2" s="1"/>
  <c r="Q685" i="2" a="1"/>
  <c r="Q685" i="2" s="1"/>
  <c r="P685" i="2" a="1"/>
  <c r="P685" i="2" s="1"/>
  <c r="O685" i="2" a="1"/>
  <c r="O685" i="2" s="1"/>
  <c r="N685" i="2" a="1"/>
  <c r="N685" i="2" s="1"/>
  <c r="M685" i="2" a="1"/>
  <c r="M685" i="2" s="1"/>
  <c r="L685" i="2" a="1"/>
  <c r="L685" i="2" s="1"/>
  <c r="K685" i="2" a="1"/>
  <c r="K685" i="2" s="1"/>
  <c r="J685" i="2" a="1"/>
  <c r="J685" i="2" s="1"/>
  <c r="I685" i="2" a="1"/>
  <c r="I685" i="2" s="1"/>
  <c r="H685" i="2" a="1"/>
  <c r="H685" i="2" s="1"/>
  <c r="F685" i="2" a="1"/>
  <c r="F685" i="2" s="1"/>
  <c r="D685" i="2" a="1"/>
  <c r="D685" i="2" s="1"/>
  <c r="B685" i="2" a="1"/>
  <c r="B685" i="2" s="1"/>
  <c r="BD684" i="2" a="1"/>
  <c r="BD684" i="2" s="1"/>
  <c r="BC684" i="2" a="1"/>
  <c r="BC684" i="2" s="1"/>
  <c r="BA684" i="2" a="1"/>
  <c r="BA684" i="2" s="1"/>
  <c r="AZ684" i="2" a="1"/>
  <c r="AZ684" i="2" s="1"/>
  <c r="AY684" i="2" a="1"/>
  <c r="AY684" i="2" s="1"/>
  <c r="AX684" i="2" a="1"/>
  <c r="AX684" i="2" s="1"/>
  <c r="AW684" i="2" a="1"/>
  <c r="AW684" i="2" s="1"/>
  <c r="AV684" i="2" a="1"/>
  <c r="AV684" i="2" s="1"/>
  <c r="AU684" i="2" a="1"/>
  <c r="AU684" i="2" s="1"/>
  <c r="AT684" i="2" a="1"/>
  <c r="AT684" i="2" s="1"/>
  <c r="AS684" i="2" a="1"/>
  <c r="AS684" i="2" s="1"/>
  <c r="AR684" i="2" a="1"/>
  <c r="AR684" i="2" s="1"/>
  <c r="AQ684" i="2" a="1"/>
  <c r="AQ684" i="2" s="1"/>
  <c r="AP684" i="2" a="1"/>
  <c r="AP684" i="2" s="1"/>
  <c r="AO684" i="2" a="1"/>
  <c r="AO684" i="2" s="1"/>
  <c r="AN684" i="2" a="1"/>
  <c r="AN684" i="2" s="1"/>
  <c r="AM684" i="2" a="1"/>
  <c r="AM684" i="2" s="1"/>
  <c r="AL684" i="2" a="1"/>
  <c r="AL684" i="2" s="1"/>
  <c r="AK684" i="2" a="1"/>
  <c r="AK684" i="2" s="1"/>
  <c r="AJ684" i="2" a="1"/>
  <c r="AJ684" i="2" s="1"/>
  <c r="AI684" i="2" a="1"/>
  <c r="AI684" i="2" s="1"/>
  <c r="AH684" i="2" a="1"/>
  <c r="AH684" i="2" s="1"/>
  <c r="AG684" i="2" a="1"/>
  <c r="AG684" i="2" s="1"/>
  <c r="AF684" i="2" a="1"/>
  <c r="AF684" i="2" s="1"/>
  <c r="AE684" i="2" a="1"/>
  <c r="AE684" i="2" s="1"/>
  <c r="AD684" i="2" a="1"/>
  <c r="AD684" i="2" s="1"/>
  <c r="AC684" i="2" a="1"/>
  <c r="AC684" i="2" s="1"/>
  <c r="AB684" i="2"/>
  <c r="AA684" i="2" a="1"/>
  <c r="AA684" i="2" s="1"/>
  <c r="Z684" i="2" a="1"/>
  <c r="Z684" i="2" s="1"/>
  <c r="Y684" i="2" a="1"/>
  <c r="Y684" i="2" s="1"/>
  <c r="X684" i="2" a="1"/>
  <c r="X684" i="2" s="1"/>
  <c r="W684" i="2" a="1"/>
  <c r="W684" i="2" s="1"/>
  <c r="BB684" i="2" s="1" a="1"/>
  <c r="BB684" i="2" s="1"/>
  <c r="V684" i="2" a="1"/>
  <c r="V684" i="2" s="1"/>
  <c r="E684" i="2" s="1" a="1"/>
  <c r="E684" i="2" s="1"/>
  <c r="U684" i="2" a="1"/>
  <c r="U684" i="2" s="1"/>
  <c r="T684" i="2" a="1"/>
  <c r="T684" i="2" s="1"/>
  <c r="S684" i="2" a="1"/>
  <c r="S684" i="2" s="1"/>
  <c r="R684" i="2" a="1"/>
  <c r="R684" i="2" s="1"/>
  <c r="Q684" i="2" a="1"/>
  <c r="Q684" i="2" s="1"/>
  <c r="P684" i="2" a="1"/>
  <c r="P684" i="2" s="1"/>
  <c r="O684" i="2" a="1"/>
  <c r="O684" i="2" s="1"/>
  <c r="N684" i="2" a="1"/>
  <c r="N684" i="2" s="1"/>
  <c r="M684" i="2" a="1"/>
  <c r="M684" i="2" s="1"/>
  <c r="L684" i="2" a="1"/>
  <c r="L684" i="2" s="1"/>
  <c r="K684" i="2" a="1"/>
  <c r="K684" i="2" s="1"/>
  <c r="J684" i="2" a="1"/>
  <c r="J684" i="2" s="1"/>
  <c r="I684" i="2" a="1"/>
  <c r="I684" i="2" s="1"/>
  <c r="H684" i="2" a="1"/>
  <c r="H684" i="2" s="1"/>
  <c r="F684" i="2" a="1"/>
  <c r="F684" i="2" s="1"/>
  <c r="D684" i="2" a="1"/>
  <c r="D684" i="2" s="1"/>
  <c r="B684" i="2" a="1"/>
  <c r="B684" i="2" s="1"/>
  <c r="BD682" i="2" a="1"/>
  <c r="BD682" i="2" s="1"/>
  <c r="BC682" i="2" a="1"/>
  <c r="BC682" i="2" s="1"/>
  <c r="BA682" i="2" a="1"/>
  <c r="BA682" i="2" s="1"/>
  <c r="AZ682" i="2" a="1"/>
  <c r="AZ682" i="2" s="1"/>
  <c r="AY682" i="2" a="1"/>
  <c r="AY682" i="2" s="1"/>
  <c r="AX682" i="2" a="1"/>
  <c r="AX682" i="2" s="1"/>
  <c r="AW682" i="2" a="1"/>
  <c r="AW682" i="2" s="1"/>
  <c r="AV682" i="2" a="1"/>
  <c r="AV682" i="2" s="1"/>
  <c r="AU682" i="2" a="1"/>
  <c r="AU682" i="2" s="1"/>
  <c r="AT682" i="2" a="1"/>
  <c r="AT682" i="2" s="1"/>
  <c r="AS682" i="2" a="1"/>
  <c r="AS682" i="2" s="1"/>
  <c r="AR682" i="2" a="1"/>
  <c r="AR682" i="2" s="1"/>
  <c r="AQ682" i="2" a="1"/>
  <c r="AQ682" i="2" s="1"/>
  <c r="AP682" i="2" a="1"/>
  <c r="AP682" i="2" s="1"/>
  <c r="AO682" i="2" a="1"/>
  <c r="AO682" i="2" s="1"/>
  <c r="AN682" i="2" a="1"/>
  <c r="AN682" i="2" s="1"/>
  <c r="AM682" i="2" a="1"/>
  <c r="AM682" i="2" s="1"/>
  <c r="AL682" i="2" a="1"/>
  <c r="AL682" i="2" s="1"/>
  <c r="AK682" i="2" a="1"/>
  <c r="AK682" i="2" s="1"/>
  <c r="AJ682" i="2" a="1"/>
  <c r="AJ682" i="2" s="1"/>
  <c r="AI682" i="2" a="1"/>
  <c r="AI682" i="2" s="1"/>
  <c r="AH682" i="2" a="1"/>
  <c r="AH682" i="2" s="1"/>
  <c r="AG682" i="2" a="1"/>
  <c r="AG682" i="2" s="1"/>
  <c r="AF682" i="2" a="1"/>
  <c r="AF682" i="2" s="1"/>
  <c r="AE682" i="2" a="1"/>
  <c r="AE682" i="2" s="1"/>
  <c r="AD682" i="2" a="1"/>
  <c r="AD682" i="2" s="1"/>
  <c r="AC682" i="2" a="1"/>
  <c r="AC682" i="2" s="1"/>
  <c r="AB682" i="2"/>
  <c r="AA682" i="2" a="1"/>
  <c r="AA682" i="2" s="1"/>
  <c r="Z682" i="2" a="1"/>
  <c r="Z682" i="2" s="1"/>
  <c r="Y682" i="2" a="1"/>
  <c r="Y682" i="2" s="1"/>
  <c r="X682" i="2" a="1"/>
  <c r="X682" i="2" s="1"/>
  <c r="W682" i="2" a="1"/>
  <c r="W682" i="2" s="1"/>
  <c r="BB682" i="2" s="1" a="1"/>
  <c r="BB682" i="2" s="1"/>
  <c r="V682" i="2" a="1"/>
  <c r="V682" i="2" s="1"/>
  <c r="E682" i="2" s="1" a="1"/>
  <c r="E682" i="2" s="1"/>
  <c r="U682" i="2" a="1"/>
  <c r="U682" i="2" s="1"/>
  <c r="T682" i="2" a="1"/>
  <c r="T682" i="2" s="1"/>
  <c r="S682" i="2" a="1"/>
  <c r="S682" i="2" s="1"/>
  <c r="R682" i="2" a="1"/>
  <c r="R682" i="2" s="1"/>
  <c r="Q682" i="2" a="1"/>
  <c r="Q682" i="2" s="1"/>
  <c r="P682" i="2" a="1"/>
  <c r="P682" i="2" s="1"/>
  <c r="O682" i="2" a="1"/>
  <c r="O682" i="2" s="1"/>
  <c r="N682" i="2" a="1"/>
  <c r="N682" i="2" s="1"/>
  <c r="M682" i="2" a="1"/>
  <c r="M682" i="2" s="1"/>
  <c r="L682" i="2" a="1"/>
  <c r="L682" i="2" s="1"/>
  <c r="K682" i="2" a="1"/>
  <c r="K682" i="2" s="1"/>
  <c r="J682" i="2" a="1"/>
  <c r="J682" i="2" s="1"/>
  <c r="I682" i="2" a="1"/>
  <c r="I682" i="2" s="1"/>
  <c r="H682" i="2" a="1"/>
  <c r="H682" i="2" s="1"/>
  <c r="F682" i="2" a="1"/>
  <c r="F682" i="2" s="1"/>
  <c r="D682" i="2" a="1"/>
  <c r="D682" i="2" s="1"/>
  <c r="B682" i="2" a="1"/>
  <c r="B682" i="2" s="1"/>
  <c r="BD681" i="2" a="1"/>
  <c r="BD681" i="2" s="1"/>
  <c r="BC681" i="2" a="1"/>
  <c r="BC681" i="2" s="1"/>
  <c r="BA681" i="2" a="1"/>
  <c r="BA681" i="2" s="1"/>
  <c r="AZ681" i="2" a="1"/>
  <c r="AZ681" i="2" s="1"/>
  <c r="AY681" i="2" a="1"/>
  <c r="AY681" i="2" s="1"/>
  <c r="AX681" i="2" a="1"/>
  <c r="AX681" i="2" s="1"/>
  <c r="AW681" i="2" a="1"/>
  <c r="AW681" i="2" s="1"/>
  <c r="AV681" i="2" a="1"/>
  <c r="AV681" i="2" s="1"/>
  <c r="AU681" i="2" a="1"/>
  <c r="AU681" i="2" s="1"/>
  <c r="AT681" i="2" a="1"/>
  <c r="AT681" i="2" s="1"/>
  <c r="AS681" i="2" a="1"/>
  <c r="AS681" i="2" s="1"/>
  <c r="AR681" i="2" a="1"/>
  <c r="AR681" i="2" s="1"/>
  <c r="AQ681" i="2" a="1"/>
  <c r="AQ681" i="2" s="1"/>
  <c r="AP681" i="2" a="1"/>
  <c r="AP681" i="2" s="1"/>
  <c r="AO681" i="2" a="1"/>
  <c r="AO681" i="2" s="1"/>
  <c r="AN681" i="2" a="1"/>
  <c r="AN681" i="2" s="1"/>
  <c r="AM681" i="2" a="1"/>
  <c r="AM681" i="2" s="1"/>
  <c r="AL681" i="2" a="1"/>
  <c r="AL681" i="2" s="1"/>
  <c r="AK681" i="2" a="1"/>
  <c r="AK681" i="2" s="1"/>
  <c r="AJ681" i="2" a="1"/>
  <c r="AJ681" i="2" s="1"/>
  <c r="AI681" i="2" a="1"/>
  <c r="AI681" i="2" s="1"/>
  <c r="AH681" i="2" a="1"/>
  <c r="AH681" i="2" s="1"/>
  <c r="AG681" i="2" a="1"/>
  <c r="AG681" i="2" s="1"/>
  <c r="AF681" i="2" a="1"/>
  <c r="AF681" i="2" s="1"/>
  <c r="AE681" i="2" a="1"/>
  <c r="AE681" i="2" s="1"/>
  <c r="AD681" i="2" a="1"/>
  <c r="AD681" i="2" s="1"/>
  <c r="AC681" i="2" a="1"/>
  <c r="AC681" i="2" s="1"/>
  <c r="AB681" i="2"/>
  <c r="AA681" i="2" a="1"/>
  <c r="AA681" i="2" s="1"/>
  <c r="Z681" i="2" a="1"/>
  <c r="Z681" i="2" s="1"/>
  <c r="Y681" i="2" a="1"/>
  <c r="Y681" i="2" s="1"/>
  <c r="X681" i="2" a="1"/>
  <c r="X681" i="2" s="1"/>
  <c r="W681" i="2" a="1"/>
  <c r="W681" i="2" s="1"/>
  <c r="BB681" i="2" s="1" a="1"/>
  <c r="BB681" i="2" s="1"/>
  <c r="V681" i="2" a="1"/>
  <c r="V681" i="2" s="1"/>
  <c r="E681" i="2" s="1" a="1"/>
  <c r="E681" i="2" s="1"/>
  <c r="U681" i="2" a="1"/>
  <c r="U681" i="2" s="1"/>
  <c r="T681" i="2" a="1"/>
  <c r="T681" i="2" s="1"/>
  <c r="S681" i="2" a="1"/>
  <c r="S681" i="2" s="1"/>
  <c r="R681" i="2" a="1"/>
  <c r="R681" i="2" s="1"/>
  <c r="Q681" i="2" a="1"/>
  <c r="Q681" i="2" s="1"/>
  <c r="P681" i="2" a="1"/>
  <c r="P681" i="2" s="1"/>
  <c r="O681" i="2" a="1"/>
  <c r="O681" i="2" s="1"/>
  <c r="N681" i="2" a="1"/>
  <c r="N681" i="2" s="1"/>
  <c r="M681" i="2" a="1"/>
  <c r="M681" i="2" s="1"/>
  <c r="L681" i="2" a="1"/>
  <c r="L681" i="2" s="1"/>
  <c r="K681" i="2" a="1"/>
  <c r="K681" i="2" s="1"/>
  <c r="J681" i="2" a="1"/>
  <c r="J681" i="2" s="1"/>
  <c r="I681" i="2" a="1"/>
  <c r="I681" i="2" s="1"/>
  <c r="H681" i="2" a="1"/>
  <c r="H681" i="2" s="1"/>
  <c r="F681" i="2" a="1"/>
  <c r="F681" i="2" s="1"/>
  <c r="D681" i="2" a="1"/>
  <c r="D681" i="2" s="1"/>
  <c r="B681" i="2" a="1"/>
  <c r="B681" i="2" s="1"/>
  <c r="BD680" i="2" a="1"/>
  <c r="BD680" i="2" s="1"/>
  <c r="BC680" i="2" a="1"/>
  <c r="BC680" i="2" s="1"/>
  <c r="BA680" i="2" a="1"/>
  <c r="BA680" i="2" s="1"/>
  <c r="AZ680" i="2" a="1"/>
  <c r="AZ680" i="2" s="1"/>
  <c r="AY680" i="2" a="1"/>
  <c r="AY680" i="2" s="1"/>
  <c r="AX680" i="2" a="1"/>
  <c r="AX680" i="2" s="1"/>
  <c r="AW680" i="2" a="1"/>
  <c r="AW680" i="2" s="1"/>
  <c r="AV680" i="2" a="1"/>
  <c r="AV680" i="2" s="1"/>
  <c r="AU680" i="2" a="1"/>
  <c r="AU680" i="2" s="1"/>
  <c r="AT680" i="2" a="1"/>
  <c r="AT680" i="2" s="1"/>
  <c r="AS680" i="2" a="1"/>
  <c r="AS680" i="2" s="1"/>
  <c r="AR680" i="2" a="1"/>
  <c r="AR680" i="2" s="1"/>
  <c r="AQ680" i="2" a="1"/>
  <c r="AQ680" i="2" s="1"/>
  <c r="AP680" i="2" a="1"/>
  <c r="AP680" i="2" s="1"/>
  <c r="AO680" i="2" a="1"/>
  <c r="AO680" i="2" s="1"/>
  <c r="AN680" i="2" a="1"/>
  <c r="AN680" i="2" s="1"/>
  <c r="AM680" i="2" a="1"/>
  <c r="AM680" i="2" s="1"/>
  <c r="AL680" i="2" a="1"/>
  <c r="AL680" i="2" s="1"/>
  <c r="AK680" i="2" a="1"/>
  <c r="AK680" i="2" s="1"/>
  <c r="AJ680" i="2" a="1"/>
  <c r="AJ680" i="2" s="1"/>
  <c r="AI680" i="2" a="1"/>
  <c r="AI680" i="2" s="1"/>
  <c r="AH680" i="2" a="1"/>
  <c r="AH680" i="2" s="1"/>
  <c r="AG680" i="2" a="1"/>
  <c r="AG680" i="2" s="1"/>
  <c r="AF680" i="2" a="1"/>
  <c r="AF680" i="2" s="1"/>
  <c r="AE680" i="2" a="1"/>
  <c r="AE680" i="2" s="1"/>
  <c r="AD680" i="2" a="1"/>
  <c r="AD680" i="2" s="1"/>
  <c r="AC680" i="2" a="1"/>
  <c r="AC680" i="2" s="1"/>
  <c r="AB680" i="2"/>
  <c r="AA680" i="2" a="1"/>
  <c r="AA680" i="2" s="1"/>
  <c r="Z680" i="2" a="1"/>
  <c r="Z680" i="2" s="1"/>
  <c r="Y680" i="2" a="1"/>
  <c r="Y680" i="2" s="1"/>
  <c r="X680" i="2" a="1"/>
  <c r="X680" i="2" s="1"/>
  <c r="W680" i="2" a="1"/>
  <c r="W680" i="2" s="1"/>
  <c r="BB680" i="2" s="1" a="1"/>
  <c r="BB680" i="2" s="1"/>
  <c r="V680" i="2" a="1"/>
  <c r="V680" i="2" s="1"/>
  <c r="E680" i="2" s="1" a="1"/>
  <c r="E680" i="2" s="1"/>
  <c r="U680" i="2" a="1"/>
  <c r="U680" i="2" s="1"/>
  <c r="T680" i="2" a="1"/>
  <c r="T680" i="2" s="1"/>
  <c r="S680" i="2" a="1"/>
  <c r="S680" i="2" s="1"/>
  <c r="R680" i="2" a="1"/>
  <c r="R680" i="2" s="1"/>
  <c r="Q680" i="2" a="1"/>
  <c r="Q680" i="2" s="1"/>
  <c r="P680" i="2" a="1"/>
  <c r="P680" i="2" s="1"/>
  <c r="O680" i="2" a="1"/>
  <c r="O680" i="2" s="1"/>
  <c r="N680" i="2" a="1"/>
  <c r="N680" i="2" s="1"/>
  <c r="M680" i="2" a="1"/>
  <c r="M680" i="2" s="1"/>
  <c r="L680" i="2" a="1"/>
  <c r="L680" i="2" s="1"/>
  <c r="K680" i="2" a="1"/>
  <c r="K680" i="2" s="1"/>
  <c r="J680" i="2" a="1"/>
  <c r="J680" i="2" s="1"/>
  <c r="I680" i="2" a="1"/>
  <c r="I680" i="2" s="1"/>
  <c r="H680" i="2" a="1"/>
  <c r="H680" i="2" s="1"/>
  <c r="F680" i="2" a="1"/>
  <c r="F680" i="2" s="1"/>
  <c r="D680" i="2" a="1"/>
  <c r="D680" i="2" s="1"/>
  <c r="B680" i="2" a="1"/>
  <c r="B680" i="2" s="1"/>
  <c r="BD679" i="2" a="1"/>
  <c r="BD679" i="2" s="1"/>
  <c r="BC679" i="2" a="1"/>
  <c r="BC679" i="2" s="1"/>
  <c r="BA679" i="2" a="1"/>
  <c r="BA679" i="2" s="1"/>
  <c r="AZ679" i="2" a="1"/>
  <c r="AZ679" i="2" s="1"/>
  <c r="AY679" i="2" a="1"/>
  <c r="AY679" i="2" s="1"/>
  <c r="AX679" i="2" a="1"/>
  <c r="AX679" i="2" s="1"/>
  <c r="AW679" i="2" a="1"/>
  <c r="AW679" i="2" s="1"/>
  <c r="AV679" i="2" a="1"/>
  <c r="AV679" i="2" s="1"/>
  <c r="AU679" i="2" a="1"/>
  <c r="AU679" i="2" s="1"/>
  <c r="AT679" i="2" a="1"/>
  <c r="AT679" i="2" s="1"/>
  <c r="AS679" i="2" a="1"/>
  <c r="AS679" i="2" s="1"/>
  <c r="AR679" i="2" a="1"/>
  <c r="AR679" i="2" s="1"/>
  <c r="AQ679" i="2" a="1"/>
  <c r="AQ679" i="2" s="1"/>
  <c r="AP679" i="2" a="1"/>
  <c r="AP679" i="2" s="1"/>
  <c r="AO679" i="2" a="1"/>
  <c r="AO679" i="2" s="1"/>
  <c r="AN679" i="2" a="1"/>
  <c r="AN679" i="2" s="1"/>
  <c r="AM679" i="2" a="1"/>
  <c r="AM679" i="2" s="1"/>
  <c r="AL679" i="2" a="1"/>
  <c r="AL679" i="2" s="1"/>
  <c r="AK679" i="2" a="1"/>
  <c r="AK679" i="2" s="1"/>
  <c r="AJ679" i="2" a="1"/>
  <c r="AJ679" i="2" s="1"/>
  <c r="AI679" i="2" a="1"/>
  <c r="AI679" i="2" s="1"/>
  <c r="AH679" i="2" a="1"/>
  <c r="AH679" i="2" s="1"/>
  <c r="AG679" i="2" a="1"/>
  <c r="AG679" i="2" s="1"/>
  <c r="AF679" i="2" a="1"/>
  <c r="AF679" i="2" s="1"/>
  <c r="AE679" i="2" a="1"/>
  <c r="AE679" i="2" s="1"/>
  <c r="AD679" i="2" a="1"/>
  <c r="AD679" i="2" s="1"/>
  <c r="AC679" i="2" a="1"/>
  <c r="AC679" i="2" s="1"/>
  <c r="AB679" i="2"/>
  <c r="AA679" i="2" a="1"/>
  <c r="AA679" i="2" s="1"/>
  <c r="Z679" i="2" a="1"/>
  <c r="Z679" i="2" s="1"/>
  <c r="Y679" i="2" a="1"/>
  <c r="Y679" i="2" s="1"/>
  <c r="X679" i="2" a="1"/>
  <c r="X679" i="2" s="1"/>
  <c r="W679" i="2" a="1"/>
  <c r="W679" i="2" s="1"/>
  <c r="BB679" i="2" s="1" a="1"/>
  <c r="BB679" i="2" s="1"/>
  <c r="V679" i="2" a="1"/>
  <c r="V679" i="2" s="1"/>
  <c r="E679" i="2" s="1" a="1"/>
  <c r="E679" i="2" s="1"/>
  <c r="U679" i="2" a="1"/>
  <c r="U679" i="2" s="1"/>
  <c r="T679" i="2" a="1"/>
  <c r="T679" i="2" s="1"/>
  <c r="S679" i="2" a="1"/>
  <c r="S679" i="2" s="1"/>
  <c r="R679" i="2" a="1"/>
  <c r="R679" i="2" s="1"/>
  <c r="Q679" i="2" a="1"/>
  <c r="Q679" i="2" s="1"/>
  <c r="P679" i="2" a="1"/>
  <c r="P679" i="2" s="1"/>
  <c r="O679" i="2" a="1"/>
  <c r="O679" i="2" s="1"/>
  <c r="N679" i="2" a="1"/>
  <c r="N679" i="2" s="1"/>
  <c r="M679" i="2" a="1"/>
  <c r="M679" i="2" s="1"/>
  <c r="L679" i="2" a="1"/>
  <c r="L679" i="2" s="1"/>
  <c r="K679" i="2" a="1"/>
  <c r="K679" i="2" s="1"/>
  <c r="J679" i="2" a="1"/>
  <c r="J679" i="2" s="1"/>
  <c r="I679" i="2" a="1"/>
  <c r="I679" i="2" s="1"/>
  <c r="H679" i="2" a="1"/>
  <c r="H679" i="2" s="1"/>
  <c r="F679" i="2" a="1"/>
  <c r="F679" i="2" s="1"/>
  <c r="D679" i="2" a="1"/>
  <c r="D679" i="2" s="1"/>
  <c r="B679" i="2" a="1"/>
  <c r="B679" i="2" s="1"/>
  <c r="BD678" i="2" a="1"/>
  <c r="BD678" i="2" s="1"/>
  <c r="BC678" i="2" a="1"/>
  <c r="BC678" i="2" s="1"/>
  <c r="BA678" i="2" a="1"/>
  <c r="BA678" i="2" s="1"/>
  <c r="AZ678" i="2" a="1"/>
  <c r="AZ678" i="2" s="1"/>
  <c r="AY678" i="2" a="1"/>
  <c r="AY678" i="2" s="1"/>
  <c r="AX678" i="2" a="1"/>
  <c r="AX678" i="2" s="1"/>
  <c r="AW678" i="2" a="1"/>
  <c r="AW678" i="2" s="1"/>
  <c r="AV678" i="2" a="1"/>
  <c r="AV678" i="2" s="1"/>
  <c r="AU678" i="2" a="1"/>
  <c r="AU678" i="2" s="1"/>
  <c r="AT678" i="2" a="1"/>
  <c r="AT678" i="2" s="1"/>
  <c r="AS678" i="2" a="1"/>
  <c r="AS678" i="2" s="1"/>
  <c r="AR678" i="2" a="1"/>
  <c r="AR678" i="2" s="1"/>
  <c r="AQ678" i="2" a="1"/>
  <c r="AQ678" i="2" s="1"/>
  <c r="AP678" i="2" a="1"/>
  <c r="AP678" i="2" s="1"/>
  <c r="AO678" i="2" a="1"/>
  <c r="AO678" i="2" s="1"/>
  <c r="AN678" i="2" a="1"/>
  <c r="AN678" i="2" s="1"/>
  <c r="AM678" i="2" a="1"/>
  <c r="AM678" i="2" s="1"/>
  <c r="AL678" i="2" a="1"/>
  <c r="AL678" i="2" s="1"/>
  <c r="AK678" i="2" a="1"/>
  <c r="AK678" i="2" s="1"/>
  <c r="AJ678" i="2" a="1"/>
  <c r="AJ678" i="2" s="1"/>
  <c r="AI678" i="2" a="1"/>
  <c r="AI678" i="2" s="1"/>
  <c r="AH678" i="2" a="1"/>
  <c r="AH678" i="2" s="1"/>
  <c r="AG678" i="2" a="1"/>
  <c r="AG678" i="2" s="1"/>
  <c r="AF678" i="2" a="1"/>
  <c r="AF678" i="2" s="1"/>
  <c r="AE678" i="2" a="1"/>
  <c r="AE678" i="2" s="1"/>
  <c r="AD678" i="2" a="1"/>
  <c r="AD678" i="2" s="1"/>
  <c r="AC678" i="2" a="1"/>
  <c r="AC678" i="2" s="1"/>
  <c r="AB678" i="2"/>
  <c r="AA678" i="2" a="1"/>
  <c r="AA678" i="2" s="1"/>
  <c r="Z678" i="2" a="1"/>
  <c r="Z678" i="2" s="1"/>
  <c r="Y678" i="2" a="1"/>
  <c r="Y678" i="2" s="1"/>
  <c r="X678" i="2" a="1"/>
  <c r="X678" i="2" s="1"/>
  <c r="W678" i="2" a="1"/>
  <c r="W678" i="2" s="1"/>
  <c r="BB678" i="2" s="1" a="1"/>
  <c r="BB678" i="2" s="1"/>
  <c r="V678" i="2" a="1"/>
  <c r="V678" i="2" s="1"/>
  <c r="E678" i="2" s="1" a="1"/>
  <c r="U678" i="2" a="1"/>
  <c r="U678" i="2" s="1"/>
  <c r="T678" i="2" a="1"/>
  <c r="T678" i="2" s="1"/>
  <c r="S678" i="2" a="1"/>
  <c r="S678" i="2" s="1"/>
  <c r="R678" i="2" a="1"/>
  <c r="R678" i="2" s="1"/>
  <c r="Q678" i="2" a="1"/>
  <c r="Q678" i="2" s="1"/>
  <c r="P678" i="2" a="1"/>
  <c r="P678" i="2" s="1"/>
  <c r="O678" i="2" a="1"/>
  <c r="O678" i="2" s="1"/>
  <c r="N678" i="2" a="1"/>
  <c r="N678" i="2" s="1"/>
  <c r="M678" i="2" a="1"/>
  <c r="M678" i="2" s="1"/>
  <c r="L678" i="2" a="1"/>
  <c r="L678" i="2" s="1"/>
  <c r="K678" i="2" a="1"/>
  <c r="K678" i="2" s="1"/>
  <c r="J678" i="2" a="1"/>
  <c r="J678" i="2" s="1"/>
  <c r="I678" i="2" a="1"/>
  <c r="I678" i="2" s="1"/>
  <c r="H678" i="2" a="1"/>
  <c r="H678" i="2" s="1"/>
  <c r="F678" i="2" a="1"/>
  <c r="F678" i="2" s="1"/>
  <c r="E678" i="2"/>
  <c r="D678" i="2" a="1"/>
  <c r="D678" i="2" s="1"/>
  <c r="B678" i="2" a="1"/>
  <c r="B678" i="2" s="1"/>
  <c r="BD677" i="2" a="1"/>
  <c r="BD677" i="2" s="1"/>
  <c r="BC677" i="2" a="1"/>
  <c r="BC677" i="2" s="1"/>
  <c r="BA677" i="2" a="1"/>
  <c r="BA677" i="2" s="1"/>
  <c r="AZ677" i="2" a="1"/>
  <c r="AZ677" i="2" s="1"/>
  <c r="AY677" i="2" a="1"/>
  <c r="AY677" i="2" s="1"/>
  <c r="AX677" i="2" a="1"/>
  <c r="AX677" i="2" s="1"/>
  <c r="AW677" i="2" a="1"/>
  <c r="AW677" i="2" s="1"/>
  <c r="AV677" i="2" a="1"/>
  <c r="AV677" i="2" s="1"/>
  <c r="AU677" i="2" a="1"/>
  <c r="AU677" i="2" s="1"/>
  <c r="AT677" i="2" a="1"/>
  <c r="AT677" i="2" s="1"/>
  <c r="AS677" i="2" a="1"/>
  <c r="AS677" i="2" s="1"/>
  <c r="AR677" i="2" a="1"/>
  <c r="AR677" i="2" s="1"/>
  <c r="AQ677" i="2" a="1"/>
  <c r="AQ677" i="2" s="1"/>
  <c r="AP677" i="2" a="1"/>
  <c r="AP677" i="2" s="1"/>
  <c r="AO677" i="2" a="1"/>
  <c r="AO677" i="2" s="1"/>
  <c r="AN677" i="2" a="1"/>
  <c r="AN677" i="2" s="1"/>
  <c r="AM677" i="2" a="1"/>
  <c r="AM677" i="2" s="1"/>
  <c r="AL677" i="2" a="1"/>
  <c r="AL677" i="2" s="1"/>
  <c r="AK677" i="2" a="1"/>
  <c r="AK677" i="2" s="1"/>
  <c r="AJ677" i="2" a="1"/>
  <c r="AJ677" i="2" s="1"/>
  <c r="AI677" i="2" a="1"/>
  <c r="AI677" i="2" s="1"/>
  <c r="AH677" i="2" a="1"/>
  <c r="AH677" i="2" s="1"/>
  <c r="AG677" i="2" a="1"/>
  <c r="AG677" i="2" s="1"/>
  <c r="AF677" i="2" a="1"/>
  <c r="AF677" i="2" s="1"/>
  <c r="AE677" i="2" a="1"/>
  <c r="AE677" i="2" s="1"/>
  <c r="AD677" i="2" a="1"/>
  <c r="AD677" i="2" s="1"/>
  <c r="AC677" i="2" a="1"/>
  <c r="AC677" i="2" s="1"/>
  <c r="AB677" i="2"/>
  <c r="AA677" i="2" a="1"/>
  <c r="AA677" i="2" s="1"/>
  <c r="Z677" i="2" a="1"/>
  <c r="Z677" i="2" s="1"/>
  <c r="Y677" i="2" a="1"/>
  <c r="Y677" i="2" s="1"/>
  <c r="X677" i="2" a="1"/>
  <c r="X677" i="2" s="1"/>
  <c r="W677" i="2" a="1"/>
  <c r="W677" i="2" s="1"/>
  <c r="BB677" i="2" s="1" a="1"/>
  <c r="BB677" i="2" s="1"/>
  <c r="V677" i="2" a="1"/>
  <c r="V677" i="2" s="1"/>
  <c r="E677" i="2" s="1" a="1"/>
  <c r="E677" i="2" s="1"/>
  <c r="U677" i="2" a="1"/>
  <c r="U677" i="2" s="1"/>
  <c r="T677" i="2" a="1"/>
  <c r="T677" i="2" s="1"/>
  <c r="S677" i="2" a="1"/>
  <c r="S677" i="2" s="1"/>
  <c r="R677" i="2" a="1"/>
  <c r="R677" i="2" s="1"/>
  <c r="Q677" i="2" a="1"/>
  <c r="Q677" i="2" s="1"/>
  <c r="P677" i="2" a="1"/>
  <c r="P677" i="2" s="1"/>
  <c r="O677" i="2" a="1"/>
  <c r="O677" i="2" s="1"/>
  <c r="N677" i="2" a="1"/>
  <c r="N677" i="2" s="1"/>
  <c r="M677" i="2" a="1"/>
  <c r="M677" i="2" s="1"/>
  <c r="L677" i="2" a="1"/>
  <c r="L677" i="2" s="1"/>
  <c r="K677" i="2" a="1"/>
  <c r="K677" i="2" s="1"/>
  <c r="J677" i="2" a="1"/>
  <c r="J677" i="2" s="1"/>
  <c r="I677" i="2" a="1"/>
  <c r="I677" i="2" s="1"/>
  <c r="H677" i="2" a="1"/>
  <c r="H677" i="2" s="1"/>
  <c r="F677" i="2" a="1"/>
  <c r="F677" i="2" s="1"/>
  <c r="D677" i="2" a="1"/>
  <c r="D677" i="2" s="1"/>
  <c r="B677" i="2" a="1"/>
  <c r="B677" i="2" s="1"/>
  <c r="BD676" i="2" a="1"/>
  <c r="BD676" i="2" s="1"/>
  <c r="BC676" i="2" a="1"/>
  <c r="BC676" i="2" s="1"/>
  <c r="BA676" i="2" a="1"/>
  <c r="BA676" i="2" s="1"/>
  <c r="AZ676" i="2" a="1"/>
  <c r="AZ676" i="2" s="1"/>
  <c r="AY676" i="2" a="1"/>
  <c r="AY676" i="2" s="1"/>
  <c r="AX676" i="2" a="1"/>
  <c r="AX676" i="2" s="1"/>
  <c r="AW676" i="2" a="1"/>
  <c r="AW676" i="2" s="1"/>
  <c r="AV676" i="2" a="1"/>
  <c r="AV676" i="2" s="1"/>
  <c r="AU676" i="2" a="1"/>
  <c r="AU676" i="2" s="1"/>
  <c r="AT676" i="2" a="1"/>
  <c r="AT676" i="2" s="1"/>
  <c r="AS676" i="2" a="1"/>
  <c r="AS676" i="2" s="1"/>
  <c r="AR676" i="2" a="1"/>
  <c r="AR676" i="2" s="1"/>
  <c r="AQ676" i="2" a="1"/>
  <c r="AQ676" i="2" s="1"/>
  <c r="AP676" i="2" a="1"/>
  <c r="AP676" i="2" s="1"/>
  <c r="AO676" i="2" a="1"/>
  <c r="AO676" i="2" s="1"/>
  <c r="AN676" i="2" a="1"/>
  <c r="AN676" i="2" s="1"/>
  <c r="AM676" i="2" a="1"/>
  <c r="AM676" i="2" s="1"/>
  <c r="AL676" i="2" a="1"/>
  <c r="AL676" i="2" s="1"/>
  <c r="AK676" i="2" a="1"/>
  <c r="AK676" i="2" s="1"/>
  <c r="AJ676" i="2" a="1"/>
  <c r="AJ676" i="2" s="1"/>
  <c r="AI676" i="2" a="1"/>
  <c r="AI676" i="2" s="1"/>
  <c r="AH676" i="2" a="1"/>
  <c r="AH676" i="2" s="1"/>
  <c r="AG676" i="2" a="1"/>
  <c r="AG676" i="2" s="1"/>
  <c r="AF676" i="2" a="1"/>
  <c r="AF676" i="2" s="1"/>
  <c r="AE676" i="2" a="1"/>
  <c r="AE676" i="2" s="1"/>
  <c r="AD676" i="2" a="1"/>
  <c r="AD676" i="2" s="1"/>
  <c r="AC676" i="2" a="1"/>
  <c r="AC676" i="2" s="1"/>
  <c r="AB676" i="2"/>
  <c r="AA676" i="2" a="1"/>
  <c r="AA676" i="2" s="1"/>
  <c r="Z676" i="2" a="1"/>
  <c r="Z676" i="2" s="1"/>
  <c r="Y676" i="2" a="1"/>
  <c r="Y676" i="2" s="1"/>
  <c r="X676" i="2" a="1"/>
  <c r="X676" i="2" s="1"/>
  <c r="W676" i="2" a="1"/>
  <c r="W676" i="2" s="1"/>
  <c r="BB676" i="2" s="1" a="1"/>
  <c r="BB676" i="2" s="1"/>
  <c r="V676" i="2" a="1"/>
  <c r="V676" i="2" s="1"/>
  <c r="E676" i="2" s="1" a="1"/>
  <c r="E676" i="2" s="1"/>
  <c r="U676" i="2" a="1"/>
  <c r="U676" i="2" s="1"/>
  <c r="T676" i="2" a="1"/>
  <c r="T676" i="2" s="1"/>
  <c r="S676" i="2" a="1"/>
  <c r="S676" i="2" s="1"/>
  <c r="R676" i="2" a="1"/>
  <c r="R676" i="2" s="1"/>
  <c r="Q676" i="2" a="1"/>
  <c r="Q676" i="2" s="1"/>
  <c r="P676" i="2" a="1"/>
  <c r="P676" i="2" s="1"/>
  <c r="O676" i="2" a="1"/>
  <c r="O676" i="2" s="1"/>
  <c r="N676" i="2" a="1"/>
  <c r="N676" i="2" s="1"/>
  <c r="M676" i="2" a="1"/>
  <c r="M676" i="2" s="1"/>
  <c r="L676" i="2" a="1"/>
  <c r="L676" i="2" s="1"/>
  <c r="K676" i="2" a="1"/>
  <c r="K676" i="2" s="1"/>
  <c r="J676" i="2" a="1"/>
  <c r="J676" i="2" s="1"/>
  <c r="I676" i="2" a="1"/>
  <c r="I676" i="2" s="1"/>
  <c r="H676" i="2" a="1"/>
  <c r="H676" i="2" s="1"/>
  <c r="F676" i="2" a="1"/>
  <c r="F676" i="2" s="1"/>
  <c r="D676" i="2" a="1"/>
  <c r="D676" i="2" s="1"/>
  <c r="B676" i="2" a="1"/>
  <c r="B676" i="2" s="1"/>
  <c r="BD675" i="2" a="1"/>
  <c r="BD675" i="2" s="1"/>
  <c r="BC675" i="2" a="1"/>
  <c r="BC675" i="2" s="1"/>
  <c r="BA675" i="2" a="1"/>
  <c r="BA675" i="2" s="1"/>
  <c r="AZ675" i="2" a="1"/>
  <c r="AZ675" i="2" s="1"/>
  <c r="AY675" i="2" a="1"/>
  <c r="AY675" i="2" s="1"/>
  <c r="AX675" i="2" a="1"/>
  <c r="AX675" i="2" s="1"/>
  <c r="AW675" i="2" a="1"/>
  <c r="AW675" i="2" s="1"/>
  <c r="AV675" i="2" a="1"/>
  <c r="AV675" i="2" s="1"/>
  <c r="AU675" i="2" a="1"/>
  <c r="AU675" i="2" s="1"/>
  <c r="AT675" i="2" a="1"/>
  <c r="AT675" i="2" s="1"/>
  <c r="AS675" i="2" a="1"/>
  <c r="AS675" i="2" s="1"/>
  <c r="AR675" i="2" a="1"/>
  <c r="AR675" i="2" s="1"/>
  <c r="AQ675" i="2" a="1"/>
  <c r="AQ675" i="2" s="1"/>
  <c r="AP675" i="2" a="1"/>
  <c r="AP675" i="2" s="1"/>
  <c r="AO675" i="2" a="1"/>
  <c r="AO675" i="2" s="1"/>
  <c r="AN675" i="2" a="1"/>
  <c r="AN675" i="2" s="1"/>
  <c r="AM675" i="2" a="1"/>
  <c r="AM675" i="2" s="1"/>
  <c r="AL675" i="2" a="1"/>
  <c r="AL675" i="2" s="1"/>
  <c r="AK675" i="2" a="1"/>
  <c r="AK675" i="2" s="1"/>
  <c r="AJ675" i="2" a="1"/>
  <c r="AJ675" i="2" s="1"/>
  <c r="AI675" i="2" a="1"/>
  <c r="AI675" i="2" s="1"/>
  <c r="AH675" i="2" a="1"/>
  <c r="AH675" i="2" s="1"/>
  <c r="AG675" i="2" a="1"/>
  <c r="AG675" i="2" s="1"/>
  <c r="AF675" i="2" a="1"/>
  <c r="AF675" i="2" s="1"/>
  <c r="AE675" i="2" a="1"/>
  <c r="AE675" i="2" s="1"/>
  <c r="AD675" i="2" a="1"/>
  <c r="AD675" i="2" s="1"/>
  <c r="AC675" i="2" a="1"/>
  <c r="AC675" i="2" s="1"/>
  <c r="AB675" i="2"/>
  <c r="AA675" i="2" a="1"/>
  <c r="AA675" i="2" s="1"/>
  <c r="Z675" i="2" a="1"/>
  <c r="Z675" i="2" s="1"/>
  <c r="Y675" i="2" a="1"/>
  <c r="Y675" i="2" s="1"/>
  <c r="X675" i="2" a="1"/>
  <c r="X675" i="2" s="1"/>
  <c r="W675" i="2" a="1"/>
  <c r="W675" i="2" s="1"/>
  <c r="BB675" i="2" s="1" a="1"/>
  <c r="BB675" i="2" s="1"/>
  <c r="V675" i="2" a="1"/>
  <c r="V675" i="2" s="1"/>
  <c r="E675" i="2" s="1" a="1"/>
  <c r="E675" i="2" s="1"/>
  <c r="U675" i="2" a="1"/>
  <c r="U675" i="2" s="1"/>
  <c r="T675" i="2" a="1"/>
  <c r="T675" i="2" s="1"/>
  <c r="S675" i="2" a="1"/>
  <c r="S675" i="2" s="1"/>
  <c r="R675" i="2" a="1"/>
  <c r="R675" i="2" s="1"/>
  <c r="Q675" i="2" a="1"/>
  <c r="Q675" i="2" s="1"/>
  <c r="P675" i="2" a="1"/>
  <c r="P675" i="2" s="1"/>
  <c r="O675" i="2" a="1"/>
  <c r="O675" i="2" s="1"/>
  <c r="N675" i="2" a="1"/>
  <c r="N675" i="2" s="1"/>
  <c r="M675" i="2" a="1"/>
  <c r="M675" i="2" s="1"/>
  <c r="L675" i="2" a="1"/>
  <c r="L675" i="2" s="1"/>
  <c r="K675" i="2" a="1"/>
  <c r="K675" i="2" s="1"/>
  <c r="J675" i="2" a="1"/>
  <c r="J675" i="2" s="1"/>
  <c r="I675" i="2" a="1"/>
  <c r="I675" i="2" s="1"/>
  <c r="H675" i="2" a="1"/>
  <c r="H675" i="2" s="1"/>
  <c r="F675" i="2" a="1"/>
  <c r="F675" i="2" s="1"/>
  <c r="D675" i="2" a="1"/>
  <c r="D675" i="2" s="1"/>
  <c r="B675" i="2" a="1"/>
  <c r="B675" i="2" s="1"/>
  <c r="BD674" i="2" a="1"/>
  <c r="BD674" i="2" s="1"/>
  <c r="BC674" i="2" a="1"/>
  <c r="BC674" i="2" s="1"/>
  <c r="BA674" i="2" a="1"/>
  <c r="BA674" i="2" s="1"/>
  <c r="AZ674" i="2" a="1"/>
  <c r="AZ674" i="2" s="1"/>
  <c r="AY674" i="2" a="1"/>
  <c r="AY674" i="2" s="1"/>
  <c r="AX674" i="2" a="1"/>
  <c r="AX674" i="2" s="1"/>
  <c r="AW674" i="2" a="1"/>
  <c r="AW674" i="2" s="1"/>
  <c r="AV674" i="2" a="1"/>
  <c r="AV674" i="2" s="1"/>
  <c r="AU674" i="2" a="1"/>
  <c r="AU674" i="2" s="1"/>
  <c r="AT674" i="2" a="1"/>
  <c r="AT674" i="2" s="1"/>
  <c r="AS674" i="2" a="1"/>
  <c r="AS674" i="2" s="1"/>
  <c r="AR674" i="2" a="1"/>
  <c r="AR674" i="2" s="1"/>
  <c r="AQ674" i="2" a="1"/>
  <c r="AQ674" i="2" s="1"/>
  <c r="AP674" i="2" a="1"/>
  <c r="AP674" i="2" s="1"/>
  <c r="AO674" i="2" a="1"/>
  <c r="AO674" i="2" s="1"/>
  <c r="AN674" i="2" a="1"/>
  <c r="AN674" i="2" s="1"/>
  <c r="AM674" i="2" a="1"/>
  <c r="AM674" i="2" s="1"/>
  <c r="AL674" i="2" a="1"/>
  <c r="AL674" i="2" s="1"/>
  <c r="AK674" i="2" a="1"/>
  <c r="AK674" i="2" s="1"/>
  <c r="AJ674" i="2" a="1"/>
  <c r="AJ674" i="2" s="1"/>
  <c r="AI674" i="2" a="1"/>
  <c r="AI674" i="2" s="1"/>
  <c r="AH674" i="2" a="1"/>
  <c r="AH674" i="2" s="1"/>
  <c r="AG674" i="2" a="1"/>
  <c r="AG674" i="2" s="1"/>
  <c r="AF674" i="2" a="1"/>
  <c r="AF674" i="2" s="1"/>
  <c r="AE674" i="2" a="1"/>
  <c r="AE674" i="2" s="1"/>
  <c r="AD674" i="2" a="1"/>
  <c r="AD674" i="2" s="1"/>
  <c r="AC674" i="2" a="1"/>
  <c r="AC674" i="2" s="1"/>
  <c r="AB674" i="2"/>
  <c r="AA674" i="2" a="1"/>
  <c r="AA674" i="2" s="1"/>
  <c r="Z674" i="2" a="1"/>
  <c r="Z674" i="2" s="1"/>
  <c r="Y674" i="2" a="1"/>
  <c r="Y674" i="2" s="1"/>
  <c r="X674" i="2" a="1"/>
  <c r="X674" i="2" s="1"/>
  <c r="W674" i="2" a="1"/>
  <c r="W674" i="2" s="1"/>
  <c r="BB674" i="2" s="1" a="1"/>
  <c r="BB674" i="2" s="1"/>
  <c r="V674" i="2" a="1"/>
  <c r="V674" i="2" s="1"/>
  <c r="E674" i="2" s="1" a="1"/>
  <c r="E674" i="2" s="1"/>
  <c r="U674" i="2" a="1"/>
  <c r="U674" i="2" s="1"/>
  <c r="T674" i="2" a="1"/>
  <c r="T674" i="2" s="1"/>
  <c r="S674" i="2" a="1"/>
  <c r="S674" i="2" s="1"/>
  <c r="R674" i="2" a="1"/>
  <c r="R674" i="2" s="1"/>
  <c r="Q674" i="2" a="1"/>
  <c r="Q674" i="2" s="1"/>
  <c r="P674" i="2" a="1"/>
  <c r="P674" i="2" s="1"/>
  <c r="O674" i="2" a="1"/>
  <c r="O674" i="2" s="1"/>
  <c r="N674" i="2" a="1"/>
  <c r="N674" i="2" s="1"/>
  <c r="M674" i="2" a="1"/>
  <c r="M674" i="2" s="1"/>
  <c r="L674" i="2" a="1"/>
  <c r="L674" i="2" s="1"/>
  <c r="K674" i="2" a="1"/>
  <c r="K674" i="2" s="1"/>
  <c r="J674" i="2" a="1"/>
  <c r="J674" i="2" s="1"/>
  <c r="I674" i="2" a="1"/>
  <c r="I674" i="2" s="1"/>
  <c r="H674" i="2" a="1"/>
  <c r="H674" i="2" s="1"/>
  <c r="F674" i="2" a="1"/>
  <c r="F674" i="2" s="1"/>
  <c r="D674" i="2" a="1"/>
  <c r="D674" i="2" s="1"/>
  <c r="B674" i="2" a="1"/>
  <c r="B674" i="2" s="1"/>
  <c r="BD673" i="2" a="1"/>
  <c r="BD673" i="2" s="1"/>
  <c r="BC673" i="2" a="1"/>
  <c r="BC673" i="2" s="1"/>
  <c r="BA673" i="2" a="1"/>
  <c r="BA673" i="2" s="1"/>
  <c r="AZ673" i="2" a="1"/>
  <c r="AZ673" i="2" s="1"/>
  <c r="AY673" i="2" a="1"/>
  <c r="AY673" i="2" s="1"/>
  <c r="AX673" i="2" a="1"/>
  <c r="AX673" i="2" s="1"/>
  <c r="AW673" i="2" a="1"/>
  <c r="AW673" i="2" s="1"/>
  <c r="AV673" i="2" a="1"/>
  <c r="AV673" i="2" s="1"/>
  <c r="AU673" i="2" a="1"/>
  <c r="AU673" i="2" s="1"/>
  <c r="AT673" i="2" a="1"/>
  <c r="AT673" i="2" s="1"/>
  <c r="AS673" i="2" a="1"/>
  <c r="AS673" i="2" s="1"/>
  <c r="AR673" i="2" a="1"/>
  <c r="AR673" i="2" s="1"/>
  <c r="AQ673" i="2" a="1"/>
  <c r="AQ673" i="2" s="1"/>
  <c r="AP673" i="2" a="1"/>
  <c r="AP673" i="2" s="1"/>
  <c r="AO673" i="2" a="1"/>
  <c r="AO673" i="2" s="1"/>
  <c r="AN673" i="2" a="1"/>
  <c r="AN673" i="2" s="1"/>
  <c r="AM673" i="2" a="1"/>
  <c r="AM673" i="2" s="1"/>
  <c r="AL673" i="2" a="1"/>
  <c r="AL673" i="2" s="1"/>
  <c r="AK673" i="2" a="1"/>
  <c r="AK673" i="2" s="1"/>
  <c r="AJ673" i="2" a="1"/>
  <c r="AJ673" i="2" s="1"/>
  <c r="AI673" i="2" a="1"/>
  <c r="AI673" i="2" s="1"/>
  <c r="AH673" i="2" a="1"/>
  <c r="AH673" i="2" s="1"/>
  <c r="AG673" i="2" a="1"/>
  <c r="AG673" i="2" s="1"/>
  <c r="AF673" i="2" a="1"/>
  <c r="AF673" i="2" s="1"/>
  <c r="AE673" i="2" a="1"/>
  <c r="AE673" i="2" s="1"/>
  <c r="AD673" i="2" a="1"/>
  <c r="AD673" i="2" s="1"/>
  <c r="AC673" i="2" a="1"/>
  <c r="AC673" i="2" s="1"/>
  <c r="AB673" i="2"/>
  <c r="AA673" i="2" a="1"/>
  <c r="AA673" i="2" s="1"/>
  <c r="Z673" i="2" a="1"/>
  <c r="Z673" i="2" s="1"/>
  <c r="Y673" i="2" a="1"/>
  <c r="Y673" i="2" s="1"/>
  <c r="X673" i="2" a="1"/>
  <c r="X673" i="2" s="1"/>
  <c r="W673" i="2" a="1"/>
  <c r="W673" i="2" s="1"/>
  <c r="BB673" i="2" s="1" a="1"/>
  <c r="BB673" i="2" s="1"/>
  <c r="V673" i="2" a="1"/>
  <c r="V673" i="2" s="1"/>
  <c r="E673" i="2" s="1" a="1"/>
  <c r="E673" i="2" s="1"/>
  <c r="U673" i="2" a="1"/>
  <c r="U673" i="2" s="1"/>
  <c r="T673" i="2" a="1"/>
  <c r="T673" i="2" s="1"/>
  <c r="S673" i="2" a="1"/>
  <c r="S673" i="2" s="1"/>
  <c r="R673" i="2" a="1"/>
  <c r="R673" i="2" s="1"/>
  <c r="Q673" i="2" a="1"/>
  <c r="Q673" i="2" s="1"/>
  <c r="P673" i="2" a="1"/>
  <c r="P673" i="2" s="1"/>
  <c r="O673" i="2" a="1"/>
  <c r="O673" i="2" s="1"/>
  <c r="N673" i="2" a="1"/>
  <c r="N673" i="2" s="1"/>
  <c r="M673" i="2" a="1"/>
  <c r="M673" i="2" s="1"/>
  <c r="L673" i="2" a="1"/>
  <c r="L673" i="2" s="1"/>
  <c r="K673" i="2" a="1"/>
  <c r="K673" i="2" s="1"/>
  <c r="J673" i="2" a="1"/>
  <c r="J673" i="2" s="1"/>
  <c r="I673" i="2" a="1"/>
  <c r="I673" i="2" s="1"/>
  <c r="H673" i="2" a="1"/>
  <c r="H673" i="2" s="1"/>
  <c r="F673" i="2" a="1"/>
  <c r="F673" i="2" s="1"/>
  <c r="D673" i="2" a="1"/>
  <c r="D673" i="2" s="1"/>
  <c r="B673" i="2" a="1"/>
  <c r="B673" i="2" s="1"/>
  <c r="BD672" i="2" a="1"/>
  <c r="BD672" i="2" s="1"/>
  <c r="BC672" i="2" a="1"/>
  <c r="BC672" i="2" s="1"/>
  <c r="BA672" i="2" a="1"/>
  <c r="BA672" i="2" s="1"/>
  <c r="AZ672" i="2" a="1"/>
  <c r="AZ672" i="2" s="1"/>
  <c r="AY672" i="2" a="1"/>
  <c r="AY672" i="2" s="1"/>
  <c r="AX672" i="2" a="1"/>
  <c r="AX672" i="2" s="1"/>
  <c r="AW672" i="2" a="1"/>
  <c r="AW672" i="2" s="1"/>
  <c r="AV672" i="2" a="1"/>
  <c r="AV672" i="2" s="1"/>
  <c r="AU672" i="2" a="1"/>
  <c r="AU672" i="2" s="1"/>
  <c r="AT672" i="2" a="1"/>
  <c r="AT672" i="2" s="1"/>
  <c r="AS672" i="2" a="1"/>
  <c r="AS672" i="2" s="1"/>
  <c r="AR672" i="2" a="1"/>
  <c r="AR672" i="2" s="1"/>
  <c r="AQ672" i="2" a="1"/>
  <c r="AQ672" i="2" s="1"/>
  <c r="AP672" i="2" a="1"/>
  <c r="AP672" i="2" s="1"/>
  <c r="AO672" i="2" a="1"/>
  <c r="AO672" i="2" s="1"/>
  <c r="AN672" i="2" a="1"/>
  <c r="AN672" i="2" s="1"/>
  <c r="AM672" i="2" a="1"/>
  <c r="AM672" i="2" s="1"/>
  <c r="AL672" i="2" a="1"/>
  <c r="AL672" i="2" s="1"/>
  <c r="AK672" i="2" a="1"/>
  <c r="AK672" i="2" s="1"/>
  <c r="AJ672" i="2" a="1"/>
  <c r="AJ672" i="2" s="1"/>
  <c r="AI672" i="2" a="1"/>
  <c r="AI672" i="2" s="1"/>
  <c r="AH672" i="2" a="1"/>
  <c r="AH672" i="2" s="1"/>
  <c r="AG672" i="2" a="1"/>
  <c r="AG672" i="2" s="1"/>
  <c r="AF672" i="2" a="1"/>
  <c r="AF672" i="2" s="1"/>
  <c r="AE672" i="2" a="1"/>
  <c r="AE672" i="2" s="1"/>
  <c r="AD672" i="2" a="1"/>
  <c r="AD672" i="2" s="1"/>
  <c r="AC672" i="2" a="1"/>
  <c r="AC672" i="2" s="1"/>
  <c r="AB672" i="2"/>
  <c r="AA672" i="2" a="1"/>
  <c r="AA672" i="2" s="1"/>
  <c r="Z672" i="2" a="1"/>
  <c r="Z672" i="2" s="1"/>
  <c r="Y672" i="2" a="1"/>
  <c r="Y672" i="2" s="1"/>
  <c r="X672" i="2" a="1"/>
  <c r="X672" i="2" s="1"/>
  <c r="W672" i="2" a="1"/>
  <c r="W672" i="2" s="1"/>
  <c r="BB672" i="2" s="1" a="1"/>
  <c r="BB672" i="2" s="1"/>
  <c r="V672" i="2" a="1"/>
  <c r="V672" i="2" s="1"/>
  <c r="E672" i="2" s="1" a="1"/>
  <c r="E672" i="2" s="1"/>
  <c r="U672" i="2" a="1"/>
  <c r="U672" i="2" s="1"/>
  <c r="T672" i="2" a="1"/>
  <c r="T672" i="2" s="1"/>
  <c r="S672" i="2" a="1"/>
  <c r="S672" i="2" s="1"/>
  <c r="R672" i="2" a="1"/>
  <c r="R672" i="2" s="1"/>
  <c r="Q672" i="2" a="1"/>
  <c r="Q672" i="2" s="1"/>
  <c r="P672" i="2" a="1"/>
  <c r="P672" i="2" s="1"/>
  <c r="O672" i="2" a="1"/>
  <c r="O672" i="2" s="1"/>
  <c r="N672" i="2" a="1"/>
  <c r="N672" i="2" s="1"/>
  <c r="M672" i="2" a="1"/>
  <c r="M672" i="2" s="1"/>
  <c r="L672" i="2" a="1"/>
  <c r="L672" i="2" s="1"/>
  <c r="K672" i="2" a="1"/>
  <c r="K672" i="2" s="1"/>
  <c r="J672" i="2" a="1"/>
  <c r="J672" i="2" s="1"/>
  <c r="I672" i="2" a="1"/>
  <c r="I672" i="2" s="1"/>
  <c r="H672" i="2" a="1"/>
  <c r="H672" i="2" s="1"/>
  <c r="F672" i="2" a="1"/>
  <c r="F672" i="2" s="1"/>
  <c r="D672" i="2" a="1"/>
  <c r="D672" i="2" s="1"/>
  <c r="B672" i="2" a="1"/>
  <c r="B672" i="2" s="1"/>
  <c r="BD670" i="2" a="1"/>
  <c r="BD670" i="2" s="1"/>
  <c r="BC670" i="2" a="1"/>
  <c r="BC670" i="2" s="1"/>
  <c r="BA670" i="2" a="1"/>
  <c r="BA670" i="2" s="1"/>
  <c r="AZ670" i="2" a="1"/>
  <c r="AZ670" i="2" s="1"/>
  <c r="AY670" i="2" a="1"/>
  <c r="AY670" i="2" s="1"/>
  <c r="AX670" i="2" a="1"/>
  <c r="AX670" i="2" s="1"/>
  <c r="AW670" i="2" a="1"/>
  <c r="AW670" i="2" s="1"/>
  <c r="AV670" i="2" a="1"/>
  <c r="AV670" i="2" s="1"/>
  <c r="AU670" i="2" a="1"/>
  <c r="AU670" i="2" s="1"/>
  <c r="AT670" i="2" a="1"/>
  <c r="AT670" i="2" s="1"/>
  <c r="AS670" i="2" a="1"/>
  <c r="AS670" i="2" s="1"/>
  <c r="AR670" i="2" a="1"/>
  <c r="AR670" i="2" s="1"/>
  <c r="AQ670" i="2" a="1"/>
  <c r="AQ670" i="2" s="1"/>
  <c r="AP670" i="2" a="1"/>
  <c r="AP670" i="2" s="1"/>
  <c r="AO670" i="2" a="1"/>
  <c r="AO670" i="2" s="1"/>
  <c r="AN670" i="2" a="1"/>
  <c r="AN670" i="2" s="1"/>
  <c r="AM670" i="2" a="1"/>
  <c r="AM670" i="2" s="1"/>
  <c r="AL670" i="2" a="1"/>
  <c r="AL670" i="2" s="1"/>
  <c r="AK670" i="2" a="1"/>
  <c r="AK670" i="2" s="1"/>
  <c r="AJ670" i="2" a="1"/>
  <c r="AJ670" i="2" s="1"/>
  <c r="AI670" i="2" a="1"/>
  <c r="AI670" i="2" s="1"/>
  <c r="AH670" i="2" a="1"/>
  <c r="AH670" i="2" s="1"/>
  <c r="AG670" i="2" a="1"/>
  <c r="AG670" i="2" s="1"/>
  <c r="AF670" i="2" a="1"/>
  <c r="AF670" i="2" s="1"/>
  <c r="AE670" i="2" a="1"/>
  <c r="AE670" i="2" s="1"/>
  <c r="AD670" i="2" a="1"/>
  <c r="AD670" i="2" s="1"/>
  <c r="AC670" i="2" a="1"/>
  <c r="AC670" i="2" s="1"/>
  <c r="AB670" i="2"/>
  <c r="AA670" i="2" a="1"/>
  <c r="AA670" i="2" s="1"/>
  <c r="Z670" i="2" a="1"/>
  <c r="Z670" i="2" s="1"/>
  <c r="Y670" i="2" a="1"/>
  <c r="Y670" i="2" s="1"/>
  <c r="X670" i="2" a="1"/>
  <c r="X670" i="2" s="1"/>
  <c r="W670" i="2" a="1"/>
  <c r="W670" i="2" s="1"/>
  <c r="BB670" i="2" s="1" a="1"/>
  <c r="BB670" i="2" s="1"/>
  <c r="V670" i="2" a="1"/>
  <c r="V670" i="2" s="1"/>
  <c r="E670" i="2" s="1" a="1"/>
  <c r="E670" i="2" s="1"/>
  <c r="U670" i="2" a="1"/>
  <c r="U670" i="2" s="1"/>
  <c r="T670" i="2" a="1"/>
  <c r="T670" i="2" s="1"/>
  <c r="S670" i="2" a="1"/>
  <c r="S670" i="2" s="1"/>
  <c r="R670" i="2" a="1"/>
  <c r="R670" i="2" s="1"/>
  <c r="Q670" i="2" a="1"/>
  <c r="Q670" i="2" s="1"/>
  <c r="P670" i="2" a="1"/>
  <c r="P670" i="2" s="1"/>
  <c r="O670" i="2" a="1"/>
  <c r="O670" i="2" s="1"/>
  <c r="N670" i="2" a="1"/>
  <c r="N670" i="2" s="1"/>
  <c r="M670" i="2" a="1"/>
  <c r="M670" i="2" s="1"/>
  <c r="L670" i="2" a="1"/>
  <c r="L670" i="2" s="1"/>
  <c r="K670" i="2" a="1"/>
  <c r="K670" i="2" s="1"/>
  <c r="J670" i="2" a="1"/>
  <c r="J670" i="2" s="1"/>
  <c r="I670" i="2" a="1"/>
  <c r="I670" i="2" s="1"/>
  <c r="H670" i="2" a="1"/>
  <c r="H670" i="2" s="1"/>
  <c r="F670" i="2" a="1"/>
  <c r="F670" i="2" s="1"/>
  <c r="D670" i="2" a="1"/>
  <c r="D670" i="2" s="1"/>
  <c r="B670" i="2" a="1"/>
  <c r="B670" i="2" s="1"/>
  <c r="BD669" i="2" a="1"/>
  <c r="BD669" i="2" s="1"/>
  <c r="BC669" i="2" a="1"/>
  <c r="BC669" i="2" s="1"/>
  <c r="BA669" i="2" a="1"/>
  <c r="BA669" i="2" s="1"/>
  <c r="AZ669" i="2" a="1"/>
  <c r="AZ669" i="2" s="1"/>
  <c r="AY669" i="2" a="1"/>
  <c r="AY669" i="2" s="1"/>
  <c r="AX669" i="2" a="1"/>
  <c r="AX669" i="2" s="1"/>
  <c r="AW669" i="2" a="1"/>
  <c r="AW669" i="2" s="1"/>
  <c r="AV669" i="2" a="1"/>
  <c r="AV669" i="2" s="1"/>
  <c r="AU669" i="2" a="1"/>
  <c r="AU669" i="2" s="1"/>
  <c r="AT669" i="2" a="1"/>
  <c r="AT669" i="2" s="1"/>
  <c r="AS669" i="2" a="1"/>
  <c r="AS669" i="2" s="1"/>
  <c r="AR669" i="2" a="1"/>
  <c r="AR669" i="2" s="1"/>
  <c r="AQ669" i="2" a="1"/>
  <c r="AQ669" i="2" s="1"/>
  <c r="AP669" i="2" a="1"/>
  <c r="AP669" i="2" s="1"/>
  <c r="AO669" i="2" a="1"/>
  <c r="AO669" i="2" s="1"/>
  <c r="AN669" i="2" a="1"/>
  <c r="AN669" i="2" s="1"/>
  <c r="AM669" i="2" a="1"/>
  <c r="AM669" i="2" s="1"/>
  <c r="AL669" i="2" a="1"/>
  <c r="AL669" i="2" s="1"/>
  <c r="AK669" i="2" a="1"/>
  <c r="AK669" i="2" s="1"/>
  <c r="AJ669" i="2" a="1"/>
  <c r="AJ669" i="2" s="1"/>
  <c r="AI669" i="2" a="1"/>
  <c r="AI669" i="2" s="1"/>
  <c r="AH669" i="2" a="1"/>
  <c r="AH669" i="2" s="1"/>
  <c r="AG669" i="2" a="1"/>
  <c r="AG669" i="2" s="1"/>
  <c r="AF669" i="2" a="1"/>
  <c r="AF669" i="2" s="1"/>
  <c r="AE669" i="2" a="1"/>
  <c r="AE669" i="2" s="1"/>
  <c r="AD669" i="2" a="1"/>
  <c r="AD669" i="2" s="1"/>
  <c r="AC669" i="2" a="1"/>
  <c r="AC669" i="2" s="1"/>
  <c r="AB669" i="2"/>
  <c r="AA669" i="2" a="1"/>
  <c r="AA669" i="2" s="1"/>
  <c r="Z669" i="2" a="1"/>
  <c r="Z669" i="2" s="1"/>
  <c r="Y669" i="2" a="1"/>
  <c r="Y669" i="2" s="1"/>
  <c r="X669" i="2" a="1"/>
  <c r="X669" i="2" s="1"/>
  <c r="W669" i="2" a="1"/>
  <c r="W669" i="2" s="1"/>
  <c r="BB669" i="2" s="1" a="1"/>
  <c r="BB669" i="2" s="1"/>
  <c r="V669" i="2" a="1"/>
  <c r="V669" i="2" s="1"/>
  <c r="E669" i="2" s="1" a="1"/>
  <c r="E669" i="2" s="1"/>
  <c r="U669" i="2" a="1"/>
  <c r="U669" i="2" s="1"/>
  <c r="T669" i="2" a="1"/>
  <c r="T669" i="2" s="1"/>
  <c r="S669" i="2" a="1"/>
  <c r="S669" i="2" s="1"/>
  <c r="R669" i="2" a="1"/>
  <c r="R669" i="2" s="1"/>
  <c r="Q669" i="2" a="1"/>
  <c r="Q669" i="2" s="1"/>
  <c r="P669" i="2" a="1"/>
  <c r="P669" i="2" s="1"/>
  <c r="O669" i="2" a="1"/>
  <c r="O669" i="2" s="1"/>
  <c r="N669" i="2" a="1"/>
  <c r="N669" i="2" s="1"/>
  <c r="M669" i="2" a="1"/>
  <c r="M669" i="2" s="1"/>
  <c r="L669" i="2" a="1"/>
  <c r="L669" i="2" s="1"/>
  <c r="K669" i="2" a="1"/>
  <c r="K669" i="2" s="1"/>
  <c r="J669" i="2" a="1"/>
  <c r="J669" i="2" s="1"/>
  <c r="I669" i="2" a="1"/>
  <c r="I669" i="2" s="1"/>
  <c r="H669" i="2" a="1"/>
  <c r="H669" i="2" s="1"/>
  <c r="F669" i="2" a="1"/>
  <c r="F669" i="2" s="1"/>
  <c r="D669" i="2" a="1"/>
  <c r="D669" i="2" s="1"/>
  <c r="B669" i="2" a="1"/>
  <c r="B669" i="2" s="1"/>
  <c r="BD668" i="2" a="1"/>
  <c r="BD668" i="2" s="1"/>
  <c r="BC668" i="2" a="1"/>
  <c r="BC668" i="2" s="1"/>
  <c r="BA668" i="2" a="1"/>
  <c r="BA668" i="2" s="1"/>
  <c r="AZ668" i="2" a="1"/>
  <c r="AZ668" i="2" s="1"/>
  <c r="AY668" i="2" a="1"/>
  <c r="AY668" i="2" s="1"/>
  <c r="AX668" i="2" a="1"/>
  <c r="AX668" i="2" s="1"/>
  <c r="AW668" i="2" a="1"/>
  <c r="AW668" i="2" s="1"/>
  <c r="AV668" i="2" a="1"/>
  <c r="AV668" i="2" s="1"/>
  <c r="AU668" i="2" a="1"/>
  <c r="AU668" i="2" s="1"/>
  <c r="AT668" i="2" a="1"/>
  <c r="AT668" i="2" s="1"/>
  <c r="AS668" i="2" a="1"/>
  <c r="AS668" i="2" s="1"/>
  <c r="AR668" i="2" a="1"/>
  <c r="AR668" i="2" s="1"/>
  <c r="AQ668" i="2" a="1"/>
  <c r="AQ668" i="2" s="1"/>
  <c r="AP668" i="2" a="1"/>
  <c r="AP668" i="2" s="1"/>
  <c r="AO668" i="2" a="1"/>
  <c r="AO668" i="2" s="1"/>
  <c r="AN668" i="2" a="1"/>
  <c r="AN668" i="2" s="1"/>
  <c r="AM668" i="2" a="1"/>
  <c r="AM668" i="2" s="1"/>
  <c r="AL668" i="2" a="1"/>
  <c r="AL668" i="2" s="1"/>
  <c r="AK668" i="2" a="1"/>
  <c r="AK668" i="2" s="1"/>
  <c r="AJ668" i="2" a="1"/>
  <c r="AJ668" i="2" s="1"/>
  <c r="AI668" i="2" a="1"/>
  <c r="AI668" i="2" s="1"/>
  <c r="AH668" i="2" a="1"/>
  <c r="AH668" i="2" s="1"/>
  <c r="AG668" i="2" a="1"/>
  <c r="AG668" i="2" s="1"/>
  <c r="AF668" i="2" a="1"/>
  <c r="AF668" i="2" s="1"/>
  <c r="AE668" i="2" a="1"/>
  <c r="AE668" i="2" s="1"/>
  <c r="AD668" i="2" a="1"/>
  <c r="AD668" i="2" s="1"/>
  <c r="AC668" i="2" a="1"/>
  <c r="AC668" i="2" s="1"/>
  <c r="AB668" i="2"/>
  <c r="AA668" i="2" a="1"/>
  <c r="AA668" i="2" s="1"/>
  <c r="Z668" i="2" a="1"/>
  <c r="Z668" i="2" s="1"/>
  <c r="Y668" i="2" a="1"/>
  <c r="Y668" i="2" s="1"/>
  <c r="X668" i="2" a="1"/>
  <c r="X668" i="2" s="1"/>
  <c r="W668" i="2" a="1"/>
  <c r="W668" i="2" s="1"/>
  <c r="BB668" i="2" s="1" a="1"/>
  <c r="BB668" i="2" s="1"/>
  <c r="V668" i="2" a="1"/>
  <c r="V668" i="2" s="1"/>
  <c r="E668" i="2" s="1" a="1"/>
  <c r="E668" i="2" s="1"/>
  <c r="U668" i="2" a="1"/>
  <c r="U668" i="2" s="1"/>
  <c r="T668" i="2" a="1"/>
  <c r="T668" i="2" s="1"/>
  <c r="S668" i="2" a="1"/>
  <c r="S668" i="2" s="1"/>
  <c r="R668" i="2" a="1"/>
  <c r="R668" i="2" s="1"/>
  <c r="Q668" i="2" a="1"/>
  <c r="Q668" i="2" s="1"/>
  <c r="P668" i="2" a="1"/>
  <c r="P668" i="2" s="1"/>
  <c r="O668" i="2" a="1"/>
  <c r="O668" i="2" s="1"/>
  <c r="N668" i="2" a="1"/>
  <c r="N668" i="2" s="1"/>
  <c r="M668" i="2" a="1"/>
  <c r="M668" i="2" s="1"/>
  <c r="L668" i="2" a="1"/>
  <c r="L668" i="2" s="1"/>
  <c r="K668" i="2" a="1"/>
  <c r="K668" i="2" s="1"/>
  <c r="J668" i="2" a="1"/>
  <c r="J668" i="2" s="1"/>
  <c r="I668" i="2" a="1"/>
  <c r="I668" i="2" s="1"/>
  <c r="H668" i="2" a="1"/>
  <c r="H668" i="2" s="1"/>
  <c r="F668" i="2" a="1"/>
  <c r="F668" i="2" s="1"/>
  <c r="D668" i="2" a="1"/>
  <c r="D668" i="2" s="1"/>
  <c r="B668" i="2" a="1"/>
  <c r="B668" i="2" s="1"/>
  <c r="BD667" i="2" a="1"/>
  <c r="BD667" i="2" s="1"/>
  <c r="BC667" i="2" a="1"/>
  <c r="BC667" i="2" s="1"/>
  <c r="BA667" i="2" a="1"/>
  <c r="BA667" i="2" s="1"/>
  <c r="AZ667" i="2" a="1"/>
  <c r="AZ667" i="2" s="1"/>
  <c r="AY667" i="2" a="1"/>
  <c r="AY667" i="2" s="1"/>
  <c r="AX667" i="2" a="1"/>
  <c r="AX667" i="2" s="1"/>
  <c r="AW667" i="2" a="1"/>
  <c r="AW667" i="2" s="1"/>
  <c r="AV667" i="2" a="1"/>
  <c r="AV667" i="2" s="1"/>
  <c r="AU667" i="2" a="1"/>
  <c r="AU667" i="2" s="1"/>
  <c r="AT667" i="2" a="1"/>
  <c r="AT667" i="2" s="1"/>
  <c r="AS667" i="2" a="1"/>
  <c r="AS667" i="2" s="1"/>
  <c r="AR667" i="2" a="1"/>
  <c r="AR667" i="2" s="1"/>
  <c r="AQ667" i="2" a="1"/>
  <c r="AQ667" i="2" s="1"/>
  <c r="AP667" i="2" a="1"/>
  <c r="AP667" i="2" s="1"/>
  <c r="AO667" i="2" a="1"/>
  <c r="AO667" i="2" s="1"/>
  <c r="AN667" i="2" a="1"/>
  <c r="AN667" i="2" s="1"/>
  <c r="AM667" i="2" a="1"/>
  <c r="AM667" i="2" s="1"/>
  <c r="AL667" i="2" a="1"/>
  <c r="AL667" i="2" s="1"/>
  <c r="AK667" i="2" a="1"/>
  <c r="AK667" i="2" s="1"/>
  <c r="AJ667" i="2" a="1"/>
  <c r="AJ667" i="2" s="1"/>
  <c r="AI667" i="2" a="1"/>
  <c r="AI667" i="2" s="1"/>
  <c r="AH667" i="2" a="1"/>
  <c r="AH667" i="2" s="1"/>
  <c r="AG667" i="2" a="1"/>
  <c r="AG667" i="2" s="1"/>
  <c r="AF667" i="2" a="1"/>
  <c r="AF667" i="2" s="1"/>
  <c r="AE667" i="2" a="1"/>
  <c r="AE667" i="2" s="1"/>
  <c r="AD667" i="2" a="1"/>
  <c r="AD667" i="2" s="1"/>
  <c r="AC667" i="2" a="1"/>
  <c r="AC667" i="2" s="1"/>
  <c r="AB667" i="2"/>
  <c r="AA667" i="2" a="1"/>
  <c r="AA667" i="2" s="1"/>
  <c r="Z667" i="2" a="1"/>
  <c r="Z667" i="2" s="1"/>
  <c r="Y667" i="2" a="1"/>
  <c r="Y667" i="2" s="1"/>
  <c r="X667" i="2" a="1"/>
  <c r="X667" i="2" s="1"/>
  <c r="W667" i="2" a="1"/>
  <c r="W667" i="2" s="1"/>
  <c r="BB667" i="2" s="1" a="1"/>
  <c r="BB667" i="2" s="1"/>
  <c r="V667" i="2" a="1"/>
  <c r="V667" i="2" s="1"/>
  <c r="E667" i="2" s="1" a="1"/>
  <c r="E667" i="2" s="1"/>
  <c r="U667" i="2" a="1"/>
  <c r="U667" i="2" s="1"/>
  <c r="T667" i="2" a="1"/>
  <c r="T667" i="2" s="1"/>
  <c r="S667" i="2" a="1"/>
  <c r="S667" i="2" s="1"/>
  <c r="R667" i="2" a="1"/>
  <c r="R667" i="2" s="1"/>
  <c r="Q667" i="2" a="1"/>
  <c r="Q667" i="2" s="1"/>
  <c r="P667" i="2" a="1"/>
  <c r="P667" i="2" s="1"/>
  <c r="O667" i="2" a="1"/>
  <c r="O667" i="2" s="1"/>
  <c r="N667" i="2" a="1"/>
  <c r="N667" i="2" s="1"/>
  <c r="M667" i="2" a="1"/>
  <c r="M667" i="2" s="1"/>
  <c r="L667" i="2" a="1"/>
  <c r="L667" i="2" s="1"/>
  <c r="K667" i="2" a="1"/>
  <c r="K667" i="2" s="1"/>
  <c r="J667" i="2" a="1"/>
  <c r="J667" i="2" s="1"/>
  <c r="I667" i="2" a="1"/>
  <c r="I667" i="2" s="1"/>
  <c r="H667" i="2" a="1"/>
  <c r="H667" i="2" s="1"/>
  <c r="F667" i="2" a="1"/>
  <c r="F667" i="2" s="1"/>
  <c r="D667" i="2" a="1"/>
  <c r="D667" i="2" s="1"/>
  <c r="B667" i="2" a="1"/>
  <c r="B667" i="2" s="1"/>
  <c r="BD666" i="2" a="1"/>
  <c r="BD666" i="2" s="1"/>
  <c r="BC666" i="2" a="1"/>
  <c r="BC666" i="2" s="1"/>
  <c r="BA666" i="2" a="1"/>
  <c r="BA666" i="2" s="1"/>
  <c r="AZ666" i="2" a="1"/>
  <c r="AZ666" i="2" s="1"/>
  <c r="AY666" i="2" a="1"/>
  <c r="AY666" i="2" s="1"/>
  <c r="AX666" i="2" a="1"/>
  <c r="AX666" i="2" s="1"/>
  <c r="AW666" i="2" a="1"/>
  <c r="AW666" i="2" s="1"/>
  <c r="AV666" i="2" a="1"/>
  <c r="AV666" i="2" s="1"/>
  <c r="AU666" i="2" a="1"/>
  <c r="AU666" i="2" s="1"/>
  <c r="AT666" i="2" a="1"/>
  <c r="AT666" i="2" s="1"/>
  <c r="AS666" i="2" a="1"/>
  <c r="AS666" i="2" s="1"/>
  <c r="AR666" i="2" a="1"/>
  <c r="AR666" i="2" s="1"/>
  <c r="AQ666" i="2" a="1"/>
  <c r="AQ666" i="2" s="1"/>
  <c r="AP666" i="2" a="1"/>
  <c r="AP666" i="2" s="1"/>
  <c r="AO666" i="2" a="1"/>
  <c r="AO666" i="2" s="1"/>
  <c r="AN666" i="2" a="1"/>
  <c r="AN666" i="2" s="1"/>
  <c r="AM666" i="2" a="1"/>
  <c r="AM666" i="2" s="1"/>
  <c r="AL666" i="2" a="1"/>
  <c r="AL666" i="2" s="1"/>
  <c r="AK666" i="2" a="1"/>
  <c r="AK666" i="2" s="1"/>
  <c r="AJ666" i="2" a="1"/>
  <c r="AJ666" i="2" s="1"/>
  <c r="AI666" i="2" a="1"/>
  <c r="AI666" i="2" s="1"/>
  <c r="AH666" i="2" a="1"/>
  <c r="AH666" i="2" s="1"/>
  <c r="AG666" i="2" a="1"/>
  <c r="AG666" i="2" s="1"/>
  <c r="AF666" i="2" a="1"/>
  <c r="AF666" i="2" s="1"/>
  <c r="AE666" i="2" a="1"/>
  <c r="AE666" i="2" s="1"/>
  <c r="AD666" i="2" a="1"/>
  <c r="AD666" i="2" s="1"/>
  <c r="AC666" i="2" a="1"/>
  <c r="AC666" i="2" s="1"/>
  <c r="AB666" i="2"/>
  <c r="AA666" i="2" a="1"/>
  <c r="AA666" i="2" s="1"/>
  <c r="Z666" i="2" a="1"/>
  <c r="Z666" i="2" s="1"/>
  <c r="Y666" i="2" a="1"/>
  <c r="Y666" i="2" s="1"/>
  <c r="X666" i="2" a="1"/>
  <c r="X666" i="2" s="1"/>
  <c r="W666" i="2" a="1"/>
  <c r="W666" i="2" s="1"/>
  <c r="BB666" i="2" s="1" a="1"/>
  <c r="BB666" i="2" s="1"/>
  <c r="V666" i="2" a="1"/>
  <c r="V666" i="2" s="1"/>
  <c r="E666" i="2" s="1" a="1"/>
  <c r="E666" i="2" s="1"/>
  <c r="U666" i="2" a="1"/>
  <c r="U666" i="2" s="1"/>
  <c r="T666" i="2" a="1"/>
  <c r="T666" i="2" s="1"/>
  <c r="S666" i="2" a="1"/>
  <c r="S666" i="2" s="1"/>
  <c r="R666" i="2" a="1"/>
  <c r="R666" i="2" s="1"/>
  <c r="Q666" i="2" a="1"/>
  <c r="Q666" i="2" s="1"/>
  <c r="P666" i="2" a="1"/>
  <c r="P666" i="2" s="1"/>
  <c r="O666" i="2" a="1"/>
  <c r="O666" i="2" s="1"/>
  <c r="N666" i="2" a="1"/>
  <c r="N666" i="2" s="1"/>
  <c r="M666" i="2" a="1"/>
  <c r="M666" i="2" s="1"/>
  <c r="L666" i="2" a="1"/>
  <c r="L666" i="2" s="1"/>
  <c r="K666" i="2" a="1"/>
  <c r="K666" i="2" s="1"/>
  <c r="J666" i="2" a="1"/>
  <c r="J666" i="2" s="1"/>
  <c r="I666" i="2" a="1"/>
  <c r="I666" i="2" s="1"/>
  <c r="H666" i="2" a="1"/>
  <c r="H666" i="2" s="1"/>
  <c r="F666" i="2" a="1"/>
  <c r="F666" i="2" s="1"/>
  <c r="D666" i="2" a="1"/>
  <c r="D666" i="2" s="1"/>
  <c r="B666" i="2" a="1"/>
  <c r="B666" i="2" s="1"/>
  <c r="BD665" i="2" a="1"/>
  <c r="BD665" i="2" s="1"/>
  <c r="BC665" i="2" a="1"/>
  <c r="BC665" i="2" s="1"/>
  <c r="BA665" i="2" a="1"/>
  <c r="BA665" i="2" s="1"/>
  <c r="AZ665" i="2" a="1"/>
  <c r="AZ665" i="2" s="1"/>
  <c r="AY665" i="2" a="1"/>
  <c r="AY665" i="2" s="1"/>
  <c r="AX665" i="2" a="1"/>
  <c r="AX665" i="2" s="1"/>
  <c r="AW665" i="2" a="1"/>
  <c r="AW665" i="2" s="1"/>
  <c r="AV665" i="2" a="1"/>
  <c r="AV665" i="2" s="1"/>
  <c r="AU665" i="2" a="1"/>
  <c r="AU665" i="2" s="1"/>
  <c r="AT665" i="2" a="1"/>
  <c r="AT665" i="2" s="1"/>
  <c r="AS665" i="2" a="1"/>
  <c r="AS665" i="2" s="1"/>
  <c r="AR665" i="2" a="1"/>
  <c r="AR665" i="2" s="1"/>
  <c r="AQ665" i="2" a="1"/>
  <c r="AQ665" i="2" s="1"/>
  <c r="AP665" i="2" a="1"/>
  <c r="AP665" i="2" s="1"/>
  <c r="AO665" i="2" a="1"/>
  <c r="AO665" i="2" s="1"/>
  <c r="AN665" i="2" a="1"/>
  <c r="AN665" i="2" s="1"/>
  <c r="AM665" i="2" a="1"/>
  <c r="AM665" i="2" s="1"/>
  <c r="AL665" i="2" a="1"/>
  <c r="AL665" i="2" s="1"/>
  <c r="AK665" i="2" a="1"/>
  <c r="AK665" i="2" s="1"/>
  <c r="AJ665" i="2" a="1"/>
  <c r="AJ665" i="2" s="1"/>
  <c r="AI665" i="2" a="1"/>
  <c r="AI665" i="2" s="1"/>
  <c r="AH665" i="2" a="1"/>
  <c r="AH665" i="2" s="1"/>
  <c r="AG665" i="2" a="1"/>
  <c r="AG665" i="2" s="1"/>
  <c r="AF665" i="2" a="1"/>
  <c r="AF665" i="2" s="1"/>
  <c r="AE665" i="2" a="1"/>
  <c r="AE665" i="2" s="1"/>
  <c r="AD665" i="2" a="1"/>
  <c r="AD665" i="2" s="1"/>
  <c r="AC665" i="2" a="1"/>
  <c r="AC665" i="2" s="1"/>
  <c r="AB665" i="2"/>
  <c r="AA665" i="2" a="1"/>
  <c r="AA665" i="2" s="1"/>
  <c r="Z665" i="2" a="1"/>
  <c r="Z665" i="2" s="1"/>
  <c r="Y665" i="2" a="1"/>
  <c r="Y665" i="2" s="1"/>
  <c r="X665" i="2" a="1"/>
  <c r="X665" i="2" s="1"/>
  <c r="W665" i="2" a="1"/>
  <c r="W665" i="2" s="1"/>
  <c r="BB665" i="2" s="1" a="1"/>
  <c r="BB665" i="2" s="1"/>
  <c r="V665" i="2" a="1"/>
  <c r="V665" i="2" s="1"/>
  <c r="E665" i="2" s="1" a="1"/>
  <c r="E665" i="2" s="1"/>
  <c r="U665" i="2" a="1"/>
  <c r="U665" i="2" s="1"/>
  <c r="T665" i="2" a="1"/>
  <c r="T665" i="2" s="1"/>
  <c r="S665" i="2" a="1"/>
  <c r="S665" i="2" s="1"/>
  <c r="R665" i="2" a="1"/>
  <c r="R665" i="2" s="1"/>
  <c r="Q665" i="2" a="1"/>
  <c r="Q665" i="2" s="1"/>
  <c r="P665" i="2" a="1"/>
  <c r="P665" i="2" s="1"/>
  <c r="O665" i="2" a="1"/>
  <c r="O665" i="2" s="1"/>
  <c r="N665" i="2" a="1"/>
  <c r="N665" i="2" s="1"/>
  <c r="M665" i="2" a="1"/>
  <c r="M665" i="2" s="1"/>
  <c r="L665" i="2" a="1"/>
  <c r="L665" i="2" s="1"/>
  <c r="K665" i="2" a="1"/>
  <c r="K665" i="2" s="1"/>
  <c r="J665" i="2" a="1"/>
  <c r="J665" i="2" s="1"/>
  <c r="I665" i="2" a="1"/>
  <c r="I665" i="2" s="1"/>
  <c r="H665" i="2" a="1"/>
  <c r="H665" i="2" s="1"/>
  <c r="F665" i="2" a="1"/>
  <c r="F665" i="2" s="1"/>
  <c r="D665" i="2" a="1"/>
  <c r="D665" i="2" s="1"/>
  <c r="B665" i="2" a="1"/>
  <c r="B665" i="2" s="1"/>
  <c r="BD661" i="2" a="1"/>
  <c r="BD661" i="2" s="1"/>
  <c r="BC661" i="2" a="1"/>
  <c r="BC661" i="2" s="1"/>
  <c r="AZ661" i="2" a="1"/>
  <c r="AZ661" i="2" s="1"/>
  <c r="AY661" i="2" a="1"/>
  <c r="AY661" i="2" s="1"/>
  <c r="AX661" i="2" a="1"/>
  <c r="AX661" i="2" s="1"/>
  <c r="AW661" i="2" a="1"/>
  <c r="AW661" i="2" s="1"/>
  <c r="AV661" i="2" a="1"/>
  <c r="AV661" i="2" s="1"/>
  <c r="AU661" i="2" a="1"/>
  <c r="AU661" i="2" s="1"/>
  <c r="AT661" i="2" a="1"/>
  <c r="AT661" i="2" s="1"/>
  <c r="AS661" i="2" a="1"/>
  <c r="AS661" i="2" s="1"/>
  <c r="AR661" i="2" a="1"/>
  <c r="AR661" i="2" s="1"/>
  <c r="AQ661" i="2" a="1"/>
  <c r="AQ661" i="2" s="1"/>
  <c r="AP661" i="2" a="1"/>
  <c r="AP661" i="2" s="1"/>
  <c r="AO661" i="2" a="1"/>
  <c r="AO661" i="2" s="1"/>
  <c r="AN661" i="2" a="1"/>
  <c r="AN661" i="2" s="1"/>
  <c r="AM661" i="2" a="1"/>
  <c r="AM661" i="2" s="1"/>
  <c r="AL661" i="2" a="1"/>
  <c r="AL661" i="2" s="1"/>
  <c r="AK661" i="2" a="1"/>
  <c r="AK661" i="2" s="1"/>
  <c r="AJ661" i="2" a="1"/>
  <c r="AJ661" i="2" s="1"/>
  <c r="AI661" i="2" a="1"/>
  <c r="AI661" i="2" s="1"/>
  <c r="AH661" i="2" a="1"/>
  <c r="AH661" i="2" s="1"/>
  <c r="AG661" i="2" a="1"/>
  <c r="AG661" i="2" s="1"/>
  <c r="AF661" i="2" a="1"/>
  <c r="AF661" i="2" s="1"/>
  <c r="AE661" i="2" a="1"/>
  <c r="AE661" i="2" s="1"/>
  <c r="AD661" i="2" a="1"/>
  <c r="AD661" i="2" s="1"/>
  <c r="AC661" i="2" a="1"/>
  <c r="AC661" i="2" s="1"/>
  <c r="AB661" i="2" a="1"/>
  <c r="AB661" i="2" s="1"/>
  <c r="AA661" i="2" a="1"/>
  <c r="AA661" i="2" s="1"/>
  <c r="Z661" i="2" a="1"/>
  <c r="Z661" i="2" s="1"/>
  <c r="Y661" i="2" a="1"/>
  <c r="Y661" i="2" s="1"/>
  <c r="X661" i="2" a="1"/>
  <c r="X661" i="2" s="1"/>
  <c r="W661" i="2" a="1"/>
  <c r="W661" i="2" s="1"/>
  <c r="V661" i="2" a="1"/>
  <c r="V661" i="2" s="1"/>
  <c r="E661" i="2" s="1" a="1"/>
  <c r="E661" i="2" s="1"/>
  <c r="U661" i="2" a="1"/>
  <c r="U661" i="2" s="1"/>
  <c r="T661" i="2" a="1"/>
  <c r="T661" i="2" s="1"/>
  <c r="S661" i="2" a="1"/>
  <c r="S661" i="2" s="1"/>
  <c r="R661" i="2" a="1"/>
  <c r="R661" i="2" s="1"/>
  <c r="Q661" i="2" a="1"/>
  <c r="Q661" i="2" s="1"/>
  <c r="P661" i="2" a="1"/>
  <c r="P661" i="2" s="1"/>
  <c r="O661" i="2" a="1"/>
  <c r="O661" i="2" s="1"/>
  <c r="N661" i="2" a="1"/>
  <c r="N661" i="2" s="1"/>
  <c r="M661" i="2" a="1"/>
  <c r="M661" i="2" s="1"/>
  <c r="L661" i="2" a="1"/>
  <c r="L661" i="2" s="1"/>
  <c r="K661" i="2" a="1"/>
  <c r="K661" i="2" s="1"/>
  <c r="J661" i="2" a="1"/>
  <c r="J661" i="2" s="1"/>
  <c r="I661" i="2" a="1"/>
  <c r="I661" i="2" s="1"/>
  <c r="H661" i="2" a="1"/>
  <c r="H661" i="2" s="1"/>
  <c r="F661" i="2" a="1"/>
  <c r="F661" i="2" s="1"/>
  <c r="D661" i="2" a="1"/>
  <c r="D661" i="2" s="1"/>
  <c r="B661" i="2" a="1"/>
  <c r="B661" i="2" s="1"/>
  <c r="BD657" i="2" a="1"/>
  <c r="BD657" i="2" s="1"/>
  <c r="BC657" i="2" a="1"/>
  <c r="BC657" i="2" s="1"/>
  <c r="BA657" i="2" a="1"/>
  <c r="BA657" i="2" s="1"/>
  <c r="AZ657" i="2" a="1"/>
  <c r="AZ657" i="2" s="1"/>
  <c r="AY657" i="2" a="1"/>
  <c r="AY657" i="2" s="1"/>
  <c r="AX657" i="2" a="1"/>
  <c r="AX657" i="2" s="1"/>
  <c r="AW657" i="2" a="1"/>
  <c r="AW657" i="2" s="1"/>
  <c r="AV657" i="2" a="1"/>
  <c r="AV657" i="2" s="1"/>
  <c r="AU657" i="2" a="1"/>
  <c r="AU657" i="2" s="1"/>
  <c r="AT657" i="2" a="1"/>
  <c r="AT657" i="2" s="1"/>
  <c r="AS657" i="2" a="1"/>
  <c r="AS657" i="2" s="1"/>
  <c r="AR657" i="2" a="1"/>
  <c r="AR657" i="2" s="1"/>
  <c r="AQ657" i="2" a="1"/>
  <c r="AQ657" i="2" s="1"/>
  <c r="AP657" i="2" a="1"/>
  <c r="AP657" i="2" s="1"/>
  <c r="AO657" i="2" a="1"/>
  <c r="AO657" i="2" s="1"/>
  <c r="AN657" i="2" a="1"/>
  <c r="AN657" i="2" s="1"/>
  <c r="AM657" i="2" a="1"/>
  <c r="AM657" i="2" s="1"/>
  <c r="AL657" i="2" a="1"/>
  <c r="AL657" i="2" s="1"/>
  <c r="AK657" i="2" a="1"/>
  <c r="AK657" i="2" s="1"/>
  <c r="AJ657" i="2" a="1"/>
  <c r="AJ657" i="2" s="1"/>
  <c r="AI657" i="2" a="1"/>
  <c r="AI657" i="2" s="1"/>
  <c r="AH657" i="2" a="1"/>
  <c r="AH657" i="2" s="1"/>
  <c r="AG657" i="2" a="1"/>
  <c r="AG657" i="2" s="1"/>
  <c r="AF657" i="2" a="1"/>
  <c r="AF657" i="2" s="1"/>
  <c r="AE657" i="2" a="1"/>
  <c r="AE657" i="2" s="1"/>
  <c r="AD657" i="2" a="1"/>
  <c r="AD657" i="2" s="1"/>
  <c r="AC657" i="2" a="1"/>
  <c r="AC657" i="2" s="1"/>
  <c r="AB657" i="2"/>
  <c r="AA657" i="2" a="1"/>
  <c r="AA657" i="2" s="1"/>
  <c r="Z657" i="2" a="1"/>
  <c r="Z657" i="2" s="1"/>
  <c r="Y657" i="2" a="1"/>
  <c r="Y657" i="2" s="1"/>
  <c r="X657" i="2" a="1"/>
  <c r="X657" i="2" s="1"/>
  <c r="W657" i="2" a="1"/>
  <c r="W657" i="2" s="1"/>
  <c r="BB657" i="2" s="1" a="1"/>
  <c r="BB657" i="2" s="1"/>
  <c r="V657" i="2" a="1"/>
  <c r="V657" i="2" s="1"/>
  <c r="E657" i="2" s="1" a="1"/>
  <c r="E657" i="2" s="1"/>
  <c r="U657" i="2" a="1"/>
  <c r="U657" i="2" s="1"/>
  <c r="T657" i="2" a="1"/>
  <c r="T657" i="2" s="1"/>
  <c r="S657" i="2" a="1"/>
  <c r="S657" i="2" s="1"/>
  <c r="R657" i="2" a="1"/>
  <c r="R657" i="2" s="1"/>
  <c r="Q657" i="2" a="1"/>
  <c r="Q657" i="2" s="1"/>
  <c r="P657" i="2" a="1"/>
  <c r="P657" i="2" s="1"/>
  <c r="O657" i="2" a="1"/>
  <c r="O657" i="2" s="1"/>
  <c r="N657" i="2" a="1"/>
  <c r="N657" i="2" s="1"/>
  <c r="M657" i="2" a="1"/>
  <c r="M657" i="2" s="1"/>
  <c r="L657" i="2" a="1"/>
  <c r="L657" i="2" s="1"/>
  <c r="K657" i="2" a="1"/>
  <c r="K657" i="2" s="1"/>
  <c r="J657" i="2" a="1"/>
  <c r="J657" i="2" s="1"/>
  <c r="I657" i="2" a="1"/>
  <c r="I657" i="2" s="1"/>
  <c r="H657" i="2" a="1"/>
  <c r="H657" i="2" s="1"/>
  <c r="F657" i="2" a="1"/>
  <c r="F657" i="2" s="1"/>
  <c r="D657" i="2" a="1"/>
  <c r="D657" i="2" s="1"/>
  <c r="B657" i="2" a="1"/>
  <c r="B657" i="2" s="1"/>
  <c r="BD656" i="2" a="1"/>
  <c r="BD656" i="2" s="1"/>
  <c r="BC656" i="2" a="1"/>
  <c r="BC656" i="2" s="1"/>
  <c r="BA656" i="2" a="1"/>
  <c r="BA656" i="2" s="1"/>
  <c r="AZ656" i="2" a="1"/>
  <c r="AZ656" i="2" s="1"/>
  <c r="AY656" i="2" a="1"/>
  <c r="AY656" i="2" s="1"/>
  <c r="AX656" i="2" a="1"/>
  <c r="AX656" i="2" s="1"/>
  <c r="AW656" i="2" a="1"/>
  <c r="AW656" i="2" s="1"/>
  <c r="AV656" i="2" a="1"/>
  <c r="AV656" i="2" s="1"/>
  <c r="AU656" i="2" a="1"/>
  <c r="AU656" i="2" s="1"/>
  <c r="AT656" i="2" a="1"/>
  <c r="AT656" i="2" s="1"/>
  <c r="AS656" i="2" a="1"/>
  <c r="AS656" i="2" s="1"/>
  <c r="AR656" i="2" a="1"/>
  <c r="AR656" i="2" s="1"/>
  <c r="AQ656" i="2" a="1"/>
  <c r="AQ656" i="2" s="1"/>
  <c r="AP656" i="2" a="1"/>
  <c r="AP656" i="2" s="1"/>
  <c r="AO656" i="2" a="1"/>
  <c r="AO656" i="2" s="1"/>
  <c r="AN656" i="2" a="1"/>
  <c r="AN656" i="2" s="1"/>
  <c r="AM656" i="2" a="1"/>
  <c r="AM656" i="2" s="1"/>
  <c r="AL656" i="2" a="1"/>
  <c r="AL656" i="2" s="1"/>
  <c r="AK656" i="2" a="1"/>
  <c r="AK656" i="2" s="1"/>
  <c r="AJ656" i="2" a="1"/>
  <c r="AJ656" i="2" s="1"/>
  <c r="AI656" i="2" a="1"/>
  <c r="AI656" i="2" s="1"/>
  <c r="AH656" i="2" a="1"/>
  <c r="AH656" i="2" s="1"/>
  <c r="AG656" i="2" a="1"/>
  <c r="AG656" i="2" s="1"/>
  <c r="AF656" i="2" a="1"/>
  <c r="AF656" i="2" s="1"/>
  <c r="AE656" i="2" a="1"/>
  <c r="AE656" i="2" s="1"/>
  <c r="AD656" i="2" a="1"/>
  <c r="AD656" i="2" s="1"/>
  <c r="AC656" i="2" a="1"/>
  <c r="AC656" i="2" s="1"/>
  <c r="AB656" i="2"/>
  <c r="AA656" i="2" a="1"/>
  <c r="AA656" i="2" s="1"/>
  <c r="Z656" i="2" a="1"/>
  <c r="Z656" i="2" s="1"/>
  <c r="Y656" i="2" a="1"/>
  <c r="Y656" i="2" s="1"/>
  <c r="X656" i="2" a="1"/>
  <c r="X656" i="2" s="1"/>
  <c r="W656" i="2" a="1"/>
  <c r="W656" i="2" s="1"/>
  <c r="BB656" i="2" s="1" a="1"/>
  <c r="BB656" i="2" s="1"/>
  <c r="V656" i="2" a="1"/>
  <c r="V656" i="2" s="1"/>
  <c r="E656" i="2" s="1" a="1"/>
  <c r="E656" i="2" s="1"/>
  <c r="U656" i="2" a="1"/>
  <c r="U656" i="2" s="1"/>
  <c r="T656" i="2" a="1"/>
  <c r="T656" i="2" s="1"/>
  <c r="S656" i="2" a="1"/>
  <c r="S656" i="2" s="1"/>
  <c r="R656" i="2" a="1"/>
  <c r="R656" i="2" s="1"/>
  <c r="Q656" i="2" a="1"/>
  <c r="Q656" i="2" s="1"/>
  <c r="P656" i="2" a="1"/>
  <c r="P656" i="2" s="1"/>
  <c r="O656" i="2" a="1"/>
  <c r="O656" i="2" s="1"/>
  <c r="N656" i="2" a="1"/>
  <c r="N656" i="2" s="1"/>
  <c r="M656" i="2" a="1"/>
  <c r="M656" i="2" s="1"/>
  <c r="L656" i="2" a="1"/>
  <c r="L656" i="2" s="1"/>
  <c r="K656" i="2" a="1"/>
  <c r="K656" i="2" s="1"/>
  <c r="J656" i="2" a="1"/>
  <c r="J656" i="2" s="1"/>
  <c r="I656" i="2" a="1"/>
  <c r="I656" i="2" s="1"/>
  <c r="H656" i="2" a="1"/>
  <c r="H656" i="2" s="1"/>
  <c r="F656" i="2" a="1"/>
  <c r="F656" i="2" s="1"/>
  <c r="D656" i="2" a="1"/>
  <c r="D656" i="2" s="1"/>
  <c r="B656" i="2" a="1"/>
  <c r="B656" i="2" s="1"/>
  <c r="BD655" i="2" a="1"/>
  <c r="BD655" i="2" s="1"/>
  <c r="BC655" i="2" a="1"/>
  <c r="BC655" i="2" s="1"/>
  <c r="BA655" i="2" a="1"/>
  <c r="BA655" i="2" s="1"/>
  <c r="AZ655" i="2" a="1"/>
  <c r="AZ655" i="2" s="1"/>
  <c r="AY655" i="2" a="1"/>
  <c r="AY655" i="2" s="1"/>
  <c r="AX655" i="2" a="1"/>
  <c r="AX655" i="2" s="1"/>
  <c r="AW655" i="2" a="1"/>
  <c r="AW655" i="2" s="1"/>
  <c r="AV655" i="2" a="1"/>
  <c r="AV655" i="2" s="1"/>
  <c r="AU655" i="2" a="1"/>
  <c r="AU655" i="2" s="1"/>
  <c r="AT655" i="2" a="1"/>
  <c r="AT655" i="2" s="1"/>
  <c r="AS655" i="2" a="1"/>
  <c r="AS655" i="2" s="1"/>
  <c r="AR655" i="2" a="1"/>
  <c r="AR655" i="2" s="1"/>
  <c r="AQ655" i="2" a="1"/>
  <c r="AQ655" i="2" s="1"/>
  <c r="AP655" i="2" a="1"/>
  <c r="AP655" i="2" s="1"/>
  <c r="AO655" i="2" a="1"/>
  <c r="AO655" i="2" s="1"/>
  <c r="AN655" i="2" a="1"/>
  <c r="AN655" i="2" s="1"/>
  <c r="AM655" i="2" a="1"/>
  <c r="AM655" i="2" s="1"/>
  <c r="AL655" i="2" a="1"/>
  <c r="AL655" i="2" s="1"/>
  <c r="AK655" i="2" a="1"/>
  <c r="AK655" i="2" s="1"/>
  <c r="AJ655" i="2" a="1"/>
  <c r="AJ655" i="2" s="1"/>
  <c r="AI655" i="2" a="1"/>
  <c r="AI655" i="2" s="1"/>
  <c r="AH655" i="2" a="1"/>
  <c r="AH655" i="2" s="1"/>
  <c r="AG655" i="2" a="1"/>
  <c r="AG655" i="2" s="1"/>
  <c r="AF655" i="2" a="1"/>
  <c r="AF655" i="2" s="1"/>
  <c r="AE655" i="2" a="1"/>
  <c r="AE655" i="2" s="1"/>
  <c r="AD655" i="2" a="1"/>
  <c r="AD655" i="2" s="1"/>
  <c r="AC655" i="2" a="1"/>
  <c r="AC655" i="2" s="1"/>
  <c r="AB655" i="2"/>
  <c r="AA655" i="2" a="1"/>
  <c r="AA655" i="2" s="1"/>
  <c r="Z655" i="2" a="1"/>
  <c r="Z655" i="2" s="1"/>
  <c r="Y655" i="2" a="1"/>
  <c r="Y655" i="2" s="1"/>
  <c r="X655" i="2" a="1"/>
  <c r="X655" i="2" s="1"/>
  <c r="W655" i="2" a="1"/>
  <c r="W655" i="2" s="1"/>
  <c r="BB655" i="2" s="1" a="1"/>
  <c r="BB655" i="2" s="1"/>
  <c r="V655" i="2" a="1"/>
  <c r="V655" i="2" s="1"/>
  <c r="E655" i="2" s="1" a="1"/>
  <c r="E655" i="2" s="1"/>
  <c r="U655" i="2" a="1"/>
  <c r="U655" i="2" s="1"/>
  <c r="T655" i="2" a="1"/>
  <c r="T655" i="2" s="1"/>
  <c r="S655" i="2" a="1"/>
  <c r="S655" i="2" s="1"/>
  <c r="R655" i="2" a="1"/>
  <c r="R655" i="2" s="1"/>
  <c r="Q655" i="2" a="1"/>
  <c r="Q655" i="2" s="1"/>
  <c r="P655" i="2" a="1"/>
  <c r="P655" i="2" s="1"/>
  <c r="O655" i="2" a="1"/>
  <c r="O655" i="2" s="1"/>
  <c r="N655" i="2" a="1"/>
  <c r="N655" i="2" s="1"/>
  <c r="M655" i="2" a="1"/>
  <c r="M655" i="2" s="1"/>
  <c r="L655" i="2" a="1"/>
  <c r="L655" i="2" s="1"/>
  <c r="K655" i="2" a="1"/>
  <c r="K655" i="2" s="1"/>
  <c r="J655" i="2" a="1"/>
  <c r="J655" i="2" s="1"/>
  <c r="I655" i="2" a="1"/>
  <c r="I655" i="2" s="1"/>
  <c r="H655" i="2" a="1"/>
  <c r="H655" i="2" s="1"/>
  <c r="F655" i="2" a="1"/>
  <c r="F655" i="2" s="1"/>
  <c r="D655" i="2" a="1"/>
  <c r="D655" i="2" s="1"/>
  <c r="B655" i="2" a="1"/>
  <c r="B655" i="2" s="1"/>
  <c r="BD654" i="2" a="1"/>
  <c r="BD654" i="2" s="1"/>
  <c r="BC654" i="2" a="1"/>
  <c r="BC654" i="2" s="1"/>
  <c r="BA654" i="2" a="1"/>
  <c r="BA654" i="2" s="1"/>
  <c r="AZ654" i="2" a="1"/>
  <c r="AZ654" i="2" s="1"/>
  <c r="AY654" i="2" a="1"/>
  <c r="AY654" i="2" s="1"/>
  <c r="AX654" i="2" a="1"/>
  <c r="AX654" i="2" s="1"/>
  <c r="AW654" i="2" a="1"/>
  <c r="AW654" i="2" s="1"/>
  <c r="AV654" i="2" a="1"/>
  <c r="AV654" i="2" s="1"/>
  <c r="AU654" i="2" a="1"/>
  <c r="AU654" i="2" s="1"/>
  <c r="AT654" i="2" a="1"/>
  <c r="AT654" i="2" s="1"/>
  <c r="AS654" i="2" a="1"/>
  <c r="AS654" i="2" s="1"/>
  <c r="AR654" i="2" a="1"/>
  <c r="AR654" i="2" s="1"/>
  <c r="AQ654" i="2" a="1"/>
  <c r="AQ654" i="2" s="1"/>
  <c r="AP654" i="2" a="1"/>
  <c r="AP654" i="2" s="1"/>
  <c r="AO654" i="2" a="1"/>
  <c r="AO654" i="2" s="1"/>
  <c r="AN654" i="2" a="1"/>
  <c r="AN654" i="2" s="1"/>
  <c r="AM654" i="2" a="1"/>
  <c r="AM654" i="2" s="1"/>
  <c r="AL654" i="2" a="1"/>
  <c r="AL654" i="2" s="1"/>
  <c r="AK654" i="2" a="1"/>
  <c r="AK654" i="2" s="1"/>
  <c r="AJ654" i="2" a="1"/>
  <c r="AJ654" i="2" s="1"/>
  <c r="AI654" i="2" a="1"/>
  <c r="AI654" i="2" s="1"/>
  <c r="AH654" i="2" a="1"/>
  <c r="AH654" i="2" s="1"/>
  <c r="AG654" i="2" a="1"/>
  <c r="AG654" i="2" s="1"/>
  <c r="AF654" i="2" a="1"/>
  <c r="AF654" i="2" s="1"/>
  <c r="AE654" i="2" a="1"/>
  <c r="AE654" i="2" s="1"/>
  <c r="AD654" i="2" a="1"/>
  <c r="AD654" i="2" s="1"/>
  <c r="AC654" i="2" a="1"/>
  <c r="AC654" i="2" s="1"/>
  <c r="AB654" i="2"/>
  <c r="AA654" i="2" a="1"/>
  <c r="AA654" i="2" s="1"/>
  <c r="Z654" i="2" a="1"/>
  <c r="Z654" i="2" s="1"/>
  <c r="Y654" i="2" a="1"/>
  <c r="Y654" i="2" s="1"/>
  <c r="X654" i="2" a="1"/>
  <c r="X654" i="2" s="1"/>
  <c r="W654" i="2" a="1"/>
  <c r="W654" i="2" s="1"/>
  <c r="BB654" i="2" s="1" a="1"/>
  <c r="BB654" i="2" s="1"/>
  <c r="V654" i="2" a="1"/>
  <c r="V654" i="2" s="1"/>
  <c r="E654" i="2" s="1" a="1"/>
  <c r="E654" i="2" s="1"/>
  <c r="U654" i="2" a="1"/>
  <c r="U654" i="2" s="1"/>
  <c r="T654" i="2" a="1"/>
  <c r="T654" i="2" s="1"/>
  <c r="S654" i="2" a="1"/>
  <c r="S654" i="2" s="1"/>
  <c r="R654" i="2" a="1"/>
  <c r="R654" i="2" s="1"/>
  <c r="Q654" i="2" a="1"/>
  <c r="Q654" i="2" s="1"/>
  <c r="P654" i="2" a="1"/>
  <c r="P654" i="2" s="1"/>
  <c r="O654" i="2" a="1"/>
  <c r="O654" i="2" s="1"/>
  <c r="N654" i="2" a="1"/>
  <c r="N654" i="2" s="1"/>
  <c r="M654" i="2" a="1"/>
  <c r="M654" i="2" s="1"/>
  <c r="L654" i="2" a="1"/>
  <c r="L654" i="2" s="1"/>
  <c r="K654" i="2" a="1"/>
  <c r="K654" i="2" s="1"/>
  <c r="J654" i="2" a="1"/>
  <c r="J654" i="2" s="1"/>
  <c r="I654" i="2" a="1"/>
  <c r="I654" i="2" s="1"/>
  <c r="H654" i="2" a="1"/>
  <c r="H654" i="2" s="1"/>
  <c r="F654" i="2" a="1"/>
  <c r="F654" i="2" s="1"/>
  <c r="D654" i="2" a="1"/>
  <c r="D654" i="2" s="1"/>
  <c r="B654" i="2" a="1"/>
  <c r="B654" i="2" s="1"/>
  <c r="BD653" i="2" a="1"/>
  <c r="BD653" i="2" s="1"/>
  <c r="BC653" i="2" a="1"/>
  <c r="BC653" i="2" s="1"/>
  <c r="BA653" i="2" a="1"/>
  <c r="BA653" i="2" s="1"/>
  <c r="AZ653" i="2" a="1"/>
  <c r="AZ653" i="2" s="1"/>
  <c r="AY653" i="2" a="1"/>
  <c r="AY653" i="2" s="1"/>
  <c r="AX653" i="2" a="1"/>
  <c r="AX653" i="2" s="1"/>
  <c r="AW653" i="2" a="1"/>
  <c r="AW653" i="2" s="1"/>
  <c r="AV653" i="2" a="1"/>
  <c r="AV653" i="2" s="1"/>
  <c r="AU653" i="2" a="1"/>
  <c r="AU653" i="2" s="1"/>
  <c r="AT653" i="2" a="1"/>
  <c r="AT653" i="2" s="1"/>
  <c r="AS653" i="2" a="1"/>
  <c r="AS653" i="2" s="1"/>
  <c r="AR653" i="2" a="1"/>
  <c r="AR653" i="2" s="1"/>
  <c r="AQ653" i="2" a="1"/>
  <c r="AQ653" i="2" s="1"/>
  <c r="AP653" i="2" a="1"/>
  <c r="AP653" i="2" s="1"/>
  <c r="AO653" i="2" a="1"/>
  <c r="AO653" i="2" s="1"/>
  <c r="AN653" i="2" a="1"/>
  <c r="AN653" i="2" s="1"/>
  <c r="AM653" i="2" a="1"/>
  <c r="AM653" i="2" s="1"/>
  <c r="AL653" i="2" a="1"/>
  <c r="AL653" i="2" s="1"/>
  <c r="AK653" i="2" a="1"/>
  <c r="AK653" i="2" s="1"/>
  <c r="AJ653" i="2" a="1"/>
  <c r="AJ653" i="2" s="1"/>
  <c r="AI653" i="2" a="1"/>
  <c r="AI653" i="2" s="1"/>
  <c r="AH653" i="2" a="1"/>
  <c r="AH653" i="2" s="1"/>
  <c r="AG653" i="2" a="1"/>
  <c r="AG653" i="2" s="1"/>
  <c r="AF653" i="2" a="1"/>
  <c r="AF653" i="2" s="1"/>
  <c r="AE653" i="2" a="1"/>
  <c r="AE653" i="2" s="1"/>
  <c r="AD653" i="2" a="1"/>
  <c r="AD653" i="2" s="1"/>
  <c r="AC653" i="2" a="1"/>
  <c r="AC653" i="2" s="1"/>
  <c r="AB653" i="2"/>
  <c r="AA653" i="2" a="1"/>
  <c r="AA653" i="2" s="1"/>
  <c r="Z653" i="2" a="1"/>
  <c r="Z653" i="2" s="1"/>
  <c r="Y653" i="2" a="1"/>
  <c r="Y653" i="2" s="1"/>
  <c r="X653" i="2" a="1"/>
  <c r="X653" i="2" s="1"/>
  <c r="W653" i="2" a="1"/>
  <c r="W653" i="2" s="1"/>
  <c r="BB653" i="2" s="1" a="1"/>
  <c r="BB653" i="2" s="1"/>
  <c r="V653" i="2" a="1"/>
  <c r="V653" i="2" s="1"/>
  <c r="E653" i="2" s="1" a="1"/>
  <c r="E653" i="2" s="1"/>
  <c r="U653" i="2" a="1"/>
  <c r="U653" i="2" s="1"/>
  <c r="T653" i="2" a="1"/>
  <c r="T653" i="2" s="1"/>
  <c r="S653" i="2" a="1"/>
  <c r="S653" i="2" s="1"/>
  <c r="R653" i="2" a="1"/>
  <c r="R653" i="2" s="1"/>
  <c r="Q653" i="2" a="1"/>
  <c r="Q653" i="2" s="1"/>
  <c r="P653" i="2" a="1"/>
  <c r="P653" i="2" s="1"/>
  <c r="O653" i="2" a="1"/>
  <c r="O653" i="2" s="1"/>
  <c r="N653" i="2" a="1"/>
  <c r="N653" i="2" s="1"/>
  <c r="M653" i="2" a="1"/>
  <c r="M653" i="2" s="1"/>
  <c r="L653" i="2" a="1"/>
  <c r="L653" i="2" s="1"/>
  <c r="K653" i="2" a="1"/>
  <c r="K653" i="2" s="1"/>
  <c r="J653" i="2" a="1"/>
  <c r="J653" i="2" s="1"/>
  <c r="I653" i="2" a="1"/>
  <c r="I653" i="2" s="1"/>
  <c r="H653" i="2" a="1"/>
  <c r="H653" i="2" s="1"/>
  <c r="F653" i="2" a="1"/>
  <c r="F653" i="2" s="1"/>
  <c r="D653" i="2" a="1"/>
  <c r="D653" i="2" s="1"/>
  <c r="B653" i="2" a="1"/>
  <c r="B653" i="2" s="1"/>
  <c r="BD652" i="2" a="1"/>
  <c r="BD652" i="2" s="1"/>
  <c r="BC652" i="2" a="1"/>
  <c r="BC652" i="2" s="1"/>
  <c r="BA652" i="2" a="1"/>
  <c r="BA652" i="2" s="1"/>
  <c r="AZ652" i="2" a="1"/>
  <c r="AZ652" i="2" s="1"/>
  <c r="AY652" i="2" a="1"/>
  <c r="AY652" i="2" s="1"/>
  <c r="AX652" i="2" a="1"/>
  <c r="AX652" i="2" s="1"/>
  <c r="AW652" i="2" a="1"/>
  <c r="AW652" i="2" s="1"/>
  <c r="AV652" i="2" a="1"/>
  <c r="AV652" i="2" s="1"/>
  <c r="AU652" i="2" a="1"/>
  <c r="AU652" i="2" s="1"/>
  <c r="AT652" i="2" a="1"/>
  <c r="AT652" i="2" s="1"/>
  <c r="AS652" i="2" a="1"/>
  <c r="AS652" i="2" s="1"/>
  <c r="AR652" i="2" a="1"/>
  <c r="AR652" i="2" s="1"/>
  <c r="AQ652" i="2" a="1"/>
  <c r="AQ652" i="2" s="1"/>
  <c r="AP652" i="2" a="1"/>
  <c r="AP652" i="2" s="1"/>
  <c r="AO652" i="2" a="1"/>
  <c r="AO652" i="2" s="1"/>
  <c r="AN652" i="2" a="1"/>
  <c r="AN652" i="2" s="1"/>
  <c r="AM652" i="2" a="1"/>
  <c r="AM652" i="2" s="1"/>
  <c r="AL652" i="2" a="1"/>
  <c r="AL652" i="2" s="1"/>
  <c r="AK652" i="2" a="1"/>
  <c r="AK652" i="2" s="1"/>
  <c r="AJ652" i="2" a="1"/>
  <c r="AJ652" i="2" s="1"/>
  <c r="AI652" i="2" a="1"/>
  <c r="AI652" i="2" s="1"/>
  <c r="AH652" i="2" a="1"/>
  <c r="AH652" i="2" s="1"/>
  <c r="AG652" i="2" a="1"/>
  <c r="AG652" i="2" s="1"/>
  <c r="AF652" i="2" a="1"/>
  <c r="AF652" i="2" s="1"/>
  <c r="AE652" i="2" a="1"/>
  <c r="AE652" i="2" s="1"/>
  <c r="AD652" i="2" a="1"/>
  <c r="AD652" i="2" s="1"/>
  <c r="AC652" i="2" a="1"/>
  <c r="AC652" i="2" s="1"/>
  <c r="AB652" i="2"/>
  <c r="AA652" i="2" a="1"/>
  <c r="AA652" i="2" s="1"/>
  <c r="Z652" i="2" a="1"/>
  <c r="Z652" i="2" s="1"/>
  <c r="Y652" i="2" a="1"/>
  <c r="Y652" i="2" s="1"/>
  <c r="X652" i="2" a="1"/>
  <c r="X652" i="2" s="1"/>
  <c r="W652" i="2" a="1"/>
  <c r="W652" i="2" s="1"/>
  <c r="BB652" i="2" s="1" a="1"/>
  <c r="BB652" i="2" s="1"/>
  <c r="V652" i="2" a="1"/>
  <c r="V652" i="2" s="1"/>
  <c r="E652" i="2" s="1" a="1"/>
  <c r="E652" i="2" s="1"/>
  <c r="U652" i="2" a="1"/>
  <c r="U652" i="2" s="1"/>
  <c r="T652" i="2" a="1"/>
  <c r="T652" i="2" s="1"/>
  <c r="S652" i="2" a="1"/>
  <c r="S652" i="2" s="1"/>
  <c r="R652" i="2" a="1"/>
  <c r="R652" i="2" s="1"/>
  <c r="Q652" i="2" a="1"/>
  <c r="Q652" i="2" s="1"/>
  <c r="P652" i="2" a="1"/>
  <c r="P652" i="2" s="1"/>
  <c r="O652" i="2" a="1"/>
  <c r="O652" i="2" s="1"/>
  <c r="N652" i="2" a="1"/>
  <c r="N652" i="2" s="1"/>
  <c r="M652" i="2" a="1"/>
  <c r="M652" i="2" s="1"/>
  <c r="L652" i="2" a="1"/>
  <c r="L652" i="2" s="1"/>
  <c r="K652" i="2" a="1"/>
  <c r="K652" i="2" s="1"/>
  <c r="J652" i="2" a="1"/>
  <c r="J652" i="2" s="1"/>
  <c r="I652" i="2" a="1"/>
  <c r="I652" i="2" s="1"/>
  <c r="H652" i="2" a="1"/>
  <c r="H652" i="2" s="1"/>
  <c r="F652" i="2" a="1"/>
  <c r="F652" i="2" s="1"/>
  <c r="D652" i="2" a="1"/>
  <c r="D652" i="2" s="1"/>
  <c r="B652" i="2" a="1"/>
  <c r="B652" i="2" s="1"/>
  <c r="BD651" i="2" a="1"/>
  <c r="BD651" i="2" s="1"/>
  <c r="BC651" i="2" a="1"/>
  <c r="BC651" i="2" s="1"/>
  <c r="BA651" i="2" a="1"/>
  <c r="BA651" i="2" s="1"/>
  <c r="AZ651" i="2" a="1"/>
  <c r="AZ651" i="2" s="1"/>
  <c r="AY651" i="2" a="1"/>
  <c r="AY651" i="2" s="1"/>
  <c r="AX651" i="2" a="1"/>
  <c r="AX651" i="2" s="1"/>
  <c r="AW651" i="2" a="1"/>
  <c r="AW651" i="2" s="1"/>
  <c r="AV651" i="2" a="1"/>
  <c r="AV651" i="2" s="1"/>
  <c r="AU651" i="2" a="1"/>
  <c r="AU651" i="2" s="1"/>
  <c r="AT651" i="2" a="1"/>
  <c r="AT651" i="2" s="1"/>
  <c r="AS651" i="2" a="1"/>
  <c r="AS651" i="2" s="1"/>
  <c r="AR651" i="2" a="1"/>
  <c r="AR651" i="2" s="1"/>
  <c r="AQ651" i="2" a="1"/>
  <c r="AQ651" i="2" s="1"/>
  <c r="AP651" i="2" a="1"/>
  <c r="AP651" i="2" s="1"/>
  <c r="AO651" i="2" a="1"/>
  <c r="AO651" i="2" s="1"/>
  <c r="AN651" i="2" a="1"/>
  <c r="AN651" i="2" s="1"/>
  <c r="AM651" i="2" a="1"/>
  <c r="AM651" i="2" s="1"/>
  <c r="AL651" i="2" a="1"/>
  <c r="AL651" i="2" s="1"/>
  <c r="AK651" i="2" a="1"/>
  <c r="AK651" i="2" s="1"/>
  <c r="AJ651" i="2" a="1"/>
  <c r="AJ651" i="2" s="1"/>
  <c r="AI651" i="2" a="1"/>
  <c r="AI651" i="2" s="1"/>
  <c r="AH651" i="2" a="1"/>
  <c r="AH651" i="2" s="1"/>
  <c r="AG651" i="2" a="1"/>
  <c r="AG651" i="2" s="1"/>
  <c r="AF651" i="2" a="1"/>
  <c r="AF651" i="2" s="1"/>
  <c r="AE651" i="2" a="1"/>
  <c r="AE651" i="2" s="1"/>
  <c r="AD651" i="2" a="1"/>
  <c r="AD651" i="2" s="1"/>
  <c r="AC651" i="2" a="1"/>
  <c r="AC651" i="2" s="1"/>
  <c r="AB651" i="2"/>
  <c r="AA651" i="2" a="1"/>
  <c r="AA651" i="2" s="1"/>
  <c r="Z651" i="2" a="1"/>
  <c r="Z651" i="2" s="1"/>
  <c r="Y651" i="2" a="1"/>
  <c r="Y651" i="2" s="1"/>
  <c r="X651" i="2" a="1"/>
  <c r="X651" i="2" s="1"/>
  <c r="W651" i="2" a="1"/>
  <c r="W651" i="2" s="1"/>
  <c r="BB651" i="2" s="1" a="1"/>
  <c r="BB651" i="2" s="1"/>
  <c r="V651" i="2" a="1"/>
  <c r="V651" i="2" s="1"/>
  <c r="E651" i="2" s="1" a="1"/>
  <c r="E651" i="2" s="1"/>
  <c r="U651" i="2" a="1"/>
  <c r="U651" i="2" s="1"/>
  <c r="T651" i="2" a="1"/>
  <c r="T651" i="2" s="1"/>
  <c r="S651" i="2" a="1"/>
  <c r="S651" i="2" s="1"/>
  <c r="R651" i="2" a="1"/>
  <c r="R651" i="2" s="1"/>
  <c r="Q651" i="2" a="1"/>
  <c r="Q651" i="2" s="1"/>
  <c r="P651" i="2" a="1"/>
  <c r="P651" i="2" s="1"/>
  <c r="O651" i="2" a="1"/>
  <c r="O651" i="2" s="1"/>
  <c r="N651" i="2" a="1"/>
  <c r="N651" i="2" s="1"/>
  <c r="M651" i="2" a="1"/>
  <c r="M651" i="2" s="1"/>
  <c r="L651" i="2" a="1"/>
  <c r="L651" i="2" s="1"/>
  <c r="K651" i="2" a="1"/>
  <c r="K651" i="2" s="1"/>
  <c r="J651" i="2" a="1"/>
  <c r="J651" i="2" s="1"/>
  <c r="I651" i="2" a="1"/>
  <c r="I651" i="2" s="1"/>
  <c r="H651" i="2" a="1"/>
  <c r="H651" i="2" s="1"/>
  <c r="F651" i="2" a="1"/>
  <c r="F651" i="2" s="1"/>
  <c r="D651" i="2" a="1"/>
  <c r="D651" i="2" s="1"/>
  <c r="B651" i="2" a="1"/>
  <c r="B651" i="2" s="1"/>
  <c r="BD650" i="2" a="1"/>
  <c r="BD650" i="2" s="1"/>
  <c r="BC650" i="2" a="1"/>
  <c r="BC650" i="2" s="1"/>
  <c r="BA650" i="2" a="1"/>
  <c r="BA650" i="2" s="1"/>
  <c r="AZ650" i="2" a="1"/>
  <c r="AZ650" i="2" s="1"/>
  <c r="AY650" i="2" a="1"/>
  <c r="AY650" i="2" s="1"/>
  <c r="AX650" i="2" a="1"/>
  <c r="AX650" i="2" s="1"/>
  <c r="AW650" i="2" a="1"/>
  <c r="AW650" i="2" s="1"/>
  <c r="AV650" i="2" a="1"/>
  <c r="AV650" i="2" s="1"/>
  <c r="AU650" i="2" a="1"/>
  <c r="AU650" i="2" s="1"/>
  <c r="AT650" i="2" a="1"/>
  <c r="AT650" i="2" s="1"/>
  <c r="AS650" i="2" a="1"/>
  <c r="AS650" i="2" s="1"/>
  <c r="AR650" i="2" a="1"/>
  <c r="AR650" i="2" s="1"/>
  <c r="AQ650" i="2" a="1"/>
  <c r="AQ650" i="2" s="1"/>
  <c r="AP650" i="2" a="1"/>
  <c r="AP650" i="2" s="1"/>
  <c r="AO650" i="2" a="1"/>
  <c r="AO650" i="2" s="1"/>
  <c r="AN650" i="2" a="1"/>
  <c r="AN650" i="2" s="1"/>
  <c r="AM650" i="2" a="1"/>
  <c r="AM650" i="2" s="1"/>
  <c r="AL650" i="2" a="1"/>
  <c r="AL650" i="2" s="1"/>
  <c r="AK650" i="2" a="1"/>
  <c r="AK650" i="2" s="1"/>
  <c r="AJ650" i="2" a="1"/>
  <c r="AJ650" i="2" s="1"/>
  <c r="AI650" i="2" a="1"/>
  <c r="AI650" i="2" s="1"/>
  <c r="AH650" i="2" a="1"/>
  <c r="AH650" i="2" s="1"/>
  <c r="AG650" i="2" a="1"/>
  <c r="AG650" i="2" s="1"/>
  <c r="AF650" i="2" a="1"/>
  <c r="AF650" i="2" s="1"/>
  <c r="AE650" i="2" a="1"/>
  <c r="AE650" i="2" s="1"/>
  <c r="AD650" i="2" a="1"/>
  <c r="AD650" i="2" s="1"/>
  <c r="AC650" i="2" a="1"/>
  <c r="AC650" i="2" s="1"/>
  <c r="AB650" i="2"/>
  <c r="AA650" i="2" a="1"/>
  <c r="AA650" i="2" s="1"/>
  <c r="Z650" i="2" a="1"/>
  <c r="Z650" i="2" s="1"/>
  <c r="Y650" i="2" a="1"/>
  <c r="Y650" i="2" s="1"/>
  <c r="X650" i="2" a="1"/>
  <c r="X650" i="2" s="1"/>
  <c r="W650" i="2" a="1"/>
  <c r="W650" i="2" s="1"/>
  <c r="BB650" i="2" s="1" a="1"/>
  <c r="BB650" i="2" s="1"/>
  <c r="V650" i="2" a="1"/>
  <c r="V650" i="2" s="1"/>
  <c r="E650" i="2" s="1" a="1"/>
  <c r="E650" i="2" s="1"/>
  <c r="U650" i="2" a="1"/>
  <c r="U650" i="2" s="1"/>
  <c r="T650" i="2" a="1"/>
  <c r="T650" i="2" s="1"/>
  <c r="S650" i="2" a="1"/>
  <c r="S650" i="2" s="1"/>
  <c r="R650" i="2" a="1"/>
  <c r="R650" i="2" s="1"/>
  <c r="Q650" i="2" a="1"/>
  <c r="Q650" i="2" s="1"/>
  <c r="P650" i="2" a="1"/>
  <c r="P650" i="2" s="1"/>
  <c r="O650" i="2" a="1"/>
  <c r="O650" i="2" s="1"/>
  <c r="N650" i="2" a="1"/>
  <c r="N650" i="2" s="1"/>
  <c r="M650" i="2" a="1"/>
  <c r="M650" i="2" s="1"/>
  <c r="L650" i="2" a="1"/>
  <c r="L650" i="2" s="1"/>
  <c r="K650" i="2" a="1"/>
  <c r="K650" i="2" s="1"/>
  <c r="J650" i="2" a="1"/>
  <c r="J650" i="2" s="1"/>
  <c r="I650" i="2" a="1"/>
  <c r="I650" i="2" s="1"/>
  <c r="H650" i="2" a="1"/>
  <c r="H650" i="2" s="1"/>
  <c r="F650" i="2" a="1"/>
  <c r="F650" i="2" s="1"/>
  <c r="D650" i="2" a="1"/>
  <c r="D650" i="2" s="1"/>
  <c r="B650" i="2" a="1"/>
  <c r="B650" i="2" s="1"/>
  <c r="BD648" i="2" a="1"/>
  <c r="BD648" i="2" s="1"/>
  <c r="BC648" i="2" a="1"/>
  <c r="BC648" i="2" s="1"/>
  <c r="BA648" i="2" a="1"/>
  <c r="BA648" i="2" s="1"/>
  <c r="AZ648" i="2" a="1"/>
  <c r="AZ648" i="2" s="1"/>
  <c r="AY648" i="2" a="1"/>
  <c r="AY648" i="2" s="1"/>
  <c r="AX648" i="2" a="1"/>
  <c r="AX648" i="2" s="1"/>
  <c r="AW648" i="2" a="1"/>
  <c r="AW648" i="2" s="1"/>
  <c r="AV648" i="2" a="1"/>
  <c r="AV648" i="2" s="1"/>
  <c r="AU648" i="2" a="1"/>
  <c r="AU648" i="2" s="1"/>
  <c r="AT648" i="2" a="1"/>
  <c r="AT648" i="2" s="1"/>
  <c r="AS648" i="2" a="1"/>
  <c r="AS648" i="2" s="1"/>
  <c r="AR648" i="2" a="1"/>
  <c r="AR648" i="2" s="1"/>
  <c r="AQ648" i="2" a="1"/>
  <c r="AQ648" i="2" s="1"/>
  <c r="AP648" i="2" a="1"/>
  <c r="AP648" i="2" s="1"/>
  <c r="AO648" i="2" a="1"/>
  <c r="AO648" i="2" s="1"/>
  <c r="AN648" i="2" a="1"/>
  <c r="AN648" i="2" s="1"/>
  <c r="AM648" i="2" a="1"/>
  <c r="AM648" i="2" s="1"/>
  <c r="AL648" i="2" a="1"/>
  <c r="AL648" i="2" s="1"/>
  <c r="AK648" i="2" a="1"/>
  <c r="AK648" i="2" s="1"/>
  <c r="AJ648" i="2" a="1"/>
  <c r="AJ648" i="2" s="1"/>
  <c r="AI648" i="2" a="1"/>
  <c r="AI648" i="2" s="1"/>
  <c r="AH648" i="2" a="1"/>
  <c r="AH648" i="2" s="1"/>
  <c r="AG648" i="2" a="1"/>
  <c r="AG648" i="2" s="1"/>
  <c r="AF648" i="2" a="1"/>
  <c r="AF648" i="2" s="1"/>
  <c r="AE648" i="2" a="1"/>
  <c r="AE648" i="2" s="1"/>
  <c r="AD648" i="2" a="1"/>
  <c r="AD648" i="2" s="1"/>
  <c r="AC648" i="2" a="1"/>
  <c r="AC648" i="2" s="1"/>
  <c r="AB648" i="2"/>
  <c r="AA648" i="2" a="1"/>
  <c r="AA648" i="2" s="1"/>
  <c r="Z648" i="2" a="1"/>
  <c r="Z648" i="2" s="1"/>
  <c r="Y648" i="2" a="1"/>
  <c r="Y648" i="2" s="1"/>
  <c r="X648" i="2" a="1"/>
  <c r="X648" i="2" s="1"/>
  <c r="W648" i="2" a="1"/>
  <c r="W648" i="2" s="1"/>
  <c r="BB648" i="2" s="1" a="1"/>
  <c r="BB648" i="2" s="1"/>
  <c r="V648" i="2" a="1"/>
  <c r="V648" i="2" s="1"/>
  <c r="E648" i="2" s="1" a="1"/>
  <c r="E648" i="2" s="1"/>
  <c r="U648" i="2" a="1"/>
  <c r="U648" i="2" s="1"/>
  <c r="T648" i="2" a="1"/>
  <c r="T648" i="2" s="1"/>
  <c r="S648" i="2" a="1"/>
  <c r="S648" i="2" s="1"/>
  <c r="R648" i="2" a="1"/>
  <c r="R648" i="2" s="1"/>
  <c r="Q648" i="2" a="1"/>
  <c r="Q648" i="2" s="1"/>
  <c r="P648" i="2" a="1"/>
  <c r="P648" i="2" s="1"/>
  <c r="O648" i="2" a="1"/>
  <c r="O648" i="2" s="1"/>
  <c r="N648" i="2" a="1"/>
  <c r="N648" i="2" s="1"/>
  <c r="M648" i="2" a="1"/>
  <c r="M648" i="2" s="1"/>
  <c r="L648" i="2" a="1"/>
  <c r="L648" i="2" s="1"/>
  <c r="K648" i="2" a="1"/>
  <c r="K648" i="2" s="1"/>
  <c r="J648" i="2" a="1"/>
  <c r="J648" i="2" s="1"/>
  <c r="I648" i="2" a="1"/>
  <c r="I648" i="2" s="1"/>
  <c r="H648" i="2" a="1"/>
  <c r="H648" i="2" s="1"/>
  <c r="F648" i="2" a="1"/>
  <c r="F648" i="2" s="1"/>
  <c r="D648" i="2" a="1"/>
  <c r="D648" i="2" s="1"/>
  <c r="B648" i="2" a="1"/>
  <c r="B648" i="2" s="1"/>
  <c r="BD647" i="2" a="1"/>
  <c r="BD647" i="2" s="1"/>
  <c r="BC647" i="2" a="1"/>
  <c r="BC647" i="2" s="1"/>
  <c r="BA647" i="2" a="1"/>
  <c r="BA647" i="2" s="1"/>
  <c r="AZ647" i="2" a="1"/>
  <c r="AZ647" i="2" s="1"/>
  <c r="AY647" i="2" a="1"/>
  <c r="AY647" i="2" s="1"/>
  <c r="AX647" i="2" a="1"/>
  <c r="AX647" i="2" s="1"/>
  <c r="AW647" i="2" a="1"/>
  <c r="AW647" i="2" s="1"/>
  <c r="AV647" i="2" a="1"/>
  <c r="AV647" i="2" s="1"/>
  <c r="AU647" i="2" a="1"/>
  <c r="AU647" i="2" s="1"/>
  <c r="AT647" i="2" a="1"/>
  <c r="AT647" i="2" s="1"/>
  <c r="AS647" i="2" a="1"/>
  <c r="AS647" i="2" s="1"/>
  <c r="AR647" i="2" a="1"/>
  <c r="AR647" i="2" s="1"/>
  <c r="AQ647" i="2" a="1"/>
  <c r="AQ647" i="2" s="1"/>
  <c r="AP647" i="2" a="1"/>
  <c r="AP647" i="2" s="1"/>
  <c r="AO647" i="2" a="1"/>
  <c r="AO647" i="2" s="1"/>
  <c r="AN647" i="2" a="1"/>
  <c r="AN647" i="2" s="1"/>
  <c r="AM647" i="2" a="1"/>
  <c r="AM647" i="2" s="1"/>
  <c r="AL647" i="2" a="1"/>
  <c r="AL647" i="2" s="1"/>
  <c r="AK647" i="2" a="1"/>
  <c r="AK647" i="2" s="1"/>
  <c r="AJ647" i="2" a="1"/>
  <c r="AJ647" i="2" s="1"/>
  <c r="AI647" i="2" a="1"/>
  <c r="AI647" i="2" s="1"/>
  <c r="AH647" i="2" a="1"/>
  <c r="AH647" i="2" s="1"/>
  <c r="AG647" i="2" a="1"/>
  <c r="AG647" i="2" s="1"/>
  <c r="AF647" i="2" a="1"/>
  <c r="AF647" i="2" s="1"/>
  <c r="AE647" i="2" a="1"/>
  <c r="AE647" i="2" s="1"/>
  <c r="AD647" i="2" a="1"/>
  <c r="AD647" i="2" s="1"/>
  <c r="AC647" i="2" a="1"/>
  <c r="AC647" i="2" s="1"/>
  <c r="AB647" i="2"/>
  <c r="AA647" i="2" a="1"/>
  <c r="AA647" i="2" s="1"/>
  <c r="Z647" i="2" a="1"/>
  <c r="Z647" i="2" s="1"/>
  <c r="Y647" i="2" a="1"/>
  <c r="Y647" i="2" s="1"/>
  <c r="X647" i="2" a="1"/>
  <c r="X647" i="2" s="1"/>
  <c r="W647" i="2" a="1"/>
  <c r="W647" i="2" s="1"/>
  <c r="BB647" i="2" s="1" a="1"/>
  <c r="BB647" i="2" s="1"/>
  <c r="V647" i="2" a="1"/>
  <c r="V647" i="2" s="1"/>
  <c r="E647" i="2" s="1" a="1"/>
  <c r="E647" i="2" s="1"/>
  <c r="U647" i="2" a="1"/>
  <c r="U647" i="2" s="1"/>
  <c r="T647" i="2" a="1"/>
  <c r="T647" i="2" s="1"/>
  <c r="S647" i="2" a="1"/>
  <c r="S647" i="2" s="1"/>
  <c r="R647" i="2" a="1"/>
  <c r="R647" i="2" s="1"/>
  <c r="Q647" i="2" a="1"/>
  <c r="Q647" i="2" s="1"/>
  <c r="P647" i="2" a="1"/>
  <c r="P647" i="2" s="1"/>
  <c r="O647" i="2" a="1"/>
  <c r="O647" i="2" s="1"/>
  <c r="N647" i="2" a="1"/>
  <c r="N647" i="2" s="1"/>
  <c r="M647" i="2" a="1"/>
  <c r="M647" i="2" s="1"/>
  <c r="L647" i="2" a="1"/>
  <c r="L647" i="2" s="1"/>
  <c r="K647" i="2" a="1"/>
  <c r="K647" i="2" s="1"/>
  <c r="J647" i="2" a="1"/>
  <c r="J647" i="2" s="1"/>
  <c r="I647" i="2" a="1"/>
  <c r="I647" i="2" s="1"/>
  <c r="H647" i="2" a="1"/>
  <c r="H647" i="2" s="1"/>
  <c r="F647" i="2" a="1"/>
  <c r="F647" i="2" s="1"/>
  <c r="D647" i="2" a="1"/>
  <c r="D647" i="2" s="1"/>
  <c r="B647" i="2" a="1"/>
  <c r="B647" i="2" s="1"/>
  <c r="BD646" i="2" a="1"/>
  <c r="BD646" i="2" s="1"/>
  <c r="BC646" i="2" a="1"/>
  <c r="BC646" i="2" s="1"/>
  <c r="BA646" i="2" a="1"/>
  <c r="BA646" i="2" s="1"/>
  <c r="AZ646" i="2" a="1"/>
  <c r="AZ646" i="2" s="1"/>
  <c r="AY646" i="2" a="1"/>
  <c r="AY646" i="2" s="1"/>
  <c r="AX646" i="2" a="1"/>
  <c r="AX646" i="2" s="1"/>
  <c r="AW646" i="2" a="1"/>
  <c r="AW646" i="2" s="1"/>
  <c r="AV646" i="2" a="1"/>
  <c r="AV646" i="2" s="1"/>
  <c r="AU646" i="2" a="1"/>
  <c r="AU646" i="2" s="1"/>
  <c r="AT646" i="2" a="1"/>
  <c r="AT646" i="2" s="1"/>
  <c r="AS646" i="2" a="1"/>
  <c r="AS646" i="2" s="1"/>
  <c r="AR646" i="2" a="1"/>
  <c r="AR646" i="2" s="1"/>
  <c r="AQ646" i="2" a="1"/>
  <c r="AQ646" i="2" s="1"/>
  <c r="AP646" i="2" a="1"/>
  <c r="AP646" i="2" s="1"/>
  <c r="AO646" i="2" a="1"/>
  <c r="AO646" i="2" s="1"/>
  <c r="AN646" i="2" a="1"/>
  <c r="AN646" i="2" s="1"/>
  <c r="AM646" i="2" a="1"/>
  <c r="AM646" i="2" s="1"/>
  <c r="AL646" i="2" a="1"/>
  <c r="AL646" i="2" s="1"/>
  <c r="AK646" i="2" a="1"/>
  <c r="AK646" i="2" s="1"/>
  <c r="AJ646" i="2" a="1"/>
  <c r="AJ646" i="2" s="1"/>
  <c r="AI646" i="2" a="1"/>
  <c r="AI646" i="2" s="1"/>
  <c r="AH646" i="2" a="1"/>
  <c r="AH646" i="2" s="1"/>
  <c r="AG646" i="2" a="1"/>
  <c r="AG646" i="2" s="1"/>
  <c r="AF646" i="2" a="1"/>
  <c r="AF646" i="2" s="1"/>
  <c r="AE646" i="2" a="1"/>
  <c r="AE646" i="2" s="1"/>
  <c r="AD646" i="2" a="1"/>
  <c r="AD646" i="2" s="1"/>
  <c r="AC646" i="2" a="1"/>
  <c r="AC646" i="2" s="1"/>
  <c r="AB646" i="2"/>
  <c r="AA646" i="2" a="1"/>
  <c r="AA646" i="2" s="1"/>
  <c r="Z646" i="2" a="1"/>
  <c r="Z646" i="2" s="1"/>
  <c r="Y646" i="2" a="1"/>
  <c r="Y646" i="2" s="1"/>
  <c r="X646" i="2" a="1"/>
  <c r="X646" i="2" s="1"/>
  <c r="W646" i="2" a="1"/>
  <c r="W646" i="2" s="1"/>
  <c r="BB646" i="2" s="1" a="1"/>
  <c r="BB646" i="2" s="1"/>
  <c r="V646" i="2" a="1"/>
  <c r="V646" i="2" s="1"/>
  <c r="E646" i="2" s="1" a="1"/>
  <c r="E646" i="2" s="1"/>
  <c r="U646" i="2" a="1"/>
  <c r="U646" i="2" s="1"/>
  <c r="T646" i="2" a="1"/>
  <c r="T646" i="2" s="1"/>
  <c r="S646" i="2" a="1"/>
  <c r="S646" i="2" s="1"/>
  <c r="R646" i="2" a="1"/>
  <c r="R646" i="2" s="1"/>
  <c r="Q646" i="2" a="1"/>
  <c r="Q646" i="2" s="1"/>
  <c r="P646" i="2" a="1"/>
  <c r="P646" i="2" s="1"/>
  <c r="O646" i="2" a="1"/>
  <c r="O646" i="2" s="1"/>
  <c r="N646" i="2" a="1"/>
  <c r="N646" i="2" s="1"/>
  <c r="M646" i="2" a="1"/>
  <c r="M646" i="2" s="1"/>
  <c r="L646" i="2" a="1"/>
  <c r="L646" i="2" s="1"/>
  <c r="K646" i="2" a="1"/>
  <c r="K646" i="2" s="1"/>
  <c r="J646" i="2" a="1"/>
  <c r="J646" i="2" s="1"/>
  <c r="I646" i="2" a="1"/>
  <c r="I646" i="2" s="1"/>
  <c r="H646" i="2" a="1"/>
  <c r="H646" i="2" s="1"/>
  <c r="F646" i="2" a="1"/>
  <c r="F646" i="2" s="1"/>
  <c r="D646" i="2" a="1"/>
  <c r="D646" i="2" s="1"/>
  <c r="B646" i="2" a="1"/>
  <c r="B646" i="2" s="1"/>
  <c r="BD645" i="2" a="1"/>
  <c r="BD645" i="2" s="1"/>
  <c r="BC645" i="2" a="1"/>
  <c r="BC645" i="2" s="1"/>
  <c r="BA645" i="2" a="1"/>
  <c r="BA645" i="2" s="1"/>
  <c r="AZ645" i="2" a="1"/>
  <c r="AZ645" i="2" s="1"/>
  <c r="AY645" i="2" a="1"/>
  <c r="AY645" i="2" s="1"/>
  <c r="AX645" i="2" a="1"/>
  <c r="AX645" i="2" s="1"/>
  <c r="AW645" i="2" a="1"/>
  <c r="AW645" i="2" s="1"/>
  <c r="AV645" i="2" a="1"/>
  <c r="AV645" i="2" s="1"/>
  <c r="AU645" i="2" a="1"/>
  <c r="AU645" i="2" s="1"/>
  <c r="AT645" i="2" a="1"/>
  <c r="AT645" i="2" s="1"/>
  <c r="AS645" i="2" a="1"/>
  <c r="AS645" i="2" s="1"/>
  <c r="AR645" i="2" a="1"/>
  <c r="AR645" i="2" s="1"/>
  <c r="AQ645" i="2" a="1"/>
  <c r="AQ645" i="2" s="1"/>
  <c r="AP645" i="2" a="1"/>
  <c r="AP645" i="2" s="1"/>
  <c r="AO645" i="2" a="1"/>
  <c r="AO645" i="2" s="1"/>
  <c r="AN645" i="2" a="1"/>
  <c r="AN645" i="2" s="1"/>
  <c r="AM645" i="2" a="1"/>
  <c r="AM645" i="2" s="1"/>
  <c r="AL645" i="2" a="1"/>
  <c r="AL645" i="2" s="1"/>
  <c r="AK645" i="2" a="1"/>
  <c r="AK645" i="2" s="1"/>
  <c r="AJ645" i="2" a="1"/>
  <c r="AJ645" i="2" s="1"/>
  <c r="AI645" i="2" a="1"/>
  <c r="AI645" i="2" s="1"/>
  <c r="AH645" i="2" a="1"/>
  <c r="AH645" i="2" s="1"/>
  <c r="AG645" i="2" a="1"/>
  <c r="AG645" i="2" s="1"/>
  <c r="AF645" i="2" a="1"/>
  <c r="AF645" i="2" s="1"/>
  <c r="AE645" i="2" a="1"/>
  <c r="AE645" i="2" s="1"/>
  <c r="AD645" i="2" a="1"/>
  <c r="AD645" i="2" s="1"/>
  <c r="AC645" i="2" a="1"/>
  <c r="AC645" i="2" s="1"/>
  <c r="AB645" i="2"/>
  <c r="AA645" i="2" a="1"/>
  <c r="AA645" i="2" s="1"/>
  <c r="Z645" i="2" a="1"/>
  <c r="Z645" i="2" s="1"/>
  <c r="Y645" i="2" a="1"/>
  <c r="Y645" i="2" s="1"/>
  <c r="X645" i="2" a="1"/>
  <c r="X645" i="2" s="1"/>
  <c r="W645" i="2" a="1"/>
  <c r="W645" i="2" s="1"/>
  <c r="BB645" i="2" s="1" a="1"/>
  <c r="BB645" i="2" s="1"/>
  <c r="V645" i="2" a="1"/>
  <c r="V645" i="2" s="1"/>
  <c r="E645" i="2" s="1" a="1"/>
  <c r="E645" i="2" s="1"/>
  <c r="U645" i="2" a="1"/>
  <c r="U645" i="2" s="1"/>
  <c r="T645" i="2" a="1"/>
  <c r="T645" i="2" s="1"/>
  <c r="S645" i="2" a="1"/>
  <c r="S645" i="2" s="1"/>
  <c r="R645" i="2" a="1"/>
  <c r="R645" i="2" s="1"/>
  <c r="Q645" i="2" a="1"/>
  <c r="Q645" i="2" s="1"/>
  <c r="P645" i="2" a="1"/>
  <c r="P645" i="2" s="1"/>
  <c r="O645" i="2" a="1"/>
  <c r="O645" i="2" s="1"/>
  <c r="N645" i="2" a="1"/>
  <c r="N645" i="2" s="1"/>
  <c r="M645" i="2" a="1"/>
  <c r="M645" i="2" s="1"/>
  <c r="L645" i="2" a="1"/>
  <c r="L645" i="2" s="1"/>
  <c r="K645" i="2" a="1"/>
  <c r="K645" i="2" s="1"/>
  <c r="J645" i="2" a="1"/>
  <c r="J645" i="2" s="1"/>
  <c r="I645" i="2" a="1"/>
  <c r="I645" i="2" s="1"/>
  <c r="H645" i="2" a="1"/>
  <c r="H645" i="2" s="1"/>
  <c r="F645" i="2" a="1"/>
  <c r="F645" i="2" s="1"/>
  <c r="D645" i="2" a="1"/>
  <c r="D645" i="2" s="1"/>
  <c r="B645" i="2" a="1"/>
  <c r="B645" i="2" s="1"/>
  <c r="BD644" i="2" a="1"/>
  <c r="BD644" i="2" s="1"/>
  <c r="BC644" i="2" a="1"/>
  <c r="BC644" i="2" s="1"/>
  <c r="BA644" i="2" a="1"/>
  <c r="BA644" i="2" s="1"/>
  <c r="AZ644" i="2" a="1"/>
  <c r="AZ644" i="2" s="1"/>
  <c r="AY644" i="2" a="1"/>
  <c r="AY644" i="2" s="1"/>
  <c r="AX644" i="2" a="1"/>
  <c r="AX644" i="2" s="1"/>
  <c r="AW644" i="2" a="1"/>
  <c r="AW644" i="2" s="1"/>
  <c r="AV644" i="2" a="1"/>
  <c r="AV644" i="2" s="1"/>
  <c r="AU644" i="2" a="1"/>
  <c r="AU644" i="2" s="1"/>
  <c r="AT644" i="2" a="1"/>
  <c r="AT644" i="2" s="1"/>
  <c r="AS644" i="2" a="1"/>
  <c r="AS644" i="2" s="1"/>
  <c r="AR644" i="2" a="1"/>
  <c r="AR644" i="2" s="1"/>
  <c r="AQ644" i="2" a="1"/>
  <c r="AQ644" i="2" s="1"/>
  <c r="AP644" i="2" a="1"/>
  <c r="AP644" i="2" s="1"/>
  <c r="AO644" i="2" a="1"/>
  <c r="AO644" i="2" s="1"/>
  <c r="AN644" i="2" a="1"/>
  <c r="AN644" i="2" s="1"/>
  <c r="AM644" i="2" a="1"/>
  <c r="AM644" i="2" s="1"/>
  <c r="AL644" i="2" a="1"/>
  <c r="AL644" i="2" s="1"/>
  <c r="AK644" i="2" a="1"/>
  <c r="AK644" i="2" s="1"/>
  <c r="AJ644" i="2" a="1"/>
  <c r="AJ644" i="2" s="1"/>
  <c r="AI644" i="2" a="1"/>
  <c r="AI644" i="2" s="1"/>
  <c r="AH644" i="2" a="1"/>
  <c r="AH644" i="2" s="1"/>
  <c r="AG644" i="2" a="1"/>
  <c r="AG644" i="2" s="1"/>
  <c r="AF644" i="2" a="1"/>
  <c r="AF644" i="2" s="1"/>
  <c r="AE644" i="2" a="1"/>
  <c r="AE644" i="2" s="1"/>
  <c r="AD644" i="2" a="1"/>
  <c r="AD644" i="2" s="1"/>
  <c r="AC644" i="2" a="1"/>
  <c r="AC644" i="2" s="1"/>
  <c r="AB644" i="2"/>
  <c r="AA644" i="2" a="1"/>
  <c r="AA644" i="2" s="1"/>
  <c r="Z644" i="2" a="1"/>
  <c r="Z644" i="2" s="1"/>
  <c r="Y644" i="2" a="1"/>
  <c r="Y644" i="2" s="1"/>
  <c r="X644" i="2" a="1"/>
  <c r="X644" i="2" s="1"/>
  <c r="W644" i="2" a="1"/>
  <c r="W644" i="2" s="1"/>
  <c r="BB644" i="2" s="1" a="1"/>
  <c r="BB644" i="2" s="1"/>
  <c r="V644" i="2" a="1"/>
  <c r="V644" i="2" s="1"/>
  <c r="E644" i="2" s="1" a="1"/>
  <c r="E644" i="2" s="1"/>
  <c r="U644" i="2" a="1"/>
  <c r="U644" i="2" s="1"/>
  <c r="T644" i="2" a="1"/>
  <c r="T644" i="2" s="1"/>
  <c r="S644" i="2" a="1"/>
  <c r="S644" i="2" s="1"/>
  <c r="R644" i="2" a="1"/>
  <c r="R644" i="2" s="1"/>
  <c r="Q644" i="2" a="1"/>
  <c r="Q644" i="2" s="1"/>
  <c r="P644" i="2" a="1"/>
  <c r="P644" i="2" s="1"/>
  <c r="O644" i="2" a="1"/>
  <c r="O644" i="2" s="1"/>
  <c r="N644" i="2" a="1"/>
  <c r="N644" i="2" s="1"/>
  <c r="M644" i="2" a="1"/>
  <c r="M644" i="2" s="1"/>
  <c r="L644" i="2" a="1"/>
  <c r="L644" i="2" s="1"/>
  <c r="K644" i="2" a="1"/>
  <c r="K644" i="2" s="1"/>
  <c r="J644" i="2" a="1"/>
  <c r="J644" i="2" s="1"/>
  <c r="I644" i="2" a="1"/>
  <c r="I644" i="2" s="1"/>
  <c r="H644" i="2" a="1"/>
  <c r="H644" i="2" s="1"/>
  <c r="F644" i="2" a="1"/>
  <c r="F644" i="2" s="1"/>
  <c r="D644" i="2" a="1"/>
  <c r="D644" i="2" s="1"/>
  <c r="B644" i="2" a="1"/>
  <c r="B644" i="2" s="1"/>
  <c r="BD643" i="2" a="1"/>
  <c r="BD643" i="2" s="1"/>
  <c r="BC643" i="2" a="1"/>
  <c r="BC643" i="2" s="1"/>
  <c r="BA643" i="2" a="1"/>
  <c r="BA643" i="2" s="1"/>
  <c r="AZ643" i="2" a="1"/>
  <c r="AZ643" i="2" s="1"/>
  <c r="AY643" i="2" a="1"/>
  <c r="AY643" i="2" s="1"/>
  <c r="AX643" i="2" a="1"/>
  <c r="AX643" i="2" s="1"/>
  <c r="AW643" i="2" a="1"/>
  <c r="AW643" i="2" s="1"/>
  <c r="AV643" i="2" a="1"/>
  <c r="AV643" i="2" s="1"/>
  <c r="AU643" i="2" a="1"/>
  <c r="AU643" i="2" s="1"/>
  <c r="AT643" i="2" a="1"/>
  <c r="AT643" i="2" s="1"/>
  <c r="AS643" i="2" a="1"/>
  <c r="AS643" i="2" s="1"/>
  <c r="AR643" i="2" a="1"/>
  <c r="AR643" i="2" s="1"/>
  <c r="AQ643" i="2" a="1"/>
  <c r="AQ643" i="2" s="1"/>
  <c r="AP643" i="2" a="1"/>
  <c r="AP643" i="2" s="1"/>
  <c r="AO643" i="2" a="1"/>
  <c r="AO643" i="2" s="1"/>
  <c r="AN643" i="2" a="1"/>
  <c r="AN643" i="2" s="1"/>
  <c r="AM643" i="2" a="1"/>
  <c r="AM643" i="2" s="1"/>
  <c r="AL643" i="2" a="1"/>
  <c r="AL643" i="2" s="1"/>
  <c r="AK643" i="2" a="1"/>
  <c r="AK643" i="2" s="1"/>
  <c r="AJ643" i="2" a="1"/>
  <c r="AJ643" i="2" s="1"/>
  <c r="AI643" i="2" a="1"/>
  <c r="AI643" i="2" s="1"/>
  <c r="AH643" i="2" a="1"/>
  <c r="AH643" i="2" s="1"/>
  <c r="AG643" i="2" a="1"/>
  <c r="AG643" i="2" s="1"/>
  <c r="AF643" i="2" a="1"/>
  <c r="AF643" i="2" s="1"/>
  <c r="AE643" i="2" a="1"/>
  <c r="AE643" i="2" s="1"/>
  <c r="AD643" i="2" a="1"/>
  <c r="AD643" i="2" s="1"/>
  <c r="AC643" i="2" a="1"/>
  <c r="AC643" i="2" s="1"/>
  <c r="AB643" i="2"/>
  <c r="AA643" i="2" a="1"/>
  <c r="AA643" i="2" s="1"/>
  <c r="Z643" i="2" a="1"/>
  <c r="Z643" i="2" s="1"/>
  <c r="Y643" i="2" a="1"/>
  <c r="Y643" i="2" s="1"/>
  <c r="X643" i="2" a="1"/>
  <c r="X643" i="2" s="1"/>
  <c r="W643" i="2" a="1"/>
  <c r="W643" i="2" s="1"/>
  <c r="BB643" i="2" s="1" a="1"/>
  <c r="BB643" i="2" s="1"/>
  <c r="V643" i="2" a="1"/>
  <c r="V643" i="2" s="1"/>
  <c r="E643" i="2" s="1" a="1"/>
  <c r="E643" i="2" s="1"/>
  <c r="U643" i="2" a="1"/>
  <c r="U643" i="2" s="1"/>
  <c r="T643" i="2" a="1"/>
  <c r="T643" i="2" s="1"/>
  <c r="S643" i="2" a="1"/>
  <c r="S643" i="2" s="1"/>
  <c r="R643" i="2" a="1"/>
  <c r="R643" i="2" s="1"/>
  <c r="Q643" i="2" a="1"/>
  <c r="Q643" i="2" s="1"/>
  <c r="P643" i="2" a="1"/>
  <c r="P643" i="2" s="1"/>
  <c r="O643" i="2" a="1"/>
  <c r="O643" i="2" s="1"/>
  <c r="N643" i="2" a="1"/>
  <c r="N643" i="2" s="1"/>
  <c r="M643" i="2" a="1"/>
  <c r="M643" i="2" s="1"/>
  <c r="L643" i="2" a="1"/>
  <c r="L643" i="2" s="1"/>
  <c r="K643" i="2" a="1"/>
  <c r="K643" i="2" s="1"/>
  <c r="J643" i="2" a="1"/>
  <c r="J643" i="2" s="1"/>
  <c r="I643" i="2" a="1"/>
  <c r="I643" i="2" s="1"/>
  <c r="H643" i="2" a="1"/>
  <c r="H643" i="2" s="1"/>
  <c r="F643" i="2" a="1"/>
  <c r="F643" i="2" s="1"/>
  <c r="D643" i="2" a="1"/>
  <c r="D643" i="2" s="1"/>
  <c r="B643" i="2" a="1"/>
  <c r="B643" i="2" s="1"/>
  <c r="BD642" i="2" a="1"/>
  <c r="BD642" i="2" s="1"/>
  <c r="BC642" i="2" a="1"/>
  <c r="BC642" i="2" s="1"/>
  <c r="BA642" i="2" a="1"/>
  <c r="BA642" i="2" s="1"/>
  <c r="AZ642" i="2" a="1"/>
  <c r="AZ642" i="2" s="1"/>
  <c r="AY642" i="2" a="1"/>
  <c r="AY642" i="2" s="1"/>
  <c r="AX642" i="2" a="1"/>
  <c r="AX642" i="2" s="1"/>
  <c r="AW642" i="2" a="1"/>
  <c r="AW642" i="2" s="1"/>
  <c r="AV642" i="2" a="1"/>
  <c r="AV642" i="2" s="1"/>
  <c r="AU642" i="2" a="1"/>
  <c r="AU642" i="2" s="1"/>
  <c r="AT642" i="2" a="1"/>
  <c r="AT642" i="2" s="1"/>
  <c r="AS642" i="2" a="1"/>
  <c r="AS642" i="2" s="1"/>
  <c r="AR642" i="2" a="1"/>
  <c r="AR642" i="2" s="1"/>
  <c r="AQ642" i="2" a="1"/>
  <c r="AQ642" i="2" s="1"/>
  <c r="AP642" i="2" a="1"/>
  <c r="AP642" i="2" s="1"/>
  <c r="AO642" i="2" a="1"/>
  <c r="AO642" i="2" s="1"/>
  <c r="AN642" i="2" a="1"/>
  <c r="AN642" i="2" s="1"/>
  <c r="AM642" i="2" a="1"/>
  <c r="AM642" i="2" s="1"/>
  <c r="AL642" i="2" a="1"/>
  <c r="AL642" i="2" s="1"/>
  <c r="AK642" i="2" a="1"/>
  <c r="AK642" i="2" s="1"/>
  <c r="AJ642" i="2" a="1"/>
  <c r="AJ642" i="2" s="1"/>
  <c r="AI642" i="2" a="1"/>
  <c r="AI642" i="2" s="1"/>
  <c r="AH642" i="2" a="1"/>
  <c r="AH642" i="2" s="1"/>
  <c r="AG642" i="2" a="1"/>
  <c r="AG642" i="2" s="1"/>
  <c r="AF642" i="2" a="1"/>
  <c r="AF642" i="2" s="1"/>
  <c r="AE642" i="2" a="1"/>
  <c r="AE642" i="2" s="1"/>
  <c r="AD642" i="2" a="1"/>
  <c r="AD642" i="2" s="1"/>
  <c r="AC642" i="2" a="1"/>
  <c r="AC642" i="2" s="1"/>
  <c r="AB642" i="2"/>
  <c r="AA642" i="2" a="1"/>
  <c r="AA642" i="2" s="1"/>
  <c r="Z642" i="2" a="1"/>
  <c r="Z642" i="2" s="1"/>
  <c r="Y642" i="2" a="1"/>
  <c r="Y642" i="2" s="1"/>
  <c r="X642" i="2" a="1"/>
  <c r="X642" i="2" s="1"/>
  <c r="W642" i="2" a="1"/>
  <c r="W642" i="2" s="1"/>
  <c r="BB642" i="2" s="1" a="1"/>
  <c r="BB642" i="2" s="1"/>
  <c r="V642" i="2" a="1"/>
  <c r="V642" i="2" s="1"/>
  <c r="E642" i="2" s="1" a="1"/>
  <c r="E642" i="2" s="1"/>
  <c r="U642" i="2" a="1"/>
  <c r="U642" i="2" s="1"/>
  <c r="T642" i="2" a="1"/>
  <c r="T642" i="2" s="1"/>
  <c r="S642" i="2" a="1"/>
  <c r="S642" i="2" s="1"/>
  <c r="R642" i="2" a="1"/>
  <c r="R642" i="2" s="1"/>
  <c r="Q642" i="2" a="1"/>
  <c r="Q642" i="2" s="1"/>
  <c r="P642" i="2" a="1"/>
  <c r="P642" i="2" s="1"/>
  <c r="O642" i="2" a="1"/>
  <c r="O642" i="2" s="1"/>
  <c r="N642" i="2" a="1"/>
  <c r="N642" i="2" s="1"/>
  <c r="M642" i="2" a="1"/>
  <c r="M642" i="2" s="1"/>
  <c r="L642" i="2" a="1"/>
  <c r="L642" i="2" s="1"/>
  <c r="K642" i="2" a="1"/>
  <c r="K642" i="2" s="1"/>
  <c r="J642" i="2" a="1"/>
  <c r="J642" i="2" s="1"/>
  <c r="I642" i="2" a="1"/>
  <c r="I642" i="2" s="1"/>
  <c r="H642" i="2" a="1"/>
  <c r="H642" i="2" s="1"/>
  <c r="F642" i="2" a="1"/>
  <c r="F642" i="2" s="1"/>
  <c r="D642" i="2" a="1"/>
  <c r="D642" i="2" s="1"/>
  <c r="B642" i="2" a="1"/>
  <c r="B642" i="2" s="1"/>
  <c r="BD641" i="2" a="1"/>
  <c r="BD641" i="2" s="1"/>
  <c r="BC641" i="2" a="1"/>
  <c r="BC641" i="2" s="1"/>
  <c r="BA641" i="2" a="1"/>
  <c r="BA641" i="2" s="1"/>
  <c r="AZ641" i="2" a="1"/>
  <c r="AZ641" i="2" s="1"/>
  <c r="AY641" i="2" a="1"/>
  <c r="AY641" i="2" s="1"/>
  <c r="AX641" i="2" a="1"/>
  <c r="AX641" i="2" s="1"/>
  <c r="AW641" i="2" a="1"/>
  <c r="AW641" i="2" s="1"/>
  <c r="AV641" i="2" a="1"/>
  <c r="AV641" i="2" s="1"/>
  <c r="AU641" i="2" a="1"/>
  <c r="AU641" i="2" s="1"/>
  <c r="AT641" i="2" a="1"/>
  <c r="AT641" i="2" s="1"/>
  <c r="AS641" i="2" a="1"/>
  <c r="AS641" i="2" s="1"/>
  <c r="AR641" i="2" a="1"/>
  <c r="AR641" i="2" s="1"/>
  <c r="AQ641" i="2" a="1"/>
  <c r="AQ641" i="2" s="1"/>
  <c r="AP641" i="2" a="1"/>
  <c r="AP641" i="2" s="1"/>
  <c r="AO641" i="2" a="1"/>
  <c r="AO641" i="2" s="1"/>
  <c r="AN641" i="2" a="1"/>
  <c r="AN641" i="2" s="1"/>
  <c r="AM641" i="2" a="1"/>
  <c r="AM641" i="2" s="1"/>
  <c r="AL641" i="2" a="1"/>
  <c r="AL641" i="2" s="1"/>
  <c r="AK641" i="2" a="1"/>
  <c r="AK641" i="2" s="1"/>
  <c r="AJ641" i="2" a="1"/>
  <c r="AJ641" i="2" s="1"/>
  <c r="AI641" i="2" a="1"/>
  <c r="AI641" i="2" s="1"/>
  <c r="AH641" i="2" a="1"/>
  <c r="AH641" i="2" s="1"/>
  <c r="AG641" i="2" a="1"/>
  <c r="AG641" i="2" s="1"/>
  <c r="AF641" i="2" a="1"/>
  <c r="AF641" i="2" s="1"/>
  <c r="AE641" i="2" a="1"/>
  <c r="AE641" i="2" s="1"/>
  <c r="AD641" i="2" a="1"/>
  <c r="AD641" i="2" s="1"/>
  <c r="AC641" i="2" a="1"/>
  <c r="AC641" i="2" s="1"/>
  <c r="AB641" i="2"/>
  <c r="AA641" i="2" a="1"/>
  <c r="AA641" i="2" s="1"/>
  <c r="Z641" i="2" a="1"/>
  <c r="Z641" i="2" s="1"/>
  <c r="Y641" i="2" a="1"/>
  <c r="Y641" i="2" s="1"/>
  <c r="X641" i="2" a="1"/>
  <c r="X641" i="2" s="1"/>
  <c r="W641" i="2" a="1"/>
  <c r="W641" i="2" s="1"/>
  <c r="BB641" i="2" s="1" a="1"/>
  <c r="BB641" i="2" s="1"/>
  <c r="V641" i="2" a="1"/>
  <c r="V641" i="2" s="1"/>
  <c r="E641" i="2" s="1" a="1"/>
  <c r="E641" i="2" s="1"/>
  <c r="U641" i="2" a="1"/>
  <c r="U641" i="2" s="1"/>
  <c r="T641" i="2" a="1"/>
  <c r="T641" i="2" s="1"/>
  <c r="S641" i="2" a="1"/>
  <c r="S641" i="2" s="1"/>
  <c r="R641" i="2" a="1"/>
  <c r="R641" i="2" s="1"/>
  <c r="Q641" i="2" a="1"/>
  <c r="Q641" i="2" s="1"/>
  <c r="P641" i="2" a="1"/>
  <c r="P641" i="2" s="1"/>
  <c r="O641" i="2" a="1"/>
  <c r="O641" i="2" s="1"/>
  <c r="N641" i="2" a="1"/>
  <c r="N641" i="2" s="1"/>
  <c r="M641" i="2" a="1"/>
  <c r="M641" i="2" s="1"/>
  <c r="L641" i="2" a="1"/>
  <c r="L641" i="2" s="1"/>
  <c r="K641" i="2" a="1"/>
  <c r="K641" i="2" s="1"/>
  <c r="J641" i="2" a="1"/>
  <c r="J641" i="2" s="1"/>
  <c r="I641" i="2" a="1"/>
  <c r="I641" i="2" s="1"/>
  <c r="H641" i="2" a="1"/>
  <c r="H641" i="2" s="1"/>
  <c r="F641" i="2" a="1"/>
  <c r="F641" i="2" s="1"/>
  <c r="D641" i="2" a="1"/>
  <c r="D641" i="2" s="1"/>
  <c r="B641" i="2" a="1"/>
  <c r="B641" i="2" s="1"/>
  <c r="BD640" i="2" a="1"/>
  <c r="BD640" i="2" s="1"/>
  <c r="BC640" i="2" a="1"/>
  <c r="BC640" i="2" s="1"/>
  <c r="BA640" i="2" a="1"/>
  <c r="BA640" i="2" s="1"/>
  <c r="AZ640" i="2" a="1"/>
  <c r="AZ640" i="2" s="1"/>
  <c r="AY640" i="2" a="1"/>
  <c r="AY640" i="2" s="1"/>
  <c r="AX640" i="2" a="1"/>
  <c r="AX640" i="2" s="1"/>
  <c r="AW640" i="2" a="1"/>
  <c r="AW640" i="2" s="1"/>
  <c r="AV640" i="2" a="1"/>
  <c r="AV640" i="2" s="1"/>
  <c r="AU640" i="2" a="1"/>
  <c r="AU640" i="2" s="1"/>
  <c r="AT640" i="2" a="1"/>
  <c r="AT640" i="2" s="1"/>
  <c r="AS640" i="2" a="1"/>
  <c r="AS640" i="2" s="1"/>
  <c r="AR640" i="2" a="1"/>
  <c r="AR640" i="2" s="1"/>
  <c r="AQ640" i="2" a="1"/>
  <c r="AQ640" i="2" s="1"/>
  <c r="AP640" i="2" a="1"/>
  <c r="AP640" i="2" s="1"/>
  <c r="AO640" i="2" a="1"/>
  <c r="AO640" i="2" s="1"/>
  <c r="AN640" i="2" a="1"/>
  <c r="AN640" i="2" s="1"/>
  <c r="AM640" i="2" a="1"/>
  <c r="AM640" i="2" s="1"/>
  <c r="AL640" i="2" a="1"/>
  <c r="AL640" i="2" s="1"/>
  <c r="AK640" i="2" a="1"/>
  <c r="AK640" i="2" s="1"/>
  <c r="AJ640" i="2" a="1"/>
  <c r="AJ640" i="2" s="1"/>
  <c r="AI640" i="2" a="1"/>
  <c r="AI640" i="2" s="1"/>
  <c r="AH640" i="2" a="1"/>
  <c r="AH640" i="2" s="1"/>
  <c r="AG640" i="2" a="1"/>
  <c r="AG640" i="2" s="1"/>
  <c r="AF640" i="2" a="1"/>
  <c r="AF640" i="2" s="1"/>
  <c r="AE640" i="2" a="1"/>
  <c r="AE640" i="2" s="1"/>
  <c r="AD640" i="2" a="1"/>
  <c r="AD640" i="2" s="1"/>
  <c r="AC640" i="2" a="1"/>
  <c r="AC640" i="2" s="1"/>
  <c r="AB640" i="2"/>
  <c r="AA640" i="2" a="1"/>
  <c r="AA640" i="2" s="1"/>
  <c r="Z640" i="2" a="1"/>
  <c r="Z640" i="2" s="1"/>
  <c r="Y640" i="2" a="1"/>
  <c r="Y640" i="2" s="1"/>
  <c r="X640" i="2" a="1"/>
  <c r="X640" i="2" s="1"/>
  <c r="W640" i="2" a="1"/>
  <c r="W640" i="2" s="1"/>
  <c r="BB640" i="2" s="1" a="1"/>
  <c r="BB640" i="2" s="1"/>
  <c r="V640" i="2" a="1"/>
  <c r="V640" i="2" s="1"/>
  <c r="E640" i="2" s="1" a="1"/>
  <c r="E640" i="2" s="1"/>
  <c r="U640" i="2" a="1"/>
  <c r="U640" i="2" s="1"/>
  <c r="T640" i="2" a="1"/>
  <c r="T640" i="2" s="1"/>
  <c r="S640" i="2" a="1"/>
  <c r="S640" i="2" s="1"/>
  <c r="R640" i="2" a="1"/>
  <c r="R640" i="2" s="1"/>
  <c r="Q640" i="2" a="1"/>
  <c r="Q640" i="2" s="1"/>
  <c r="P640" i="2" a="1"/>
  <c r="P640" i="2" s="1"/>
  <c r="O640" i="2" a="1"/>
  <c r="O640" i="2" s="1"/>
  <c r="N640" i="2" a="1"/>
  <c r="N640" i="2" s="1"/>
  <c r="M640" i="2" a="1"/>
  <c r="M640" i="2" s="1"/>
  <c r="L640" i="2" a="1"/>
  <c r="L640" i="2" s="1"/>
  <c r="K640" i="2" a="1"/>
  <c r="K640" i="2" s="1"/>
  <c r="J640" i="2" a="1"/>
  <c r="J640" i="2" s="1"/>
  <c r="I640" i="2" a="1"/>
  <c r="I640" i="2" s="1"/>
  <c r="H640" i="2" a="1"/>
  <c r="H640" i="2" s="1"/>
  <c r="F640" i="2" a="1"/>
  <c r="F640" i="2" s="1"/>
  <c r="D640" i="2" a="1"/>
  <c r="D640" i="2" s="1"/>
  <c r="B640" i="2" a="1"/>
  <c r="B640" i="2" s="1"/>
  <c r="BD639" i="2" a="1"/>
  <c r="BD639" i="2" s="1"/>
  <c r="BC639" i="2" a="1"/>
  <c r="BC639" i="2" s="1"/>
  <c r="BA639" i="2" a="1"/>
  <c r="BA639" i="2" s="1"/>
  <c r="AZ639" i="2" a="1"/>
  <c r="AZ639" i="2" s="1"/>
  <c r="AY639" i="2" a="1"/>
  <c r="AY639" i="2" s="1"/>
  <c r="AX639" i="2" a="1"/>
  <c r="AX639" i="2" s="1"/>
  <c r="AW639" i="2" a="1"/>
  <c r="AW639" i="2" s="1"/>
  <c r="AV639" i="2" a="1"/>
  <c r="AV639" i="2" s="1"/>
  <c r="AU639" i="2" a="1"/>
  <c r="AU639" i="2" s="1"/>
  <c r="AT639" i="2" a="1"/>
  <c r="AT639" i="2" s="1"/>
  <c r="AS639" i="2" a="1"/>
  <c r="AS639" i="2" s="1"/>
  <c r="AR639" i="2" a="1"/>
  <c r="AR639" i="2" s="1"/>
  <c r="AQ639" i="2" a="1"/>
  <c r="AQ639" i="2" s="1"/>
  <c r="AP639" i="2" a="1"/>
  <c r="AP639" i="2" s="1"/>
  <c r="AO639" i="2" a="1"/>
  <c r="AO639" i="2" s="1"/>
  <c r="AN639" i="2" a="1"/>
  <c r="AN639" i="2" s="1"/>
  <c r="AM639" i="2" a="1"/>
  <c r="AM639" i="2" s="1"/>
  <c r="AL639" i="2" a="1"/>
  <c r="AL639" i="2" s="1"/>
  <c r="AK639" i="2" a="1"/>
  <c r="AK639" i="2" s="1"/>
  <c r="AJ639" i="2" a="1"/>
  <c r="AJ639" i="2" s="1"/>
  <c r="AI639" i="2" a="1"/>
  <c r="AI639" i="2" s="1"/>
  <c r="AH639" i="2" a="1"/>
  <c r="AH639" i="2" s="1"/>
  <c r="AG639" i="2" a="1"/>
  <c r="AG639" i="2" s="1"/>
  <c r="AF639" i="2" a="1"/>
  <c r="AF639" i="2" s="1"/>
  <c r="AE639" i="2" a="1"/>
  <c r="AE639" i="2" s="1"/>
  <c r="AD639" i="2" a="1"/>
  <c r="AD639" i="2" s="1"/>
  <c r="AC639" i="2" a="1"/>
  <c r="AC639" i="2" s="1"/>
  <c r="AB639" i="2"/>
  <c r="AA639" i="2" a="1"/>
  <c r="AA639" i="2" s="1"/>
  <c r="Z639" i="2" a="1"/>
  <c r="Z639" i="2" s="1"/>
  <c r="Y639" i="2" a="1"/>
  <c r="Y639" i="2" s="1"/>
  <c r="X639" i="2" a="1"/>
  <c r="X639" i="2" s="1"/>
  <c r="W639" i="2" a="1"/>
  <c r="W639" i="2" s="1"/>
  <c r="BB639" i="2" s="1" a="1"/>
  <c r="BB639" i="2" s="1"/>
  <c r="V639" i="2" a="1"/>
  <c r="V639" i="2" s="1"/>
  <c r="E639" i="2" s="1" a="1"/>
  <c r="E639" i="2" s="1"/>
  <c r="U639" i="2" a="1"/>
  <c r="U639" i="2" s="1"/>
  <c r="T639" i="2" a="1"/>
  <c r="T639" i="2" s="1"/>
  <c r="S639" i="2" a="1"/>
  <c r="S639" i="2" s="1"/>
  <c r="R639" i="2" a="1"/>
  <c r="R639" i="2" s="1"/>
  <c r="Q639" i="2" a="1"/>
  <c r="Q639" i="2" s="1"/>
  <c r="P639" i="2" a="1"/>
  <c r="P639" i="2" s="1"/>
  <c r="O639" i="2" a="1"/>
  <c r="O639" i="2" s="1"/>
  <c r="N639" i="2" a="1"/>
  <c r="N639" i="2" s="1"/>
  <c r="M639" i="2" a="1"/>
  <c r="M639" i="2" s="1"/>
  <c r="L639" i="2" a="1"/>
  <c r="L639" i="2" s="1"/>
  <c r="K639" i="2" a="1"/>
  <c r="K639" i="2" s="1"/>
  <c r="J639" i="2" a="1"/>
  <c r="J639" i="2" s="1"/>
  <c r="I639" i="2" a="1"/>
  <c r="I639" i="2" s="1"/>
  <c r="H639" i="2" a="1"/>
  <c r="H639" i="2" s="1"/>
  <c r="F639" i="2" a="1"/>
  <c r="F639" i="2" s="1"/>
  <c r="D639" i="2" a="1"/>
  <c r="D639" i="2" s="1"/>
  <c r="B639" i="2" a="1"/>
  <c r="B639" i="2" s="1"/>
  <c r="BD638" i="2" a="1"/>
  <c r="BD638" i="2" s="1"/>
  <c r="BC638" i="2" a="1"/>
  <c r="BC638" i="2" s="1"/>
  <c r="BA638" i="2" a="1"/>
  <c r="BA638" i="2" s="1"/>
  <c r="AZ638" i="2" a="1"/>
  <c r="AZ638" i="2" s="1"/>
  <c r="AY638" i="2" a="1"/>
  <c r="AY638" i="2" s="1"/>
  <c r="AX638" i="2" a="1"/>
  <c r="AX638" i="2" s="1"/>
  <c r="AW638" i="2" a="1"/>
  <c r="AW638" i="2" s="1"/>
  <c r="AV638" i="2" a="1"/>
  <c r="AV638" i="2" s="1"/>
  <c r="AU638" i="2" a="1"/>
  <c r="AU638" i="2" s="1"/>
  <c r="AT638" i="2" a="1"/>
  <c r="AT638" i="2" s="1"/>
  <c r="AS638" i="2" a="1"/>
  <c r="AS638" i="2" s="1"/>
  <c r="AR638" i="2" a="1"/>
  <c r="AR638" i="2" s="1"/>
  <c r="AQ638" i="2" a="1"/>
  <c r="AQ638" i="2" s="1"/>
  <c r="AP638" i="2" a="1"/>
  <c r="AP638" i="2" s="1"/>
  <c r="AO638" i="2" a="1"/>
  <c r="AO638" i="2" s="1"/>
  <c r="AN638" i="2" a="1"/>
  <c r="AN638" i="2" s="1"/>
  <c r="AM638" i="2" a="1"/>
  <c r="AM638" i="2" s="1"/>
  <c r="AL638" i="2" a="1"/>
  <c r="AL638" i="2" s="1"/>
  <c r="AK638" i="2" a="1"/>
  <c r="AK638" i="2" s="1"/>
  <c r="AJ638" i="2" a="1"/>
  <c r="AJ638" i="2" s="1"/>
  <c r="AI638" i="2" a="1"/>
  <c r="AI638" i="2" s="1"/>
  <c r="AH638" i="2" a="1"/>
  <c r="AH638" i="2" s="1"/>
  <c r="AG638" i="2" a="1"/>
  <c r="AG638" i="2" s="1"/>
  <c r="AF638" i="2" a="1"/>
  <c r="AF638" i="2" s="1"/>
  <c r="AE638" i="2" a="1"/>
  <c r="AE638" i="2" s="1"/>
  <c r="AD638" i="2" a="1"/>
  <c r="AD638" i="2" s="1"/>
  <c r="AC638" i="2" a="1"/>
  <c r="AC638" i="2" s="1"/>
  <c r="AB638" i="2"/>
  <c r="AA638" i="2" a="1"/>
  <c r="AA638" i="2" s="1"/>
  <c r="Z638" i="2" a="1"/>
  <c r="Z638" i="2" s="1"/>
  <c r="Y638" i="2" a="1"/>
  <c r="Y638" i="2" s="1"/>
  <c r="X638" i="2" a="1"/>
  <c r="X638" i="2" s="1"/>
  <c r="W638" i="2" a="1"/>
  <c r="W638" i="2" s="1"/>
  <c r="BB638" i="2" s="1" a="1"/>
  <c r="BB638" i="2" s="1"/>
  <c r="V638" i="2" a="1"/>
  <c r="V638" i="2" s="1"/>
  <c r="E638" i="2" s="1" a="1"/>
  <c r="E638" i="2" s="1"/>
  <c r="U638" i="2" a="1"/>
  <c r="U638" i="2" s="1"/>
  <c r="T638" i="2" a="1"/>
  <c r="T638" i="2" s="1"/>
  <c r="S638" i="2" a="1"/>
  <c r="S638" i="2" s="1"/>
  <c r="R638" i="2" a="1"/>
  <c r="R638" i="2" s="1"/>
  <c r="Q638" i="2" a="1"/>
  <c r="Q638" i="2" s="1"/>
  <c r="P638" i="2" a="1"/>
  <c r="P638" i="2" s="1"/>
  <c r="O638" i="2" a="1"/>
  <c r="O638" i="2" s="1"/>
  <c r="N638" i="2" a="1"/>
  <c r="N638" i="2" s="1"/>
  <c r="M638" i="2" a="1"/>
  <c r="M638" i="2" s="1"/>
  <c r="L638" i="2" a="1"/>
  <c r="L638" i="2" s="1"/>
  <c r="K638" i="2" a="1"/>
  <c r="K638" i="2" s="1"/>
  <c r="J638" i="2" a="1"/>
  <c r="J638" i="2" s="1"/>
  <c r="I638" i="2" a="1"/>
  <c r="I638" i="2" s="1"/>
  <c r="H638" i="2" a="1"/>
  <c r="H638" i="2" s="1"/>
  <c r="F638" i="2" a="1"/>
  <c r="F638" i="2" s="1"/>
  <c r="D638" i="2" a="1"/>
  <c r="D638" i="2" s="1"/>
  <c r="B638" i="2" a="1"/>
  <c r="B638" i="2" s="1"/>
  <c r="BD636" i="2" a="1"/>
  <c r="BD636" i="2" s="1"/>
  <c r="BC636" i="2" a="1"/>
  <c r="BC636" i="2" s="1"/>
  <c r="BA636" i="2" a="1"/>
  <c r="BA636" i="2" s="1"/>
  <c r="AZ636" i="2" a="1"/>
  <c r="AZ636" i="2" s="1"/>
  <c r="AY636" i="2" a="1"/>
  <c r="AY636" i="2" s="1"/>
  <c r="AX636" i="2" a="1"/>
  <c r="AX636" i="2" s="1"/>
  <c r="AW636" i="2" a="1"/>
  <c r="AW636" i="2" s="1"/>
  <c r="AV636" i="2" a="1"/>
  <c r="AV636" i="2" s="1"/>
  <c r="AU636" i="2" a="1"/>
  <c r="AU636" i="2" s="1"/>
  <c r="AT636" i="2" a="1"/>
  <c r="AT636" i="2" s="1"/>
  <c r="AS636" i="2" a="1"/>
  <c r="AS636" i="2" s="1"/>
  <c r="AR636" i="2" a="1"/>
  <c r="AR636" i="2" s="1"/>
  <c r="AQ636" i="2" a="1"/>
  <c r="AQ636" i="2" s="1"/>
  <c r="AP636" i="2" a="1"/>
  <c r="AP636" i="2" s="1"/>
  <c r="AO636" i="2" a="1"/>
  <c r="AO636" i="2" s="1"/>
  <c r="AN636" i="2" a="1"/>
  <c r="AN636" i="2" s="1"/>
  <c r="AM636" i="2" a="1"/>
  <c r="AM636" i="2" s="1"/>
  <c r="AL636" i="2" a="1"/>
  <c r="AL636" i="2" s="1"/>
  <c r="AK636" i="2" a="1"/>
  <c r="AK636" i="2" s="1"/>
  <c r="AJ636" i="2" a="1"/>
  <c r="AJ636" i="2" s="1"/>
  <c r="AI636" i="2" a="1"/>
  <c r="AI636" i="2" s="1"/>
  <c r="AH636" i="2" a="1"/>
  <c r="AH636" i="2" s="1"/>
  <c r="AG636" i="2" a="1"/>
  <c r="AG636" i="2" s="1"/>
  <c r="AF636" i="2" a="1"/>
  <c r="AF636" i="2" s="1"/>
  <c r="AE636" i="2" a="1"/>
  <c r="AE636" i="2" s="1"/>
  <c r="AD636" i="2" a="1"/>
  <c r="AD636" i="2" s="1"/>
  <c r="AC636" i="2" a="1"/>
  <c r="AC636" i="2" s="1"/>
  <c r="AB636" i="2"/>
  <c r="AA636" i="2" a="1"/>
  <c r="AA636" i="2" s="1"/>
  <c r="Z636" i="2" a="1"/>
  <c r="Z636" i="2" s="1"/>
  <c r="Y636" i="2" a="1"/>
  <c r="Y636" i="2" s="1"/>
  <c r="X636" i="2" a="1"/>
  <c r="X636" i="2" s="1"/>
  <c r="W636" i="2" a="1"/>
  <c r="W636" i="2" s="1"/>
  <c r="BB636" i="2" s="1" a="1"/>
  <c r="BB636" i="2" s="1"/>
  <c r="V636" i="2" a="1"/>
  <c r="V636" i="2" s="1"/>
  <c r="E636" i="2" s="1" a="1"/>
  <c r="E636" i="2" s="1"/>
  <c r="U636" i="2" a="1"/>
  <c r="U636" i="2" s="1"/>
  <c r="T636" i="2" a="1"/>
  <c r="T636" i="2" s="1"/>
  <c r="S636" i="2" a="1"/>
  <c r="S636" i="2" s="1"/>
  <c r="R636" i="2" a="1"/>
  <c r="R636" i="2" s="1"/>
  <c r="Q636" i="2" a="1"/>
  <c r="Q636" i="2" s="1"/>
  <c r="P636" i="2" a="1"/>
  <c r="P636" i="2" s="1"/>
  <c r="O636" i="2" a="1"/>
  <c r="O636" i="2" s="1"/>
  <c r="N636" i="2" a="1"/>
  <c r="N636" i="2" s="1"/>
  <c r="M636" i="2" a="1"/>
  <c r="M636" i="2" s="1"/>
  <c r="L636" i="2" a="1"/>
  <c r="L636" i="2" s="1"/>
  <c r="K636" i="2" a="1"/>
  <c r="K636" i="2" s="1"/>
  <c r="J636" i="2" a="1"/>
  <c r="J636" i="2" s="1"/>
  <c r="I636" i="2" a="1"/>
  <c r="I636" i="2" s="1"/>
  <c r="H636" i="2" a="1"/>
  <c r="H636" i="2" s="1"/>
  <c r="F636" i="2" a="1"/>
  <c r="F636" i="2" s="1"/>
  <c r="D636" i="2" a="1"/>
  <c r="D636" i="2" s="1"/>
  <c r="B636" i="2" a="1"/>
  <c r="B636" i="2" s="1"/>
  <c r="BD635" i="2" a="1"/>
  <c r="BD635" i="2" s="1"/>
  <c r="BC635" i="2" a="1"/>
  <c r="BC635" i="2" s="1"/>
  <c r="BA635" i="2" a="1"/>
  <c r="BA635" i="2" s="1"/>
  <c r="AZ635" i="2" a="1"/>
  <c r="AZ635" i="2" s="1"/>
  <c r="AY635" i="2" a="1"/>
  <c r="AY635" i="2" s="1"/>
  <c r="AX635" i="2" a="1"/>
  <c r="AX635" i="2" s="1"/>
  <c r="AW635" i="2" a="1"/>
  <c r="AW635" i="2" s="1"/>
  <c r="AV635" i="2" a="1"/>
  <c r="AV635" i="2" s="1"/>
  <c r="AU635" i="2" a="1"/>
  <c r="AU635" i="2" s="1"/>
  <c r="AT635" i="2" a="1"/>
  <c r="AT635" i="2" s="1"/>
  <c r="AS635" i="2" a="1"/>
  <c r="AS635" i="2" s="1"/>
  <c r="AR635" i="2" a="1"/>
  <c r="AR635" i="2" s="1"/>
  <c r="AQ635" i="2" a="1"/>
  <c r="AQ635" i="2" s="1"/>
  <c r="AP635" i="2" a="1"/>
  <c r="AP635" i="2" s="1"/>
  <c r="AO635" i="2" a="1"/>
  <c r="AO635" i="2" s="1"/>
  <c r="AN635" i="2" a="1"/>
  <c r="AN635" i="2" s="1"/>
  <c r="AM635" i="2" a="1"/>
  <c r="AM635" i="2" s="1"/>
  <c r="AL635" i="2" a="1"/>
  <c r="AL635" i="2" s="1"/>
  <c r="AK635" i="2" a="1"/>
  <c r="AK635" i="2" s="1"/>
  <c r="AJ635" i="2" a="1"/>
  <c r="AJ635" i="2" s="1"/>
  <c r="AI635" i="2" a="1"/>
  <c r="AI635" i="2" s="1"/>
  <c r="AH635" i="2" a="1"/>
  <c r="AH635" i="2" s="1"/>
  <c r="AG635" i="2" a="1"/>
  <c r="AG635" i="2" s="1"/>
  <c r="AF635" i="2" a="1"/>
  <c r="AF635" i="2" s="1"/>
  <c r="AE635" i="2" a="1"/>
  <c r="AE635" i="2" s="1"/>
  <c r="AD635" i="2" a="1"/>
  <c r="AD635" i="2" s="1"/>
  <c r="AC635" i="2" a="1"/>
  <c r="AC635" i="2" s="1"/>
  <c r="AB635" i="2"/>
  <c r="AA635" i="2" a="1"/>
  <c r="AA635" i="2" s="1"/>
  <c r="Z635" i="2" a="1"/>
  <c r="Z635" i="2" s="1"/>
  <c r="Y635" i="2" a="1"/>
  <c r="Y635" i="2" s="1"/>
  <c r="X635" i="2" a="1"/>
  <c r="X635" i="2" s="1"/>
  <c r="W635" i="2" a="1"/>
  <c r="W635" i="2" s="1"/>
  <c r="BB635" i="2" s="1" a="1"/>
  <c r="BB635" i="2" s="1"/>
  <c r="V635" i="2" a="1"/>
  <c r="V635" i="2" s="1"/>
  <c r="E635" i="2" s="1" a="1"/>
  <c r="E635" i="2" s="1"/>
  <c r="U635" i="2" a="1"/>
  <c r="U635" i="2" s="1"/>
  <c r="T635" i="2" a="1"/>
  <c r="T635" i="2" s="1"/>
  <c r="S635" i="2" a="1"/>
  <c r="S635" i="2" s="1"/>
  <c r="R635" i="2" a="1"/>
  <c r="R635" i="2" s="1"/>
  <c r="Q635" i="2" a="1"/>
  <c r="Q635" i="2" s="1"/>
  <c r="P635" i="2" a="1"/>
  <c r="P635" i="2" s="1"/>
  <c r="O635" i="2" a="1"/>
  <c r="O635" i="2" s="1"/>
  <c r="N635" i="2" a="1"/>
  <c r="N635" i="2" s="1"/>
  <c r="M635" i="2" a="1"/>
  <c r="M635" i="2" s="1"/>
  <c r="L635" i="2" a="1"/>
  <c r="L635" i="2" s="1"/>
  <c r="K635" i="2" a="1"/>
  <c r="K635" i="2" s="1"/>
  <c r="J635" i="2" a="1"/>
  <c r="J635" i="2" s="1"/>
  <c r="I635" i="2" a="1"/>
  <c r="I635" i="2" s="1"/>
  <c r="H635" i="2" a="1"/>
  <c r="H635" i="2" s="1"/>
  <c r="F635" i="2" a="1"/>
  <c r="F635" i="2" s="1"/>
  <c r="D635" i="2" a="1"/>
  <c r="D635" i="2" s="1"/>
  <c r="B635" i="2" a="1"/>
  <c r="B635" i="2" s="1"/>
  <c r="BD634" i="2" a="1"/>
  <c r="BD634" i="2" s="1"/>
  <c r="BC634" i="2" a="1"/>
  <c r="BC634" i="2" s="1"/>
  <c r="BA634" i="2" a="1"/>
  <c r="BA634" i="2" s="1"/>
  <c r="AZ634" i="2" a="1"/>
  <c r="AZ634" i="2" s="1"/>
  <c r="AY634" i="2" a="1"/>
  <c r="AY634" i="2" s="1"/>
  <c r="AX634" i="2" a="1"/>
  <c r="AX634" i="2" s="1"/>
  <c r="AW634" i="2" a="1"/>
  <c r="AW634" i="2" s="1"/>
  <c r="AV634" i="2" a="1"/>
  <c r="AV634" i="2" s="1"/>
  <c r="AU634" i="2" a="1"/>
  <c r="AU634" i="2" s="1"/>
  <c r="AT634" i="2" a="1"/>
  <c r="AT634" i="2" s="1"/>
  <c r="AS634" i="2" a="1"/>
  <c r="AS634" i="2" s="1"/>
  <c r="AR634" i="2" a="1"/>
  <c r="AR634" i="2" s="1"/>
  <c r="AQ634" i="2" a="1"/>
  <c r="AQ634" i="2" s="1"/>
  <c r="AP634" i="2" a="1"/>
  <c r="AP634" i="2" s="1"/>
  <c r="AO634" i="2" a="1"/>
  <c r="AO634" i="2" s="1"/>
  <c r="AN634" i="2" a="1"/>
  <c r="AN634" i="2" s="1"/>
  <c r="AM634" i="2" a="1"/>
  <c r="AM634" i="2" s="1"/>
  <c r="AL634" i="2" a="1"/>
  <c r="AL634" i="2" s="1"/>
  <c r="AK634" i="2" a="1"/>
  <c r="AK634" i="2" s="1"/>
  <c r="AJ634" i="2" a="1"/>
  <c r="AJ634" i="2" s="1"/>
  <c r="AI634" i="2" a="1"/>
  <c r="AI634" i="2" s="1"/>
  <c r="AH634" i="2" a="1"/>
  <c r="AH634" i="2" s="1"/>
  <c r="AG634" i="2" a="1"/>
  <c r="AG634" i="2" s="1"/>
  <c r="AF634" i="2" a="1"/>
  <c r="AF634" i="2" s="1"/>
  <c r="AE634" i="2" a="1"/>
  <c r="AE634" i="2" s="1"/>
  <c r="AD634" i="2" a="1"/>
  <c r="AD634" i="2" s="1"/>
  <c r="AC634" i="2" a="1"/>
  <c r="AC634" i="2" s="1"/>
  <c r="AB634" i="2"/>
  <c r="AA634" i="2" a="1"/>
  <c r="AA634" i="2" s="1"/>
  <c r="Z634" i="2" a="1"/>
  <c r="Z634" i="2" s="1"/>
  <c r="Y634" i="2" a="1"/>
  <c r="Y634" i="2" s="1"/>
  <c r="X634" i="2" a="1"/>
  <c r="X634" i="2" s="1"/>
  <c r="W634" i="2" a="1"/>
  <c r="W634" i="2" s="1"/>
  <c r="BB634" i="2" s="1" a="1"/>
  <c r="BB634" i="2" s="1"/>
  <c r="V634" i="2" a="1"/>
  <c r="V634" i="2" s="1"/>
  <c r="E634" i="2" s="1" a="1"/>
  <c r="E634" i="2" s="1"/>
  <c r="U634" i="2" a="1"/>
  <c r="U634" i="2" s="1"/>
  <c r="T634" i="2" a="1"/>
  <c r="T634" i="2" s="1"/>
  <c r="S634" i="2" a="1"/>
  <c r="S634" i="2" s="1"/>
  <c r="R634" i="2" a="1"/>
  <c r="R634" i="2" s="1"/>
  <c r="Q634" i="2" a="1"/>
  <c r="Q634" i="2" s="1"/>
  <c r="P634" i="2" a="1"/>
  <c r="P634" i="2" s="1"/>
  <c r="O634" i="2" a="1"/>
  <c r="O634" i="2" s="1"/>
  <c r="N634" i="2" a="1"/>
  <c r="N634" i="2" s="1"/>
  <c r="M634" i="2" a="1"/>
  <c r="M634" i="2" s="1"/>
  <c r="L634" i="2" a="1"/>
  <c r="L634" i="2" s="1"/>
  <c r="K634" i="2" a="1"/>
  <c r="K634" i="2" s="1"/>
  <c r="J634" i="2" a="1"/>
  <c r="J634" i="2" s="1"/>
  <c r="I634" i="2" a="1"/>
  <c r="I634" i="2" s="1"/>
  <c r="H634" i="2" a="1"/>
  <c r="H634" i="2" s="1"/>
  <c r="F634" i="2" a="1"/>
  <c r="F634" i="2" s="1"/>
  <c r="D634" i="2" a="1"/>
  <c r="D634" i="2" s="1"/>
  <c r="B634" i="2" a="1"/>
  <c r="B634" i="2" s="1"/>
  <c r="BD633" i="2" a="1"/>
  <c r="BD633" i="2" s="1"/>
  <c r="BC633" i="2" a="1"/>
  <c r="BC633" i="2" s="1"/>
  <c r="BA633" i="2" a="1"/>
  <c r="BA633" i="2" s="1"/>
  <c r="AZ633" i="2" a="1"/>
  <c r="AZ633" i="2" s="1"/>
  <c r="AY633" i="2" a="1"/>
  <c r="AY633" i="2" s="1"/>
  <c r="AX633" i="2" a="1"/>
  <c r="AX633" i="2" s="1"/>
  <c r="AW633" i="2" a="1"/>
  <c r="AW633" i="2" s="1"/>
  <c r="AV633" i="2" a="1"/>
  <c r="AV633" i="2" s="1"/>
  <c r="AU633" i="2" a="1"/>
  <c r="AU633" i="2" s="1"/>
  <c r="AT633" i="2" a="1"/>
  <c r="AT633" i="2" s="1"/>
  <c r="AS633" i="2" a="1"/>
  <c r="AS633" i="2" s="1"/>
  <c r="AR633" i="2" a="1"/>
  <c r="AR633" i="2" s="1"/>
  <c r="AQ633" i="2" a="1"/>
  <c r="AQ633" i="2" s="1"/>
  <c r="AP633" i="2" a="1"/>
  <c r="AP633" i="2" s="1"/>
  <c r="AO633" i="2" a="1"/>
  <c r="AO633" i="2" s="1"/>
  <c r="AN633" i="2" a="1"/>
  <c r="AN633" i="2" s="1"/>
  <c r="AM633" i="2" a="1"/>
  <c r="AM633" i="2" s="1"/>
  <c r="AL633" i="2" a="1"/>
  <c r="AL633" i="2" s="1"/>
  <c r="AK633" i="2" a="1"/>
  <c r="AK633" i="2" s="1"/>
  <c r="AJ633" i="2" a="1"/>
  <c r="AJ633" i="2" s="1"/>
  <c r="AI633" i="2" a="1"/>
  <c r="AI633" i="2" s="1"/>
  <c r="AH633" i="2" a="1"/>
  <c r="AH633" i="2" s="1"/>
  <c r="AG633" i="2" a="1"/>
  <c r="AG633" i="2" s="1"/>
  <c r="AF633" i="2" a="1"/>
  <c r="AF633" i="2" s="1"/>
  <c r="AE633" i="2" a="1"/>
  <c r="AE633" i="2" s="1"/>
  <c r="AD633" i="2" a="1"/>
  <c r="AD633" i="2" s="1"/>
  <c r="AC633" i="2" a="1"/>
  <c r="AC633" i="2" s="1"/>
  <c r="AB633" i="2"/>
  <c r="AA633" i="2" a="1"/>
  <c r="AA633" i="2" s="1"/>
  <c r="Z633" i="2" a="1"/>
  <c r="Z633" i="2" s="1"/>
  <c r="Y633" i="2" a="1"/>
  <c r="Y633" i="2" s="1"/>
  <c r="X633" i="2" a="1"/>
  <c r="X633" i="2" s="1"/>
  <c r="W633" i="2" a="1"/>
  <c r="W633" i="2" s="1"/>
  <c r="BB633" i="2" s="1" a="1"/>
  <c r="BB633" i="2" s="1"/>
  <c r="V633" i="2" a="1"/>
  <c r="V633" i="2" s="1"/>
  <c r="E633" i="2" s="1" a="1"/>
  <c r="E633" i="2" s="1"/>
  <c r="U633" i="2" a="1"/>
  <c r="U633" i="2" s="1"/>
  <c r="T633" i="2" a="1"/>
  <c r="T633" i="2" s="1"/>
  <c r="S633" i="2" a="1"/>
  <c r="S633" i="2" s="1"/>
  <c r="R633" i="2" a="1"/>
  <c r="R633" i="2" s="1"/>
  <c r="Q633" i="2" a="1"/>
  <c r="Q633" i="2" s="1"/>
  <c r="P633" i="2" a="1"/>
  <c r="P633" i="2" s="1"/>
  <c r="O633" i="2" a="1"/>
  <c r="O633" i="2" s="1"/>
  <c r="N633" i="2" a="1"/>
  <c r="N633" i="2" s="1"/>
  <c r="M633" i="2" a="1"/>
  <c r="M633" i="2" s="1"/>
  <c r="L633" i="2" a="1"/>
  <c r="L633" i="2" s="1"/>
  <c r="K633" i="2" a="1"/>
  <c r="K633" i="2" s="1"/>
  <c r="J633" i="2" a="1"/>
  <c r="J633" i="2" s="1"/>
  <c r="I633" i="2" a="1"/>
  <c r="I633" i="2" s="1"/>
  <c r="H633" i="2" a="1"/>
  <c r="H633" i="2" s="1"/>
  <c r="F633" i="2" a="1"/>
  <c r="F633" i="2" s="1"/>
  <c r="D633" i="2" a="1"/>
  <c r="D633" i="2" s="1"/>
  <c r="B633" i="2" a="1"/>
  <c r="B633" i="2" s="1"/>
  <c r="BD632" i="2" a="1"/>
  <c r="BD632" i="2" s="1"/>
  <c r="BC632" i="2" a="1"/>
  <c r="BC632" i="2" s="1"/>
  <c r="BA632" i="2" a="1"/>
  <c r="BA632" i="2" s="1"/>
  <c r="AZ632" i="2" a="1"/>
  <c r="AZ632" i="2" s="1"/>
  <c r="AY632" i="2" a="1"/>
  <c r="AY632" i="2" s="1"/>
  <c r="AX632" i="2" a="1"/>
  <c r="AX632" i="2" s="1"/>
  <c r="AW632" i="2" a="1"/>
  <c r="AW632" i="2" s="1"/>
  <c r="AV632" i="2" a="1"/>
  <c r="AV632" i="2" s="1"/>
  <c r="AU632" i="2" a="1"/>
  <c r="AU632" i="2" s="1"/>
  <c r="AT632" i="2" a="1"/>
  <c r="AT632" i="2" s="1"/>
  <c r="AS632" i="2" a="1"/>
  <c r="AS632" i="2" s="1"/>
  <c r="AR632" i="2" a="1"/>
  <c r="AR632" i="2" s="1"/>
  <c r="AQ632" i="2" a="1"/>
  <c r="AQ632" i="2" s="1"/>
  <c r="AP632" i="2" a="1"/>
  <c r="AP632" i="2" s="1"/>
  <c r="AO632" i="2" a="1"/>
  <c r="AO632" i="2" s="1"/>
  <c r="AN632" i="2" a="1"/>
  <c r="AN632" i="2" s="1"/>
  <c r="AM632" i="2" a="1"/>
  <c r="AM632" i="2" s="1"/>
  <c r="AL632" i="2" a="1"/>
  <c r="AL632" i="2" s="1"/>
  <c r="AK632" i="2" a="1"/>
  <c r="AK632" i="2" s="1"/>
  <c r="AJ632" i="2" a="1"/>
  <c r="AJ632" i="2" s="1"/>
  <c r="AI632" i="2" a="1"/>
  <c r="AI632" i="2" s="1"/>
  <c r="AH632" i="2" a="1"/>
  <c r="AH632" i="2" s="1"/>
  <c r="AG632" i="2" a="1"/>
  <c r="AG632" i="2" s="1"/>
  <c r="AF632" i="2" a="1"/>
  <c r="AF632" i="2" s="1"/>
  <c r="AE632" i="2" a="1"/>
  <c r="AE632" i="2" s="1"/>
  <c r="AD632" i="2" a="1"/>
  <c r="AD632" i="2" s="1"/>
  <c r="AC632" i="2" a="1"/>
  <c r="AC632" i="2" s="1"/>
  <c r="AB632" i="2"/>
  <c r="AA632" i="2" a="1"/>
  <c r="AA632" i="2" s="1"/>
  <c r="Z632" i="2" a="1"/>
  <c r="Z632" i="2" s="1"/>
  <c r="Y632" i="2" a="1"/>
  <c r="Y632" i="2" s="1"/>
  <c r="X632" i="2" a="1"/>
  <c r="X632" i="2" s="1"/>
  <c r="W632" i="2" a="1"/>
  <c r="W632" i="2" s="1"/>
  <c r="BB632" i="2" s="1" a="1"/>
  <c r="BB632" i="2" s="1"/>
  <c r="V632" i="2" a="1"/>
  <c r="V632" i="2" s="1"/>
  <c r="E632" i="2" s="1" a="1"/>
  <c r="E632" i="2" s="1"/>
  <c r="U632" i="2" a="1"/>
  <c r="U632" i="2" s="1"/>
  <c r="T632" i="2" a="1"/>
  <c r="T632" i="2" s="1"/>
  <c r="S632" i="2" a="1"/>
  <c r="S632" i="2" s="1"/>
  <c r="R632" i="2" a="1"/>
  <c r="R632" i="2" s="1"/>
  <c r="Q632" i="2" a="1"/>
  <c r="Q632" i="2" s="1"/>
  <c r="P632" i="2" a="1"/>
  <c r="P632" i="2" s="1"/>
  <c r="O632" i="2" a="1"/>
  <c r="O632" i="2" s="1"/>
  <c r="N632" i="2" a="1"/>
  <c r="N632" i="2" s="1"/>
  <c r="M632" i="2" a="1"/>
  <c r="M632" i="2" s="1"/>
  <c r="L632" i="2" a="1"/>
  <c r="L632" i="2" s="1"/>
  <c r="K632" i="2" a="1"/>
  <c r="K632" i="2" s="1"/>
  <c r="J632" i="2" a="1"/>
  <c r="J632" i="2" s="1"/>
  <c r="I632" i="2" a="1"/>
  <c r="I632" i="2" s="1"/>
  <c r="H632" i="2" a="1"/>
  <c r="H632" i="2" s="1"/>
  <c r="F632" i="2" a="1"/>
  <c r="F632" i="2" s="1"/>
  <c r="D632" i="2" a="1"/>
  <c r="D632" i="2" s="1"/>
  <c r="B632" i="2" a="1"/>
  <c r="B632" i="2" s="1"/>
  <c r="BD631" i="2" a="1"/>
  <c r="BD631" i="2" s="1"/>
  <c r="BC631" i="2" a="1"/>
  <c r="BC631" i="2" s="1"/>
  <c r="BA631" i="2" a="1"/>
  <c r="BA631" i="2" s="1"/>
  <c r="AZ631" i="2" a="1"/>
  <c r="AZ631" i="2" s="1"/>
  <c r="AY631" i="2" a="1"/>
  <c r="AY631" i="2" s="1"/>
  <c r="AX631" i="2" a="1"/>
  <c r="AX631" i="2" s="1"/>
  <c r="AW631" i="2" a="1"/>
  <c r="AW631" i="2" s="1"/>
  <c r="AV631" i="2" a="1"/>
  <c r="AV631" i="2" s="1"/>
  <c r="AU631" i="2" a="1"/>
  <c r="AU631" i="2" s="1"/>
  <c r="AT631" i="2" a="1"/>
  <c r="AT631" i="2" s="1"/>
  <c r="AS631" i="2" a="1"/>
  <c r="AS631" i="2" s="1"/>
  <c r="AR631" i="2" a="1"/>
  <c r="AR631" i="2" s="1"/>
  <c r="AQ631" i="2" a="1"/>
  <c r="AQ631" i="2" s="1"/>
  <c r="AP631" i="2" a="1"/>
  <c r="AP631" i="2" s="1"/>
  <c r="AO631" i="2" a="1"/>
  <c r="AO631" i="2" s="1"/>
  <c r="AN631" i="2" a="1"/>
  <c r="AN631" i="2" s="1"/>
  <c r="AM631" i="2" a="1"/>
  <c r="AM631" i="2" s="1"/>
  <c r="AL631" i="2" a="1"/>
  <c r="AL631" i="2" s="1"/>
  <c r="AK631" i="2" a="1"/>
  <c r="AK631" i="2" s="1"/>
  <c r="AJ631" i="2" a="1"/>
  <c r="AJ631" i="2" s="1"/>
  <c r="AI631" i="2" a="1"/>
  <c r="AI631" i="2" s="1"/>
  <c r="AH631" i="2" a="1"/>
  <c r="AH631" i="2" s="1"/>
  <c r="AG631" i="2" a="1"/>
  <c r="AG631" i="2" s="1"/>
  <c r="AF631" i="2" a="1"/>
  <c r="AF631" i="2" s="1"/>
  <c r="AE631" i="2" a="1"/>
  <c r="AE631" i="2" s="1"/>
  <c r="AD631" i="2" a="1"/>
  <c r="AD631" i="2" s="1"/>
  <c r="AC631" i="2" a="1"/>
  <c r="AC631" i="2" s="1"/>
  <c r="AB631" i="2"/>
  <c r="AA631" i="2" a="1"/>
  <c r="AA631" i="2" s="1"/>
  <c r="Z631" i="2" a="1"/>
  <c r="Z631" i="2" s="1"/>
  <c r="Y631" i="2" a="1"/>
  <c r="Y631" i="2" s="1"/>
  <c r="X631" i="2" a="1"/>
  <c r="X631" i="2" s="1"/>
  <c r="W631" i="2" a="1"/>
  <c r="W631" i="2" s="1"/>
  <c r="BB631" i="2" s="1" a="1"/>
  <c r="BB631" i="2" s="1"/>
  <c r="V631" i="2" a="1"/>
  <c r="V631" i="2" s="1"/>
  <c r="E631" i="2" s="1" a="1"/>
  <c r="E631" i="2" s="1"/>
  <c r="U631" i="2" a="1"/>
  <c r="U631" i="2" s="1"/>
  <c r="T631" i="2" a="1"/>
  <c r="T631" i="2" s="1"/>
  <c r="S631" i="2" a="1"/>
  <c r="S631" i="2" s="1"/>
  <c r="R631" i="2" a="1"/>
  <c r="R631" i="2" s="1"/>
  <c r="Q631" i="2" a="1"/>
  <c r="Q631" i="2" s="1"/>
  <c r="P631" i="2" a="1"/>
  <c r="P631" i="2" s="1"/>
  <c r="O631" i="2" a="1"/>
  <c r="O631" i="2" s="1"/>
  <c r="N631" i="2" a="1"/>
  <c r="N631" i="2" s="1"/>
  <c r="M631" i="2" a="1"/>
  <c r="M631" i="2" s="1"/>
  <c r="L631" i="2" a="1"/>
  <c r="L631" i="2" s="1"/>
  <c r="K631" i="2" a="1"/>
  <c r="K631" i="2" s="1"/>
  <c r="J631" i="2" a="1"/>
  <c r="J631" i="2" s="1"/>
  <c r="I631" i="2" a="1"/>
  <c r="I631" i="2" s="1"/>
  <c r="H631" i="2" a="1"/>
  <c r="H631" i="2" s="1"/>
  <c r="F631" i="2" a="1"/>
  <c r="F631" i="2" s="1"/>
  <c r="D631" i="2" a="1"/>
  <c r="D631" i="2" s="1"/>
  <c r="B631" i="2" a="1"/>
  <c r="B631" i="2" s="1"/>
  <c r="BD627" i="2" a="1"/>
  <c r="BD627" i="2" s="1"/>
  <c r="BC627" i="2" a="1"/>
  <c r="BC627" i="2" s="1"/>
  <c r="AZ627" i="2" a="1"/>
  <c r="AZ627" i="2" s="1"/>
  <c r="AY627" i="2" a="1"/>
  <c r="AY627" i="2" s="1"/>
  <c r="AX627" i="2" a="1"/>
  <c r="AX627" i="2" s="1"/>
  <c r="AW627" i="2" a="1"/>
  <c r="AW627" i="2" s="1"/>
  <c r="AV627" i="2" a="1"/>
  <c r="AV627" i="2" s="1"/>
  <c r="AU627" i="2" a="1"/>
  <c r="AU627" i="2" s="1"/>
  <c r="AT627" i="2" a="1"/>
  <c r="AT627" i="2" s="1"/>
  <c r="AS627" i="2" a="1"/>
  <c r="AS627" i="2" s="1"/>
  <c r="AR627" i="2" a="1"/>
  <c r="AR627" i="2" s="1"/>
  <c r="AQ627" i="2" a="1"/>
  <c r="AQ627" i="2" s="1"/>
  <c r="AP627" i="2" a="1"/>
  <c r="AP627" i="2" s="1"/>
  <c r="AO627" i="2" a="1"/>
  <c r="AO627" i="2" s="1"/>
  <c r="AN627" i="2" a="1"/>
  <c r="AN627" i="2" s="1"/>
  <c r="AM627" i="2" a="1"/>
  <c r="AM627" i="2" s="1"/>
  <c r="AL627" i="2" a="1"/>
  <c r="AL627" i="2" s="1"/>
  <c r="AK627" i="2" a="1"/>
  <c r="AK627" i="2" s="1"/>
  <c r="AJ627" i="2" a="1"/>
  <c r="AJ627" i="2" s="1"/>
  <c r="AI627" i="2" a="1"/>
  <c r="AI627" i="2" s="1"/>
  <c r="AH627" i="2" a="1"/>
  <c r="AH627" i="2" s="1"/>
  <c r="AG627" i="2" a="1"/>
  <c r="AG627" i="2" s="1"/>
  <c r="AF627" i="2" a="1"/>
  <c r="AF627" i="2" s="1"/>
  <c r="AE627" i="2" a="1"/>
  <c r="AE627" i="2" s="1"/>
  <c r="AD627" i="2" a="1"/>
  <c r="AD627" i="2" s="1"/>
  <c r="AC627" i="2" a="1"/>
  <c r="AC627" i="2" s="1"/>
  <c r="AB627" i="2" a="1"/>
  <c r="AB627" i="2" s="1"/>
  <c r="AA627" i="2" a="1"/>
  <c r="AA627" i="2" s="1"/>
  <c r="Z627" i="2" a="1"/>
  <c r="Z627" i="2" s="1"/>
  <c r="Y627" i="2" a="1"/>
  <c r="Y627" i="2" s="1"/>
  <c r="X627" i="2" a="1"/>
  <c r="X627" i="2" s="1"/>
  <c r="W627" i="2" a="1"/>
  <c r="W627" i="2" s="1"/>
  <c r="V627" i="2" a="1"/>
  <c r="V627" i="2" s="1"/>
  <c r="E627" i="2" s="1" a="1"/>
  <c r="E627" i="2" s="1"/>
  <c r="U627" i="2" a="1"/>
  <c r="U627" i="2" s="1"/>
  <c r="T627" i="2" a="1"/>
  <c r="T627" i="2" s="1"/>
  <c r="S627" i="2" a="1"/>
  <c r="S627" i="2" s="1"/>
  <c r="R627" i="2" a="1"/>
  <c r="R627" i="2" s="1"/>
  <c r="Q627" i="2" a="1"/>
  <c r="Q627" i="2" s="1"/>
  <c r="P627" i="2" a="1"/>
  <c r="P627" i="2" s="1"/>
  <c r="O627" i="2" a="1"/>
  <c r="O627" i="2" s="1"/>
  <c r="N627" i="2" a="1"/>
  <c r="N627" i="2" s="1"/>
  <c r="M627" i="2" a="1"/>
  <c r="M627" i="2" s="1"/>
  <c r="L627" i="2" a="1"/>
  <c r="L627" i="2" s="1"/>
  <c r="K627" i="2" a="1"/>
  <c r="K627" i="2" s="1"/>
  <c r="J627" i="2" a="1"/>
  <c r="J627" i="2" s="1"/>
  <c r="I627" i="2" a="1"/>
  <c r="I627" i="2" s="1"/>
  <c r="H627" i="2" a="1"/>
  <c r="H627" i="2" s="1"/>
  <c r="F627" i="2" a="1"/>
  <c r="F627" i="2" s="1"/>
  <c r="D627" i="2" a="1"/>
  <c r="D627" i="2" s="1"/>
  <c r="B627" i="2" a="1"/>
  <c r="B627" i="2" s="1"/>
  <c r="BD623" i="2" a="1"/>
  <c r="BD623" i="2" s="1"/>
  <c r="BC623" i="2" a="1"/>
  <c r="BC623" i="2" s="1"/>
  <c r="BA623" i="2" a="1"/>
  <c r="BA623" i="2" s="1"/>
  <c r="AZ623" i="2" a="1"/>
  <c r="AZ623" i="2" s="1"/>
  <c r="AY623" i="2" a="1"/>
  <c r="AY623" i="2" s="1"/>
  <c r="AX623" i="2" a="1"/>
  <c r="AX623" i="2" s="1"/>
  <c r="AW623" i="2" a="1"/>
  <c r="AW623" i="2" s="1"/>
  <c r="AV623" i="2" a="1"/>
  <c r="AV623" i="2" s="1"/>
  <c r="AU623" i="2" a="1"/>
  <c r="AU623" i="2" s="1"/>
  <c r="AT623" i="2" a="1"/>
  <c r="AT623" i="2" s="1"/>
  <c r="AS623" i="2" a="1"/>
  <c r="AS623" i="2" s="1"/>
  <c r="AR623" i="2" a="1"/>
  <c r="AR623" i="2" s="1"/>
  <c r="AQ623" i="2" a="1"/>
  <c r="AQ623" i="2" s="1"/>
  <c r="AP623" i="2" a="1"/>
  <c r="AP623" i="2" s="1"/>
  <c r="AO623" i="2" a="1"/>
  <c r="AO623" i="2" s="1"/>
  <c r="AN623" i="2" a="1"/>
  <c r="AN623" i="2" s="1"/>
  <c r="AM623" i="2" a="1"/>
  <c r="AM623" i="2" s="1"/>
  <c r="AL623" i="2" a="1"/>
  <c r="AL623" i="2" s="1"/>
  <c r="AK623" i="2" a="1"/>
  <c r="AK623" i="2" s="1"/>
  <c r="AJ623" i="2" a="1"/>
  <c r="AJ623" i="2" s="1"/>
  <c r="AI623" i="2" a="1"/>
  <c r="AI623" i="2" s="1"/>
  <c r="AH623" i="2" a="1"/>
  <c r="AH623" i="2" s="1"/>
  <c r="AG623" i="2" a="1"/>
  <c r="AG623" i="2" s="1"/>
  <c r="AF623" i="2" a="1"/>
  <c r="AF623" i="2" s="1"/>
  <c r="AE623" i="2" a="1"/>
  <c r="AE623" i="2" s="1"/>
  <c r="AD623" i="2" a="1"/>
  <c r="AD623" i="2" s="1"/>
  <c r="AC623" i="2" a="1"/>
  <c r="AC623" i="2" s="1"/>
  <c r="AB623" i="2"/>
  <c r="AA623" i="2" a="1"/>
  <c r="AA623" i="2" s="1"/>
  <c r="Z623" i="2" a="1"/>
  <c r="Z623" i="2" s="1"/>
  <c r="Y623" i="2" a="1"/>
  <c r="Y623" i="2" s="1"/>
  <c r="X623" i="2" a="1"/>
  <c r="X623" i="2" s="1"/>
  <c r="W623" i="2" a="1"/>
  <c r="W623" i="2" s="1"/>
  <c r="BB623" i="2" s="1" a="1"/>
  <c r="BB623" i="2" s="1"/>
  <c r="V623" i="2" a="1"/>
  <c r="V623" i="2" s="1"/>
  <c r="E623" i="2" s="1" a="1"/>
  <c r="E623" i="2" s="1"/>
  <c r="U623" i="2" a="1"/>
  <c r="U623" i="2" s="1"/>
  <c r="T623" i="2" a="1"/>
  <c r="T623" i="2" s="1"/>
  <c r="S623" i="2" a="1"/>
  <c r="S623" i="2" s="1"/>
  <c r="R623" i="2" a="1"/>
  <c r="R623" i="2" s="1"/>
  <c r="Q623" i="2" a="1"/>
  <c r="Q623" i="2" s="1"/>
  <c r="P623" i="2" a="1"/>
  <c r="P623" i="2" s="1"/>
  <c r="O623" i="2" a="1"/>
  <c r="O623" i="2" s="1"/>
  <c r="N623" i="2" a="1"/>
  <c r="N623" i="2" s="1"/>
  <c r="M623" i="2" a="1"/>
  <c r="M623" i="2" s="1"/>
  <c r="L623" i="2" a="1"/>
  <c r="L623" i="2" s="1"/>
  <c r="K623" i="2" a="1"/>
  <c r="K623" i="2" s="1"/>
  <c r="J623" i="2" a="1"/>
  <c r="J623" i="2" s="1"/>
  <c r="I623" i="2" a="1"/>
  <c r="I623" i="2" s="1"/>
  <c r="H623" i="2" a="1"/>
  <c r="H623" i="2" s="1"/>
  <c r="F623" i="2" a="1"/>
  <c r="F623" i="2" s="1"/>
  <c r="D623" i="2" a="1"/>
  <c r="D623" i="2" s="1"/>
  <c r="B623" i="2" a="1"/>
  <c r="B623" i="2" s="1"/>
  <c r="BD622" i="2" a="1"/>
  <c r="BD622" i="2" s="1"/>
  <c r="BC622" i="2" a="1"/>
  <c r="BC622" i="2" s="1"/>
  <c r="BA622" i="2" a="1"/>
  <c r="BA622" i="2" s="1"/>
  <c r="AZ622" i="2" a="1"/>
  <c r="AZ622" i="2" s="1"/>
  <c r="AY622" i="2" a="1"/>
  <c r="AY622" i="2" s="1"/>
  <c r="AX622" i="2" a="1"/>
  <c r="AX622" i="2" s="1"/>
  <c r="AW622" i="2" a="1"/>
  <c r="AW622" i="2" s="1"/>
  <c r="AV622" i="2" a="1"/>
  <c r="AV622" i="2" s="1"/>
  <c r="AU622" i="2" a="1"/>
  <c r="AU622" i="2" s="1"/>
  <c r="AT622" i="2" a="1"/>
  <c r="AT622" i="2" s="1"/>
  <c r="AS622" i="2" a="1"/>
  <c r="AS622" i="2" s="1"/>
  <c r="AR622" i="2" a="1"/>
  <c r="AR622" i="2" s="1"/>
  <c r="AQ622" i="2" a="1"/>
  <c r="AQ622" i="2" s="1"/>
  <c r="AP622" i="2" a="1"/>
  <c r="AP622" i="2" s="1"/>
  <c r="AO622" i="2" a="1"/>
  <c r="AO622" i="2" s="1"/>
  <c r="AN622" i="2" a="1"/>
  <c r="AN622" i="2" s="1"/>
  <c r="AM622" i="2" a="1"/>
  <c r="AM622" i="2" s="1"/>
  <c r="AL622" i="2" a="1"/>
  <c r="AL622" i="2" s="1"/>
  <c r="AK622" i="2" a="1"/>
  <c r="AK622" i="2" s="1"/>
  <c r="AJ622" i="2" a="1"/>
  <c r="AJ622" i="2" s="1"/>
  <c r="AI622" i="2" a="1"/>
  <c r="AI622" i="2" s="1"/>
  <c r="AH622" i="2" a="1"/>
  <c r="AH622" i="2" s="1"/>
  <c r="AG622" i="2" a="1"/>
  <c r="AG622" i="2" s="1"/>
  <c r="AF622" i="2" a="1"/>
  <c r="AF622" i="2" s="1"/>
  <c r="AE622" i="2" a="1"/>
  <c r="AE622" i="2" s="1"/>
  <c r="AD622" i="2" a="1"/>
  <c r="AD622" i="2" s="1"/>
  <c r="AC622" i="2" a="1"/>
  <c r="AC622" i="2" s="1"/>
  <c r="AB622" i="2"/>
  <c r="AA622" i="2" a="1"/>
  <c r="AA622" i="2" s="1"/>
  <c r="Z622" i="2" a="1"/>
  <c r="Z622" i="2" s="1"/>
  <c r="Y622" i="2" a="1"/>
  <c r="Y622" i="2" s="1"/>
  <c r="X622" i="2" a="1"/>
  <c r="X622" i="2" s="1"/>
  <c r="W622" i="2" a="1"/>
  <c r="W622" i="2" s="1"/>
  <c r="BB622" i="2" s="1" a="1"/>
  <c r="BB622" i="2" s="1"/>
  <c r="V622" i="2" a="1"/>
  <c r="V622" i="2" s="1"/>
  <c r="E622" i="2" s="1" a="1"/>
  <c r="E622" i="2" s="1"/>
  <c r="U622" i="2" a="1"/>
  <c r="U622" i="2" s="1"/>
  <c r="T622" i="2" a="1"/>
  <c r="T622" i="2" s="1"/>
  <c r="S622" i="2" a="1"/>
  <c r="S622" i="2" s="1"/>
  <c r="R622" i="2" a="1"/>
  <c r="R622" i="2" s="1"/>
  <c r="Q622" i="2" a="1"/>
  <c r="Q622" i="2" s="1"/>
  <c r="P622" i="2" a="1"/>
  <c r="P622" i="2" s="1"/>
  <c r="O622" i="2" a="1"/>
  <c r="O622" i="2" s="1"/>
  <c r="N622" i="2" a="1"/>
  <c r="N622" i="2" s="1"/>
  <c r="M622" i="2" a="1"/>
  <c r="M622" i="2" s="1"/>
  <c r="L622" i="2" a="1"/>
  <c r="L622" i="2" s="1"/>
  <c r="K622" i="2" a="1"/>
  <c r="K622" i="2" s="1"/>
  <c r="J622" i="2" a="1"/>
  <c r="J622" i="2" s="1"/>
  <c r="I622" i="2" a="1"/>
  <c r="I622" i="2" s="1"/>
  <c r="H622" i="2" a="1"/>
  <c r="H622" i="2" s="1"/>
  <c r="F622" i="2" a="1"/>
  <c r="F622" i="2" s="1"/>
  <c r="D622" i="2" a="1"/>
  <c r="D622" i="2" s="1"/>
  <c r="B622" i="2" a="1"/>
  <c r="B622" i="2" s="1"/>
  <c r="BD621" i="2" a="1"/>
  <c r="BD621" i="2" s="1"/>
  <c r="BC621" i="2" a="1"/>
  <c r="BC621" i="2" s="1"/>
  <c r="BA621" i="2" a="1"/>
  <c r="BA621" i="2" s="1"/>
  <c r="AZ621" i="2" a="1"/>
  <c r="AZ621" i="2" s="1"/>
  <c r="AY621" i="2" a="1"/>
  <c r="AY621" i="2" s="1"/>
  <c r="AX621" i="2" a="1"/>
  <c r="AX621" i="2" s="1"/>
  <c r="AW621" i="2" a="1"/>
  <c r="AW621" i="2" s="1"/>
  <c r="AV621" i="2" a="1"/>
  <c r="AV621" i="2" s="1"/>
  <c r="AU621" i="2" a="1"/>
  <c r="AU621" i="2" s="1"/>
  <c r="AT621" i="2" a="1"/>
  <c r="AT621" i="2" s="1"/>
  <c r="AS621" i="2" a="1"/>
  <c r="AS621" i="2" s="1"/>
  <c r="AR621" i="2" a="1"/>
  <c r="AR621" i="2" s="1"/>
  <c r="AQ621" i="2" a="1"/>
  <c r="AQ621" i="2" s="1"/>
  <c r="AP621" i="2" a="1"/>
  <c r="AP621" i="2" s="1"/>
  <c r="AO621" i="2" a="1"/>
  <c r="AO621" i="2" s="1"/>
  <c r="AN621" i="2" a="1"/>
  <c r="AN621" i="2" s="1"/>
  <c r="AM621" i="2" a="1"/>
  <c r="AM621" i="2" s="1"/>
  <c r="AL621" i="2" a="1"/>
  <c r="AL621" i="2" s="1"/>
  <c r="AK621" i="2" a="1"/>
  <c r="AK621" i="2" s="1"/>
  <c r="AJ621" i="2" a="1"/>
  <c r="AJ621" i="2" s="1"/>
  <c r="AI621" i="2" a="1"/>
  <c r="AI621" i="2" s="1"/>
  <c r="AH621" i="2" a="1"/>
  <c r="AH621" i="2" s="1"/>
  <c r="AG621" i="2" a="1"/>
  <c r="AG621" i="2" s="1"/>
  <c r="AF621" i="2" a="1"/>
  <c r="AF621" i="2" s="1"/>
  <c r="AE621" i="2" a="1"/>
  <c r="AE621" i="2" s="1"/>
  <c r="AD621" i="2" a="1"/>
  <c r="AD621" i="2" s="1"/>
  <c r="AC621" i="2" a="1"/>
  <c r="AC621" i="2" s="1"/>
  <c r="AB621" i="2"/>
  <c r="AA621" i="2" a="1"/>
  <c r="AA621" i="2" s="1"/>
  <c r="Z621" i="2" a="1"/>
  <c r="Z621" i="2" s="1"/>
  <c r="Y621" i="2" a="1"/>
  <c r="Y621" i="2" s="1"/>
  <c r="X621" i="2" a="1"/>
  <c r="X621" i="2" s="1"/>
  <c r="W621" i="2" a="1"/>
  <c r="W621" i="2" s="1"/>
  <c r="BB621" i="2" s="1" a="1"/>
  <c r="BB621" i="2" s="1"/>
  <c r="V621" i="2" a="1"/>
  <c r="V621" i="2" s="1"/>
  <c r="E621" i="2" s="1" a="1"/>
  <c r="E621" i="2" s="1"/>
  <c r="U621" i="2" a="1"/>
  <c r="U621" i="2" s="1"/>
  <c r="T621" i="2" a="1"/>
  <c r="T621" i="2" s="1"/>
  <c r="S621" i="2" a="1"/>
  <c r="S621" i="2" s="1"/>
  <c r="R621" i="2" a="1"/>
  <c r="R621" i="2" s="1"/>
  <c r="Q621" i="2" a="1"/>
  <c r="Q621" i="2" s="1"/>
  <c r="P621" i="2" a="1"/>
  <c r="P621" i="2" s="1"/>
  <c r="O621" i="2" a="1"/>
  <c r="O621" i="2" s="1"/>
  <c r="N621" i="2" a="1"/>
  <c r="N621" i="2" s="1"/>
  <c r="M621" i="2" a="1"/>
  <c r="M621" i="2" s="1"/>
  <c r="L621" i="2" a="1"/>
  <c r="L621" i="2" s="1"/>
  <c r="K621" i="2" a="1"/>
  <c r="K621" i="2" s="1"/>
  <c r="J621" i="2" a="1"/>
  <c r="J621" i="2" s="1"/>
  <c r="I621" i="2" a="1"/>
  <c r="I621" i="2" s="1"/>
  <c r="H621" i="2" a="1"/>
  <c r="H621" i="2" s="1"/>
  <c r="F621" i="2" a="1"/>
  <c r="F621" i="2" s="1"/>
  <c r="D621" i="2" a="1"/>
  <c r="D621" i="2" s="1"/>
  <c r="B621" i="2" a="1"/>
  <c r="B621" i="2" s="1"/>
  <c r="BD620" i="2" a="1"/>
  <c r="BD620" i="2" s="1"/>
  <c r="BC620" i="2" a="1"/>
  <c r="BC620" i="2" s="1"/>
  <c r="BA620" i="2" a="1"/>
  <c r="BA620" i="2" s="1"/>
  <c r="AZ620" i="2" a="1"/>
  <c r="AZ620" i="2" s="1"/>
  <c r="AY620" i="2" a="1"/>
  <c r="AY620" i="2" s="1"/>
  <c r="AX620" i="2" a="1"/>
  <c r="AX620" i="2" s="1"/>
  <c r="AW620" i="2" a="1"/>
  <c r="AW620" i="2" s="1"/>
  <c r="AV620" i="2" a="1"/>
  <c r="AV620" i="2" s="1"/>
  <c r="AU620" i="2" a="1"/>
  <c r="AU620" i="2" s="1"/>
  <c r="AT620" i="2" a="1"/>
  <c r="AT620" i="2" s="1"/>
  <c r="AS620" i="2" a="1"/>
  <c r="AS620" i="2" s="1"/>
  <c r="AR620" i="2" a="1"/>
  <c r="AR620" i="2" s="1"/>
  <c r="AQ620" i="2" a="1"/>
  <c r="AQ620" i="2" s="1"/>
  <c r="AP620" i="2" a="1"/>
  <c r="AP620" i="2" s="1"/>
  <c r="AO620" i="2" a="1"/>
  <c r="AO620" i="2" s="1"/>
  <c r="AN620" i="2" a="1"/>
  <c r="AN620" i="2" s="1"/>
  <c r="AM620" i="2" a="1"/>
  <c r="AM620" i="2" s="1"/>
  <c r="AL620" i="2" a="1"/>
  <c r="AL620" i="2" s="1"/>
  <c r="AK620" i="2" a="1"/>
  <c r="AK620" i="2" s="1"/>
  <c r="AJ620" i="2" a="1"/>
  <c r="AJ620" i="2" s="1"/>
  <c r="AI620" i="2" a="1"/>
  <c r="AI620" i="2" s="1"/>
  <c r="AH620" i="2" a="1"/>
  <c r="AH620" i="2" s="1"/>
  <c r="AG620" i="2" a="1"/>
  <c r="AG620" i="2" s="1"/>
  <c r="AF620" i="2" a="1"/>
  <c r="AF620" i="2" s="1"/>
  <c r="AE620" i="2" a="1"/>
  <c r="AE620" i="2" s="1"/>
  <c r="AD620" i="2" a="1"/>
  <c r="AD620" i="2" s="1"/>
  <c r="AC620" i="2" a="1"/>
  <c r="AC620" i="2" s="1"/>
  <c r="AB620" i="2"/>
  <c r="AA620" i="2" a="1"/>
  <c r="AA620" i="2" s="1"/>
  <c r="Z620" i="2" a="1"/>
  <c r="Z620" i="2" s="1"/>
  <c r="Y620" i="2" a="1"/>
  <c r="Y620" i="2" s="1"/>
  <c r="X620" i="2" a="1"/>
  <c r="X620" i="2" s="1"/>
  <c r="W620" i="2" a="1"/>
  <c r="W620" i="2" s="1"/>
  <c r="BB620" i="2" s="1" a="1"/>
  <c r="BB620" i="2" s="1"/>
  <c r="V620" i="2" a="1"/>
  <c r="V620" i="2" s="1"/>
  <c r="E620" i="2" s="1" a="1"/>
  <c r="E620" i="2" s="1"/>
  <c r="U620" i="2" a="1"/>
  <c r="U620" i="2" s="1"/>
  <c r="T620" i="2" a="1"/>
  <c r="T620" i="2" s="1"/>
  <c r="S620" i="2" a="1"/>
  <c r="S620" i="2" s="1"/>
  <c r="R620" i="2" a="1"/>
  <c r="R620" i="2" s="1"/>
  <c r="Q620" i="2" a="1"/>
  <c r="Q620" i="2" s="1"/>
  <c r="P620" i="2" a="1"/>
  <c r="P620" i="2" s="1"/>
  <c r="O620" i="2" a="1"/>
  <c r="O620" i="2" s="1"/>
  <c r="N620" i="2" a="1"/>
  <c r="N620" i="2" s="1"/>
  <c r="M620" i="2" a="1"/>
  <c r="M620" i="2" s="1"/>
  <c r="L620" i="2" a="1"/>
  <c r="L620" i="2" s="1"/>
  <c r="K620" i="2" a="1"/>
  <c r="K620" i="2" s="1"/>
  <c r="J620" i="2" a="1"/>
  <c r="J620" i="2" s="1"/>
  <c r="I620" i="2" a="1"/>
  <c r="I620" i="2" s="1"/>
  <c r="H620" i="2" a="1"/>
  <c r="H620" i="2" s="1"/>
  <c r="F620" i="2" a="1"/>
  <c r="F620" i="2" s="1"/>
  <c r="D620" i="2" a="1"/>
  <c r="D620" i="2" s="1"/>
  <c r="B620" i="2" a="1"/>
  <c r="B620" i="2" s="1"/>
  <c r="BD619" i="2" a="1"/>
  <c r="BD619" i="2" s="1"/>
  <c r="BC619" i="2" a="1"/>
  <c r="BC619" i="2" s="1"/>
  <c r="BA619" i="2" a="1"/>
  <c r="BA619" i="2" s="1"/>
  <c r="AZ619" i="2" a="1"/>
  <c r="AZ619" i="2" s="1"/>
  <c r="AY619" i="2" a="1"/>
  <c r="AY619" i="2" s="1"/>
  <c r="AX619" i="2" a="1"/>
  <c r="AX619" i="2" s="1"/>
  <c r="AW619" i="2" a="1"/>
  <c r="AW619" i="2" s="1"/>
  <c r="AV619" i="2" a="1"/>
  <c r="AV619" i="2" s="1"/>
  <c r="AU619" i="2" a="1"/>
  <c r="AU619" i="2" s="1"/>
  <c r="AT619" i="2" a="1"/>
  <c r="AT619" i="2" s="1"/>
  <c r="AS619" i="2" a="1"/>
  <c r="AS619" i="2" s="1"/>
  <c r="AR619" i="2" a="1"/>
  <c r="AR619" i="2" s="1"/>
  <c r="AQ619" i="2" a="1"/>
  <c r="AQ619" i="2" s="1"/>
  <c r="AP619" i="2" a="1"/>
  <c r="AP619" i="2" s="1"/>
  <c r="AO619" i="2" a="1"/>
  <c r="AO619" i="2" s="1"/>
  <c r="AN619" i="2" a="1"/>
  <c r="AN619" i="2" s="1"/>
  <c r="AM619" i="2" a="1"/>
  <c r="AM619" i="2" s="1"/>
  <c r="AL619" i="2" a="1"/>
  <c r="AL619" i="2" s="1"/>
  <c r="AK619" i="2" a="1"/>
  <c r="AK619" i="2" s="1"/>
  <c r="AJ619" i="2" a="1"/>
  <c r="AJ619" i="2" s="1"/>
  <c r="AI619" i="2" a="1"/>
  <c r="AI619" i="2" s="1"/>
  <c r="AH619" i="2" a="1"/>
  <c r="AH619" i="2" s="1"/>
  <c r="AG619" i="2" a="1"/>
  <c r="AG619" i="2" s="1"/>
  <c r="AF619" i="2" a="1"/>
  <c r="AF619" i="2" s="1"/>
  <c r="AE619" i="2" a="1"/>
  <c r="AE619" i="2" s="1"/>
  <c r="AD619" i="2" a="1"/>
  <c r="AD619" i="2" s="1"/>
  <c r="AC619" i="2" a="1"/>
  <c r="AC619" i="2" s="1"/>
  <c r="AB619" i="2"/>
  <c r="AA619" i="2" a="1"/>
  <c r="AA619" i="2" s="1"/>
  <c r="Z619" i="2" a="1"/>
  <c r="Z619" i="2" s="1"/>
  <c r="Y619" i="2" a="1"/>
  <c r="Y619" i="2" s="1"/>
  <c r="X619" i="2" a="1"/>
  <c r="X619" i="2" s="1"/>
  <c r="W619" i="2" a="1"/>
  <c r="W619" i="2" s="1"/>
  <c r="BB619" i="2" s="1" a="1"/>
  <c r="BB619" i="2" s="1"/>
  <c r="V619" i="2" a="1"/>
  <c r="V619" i="2" s="1"/>
  <c r="E619" i="2" s="1" a="1"/>
  <c r="E619" i="2" s="1"/>
  <c r="U619" i="2" a="1"/>
  <c r="U619" i="2" s="1"/>
  <c r="T619" i="2" a="1"/>
  <c r="T619" i="2" s="1"/>
  <c r="S619" i="2" a="1"/>
  <c r="S619" i="2" s="1"/>
  <c r="R619" i="2" a="1"/>
  <c r="R619" i="2" s="1"/>
  <c r="Q619" i="2" a="1"/>
  <c r="Q619" i="2" s="1"/>
  <c r="P619" i="2" a="1"/>
  <c r="P619" i="2" s="1"/>
  <c r="O619" i="2" a="1"/>
  <c r="O619" i="2" s="1"/>
  <c r="N619" i="2" a="1"/>
  <c r="N619" i="2" s="1"/>
  <c r="M619" i="2" a="1"/>
  <c r="M619" i="2" s="1"/>
  <c r="L619" i="2" a="1"/>
  <c r="L619" i="2" s="1"/>
  <c r="K619" i="2" a="1"/>
  <c r="K619" i="2" s="1"/>
  <c r="J619" i="2" a="1"/>
  <c r="J619" i="2" s="1"/>
  <c r="I619" i="2" a="1"/>
  <c r="I619" i="2" s="1"/>
  <c r="H619" i="2" a="1"/>
  <c r="H619" i="2" s="1"/>
  <c r="F619" i="2" a="1"/>
  <c r="F619" i="2" s="1"/>
  <c r="D619" i="2" a="1"/>
  <c r="D619" i="2" s="1"/>
  <c r="B619" i="2" a="1"/>
  <c r="B619" i="2" s="1"/>
  <c r="BD618" i="2" a="1"/>
  <c r="BD618" i="2" s="1"/>
  <c r="BC618" i="2" a="1"/>
  <c r="BC618" i="2" s="1"/>
  <c r="BA618" i="2" a="1"/>
  <c r="BA618" i="2" s="1"/>
  <c r="AZ618" i="2" a="1"/>
  <c r="AZ618" i="2" s="1"/>
  <c r="AY618" i="2" a="1"/>
  <c r="AY618" i="2" s="1"/>
  <c r="AX618" i="2" a="1"/>
  <c r="AX618" i="2" s="1"/>
  <c r="AW618" i="2" a="1"/>
  <c r="AW618" i="2" s="1"/>
  <c r="AV618" i="2" a="1"/>
  <c r="AV618" i="2" s="1"/>
  <c r="AU618" i="2" a="1"/>
  <c r="AU618" i="2" s="1"/>
  <c r="AT618" i="2" a="1"/>
  <c r="AT618" i="2" s="1"/>
  <c r="AS618" i="2" a="1"/>
  <c r="AS618" i="2" s="1"/>
  <c r="AR618" i="2" a="1"/>
  <c r="AR618" i="2" s="1"/>
  <c r="AQ618" i="2" a="1"/>
  <c r="AQ618" i="2" s="1"/>
  <c r="AP618" i="2" a="1"/>
  <c r="AP618" i="2" s="1"/>
  <c r="AO618" i="2" a="1"/>
  <c r="AO618" i="2" s="1"/>
  <c r="AN618" i="2" a="1"/>
  <c r="AN618" i="2" s="1"/>
  <c r="AM618" i="2" a="1"/>
  <c r="AM618" i="2" s="1"/>
  <c r="AL618" i="2" a="1"/>
  <c r="AL618" i="2" s="1"/>
  <c r="AK618" i="2" a="1"/>
  <c r="AK618" i="2" s="1"/>
  <c r="AJ618" i="2" a="1"/>
  <c r="AJ618" i="2" s="1"/>
  <c r="AI618" i="2" a="1"/>
  <c r="AI618" i="2" s="1"/>
  <c r="AH618" i="2" a="1"/>
  <c r="AH618" i="2" s="1"/>
  <c r="AG618" i="2" a="1"/>
  <c r="AG618" i="2" s="1"/>
  <c r="AF618" i="2" a="1"/>
  <c r="AF618" i="2" s="1"/>
  <c r="AE618" i="2" a="1"/>
  <c r="AE618" i="2" s="1"/>
  <c r="AD618" i="2" a="1"/>
  <c r="AD618" i="2" s="1"/>
  <c r="AC618" i="2" a="1"/>
  <c r="AC618" i="2" s="1"/>
  <c r="AB618" i="2"/>
  <c r="AA618" i="2" a="1"/>
  <c r="AA618" i="2" s="1"/>
  <c r="Z618" i="2" a="1"/>
  <c r="Z618" i="2" s="1"/>
  <c r="Y618" i="2" a="1"/>
  <c r="Y618" i="2" s="1"/>
  <c r="X618" i="2" a="1"/>
  <c r="X618" i="2" s="1"/>
  <c r="W618" i="2" a="1"/>
  <c r="W618" i="2" s="1"/>
  <c r="BB618" i="2" s="1" a="1"/>
  <c r="BB618" i="2" s="1"/>
  <c r="V618" i="2" a="1"/>
  <c r="V618" i="2" s="1"/>
  <c r="E618" i="2" s="1" a="1"/>
  <c r="E618" i="2" s="1"/>
  <c r="U618" i="2" a="1"/>
  <c r="U618" i="2" s="1"/>
  <c r="T618" i="2" a="1"/>
  <c r="T618" i="2" s="1"/>
  <c r="S618" i="2" a="1"/>
  <c r="S618" i="2" s="1"/>
  <c r="R618" i="2" a="1"/>
  <c r="R618" i="2" s="1"/>
  <c r="Q618" i="2" a="1"/>
  <c r="Q618" i="2" s="1"/>
  <c r="P618" i="2" a="1"/>
  <c r="P618" i="2" s="1"/>
  <c r="O618" i="2" a="1"/>
  <c r="O618" i="2" s="1"/>
  <c r="N618" i="2" a="1"/>
  <c r="N618" i="2" s="1"/>
  <c r="M618" i="2" a="1"/>
  <c r="M618" i="2" s="1"/>
  <c r="L618" i="2" a="1"/>
  <c r="L618" i="2" s="1"/>
  <c r="K618" i="2" a="1"/>
  <c r="K618" i="2" s="1"/>
  <c r="J618" i="2" a="1"/>
  <c r="J618" i="2" s="1"/>
  <c r="I618" i="2" a="1"/>
  <c r="I618" i="2" s="1"/>
  <c r="H618" i="2" a="1"/>
  <c r="H618" i="2" s="1"/>
  <c r="F618" i="2" a="1"/>
  <c r="F618" i="2" s="1"/>
  <c r="D618" i="2" a="1"/>
  <c r="D618" i="2" s="1"/>
  <c r="B618" i="2" a="1"/>
  <c r="B618" i="2" s="1"/>
  <c r="BD617" i="2" a="1"/>
  <c r="BD617" i="2" s="1"/>
  <c r="BC617" i="2" a="1"/>
  <c r="BC617" i="2" s="1"/>
  <c r="BA617" i="2" a="1"/>
  <c r="BA617" i="2" s="1"/>
  <c r="AZ617" i="2" a="1"/>
  <c r="AZ617" i="2" s="1"/>
  <c r="AY617" i="2" a="1"/>
  <c r="AY617" i="2" s="1"/>
  <c r="AX617" i="2" a="1"/>
  <c r="AX617" i="2" s="1"/>
  <c r="AW617" i="2" a="1"/>
  <c r="AW617" i="2" s="1"/>
  <c r="AV617" i="2" a="1"/>
  <c r="AV617" i="2" s="1"/>
  <c r="AU617" i="2" a="1"/>
  <c r="AU617" i="2" s="1"/>
  <c r="AT617" i="2" a="1"/>
  <c r="AT617" i="2" s="1"/>
  <c r="AS617" i="2" a="1"/>
  <c r="AS617" i="2" s="1"/>
  <c r="AR617" i="2" a="1"/>
  <c r="AR617" i="2" s="1"/>
  <c r="AQ617" i="2" a="1"/>
  <c r="AQ617" i="2" s="1"/>
  <c r="AP617" i="2" a="1"/>
  <c r="AP617" i="2" s="1"/>
  <c r="AO617" i="2" a="1"/>
  <c r="AO617" i="2" s="1"/>
  <c r="AN617" i="2" a="1"/>
  <c r="AN617" i="2" s="1"/>
  <c r="AM617" i="2" a="1"/>
  <c r="AM617" i="2" s="1"/>
  <c r="AL617" i="2" a="1"/>
  <c r="AL617" i="2" s="1"/>
  <c r="AK617" i="2" a="1"/>
  <c r="AK617" i="2" s="1"/>
  <c r="AJ617" i="2" a="1"/>
  <c r="AJ617" i="2" s="1"/>
  <c r="AI617" i="2" a="1"/>
  <c r="AI617" i="2" s="1"/>
  <c r="AH617" i="2" a="1"/>
  <c r="AH617" i="2" s="1"/>
  <c r="AG617" i="2" a="1"/>
  <c r="AG617" i="2" s="1"/>
  <c r="AF617" i="2" a="1"/>
  <c r="AF617" i="2" s="1"/>
  <c r="AE617" i="2" a="1"/>
  <c r="AE617" i="2" s="1"/>
  <c r="AD617" i="2" a="1"/>
  <c r="AD617" i="2" s="1"/>
  <c r="AC617" i="2" a="1"/>
  <c r="AC617" i="2" s="1"/>
  <c r="AB617" i="2"/>
  <c r="AA617" i="2" a="1"/>
  <c r="AA617" i="2" s="1"/>
  <c r="Z617" i="2" a="1"/>
  <c r="Z617" i="2" s="1"/>
  <c r="Y617" i="2" a="1"/>
  <c r="Y617" i="2" s="1"/>
  <c r="X617" i="2" a="1"/>
  <c r="X617" i="2" s="1"/>
  <c r="W617" i="2" a="1"/>
  <c r="W617" i="2" s="1"/>
  <c r="BB617" i="2" s="1" a="1"/>
  <c r="BB617" i="2" s="1"/>
  <c r="V617" i="2" a="1"/>
  <c r="V617" i="2" s="1"/>
  <c r="E617" i="2" s="1" a="1"/>
  <c r="E617" i="2" s="1"/>
  <c r="U617" i="2" a="1"/>
  <c r="U617" i="2" s="1"/>
  <c r="T617" i="2" a="1"/>
  <c r="T617" i="2" s="1"/>
  <c r="S617" i="2" a="1"/>
  <c r="S617" i="2" s="1"/>
  <c r="R617" i="2" a="1"/>
  <c r="R617" i="2" s="1"/>
  <c r="Q617" i="2" a="1"/>
  <c r="Q617" i="2" s="1"/>
  <c r="P617" i="2" a="1"/>
  <c r="P617" i="2" s="1"/>
  <c r="O617" i="2" a="1"/>
  <c r="O617" i="2" s="1"/>
  <c r="N617" i="2" a="1"/>
  <c r="N617" i="2" s="1"/>
  <c r="M617" i="2" a="1"/>
  <c r="M617" i="2" s="1"/>
  <c r="L617" i="2" a="1"/>
  <c r="L617" i="2" s="1"/>
  <c r="K617" i="2" a="1"/>
  <c r="K617" i="2" s="1"/>
  <c r="J617" i="2" a="1"/>
  <c r="J617" i="2" s="1"/>
  <c r="I617" i="2" a="1"/>
  <c r="I617" i="2" s="1"/>
  <c r="H617" i="2" a="1"/>
  <c r="H617" i="2" s="1"/>
  <c r="F617" i="2" a="1"/>
  <c r="F617" i="2" s="1"/>
  <c r="D617" i="2" a="1"/>
  <c r="D617" i="2" s="1"/>
  <c r="B617" i="2" a="1"/>
  <c r="B617" i="2" s="1"/>
  <c r="BD616" i="2" a="1"/>
  <c r="BD616" i="2" s="1"/>
  <c r="BC616" i="2" a="1"/>
  <c r="BC616" i="2" s="1"/>
  <c r="BA616" i="2" a="1"/>
  <c r="BA616" i="2" s="1"/>
  <c r="AZ616" i="2" a="1"/>
  <c r="AZ616" i="2" s="1"/>
  <c r="AY616" i="2" a="1"/>
  <c r="AY616" i="2" s="1"/>
  <c r="AX616" i="2" a="1"/>
  <c r="AX616" i="2" s="1"/>
  <c r="AW616" i="2" a="1"/>
  <c r="AW616" i="2" s="1"/>
  <c r="AV616" i="2" a="1"/>
  <c r="AV616" i="2" s="1"/>
  <c r="AU616" i="2" a="1"/>
  <c r="AU616" i="2" s="1"/>
  <c r="AT616" i="2" a="1"/>
  <c r="AT616" i="2" s="1"/>
  <c r="AS616" i="2" a="1"/>
  <c r="AS616" i="2" s="1"/>
  <c r="AR616" i="2" a="1"/>
  <c r="AR616" i="2" s="1"/>
  <c r="AQ616" i="2" a="1"/>
  <c r="AQ616" i="2" s="1"/>
  <c r="AP616" i="2" a="1"/>
  <c r="AP616" i="2" s="1"/>
  <c r="AO616" i="2" a="1"/>
  <c r="AO616" i="2" s="1"/>
  <c r="AN616" i="2" a="1"/>
  <c r="AN616" i="2" s="1"/>
  <c r="AM616" i="2" a="1"/>
  <c r="AM616" i="2" s="1"/>
  <c r="AL616" i="2" a="1"/>
  <c r="AL616" i="2" s="1"/>
  <c r="AK616" i="2" a="1"/>
  <c r="AK616" i="2" s="1"/>
  <c r="AJ616" i="2" a="1"/>
  <c r="AJ616" i="2" s="1"/>
  <c r="AI616" i="2" a="1"/>
  <c r="AI616" i="2" s="1"/>
  <c r="AH616" i="2" a="1"/>
  <c r="AH616" i="2" s="1"/>
  <c r="AG616" i="2" a="1"/>
  <c r="AG616" i="2" s="1"/>
  <c r="AF616" i="2" a="1"/>
  <c r="AF616" i="2" s="1"/>
  <c r="AE616" i="2" a="1"/>
  <c r="AE616" i="2" s="1"/>
  <c r="AD616" i="2" a="1"/>
  <c r="AD616" i="2" s="1"/>
  <c r="AC616" i="2" a="1"/>
  <c r="AC616" i="2" s="1"/>
  <c r="AB616" i="2"/>
  <c r="AA616" i="2" a="1"/>
  <c r="AA616" i="2" s="1"/>
  <c r="Z616" i="2" a="1"/>
  <c r="Z616" i="2" s="1"/>
  <c r="Y616" i="2" a="1"/>
  <c r="Y616" i="2" s="1"/>
  <c r="X616" i="2" a="1"/>
  <c r="X616" i="2" s="1"/>
  <c r="W616" i="2" a="1"/>
  <c r="W616" i="2" s="1"/>
  <c r="BB616" i="2" s="1" a="1"/>
  <c r="BB616" i="2" s="1"/>
  <c r="V616" i="2" a="1"/>
  <c r="V616" i="2" s="1"/>
  <c r="E616" i="2" s="1" a="1"/>
  <c r="E616" i="2" s="1"/>
  <c r="U616" i="2" a="1"/>
  <c r="U616" i="2" s="1"/>
  <c r="T616" i="2" a="1"/>
  <c r="T616" i="2" s="1"/>
  <c r="S616" i="2" a="1"/>
  <c r="S616" i="2" s="1"/>
  <c r="R616" i="2" a="1"/>
  <c r="R616" i="2" s="1"/>
  <c r="Q616" i="2" a="1"/>
  <c r="Q616" i="2" s="1"/>
  <c r="P616" i="2" a="1"/>
  <c r="P616" i="2" s="1"/>
  <c r="O616" i="2" a="1"/>
  <c r="O616" i="2" s="1"/>
  <c r="N616" i="2" a="1"/>
  <c r="N616" i="2" s="1"/>
  <c r="M616" i="2" a="1"/>
  <c r="M616" i="2" s="1"/>
  <c r="L616" i="2" a="1"/>
  <c r="L616" i="2" s="1"/>
  <c r="K616" i="2" a="1"/>
  <c r="K616" i="2" s="1"/>
  <c r="J616" i="2" a="1"/>
  <c r="J616" i="2" s="1"/>
  <c r="I616" i="2" a="1"/>
  <c r="I616" i="2" s="1"/>
  <c r="H616" i="2" a="1"/>
  <c r="H616" i="2" s="1"/>
  <c r="F616" i="2" a="1"/>
  <c r="F616" i="2" s="1"/>
  <c r="D616" i="2" a="1"/>
  <c r="D616" i="2" s="1"/>
  <c r="B616" i="2" a="1"/>
  <c r="B616" i="2" s="1"/>
  <c r="BD614" i="2" a="1"/>
  <c r="BD614" i="2" s="1"/>
  <c r="BC614" i="2" a="1"/>
  <c r="BC614" i="2" s="1"/>
  <c r="BA614" i="2" a="1"/>
  <c r="BA614" i="2" s="1"/>
  <c r="AZ614" i="2" a="1"/>
  <c r="AZ614" i="2" s="1"/>
  <c r="AY614" i="2" a="1"/>
  <c r="AY614" i="2" s="1"/>
  <c r="AX614" i="2" a="1"/>
  <c r="AX614" i="2" s="1"/>
  <c r="AW614" i="2" a="1"/>
  <c r="AW614" i="2" s="1"/>
  <c r="AV614" i="2" a="1"/>
  <c r="AV614" i="2" s="1"/>
  <c r="AU614" i="2" a="1"/>
  <c r="AU614" i="2" s="1"/>
  <c r="AT614" i="2" a="1"/>
  <c r="AT614" i="2" s="1"/>
  <c r="AS614" i="2" a="1"/>
  <c r="AS614" i="2" s="1"/>
  <c r="AR614" i="2" a="1"/>
  <c r="AR614" i="2" s="1"/>
  <c r="AQ614" i="2" a="1"/>
  <c r="AQ614" i="2" s="1"/>
  <c r="AP614" i="2" a="1"/>
  <c r="AP614" i="2" s="1"/>
  <c r="AO614" i="2" a="1"/>
  <c r="AO614" i="2" s="1"/>
  <c r="AN614" i="2" a="1"/>
  <c r="AN614" i="2" s="1"/>
  <c r="AM614" i="2" a="1"/>
  <c r="AM614" i="2" s="1"/>
  <c r="AL614" i="2" a="1"/>
  <c r="AL614" i="2" s="1"/>
  <c r="AK614" i="2" a="1"/>
  <c r="AK614" i="2" s="1"/>
  <c r="AJ614" i="2" a="1"/>
  <c r="AJ614" i="2" s="1"/>
  <c r="AI614" i="2" a="1"/>
  <c r="AI614" i="2" s="1"/>
  <c r="AH614" i="2" a="1"/>
  <c r="AH614" i="2" s="1"/>
  <c r="AG614" i="2" a="1"/>
  <c r="AG614" i="2" s="1"/>
  <c r="AF614" i="2" a="1"/>
  <c r="AF614" i="2" s="1"/>
  <c r="AE614" i="2" a="1"/>
  <c r="AE614" i="2" s="1"/>
  <c r="AD614" i="2" a="1"/>
  <c r="AD614" i="2" s="1"/>
  <c r="AC614" i="2" a="1"/>
  <c r="AC614" i="2" s="1"/>
  <c r="AB614" i="2"/>
  <c r="AA614" i="2" a="1"/>
  <c r="AA614" i="2" s="1"/>
  <c r="Z614" i="2" a="1"/>
  <c r="Z614" i="2" s="1"/>
  <c r="Y614" i="2" a="1"/>
  <c r="Y614" i="2" s="1"/>
  <c r="X614" i="2" a="1"/>
  <c r="X614" i="2" s="1"/>
  <c r="W614" i="2" a="1"/>
  <c r="W614" i="2" s="1"/>
  <c r="BB614" i="2" s="1" a="1"/>
  <c r="BB614" i="2" s="1"/>
  <c r="V614" i="2" a="1"/>
  <c r="V614" i="2" s="1"/>
  <c r="E614" i="2" s="1" a="1"/>
  <c r="E614" i="2" s="1"/>
  <c r="U614" i="2" a="1"/>
  <c r="U614" i="2" s="1"/>
  <c r="T614" i="2" a="1"/>
  <c r="T614" i="2" s="1"/>
  <c r="S614" i="2" a="1"/>
  <c r="S614" i="2" s="1"/>
  <c r="R614" i="2" a="1"/>
  <c r="R614" i="2" s="1"/>
  <c r="Q614" i="2" a="1"/>
  <c r="Q614" i="2" s="1"/>
  <c r="P614" i="2" a="1"/>
  <c r="P614" i="2" s="1"/>
  <c r="O614" i="2" a="1"/>
  <c r="O614" i="2" s="1"/>
  <c r="N614" i="2" a="1"/>
  <c r="N614" i="2" s="1"/>
  <c r="M614" i="2" a="1"/>
  <c r="M614" i="2" s="1"/>
  <c r="L614" i="2" a="1"/>
  <c r="L614" i="2" s="1"/>
  <c r="K614" i="2" a="1"/>
  <c r="K614" i="2" s="1"/>
  <c r="J614" i="2" a="1"/>
  <c r="J614" i="2" s="1"/>
  <c r="I614" i="2" a="1"/>
  <c r="I614" i="2" s="1"/>
  <c r="H614" i="2" a="1"/>
  <c r="H614" i="2" s="1"/>
  <c r="F614" i="2" a="1"/>
  <c r="F614" i="2" s="1"/>
  <c r="D614" i="2" a="1"/>
  <c r="D614" i="2" s="1"/>
  <c r="B614" i="2" a="1"/>
  <c r="B614" i="2" s="1"/>
  <c r="BD613" i="2" a="1"/>
  <c r="BD613" i="2" s="1"/>
  <c r="BC613" i="2" a="1"/>
  <c r="BC613" i="2" s="1"/>
  <c r="BA613" i="2" a="1"/>
  <c r="BA613" i="2" s="1"/>
  <c r="AZ613" i="2" a="1"/>
  <c r="AZ613" i="2" s="1"/>
  <c r="AY613" i="2" a="1"/>
  <c r="AY613" i="2" s="1"/>
  <c r="AX613" i="2" a="1"/>
  <c r="AX613" i="2" s="1"/>
  <c r="AW613" i="2" a="1"/>
  <c r="AW613" i="2" s="1"/>
  <c r="AV613" i="2" a="1"/>
  <c r="AV613" i="2" s="1"/>
  <c r="AU613" i="2" a="1"/>
  <c r="AU613" i="2" s="1"/>
  <c r="AT613" i="2" a="1"/>
  <c r="AT613" i="2" s="1"/>
  <c r="AS613" i="2" a="1"/>
  <c r="AS613" i="2" s="1"/>
  <c r="AR613" i="2" a="1"/>
  <c r="AR613" i="2" s="1"/>
  <c r="AQ613" i="2" a="1"/>
  <c r="AQ613" i="2" s="1"/>
  <c r="AP613" i="2" a="1"/>
  <c r="AP613" i="2" s="1"/>
  <c r="AO613" i="2" a="1"/>
  <c r="AO613" i="2" s="1"/>
  <c r="AN613" i="2" a="1"/>
  <c r="AN613" i="2" s="1"/>
  <c r="AM613" i="2" a="1"/>
  <c r="AM613" i="2" s="1"/>
  <c r="AL613" i="2" a="1"/>
  <c r="AL613" i="2" s="1"/>
  <c r="AK613" i="2" a="1"/>
  <c r="AK613" i="2" s="1"/>
  <c r="AJ613" i="2" a="1"/>
  <c r="AJ613" i="2" s="1"/>
  <c r="AI613" i="2" a="1"/>
  <c r="AI613" i="2" s="1"/>
  <c r="AH613" i="2" a="1"/>
  <c r="AH613" i="2" s="1"/>
  <c r="AG613" i="2" a="1"/>
  <c r="AG613" i="2" s="1"/>
  <c r="AF613" i="2" a="1"/>
  <c r="AF613" i="2" s="1"/>
  <c r="AE613" i="2" a="1"/>
  <c r="AE613" i="2" s="1"/>
  <c r="AD613" i="2" a="1"/>
  <c r="AD613" i="2" s="1"/>
  <c r="AC613" i="2" a="1"/>
  <c r="AC613" i="2" s="1"/>
  <c r="AB613" i="2"/>
  <c r="AA613" i="2" a="1"/>
  <c r="AA613" i="2" s="1"/>
  <c r="Z613" i="2" a="1"/>
  <c r="Z613" i="2" s="1"/>
  <c r="Y613" i="2" a="1"/>
  <c r="Y613" i="2" s="1"/>
  <c r="X613" i="2" a="1"/>
  <c r="X613" i="2" s="1"/>
  <c r="W613" i="2" a="1"/>
  <c r="W613" i="2" s="1"/>
  <c r="BB613" i="2" s="1" a="1"/>
  <c r="BB613" i="2" s="1"/>
  <c r="V613" i="2" a="1"/>
  <c r="V613" i="2" s="1"/>
  <c r="E613" i="2" s="1" a="1"/>
  <c r="E613" i="2" s="1"/>
  <c r="U613" i="2" a="1"/>
  <c r="U613" i="2" s="1"/>
  <c r="T613" i="2" a="1"/>
  <c r="T613" i="2" s="1"/>
  <c r="S613" i="2" a="1"/>
  <c r="S613" i="2" s="1"/>
  <c r="R613" i="2" a="1"/>
  <c r="R613" i="2" s="1"/>
  <c r="Q613" i="2" a="1"/>
  <c r="Q613" i="2" s="1"/>
  <c r="P613" i="2" a="1"/>
  <c r="P613" i="2" s="1"/>
  <c r="O613" i="2" a="1"/>
  <c r="O613" i="2" s="1"/>
  <c r="N613" i="2" a="1"/>
  <c r="N613" i="2" s="1"/>
  <c r="M613" i="2" a="1"/>
  <c r="M613" i="2" s="1"/>
  <c r="L613" i="2" a="1"/>
  <c r="L613" i="2" s="1"/>
  <c r="K613" i="2" a="1"/>
  <c r="K613" i="2" s="1"/>
  <c r="J613" i="2" a="1"/>
  <c r="J613" i="2" s="1"/>
  <c r="I613" i="2" a="1"/>
  <c r="I613" i="2" s="1"/>
  <c r="H613" i="2" a="1"/>
  <c r="H613" i="2" s="1"/>
  <c r="F613" i="2" a="1"/>
  <c r="F613" i="2" s="1"/>
  <c r="D613" i="2" a="1"/>
  <c r="D613" i="2" s="1"/>
  <c r="B613" i="2" a="1"/>
  <c r="B613" i="2" s="1"/>
  <c r="BD612" i="2" a="1"/>
  <c r="BD612" i="2" s="1"/>
  <c r="BC612" i="2" a="1"/>
  <c r="BC612" i="2" s="1"/>
  <c r="BA612" i="2" a="1"/>
  <c r="BA612" i="2" s="1"/>
  <c r="AZ612" i="2" a="1"/>
  <c r="AZ612" i="2" s="1"/>
  <c r="AY612" i="2" a="1"/>
  <c r="AY612" i="2" s="1"/>
  <c r="AX612" i="2" a="1"/>
  <c r="AX612" i="2" s="1"/>
  <c r="AW612" i="2" a="1"/>
  <c r="AW612" i="2" s="1"/>
  <c r="AV612" i="2" a="1"/>
  <c r="AV612" i="2" s="1"/>
  <c r="AU612" i="2" a="1"/>
  <c r="AU612" i="2" s="1"/>
  <c r="AT612" i="2" a="1"/>
  <c r="AT612" i="2" s="1"/>
  <c r="AS612" i="2" a="1"/>
  <c r="AS612" i="2" s="1"/>
  <c r="AR612" i="2" a="1"/>
  <c r="AR612" i="2" s="1"/>
  <c r="AQ612" i="2" a="1"/>
  <c r="AQ612" i="2" s="1"/>
  <c r="AP612" i="2" a="1"/>
  <c r="AP612" i="2" s="1"/>
  <c r="AO612" i="2" a="1"/>
  <c r="AO612" i="2" s="1"/>
  <c r="AN612" i="2" a="1"/>
  <c r="AN612" i="2" s="1"/>
  <c r="AM612" i="2" a="1"/>
  <c r="AM612" i="2" s="1"/>
  <c r="AL612" i="2" a="1"/>
  <c r="AL612" i="2" s="1"/>
  <c r="AK612" i="2" a="1"/>
  <c r="AK612" i="2" s="1"/>
  <c r="AJ612" i="2" a="1"/>
  <c r="AJ612" i="2" s="1"/>
  <c r="AI612" i="2" a="1"/>
  <c r="AI612" i="2" s="1"/>
  <c r="AH612" i="2" a="1"/>
  <c r="AH612" i="2" s="1"/>
  <c r="AG612" i="2" a="1"/>
  <c r="AG612" i="2" s="1"/>
  <c r="AF612" i="2" a="1"/>
  <c r="AF612" i="2" s="1"/>
  <c r="AE612" i="2" a="1"/>
  <c r="AE612" i="2" s="1"/>
  <c r="AD612" i="2" a="1"/>
  <c r="AD612" i="2" s="1"/>
  <c r="AC612" i="2" a="1"/>
  <c r="AC612" i="2" s="1"/>
  <c r="AB612" i="2"/>
  <c r="AA612" i="2" a="1"/>
  <c r="AA612" i="2" s="1"/>
  <c r="Z612" i="2" a="1"/>
  <c r="Z612" i="2" s="1"/>
  <c r="Y612" i="2" a="1"/>
  <c r="Y612" i="2" s="1"/>
  <c r="X612" i="2" a="1"/>
  <c r="X612" i="2" s="1"/>
  <c r="W612" i="2" a="1"/>
  <c r="W612" i="2" s="1"/>
  <c r="BB612" i="2" s="1" a="1"/>
  <c r="BB612" i="2" s="1"/>
  <c r="V612" i="2" a="1"/>
  <c r="V612" i="2" s="1"/>
  <c r="E612" i="2" s="1" a="1"/>
  <c r="E612" i="2" s="1"/>
  <c r="U612" i="2" a="1"/>
  <c r="U612" i="2" s="1"/>
  <c r="T612" i="2" a="1"/>
  <c r="T612" i="2" s="1"/>
  <c r="S612" i="2" a="1"/>
  <c r="S612" i="2" s="1"/>
  <c r="R612" i="2" a="1"/>
  <c r="R612" i="2" s="1"/>
  <c r="Q612" i="2" a="1"/>
  <c r="Q612" i="2" s="1"/>
  <c r="P612" i="2" a="1"/>
  <c r="P612" i="2" s="1"/>
  <c r="O612" i="2" a="1"/>
  <c r="O612" i="2" s="1"/>
  <c r="N612" i="2" a="1"/>
  <c r="N612" i="2" s="1"/>
  <c r="M612" i="2" a="1"/>
  <c r="M612" i="2" s="1"/>
  <c r="L612" i="2" a="1"/>
  <c r="L612" i="2" s="1"/>
  <c r="K612" i="2" a="1"/>
  <c r="K612" i="2" s="1"/>
  <c r="J612" i="2" a="1"/>
  <c r="J612" i="2" s="1"/>
  <c r="I612" i="2" a="1"/>
  <c r="I612" i="2" s="1"/>
  <c r="H612" i="2" a="1"/>
  <c r="H612" i="2" s="1"/>
  <c r="F612" i="2" a="1"/>
  <c r="F612" i="2" s="1"/>
  <c r="D612" i="2" a="1"/>
  <c r="D612" i="2" s="1"/>
  <c r="B612" i="2" a="1"/>
  <c r="B612" i="2" s="1"/>
  <c r="BD611" i="2" a="1"/>
  <c r="BD611" i="2" s="1"/>
  <c r="BC611" i="2" a="1"/>
  <c r="BC611" i="2" s="1"/>
  <c r="BA611" i="2" a="1"/>
  <c r="BA611" i="2" s="1"/>
  <c r="AZ611" i="2" a="1"/>
  <c r="AZ611" i="2" s="1"/>
  <c r="AY611" i="2" a="1"/>
  <c r="AY611" i="2" s="1"/>
  <c r="AX611" i="2" a="1"/>
  <c r="AX611" i="2" s="1"/>
  <c r="AW611" i="2" a="1"/>
  <c r="AW611" i="2" s="1"/>
  <c r="AV611" i="2" a="1"/>
  <c r="AV611" i="2" s="1"/>
  <c r="AU611" i="2" a="1"/>
  <c r="AU611" i="2" s="1"/>
  <c r="AT611" i="2" a="1"/>
  <c r="AT611" i="2" s="1"/>
  <c r="AS611" i="2" a="1"/>
  <c r="AS611" i="2" s="1"/>
  <c r="AR611" i="2" a="1"/>
  <c r="AR611" i="2" s="1"/>
  <c r="AQ611" i="2" a="1"/>
  <c r="AQ611" i="2" s="1"/>
  <c r="AP611" i="2" a="1"/>
  <c r="AP611" i="2" s="1"/>
  <c r="AO611" i="2" a="1"/>
  <c r="AO611" i="2" s="1"/>
  <c r="AN611" i="2" a="1"/>
  <c r="AN611" i="2" s="1"/>
  <c r="AM611" i="2" a="1"/>
  <c r="AM611" i="2" s="1"/>
  <c r="AL611" i="2" a="1"/>
  <c r="AL611" i="2" s="1"/>
  <c r="AK611" i="2" a="1"/>
  <c r="AK611" i="2" s="1"/>
  <c r="AJ611" i="2" a="1"/>
  <c r="AJ611" i="2" s="1"/>
  <c r="AI611" i="2" a="1"/>
  <c r="AI611" i="2" s="1"/>
  <c r="AH611" i="2" a="1"/>
  <c r="AH611" i="2" s="1"/>
  <c r="AG611" i="2" a="1"/>
  <c r="AG611" i="2" s="1"/>
  <c r="AF611" i="2" a="1"/>
  <c r="AF611" i="2" s="1"/>
  <c r="AE611" i="2" a="1"/>
  <c r="AE611" i="2" s="1"/>
  <c r="AD611" i="2" a="1"/>
  <c r="AD611" i="2" s="1"/>
  <c r="AC611" i="2" a="1"/>
  <c r="AC611" i="2" s="1"/>
  <c r="AB611" i="2"/>
  <c r="AA611" i="2" a="1"/>
  <c r="AA611" i="2" s="1"/>
  <c r="Z611" i="2" a="1"/>
  <c r="Z611" i="2" s="1"/>
  <c r="Y611" i="2" a="1"/>
  <c r="Y611" i="2" s="1"/>
  <c r="X611" i="2" a="1"/>
  <c r="X611" i="2" s="1"/>
  <c r="W611" i="2" a="1"/>
  <c r="W611" i="2" s="1"/>
  <c r="BB611" i="2" s="1" a="1"/>
  <c r="BB611" i="2" s="1"/>
  <c r="V611" i="2" a="1"/>
  <c r="V611" i="2" s="1"/>
  <c r="E611" i="2" s="1" a="1"/>
  <c r="E611" i="2" s="1"/>
  <c r="U611" i="2" a="1"/>
  <c r="U611" i="2" s="1"/>
  <c r="T611" i="2" a="1"/>
  <c r="T611" i="2" s="1"/>
  <c r="S611" i="2" a="1"/>
  <c r="S611" i="2" s="1"/>
  <c r="R611" i="2" a="1"/>
  <c r="R611" i="2" s="1"/>
  <c r="Q611" i="2" a="1"/>
  <c r="Q611" i="2" s="1"/>
  <c r="P611" i="2" a="1"/>
  <c r="P611" i="2" s="1"/>
  <c r="O611" i="2" a="1"/>
  <c r="O611" i="2" s="1"/>
  <c r="N611" i="2" a="1"/>
  <c r="N611" i="2" s="1"/>
  <c r="M611" i="2" a="1"/>
  <c r="M611" i="2" s="1"/>
  <c r="L611" i="2" a="1"/>
  <c r="L611" i="2" s="1"/>
  <c r="K611" i="2" a="1"/>
  <c r="K611" i="2" s="1"/>
  <c r="J611" i="2" a="1"/>
  <c r="J611" i="2" s="1"/>
  <c r="I611" i="2" a="1"/>
  <c r="I611" i="2" s="1"/>
  <c r="H611" i="2" a="1"/>
  <c r="H611" i="2" s="1"/>
  <c r="F611" i="2" a="1"/>
  <c r="F611" i="2" s="1"/>
  <c r="D611" i="2" a="1"/>
  <c r="D611" i="2" s="1"/>
  <c r="B611" i="2" a="1"/>
  <c r="B611" i="2" s="1"/>
  <c r="BD610" i="2" a="1"/>
  <c r="BD610" i="2" s="1"/>
  <c r="BC610" i="2" a="1"/>
  <c r="BC610" i="2" s="1"/>
  <c r="BA610" i="2" a="1"/>
  <c r="BA610" i="2" s="1"/>
  <c r="AZ610" i="2" a="1"/>
  <c r="AZ610" i="2" s="1"/>
  <c r="AY610" i="2" a="1"/>
  <c r="AY610" i="2" s="1"/>
  <c r="AX610" i="2" a="1"/>
  <c r="AX610" i="2" s="1"/>
  <c r="AW610" i="2" a="1"/>
  <c r="AW610" i="2" s="1"/>
  <c r="AV610" i="2" a="1"/>
  <c r="AV610" i="2" s="1"/>
  <c r="AU610" i="2" a="1"/>
  <c r="AU610" i="2" s="1"/>
  <c r="AT610" i="2" a="1"/>
  <c r="AT610" i="2" s="1"/>
  <c r="AS610" i="2" a="1"/>
  <c r="AS610" i="2" s="1"/>
  <c r="AR610" i="2" a="1"/>
  <c r="AR610" i="2" s="1"/>
  <c r="AQ610" i="2" a="1"/>
  <c r="AQ610" i="2" s="1"/>
  <c r="AP610" i="2" a="1"/>
  <c r="AP610" i="2" s="1"/>
  <c r="AO610" i="2" a="1"/>
  <c r="AO610" i="2" s="1"/>
  <c r="AN610" i="2" a="1"/>
  <c r="AN610" i="2" s="1"/>
  <c r="AM610" i="2" a="1"/>
  <c r="AM610" i="2" s="1"/>
  <c r="AL610" i="2" a="1"/>
  <c r="AL610" i="2" s="1"/>
  <c r="AK610" i="2" a="1"/>
  <c r="AK610" i="2" s="1"/>
  <c r="AJ610" i="2" a="1"/>
  <c r="AJ610" i="2" s="1"/>
  <c r="AI610" i="2" a="1"/>
  <c r="AI610" i="2" s="1"/>
  <c r="AH610" i="2" a="1"/>
  <c r="AH610" i="2" s="1"/>
  <c r="AG610" i="2" a="1"/>
  <c r="AG610" i="2" s="1"/>
  <c r="AF610" i="2" a="1"/>
  <c r="AF610" i="2" s="1"/>
  <c r="AE610" i="2" a="1"/>
  <c r="AE610" i="2" s="1"/>
  <c r="AD610" i="2" a="1"/>
  <c r="AD610" i="2" s="1"/>
  <c r="AC610" i="2" a="1"/>
  <c r="AC610" i="2" s="1"/>
  <c r="AB610" i="2"/>
  <c r="AA610" i="2" a="1"/>
  <c r="AA610" i="2" s="1"/>
  <c r="Z610" i="2" a="1"/>
  <c r="Z610" i="2" s="1"/>
  <c r="Y610" i="2" a="1"/>
  <c r="Y610" i="2" s="1"/>
  <c r="X610" i="2" a="1"/>
  <c r="X610" i="2" s="1"/>
  <c r="W610" i="2" a="1"/>
  <c r="W610" i="2" s="1"/>
  <c r="BB610" i="2" s="1" a="1"/>
  <c r="BB610" i="2" s="1"/>
  <c r="V610" i="2" a="1"/>
  <c r="V610" i="2" s="1"/>
  <c r="E610" i="2" s="1" a="1"/>
  <c r="E610" i="2" s="1"/>
  <c r="U610" i="2" a="1"/>
  <c r="U610" i="2" s="1"/>
  <c r="T610" i="2" a="1"/>
  <c r="T610" i="2" s="1"/>
  <c r="S610" i="2" a="1"/>
  <c r="S610" i="2" s="1"/>
  <c r="R610" i="2" a="1"/>
  <c r="R610" i="2" s="1"/>
  <c r="Q610" i="2" a="1"/>
  <c r="Q610" i="2" s="1"/>
  <c r="P610" i="2" a="1"/>
  <c r="P610" i="2" s="1"/>
  <c r="O610" i="2" a="1"/>
  <c r="O610" i="2" s="1"/>
  <c r="N610" i="2" a="1"/>
  <c r="N610" i="2" s="1"/>
  <c r="M610" i="2" a="1"/>
  <c r="M610" i="2" s="1"/>
  <c r="L610" i="2" a="1"/>
  <c r="L610" i="2" s="1"/>
  <c r="K610" i="2" a="1"/>
  <c r="K610" i="2" s="1"/>
  <c r="J610" i="2" a="1"/>
  <c r="J610" i="2" s="1"/>
  <c r="I610" i="2" a="1"/>
  <c r="I610" i="2" s="1"/>
  <c r="H610" i="2" a="1"/>
  <c r="H610" i="2" s="1"/>
  <c r="F610" i="2" a="1"/>
  <c r="F610" i="2" s="1"/>
  <c r="D610" i="2" a="1"/>
  <c r="D610" i="2" s="1"/>
  <c r="B610" i="2" a="1"/>
  <c r="B610" i="2" s="1"/>
  <c r="BD609" i="2" a="1"/>
  <c r="BD609" i="2" s="1"/>
  <c r="BC609" i="2" a="1"/>
  <c r="BC609" i="2" s="1"/>
  <c r="BA609" i="2" a="1"/>
  <c r="BA609" i="2" s="1"/>
  <c r="AZ609" i="2" a="1"/>
  <c r="AZ609" i="2" s="1"/>
  <c r="AY609" i="2" a="1"/>
  <c r="AY609" i="2" s="1"/>
  <c r="AX609" i="2" a="1"/>
  <c r="AX609" i="2" s="1"/>
  <c r="AW609" i="2" a="1"/>
  <c r="AW609" i="2" s="1"/>
  <c r="AV609" i="2" a="1"/>
  <c r="AV609" i="2" s="1"/>
  <c r="AU609" i="2" a="1"/>
  <c r="AU609" i="2" s="1"/>
  <c r="AT609" i="2" a="1"/>
  <c r="AT609" i="2" s="1"/>
  <c r="AS609" i="2" a="1"/>
  <c r="AS609" i="2" s="1"/>
  <c r="AR609" i="2" a="1"/>
  <c r="AR609" i="2" s="1"/>
  <c r="AQ609" i="2" a="1"/>
  <c r="AQ609" i="2" s="1"/>
  <c r="AP609" i="2" a="1"/>
  <c r="AP609" i="2" s="1"/>
  <c r="AO609" i="2" a="1"/>
  <c r="AO609" i="2" s="1"/>
  <c r="AN609" i="2" a="1"/>
  <c r="AN609" i="2" s="1"/>
  <c r="AM609" i="2" a="1"/>
  <c r="AM609" i="2" s="1"/>
  <c r="AL609" i="2" a="1"/>
  <c r="AL609" i="2" s="1"/>
  <c r="AK609" i="2" a="1"/>
  <c r="AK609" i="2" s="1"/>
  <c r="AJ609" i="2" a="1"/>
  <c r="AJ609" i="2" s="1"/>
  <c r="AI609" i="2" a="1"/>
  <c r="AI609" i="2" s="1"/>
  <c r="AH609" i="2" a="1"/>
  <c r="AH609" i="2" s="1"/>
  <c r="AG609" i="2" a="1"/>
  <c r="AG609" i="2" s="1"/>
  <c r="AF609" i="2" a="1"/>
  <c r="AF609" i="2" s="1"/>
  <c r="AE609" i="2" a="1"/>
  <c r="AE609" i="2" s="1"/>
  <c r="AD609" i="2" a="1"/>
  <c r="AD609" i="2" s="1"/>
  <c r="AC609" i="2" a="1"/>
  <c r="AC609" i="2" s="1"/>
  <c r="AB609" i="2"/>
  <c r="AA609" i="2" a="1"/>
  <c r="AA609" i="2" s="1"/>
  <c r="Z609" i="2" a="1"/>
  <c r="Z609" i="2" s="1"/>
  <c r="Y609" i="2" a="1"/>
  <c r="Y609" i="2" s="1"/>
  <c r="X609" i="2" a="1"/>
  <c r="X609" i="2" s="1"/>
  <c r="W609" i="2" a="1"/>
  <c r="W609" i="2" s="1"/>
  <c r="BB609" i="2" s="1" a="1"/>
  <c r="BB609" i="2" s="1"/>
  <c r="V609" i="2" a="1"/>
  <c r="V609" i="2" s="1"/>
  <c r="E609" i="2" s="1" a="1"/>
  <c r="E609" i="2" s="1"/>
  <c r="U609" i="2" a="1"/>
  <c r="U609" i="2" s="1"/>
  <c r="T609" i="2" a="1"/>
  <c r="T609" i="2" s="1"/>
  <c r="S609" i="2" a="1"/>
  <c r="S609" i="2" s="1"/>
  <c r="R609" i="2" a="1"/>
  <c r="R609" i="2" s="1"/>
  <c r="Q609" i="2" a="1"/>
  <c r="Q609" i="2" s="1"/>
  <c r="P609" i="2" a="1"/>
  <c r="P609" i="2" s="1"/>
  <c r="O609" i="2" a="1"/>
  <c r="O609" i="2" s="1"/>
  <c r="N609" i="2" a="1"/>
  <c r="N609" i="2" s="1"/>
  <c r="M609" i="2" a="1"/>
  <c r="M609" i="2" s="1"/>
  <c r="L609" i="2" a="1"/>
  <c r="L609" i="2" s="1"/>
  <c r="K609" i="2" a="1"/>
  <c r="K609" i="2" s="1"/>
  <c r="J609" i="2" a="1"/>
  <c r="J609" i="2" s="1"/>
  <c r="I609" i="2" a="1"/>
  <c r="I609" i="2" s="1"/>
  <c r="H609" i="2" a="1"/>
  <c r="H609" i="2" s="1"/>
  <c r="F609" i="2" a="1"/>
  <c r="F609" i="2" s="1"/>
  <c r="D609" i="2" a="1"/>
  <c r="D609" i="2" s="1"/>
  <c r="B609" i="2" a="1"/>
  <c r="B609" i="2" s="1"/>
  <c r="BD608" i="2" a="1"/>
  <c r="BD608" i="2" s="1"/>
  <c r="BC608" i="2" a="1"/>
  <c r="BC608" i="2" s="1"/>
  <c r="BA608" i="2" a="1"/>
  <c r="BA608" i="2" s="1"/>
  <c r="AZ608" i="2" a="1"/>
  <c r="AZ608" i="2" s="1"/>
  <c r="AY608" i="2" a="1"/>
  <c r="AY608" i="2" s="1"/>
  <c r="AX608" i="2" a="1"/>
  <c r="AX608" i="2" s="1"/>
  <c r="AW608" i="2" a="1"/>
  <c r="AW608" i="2" s="1"/>
  <c r="AV608" i="2" a="1"/>
  <c r="AV608" i="2" s="1"/>
  <c r="AU608" i="2" a="1"/>
  <c r="AU608" i="2" s="1"/>
  <c r="AT608" i="2" a="1"/>
  <c r="AT608" i="2" s="1"/>
  <c r="AS608" i="2" a="1"/>
  <c r="AS608" i="2" s="1"/>
  <c r="AR608" i="2" a="1"/>
  <c r="AR608" i="2" s="1"/>
  <c r="AQ608" i="2" a="1"/>
  <c r="AQ608" i="2" s="1"/>
  <c r="AP608" i="2" a="1"/>
  <c r="AP608" i="2" s="1"/>
  <c r="AO608" i="2" a="1"/>
  <c r="AO608" i="2" s="1"/>
  <c r="AN608" i="2" a="1"/>
  <c r="AN608" i="2" s="1"/>
  <c r="AM608" i="2" a="1"/>
  <c r="AM608" i="2" s="1"/>
  <c r="AL608" i="2" a="1"/>
  <c r="AL608" i="2" s="1"/>
  <c r="AK608" i="2" a="1"/>
  <c r="AK608" i="2" s="1"/>
  <c r="AJ608" i="2" a="1"/>
  <c r="AJ608" i="2" s="1"/>
  <c r="AI608" i="2" a="1"/>
  <c r="AI608" i="2" s="1"/>
  <c r="AH608" i="2" a="1"/>
  <c r="AH608" i="2" s="1"/>
  <c r="AG608" i="2" a="1"/>
  <c r="AG608" i="2" s="1"/>
  <c r="AF608" i="2" a="1"/>
  <c r="AF608" i="2" s="1"/>
  <c r="AE608" i="2" a="1"/>
  <c r="AE608" i="2" s="1"/>
  <c r="AD608" i="2" a="1"/>
  <c r="AD608" i="2" s="1"/>
  <c r="AC608" i="2" a="1"/>
  <c r="AC608" i="2" s="1"/>
  <c r="AB608" i="2"/>
  <c r="AA608" i="2" a="1"/>
  <c r="AA608" i="2" s="1"/>
  <c r="Z608" i="2" a="1"/>
  <c r="Z608" i="2" s="1"/>
  <c r="Y608" i="2" a="1"/>
  <c r="Y608" i="2" s="1"/>
  <c r="X608" i="2" a="1"/>
  <c r="X608" i="2" s="1"/>
  <c r="W608" i="2" a="1"/>
  <c r="W608" i="2" s="1"/>
  <c r="BB608" i="2" s="1" a="1"/>
  <c r="BB608" i="2" s="1"/>
  <c r="V608" i="2" a="1"/>
  <c r="V608" i="2" s="1"/>
  <c r="E608" i="2" s="1" a="1"/>
  <c r="E608" i="2" s="1"/>
  <c r="U608" i="2" a="1"/>
  <c r="U608" i="2" s="1"/>
  <c r="T608" i="2" a="1"/>
  <c r="T608" i="2" s="1"/>
  <c r="S608" i="2" a="1"/>
  <c r="S608" i="2" s="1"/>
  <c r="R608" i="2" a="1"/>
  <c r="R608" i="2" s="1"/>
  <c r="Q608" i="2" a="1"/>
  <c r="Q608" i="2" s="1"/>
  <c r="P608" i="2" a="1"/>
  <c r="P608" i="2" s="1"/>
  <c r="O608" i="2" a="1"/>
  <c r="O608" i="2" s="1"/>
  <c r="N608" i="2" a="1"/>
  <c r="N608" i="2" s="1"/>
  <c r="M608" i="2" a="1"/>
  <c r="M608" i="2" s="1"/>
  <c r="L608" i="2" a="1"/>
  <c r="L608" i="2" s="1"/>
  <c r="K608" i="2" a="1"/>
  <c r="K608" i="2" s="1"/>
  <c r="J608" i="2" a="1"/>
  <c r="J608" i="2" s="1"/>
  <c r="I608" i="2" a="1"/>
  <c r="I608" i="2" s="1"/>
  <c r="H608" i="2" a="1"/>
  <c r="H608" i="2" s="1"/>
  <c r="F608" i="2" a="1"/>
  <c r="F608" i="2" s="1"/>
  <c r="D608" i="2" a="1"/>
  <c r="D608" i="2" s="1"/>
  <c r="B608" i="2" a="1"/>
  <c r="B608" i="2" s="1"/>
  <c r="BD607" i="2" a="1"/>
  <c r="BD607" i="2" s="1"/>
  <c r="BC607" i="2" a="1"/>
  <c r="BC607" i="2" s="1"/>
  <c r="BA607" i="2" a="1"/>
  <c r="BA607" i="2" s="1"/>
  <c r="AZ607" i="2" a="1"/>
  <c r="AZ607" i="2" s="1"/>
  <c r="AY607" i="2" a="1"/>
  <c r="AY607" i="2" s="1"/>
  <c r="AX607" i="2" a="1"/>
  <c r="AX607" i="2" s="1"/>
  <c r="AW607" i="2" a="1"/>
  <c r="AW607" i="2" s="1"/>
  <c r="AV607" i="2" a="1"/>
  <c r="AV607" i="2" s="1"/>
  <c r="AU607" i="2" a="1"/>
  <c r="AU607" i="2" s="1"/>
  <c r="AT607" i="2" a="1"/>
  <c r="AT607" i="2" s="1"/>
  <c r="AS607" i="2" a="1"/>
  <c r="AS607" i="2" s="1"/>
  <c r="AR607" i="2" a="1"/>
  <c r="AR607" i="2" s="1"/>
  <c r="AQ607" i="2" a="1"/>
  <c r="AQ607" i="2" s="1"/>
  <c r="AP607" i="2" a="1"/>
  <c r="AP607" i="2" s="1"/>
  <c r="AO607" i="2" a="1"/>
  <c r="AO607" i="2" s="1"/>
  <c r="AN607" i="2" a="1"/>
  <c r="AN607" i="2" s="1"/>
  <c r="AM607" i="2" a="1"/>
  <c r="AM607" i="2" s="1"/>
  <c r="AL607" i="2" a="1"/>
  <c r="AL607" i="2" s="1"/>
  <c r="AK607" i="2" a="1"/>
  <c r="AK607" i="2" s="1"/>
  <c r="AJ607" i="2" a="1"/>
  <c r="AJ607" i="2" s="1"/>
  <c r="AI607" i="2" a="1"/>
  <c r="AI607" i="2" s="1"/>
  <c r="AH607" i="2" a="1"/>
  <c r="AH607" i="2" s="1"/>
  <c r="AG607" i="2" a="1"/>
  <c r="AG607" i="2" s="1"/>
  <c r="AF607" i="2" a="1"/>
  <c r="AF607" i="2" s="1"/>
  <c r="AE607" i="2" a="1"/>
  <c r="AE607" i="2" s="1"/>
  <c r="AD607" i="2" a="1"/>
  <c r="AD607" i="2" s="1"/>
  <c r="AC607" i="2" a="1"/>
  <c r="AC607" i="2" s="1"/>
  <c r="AB607" i="2"/>
  <c r="AA607" i="2" a="1"/>
  <c r="AA607" i="2" s="1"/>
  <c r="Z607" i="2" a="1"/>
  <c r="Z607" i="2" s="1"/>
  <c r="Y607" i="2" a="1"/>
  <c r="Y607" i="2" s="1"/>
  <c r="X607" i="2" a="1"/>
  <c r="X607" i="2" s="1"/>
  <c r="W607" i="2" a="1"/>
  <c r="W607" i="2" s="1"/>
  <c r="BB607" i="2" s="1" a="1"/>
  <c r="BB607" i="2" s="1"/>
  <c r="V607" i="2" a="1"/>
  <c r="V607" i="2" s="1"/>
  <c r="E607" i="2" s="1" a="1"/>
  <c r="E607" i="2" s="1"/>
  <c r="U607" i="2" a="1"/>
  <c r="U607" i="2" s="1"/>
  <c r="T607" i="2" a="1"/>
  <c r="T607" i="2" s="1"/>
  <c r="S607" i="2" a="1"/>
  <c r="S607" i="2" s="1"/>
  <c r="R607" i="2" a="1"/>
  <c r="R607" i="2" s="1"/>
  <c r="Q607" i="2" a="1"/>
  <c r="Q607" i="2" s="1"/>
  <c r="P607" i="2" a="1"/>
  <c r="P607" i="2" s="1"/>
  <c r="O607" i="2" a="1"/>
  <c r="O607" i="2" s="1"/>
  <c r="N607" i="2" a="1"/>
  <c r="N607" i="2" s="1"/>
  <c r="M607" i="2" a="1"/>
  <c r="M607" i="2" s="1"/>
  <c r="L607" i="2" a="1"/>
  <c r="L607" i="2" s="1"/>
  <c r="K607" i="2" a="1"/>
  <c r="K607" i="2" s="1"/>
  <c r="J607" i="2" a="1"/>
  <c r="J607" i="2" s="1"/>
  <c r="I607" i="2" a="1"/>
  <c r="I607" i="2" s="1"/>
  <c r="H607" i="2" a="1"/>
  <c r="H607" i="2" s="1"/>
  <c r="F607" i="2" a="1"/>
  <c r="F607" i="2" s="1"/>
  <c r="D607" i="2" a="1"/>
  <c r="D607" i="2" s="1"/>
  <c r="B607" i="2" a="1"/>
  <c r="B607" i="2" s="1"/>
  <c r="BD606" i="2" a="1"/>
  <c r="BD606" i="2" s="1"/>
  <c r="BC606" i="2" a="1"/>
  <c r="BC606" i="2" s="1"/>
  <c r="BA606" i="2" a="1"/>
  <c r="BA606" i="2" s="1"/>
  <c r="AZ606" i="2" a="1"/>
  <c r="AZ606" i="2" s="1"/>
  <c r="AY606" i="2" a="1"/>
  <c r="AY606" i="2" s="1"/>
  <c r="AX606" i="2" a="1"/>
  <c r="AX606" i="2" s="1"/>
  <c r="AW606" i="2" a="1"/>
  <c r="AW606" i="2" s="1"/>
  <c r="AV606" i="2" a="1"/>
  <c r="AV606" i="2" s="1"/>
  <c r="AU606" i="2" a="1"/>
  <c r="AU606" i="2" s="1"/>
  <c r="AT606" i="2" a="1"/>
  <c r="AT606" i="2" s="1"/>
  <c r="AS606" i="2" a="1"/>
  <c r="AS606" i="2" s="1"/>
  <c r="AR606" i="2" a="1"/>
  <c r="AR606" i="2" s="1"/>
  <c r="AQ606" i="2" a="1"/>
  <c r="AQ606" i="2" s="1"/>
  <c r="AP606" i="2" a="1"/>
  <c r="AP606" i="2" s="1"/>
  <c r="AO606" i="2" a="1"/>
  <c r="AO606" i="2" s="1"/>
  <c r="AN606" i="2" a="1"/>
  <c r="AN606" i="2" s="1"/>
  <c r="AM606" i="2" a="1"/>
  <c r="AM606" i="2" s="1"/>
  <c r="AL606" i="2" a="1"/>
  <c r="AL606" i="2" s="1"/>
  <c r="AK606" i="2" a="1"/>
  <c r="AK606" i="2" s="1"/>
  <c r="AJ606" i="2" a="1"/>
  <c r="AJ606" i="2" s="1"/>
  <c r="AI606" i="2" a="1"/>
  <c r="AI606" i="2" s="1"/>
  <c r="AH606" i="2" a="1"/>
  <c r="AH606" i="2" s="1"/>
  <c r="AG606" i="2" a="1"/>
  <c r="AG606" i="2" s="1"/>
  <c r="AF606" i="2" a="1"/>
  <c r="AF606" i="2" s="1"/>
  <c r="AE606" i="2" a="1"/>
  <c r="AE606" i="2" s="1"/>
  <c r="AD606" i="2" a="1"/>
  <c r="AD606" i="2" s="1"/>
  <c r="AC606" i="2" a="1"/>
  <c r="AC606" i="2" s="1"/>
  <c r="AB606" i="2"/>
  <c r="AA606" i="2" a="1"/>
  <c r="AA606" i="2" s="1"/>
  <c r="Z606" i="2" a="1"/>
  <c r="Z606" i="2" s="1"/>
  <c r="Y606" i="2" a="1"/>
  <c r="Y606" i="2" s="1"/>
  <c r="X606" i="2" a="1"/>
  <c r="X606" i="2" s="1"/>
  <c r="W606" i="2" a="1"/>
  <c r="W606" i="2" s="1"/>
  <c r="BB606" i="2" s="1" a="1"/>
  <c r="BB606" i="2" s="1"/>
  <c r="V606" i="2" a="1"/>
  <c r="V606" i="2" s="1"/>
  <c r="E606" i="2" s="1" a="1"/>
  <c r="E606" i="2" s="1"/>
  <c r="U606" i="2" a="1"/>
  <c r="U606" i="2" s="1"/>
  <c r="T606" i="2" a="1"/>
  <c r="T606" i="2" s="1"/>
  <c r="S606" i="2" a="1"/>
  <c r="S606" i="2" s="1"/>
  <c r="R606" i="2" a="1"/>
  <c r="R606" i="2" s="1"/>
  <c r="Q606" i="2" a="1"/>
  <c r="Q606" i="2" s="1"/>
  <c r="P606" i="2" a="1"/>
  <c r="P606" i="2" s="1"/>
  <c r="O606" i="2" a="1"/>
  <c r="O606" i="2" s="1"/>
  <c r="N606" i="2" a="1"/>
  <c r="N606" i="2" s="1"/>
  <c r="M606" i="2" a="1"/>
  <c r="M606" i="2" s="1"/>
  <c r="L606" i="2" a="1"/>
  <c r="L606" i="2" s="1"/>
  <c r="K606" i="2" a="1"/>
  <c r="K606" i="2" s="1"/>
  <c r="J606" i="2" a="1"/>
  <c r="J606" i="2" s="1"/>
  <c r="I606" i="2" a="1"/>
  <c r="I606" i="2" s="1"/>
  <c r="H606" i="2" a="1"/>
  <c r="H606" i="2" s="1"/>
  <c r="F606" i="2" a="1"/>
  <c r="F606" i="2" s="1"/>
  <c r="D606" i="2" a="1"/>
  <c r="D606" i="2" s="1"/>
  <c r="B606" i="2" a="1"/>
  <c r="B606" i="2" s="1"/>
  <c r="BD605" i="2" a="1"/>
  <c r="BD605" i="2" s="1"/>
  <c r="BC605" i="2" a="1"/>
  <c r="BC605" i="2" s="1"/>
  <c r="BA605" i="2" a="1"/>
  <c r="BA605" i="2" s="1"/>
  <c r="AZ605" i="2" a="1"/>
  <c r="AZ605" i="2" s="1"/>
  <c r="AY605" i="2" a="1"/>
  <c r="AY605" i="2" s="1"/>
  <c r="AX605" i="2" a="1"/>
  <c r="AX605" i="2" s="1"/>
  <c r="AW605" i="2" a="1"/>
  <c r="AW605" i="2" s="1"/>
  <c r="AV605" i="2" a="1"/>
  <c r="AV605" i="2" s="1"/>
  <c r="AU605" i="2" a="1"/>
  <c r="AU605" i="2" s="1"/>
  <c r="AT605" i="2" a="1"/>
  <c r="AT605" i="2" s="1"/>
  <c r="AS605" i="2" a="1"/>
  <c r="AS605" i="2" s="1"/>
  <c r="AR605" i="2" a="1"/>
  <c r="AR605" i="2" s="1"/>
  <c r="AQ605" i="2" a="1"/>
  <c r="AQ605" i="2" s="1"/>
  <c r="AP605" i="2" a="1"/>
  <c r="AP605" i="2" s="1"/>
  <c r="AO605" i="2" a="1"/>
  <c r="AO605" i="2" s="1"/>
  <c r="AN605" i="2" a="1"/>
  <c r="AN605" i="2" s="1"/>
  <c r="AM605" i="2" a="1"/>
  <c r="AM605" i="2" s="1"/>
  <c r="AL605" i="2" a="1"/>
  <c r="AL605" i="2" s="1"/>
  <c r="AK605" i="2" a="1"/>
  <c r="AK605" i="2" s="1"/>
  <c r="AJ605" i="2" a="1"/>
  <c r="AJ605" i="2" s="1"/>
  <c r="AI605" i="2" a="1"/>
  <c r="AI605" i="2" s="1"/>
  <c r="AH605" i="2" a="1"/>
  <c r="AH605" i="2" s="1"/>
  <c r="AG605" i="2" a="1"/>
  <c r="AG605" i="2" s="1"/>
  <c r="AF605" i="2" a="1"/>
  <c r="AF605" i="2" s="1"/>
  <c r="AE605" i="2" a="1"/>
  <c r="AE605" i="2" s="1"/>
  <c r="AD605" i="2" a="1"/>
  <c r="AD605" i="2" s="1"/>
  <c r="AC605" i="2" a="1"/>
  <c r="AC605" i="2" s="1"/>
  <c r="AB605" i="2"/>
  <c r="AA605" i="2" a="1"/>
  <c r="AA605" i="2" s="1"/>
  <c r="Z605" i="2" a="1"/>
  <c r="Z605" i="2" s="1"/>
  <c r="Y605" i="2" a="1"/>
  <c r="Y605" i="2" s="1"/>
  <c r="X605" i="2" a="1"/>
  <c r="X605" i="2" s="1"/>
  <c r="W605" i="2" a="1"/>
  <c r="W605" i="2" s="1"/>
  <c r="BB605" i="2" s="1" a="1"/>
  <c r="BB605" i="2" s="1"/>
  <c r="V605" i="2" a="1"/>
  <c r="V605" i="2" s="1"/>
  <c r="E605" i="2" s="1" a="1"/>
  <c r="E605" i="2" s="1"/>
  <c r="U605" i="2" a="1"/>
  <c r="U605" i="2" s="1"/>
  <c r="T605" i="2" a="1"/>
  <c r="T605" i="2" s="1"/>
  <c r="S605" i="2" a="1"/>
  <c r="S605" i="2" s="1"/>
  <c r="R605" i="2" a="1"/>
  <c r="R605" i="2" s="1"/>
  <c r="Q605" i="2" a="1"/>
  <c r="Q605" i="2" s="1"/>
  <c r="P605" i="2" a="1"/>
  <c r="P605" i="2" s="1"/>
  <c r="O605" i="2" a="1"/>
  <c r="O605" i="2" s="1"/>
  <c r="N605" i="2" a="1"/>
  <c r="N605" i="2" s="1"/>
  <c r="M605" i="2" a="1"/>
  <c r="M605" i="2" s="1"/>
  <c r="L605" i="2" a="1"/>
  <c r="L605" i="2" s="1"/>
  <c r="K605" i="2" a="1"/>
  <c r="K605" i="2" s="1"/>
  <c r="J605" i="2" a="1"/>
  <c r="J605" i="2" s="1"/>
  <c r="I605" i="2" a="1"/>
  <c r="I605" i="2" s="1"/>
  <c r="H605" i="2" a="1"/>
  <c r="H605" i="2" s="1"/>
  <c r="F605" i="2" a="1"/>
  <c r="F605" i="2" s="1"/>
  <c r="D605" i="2" a="1"/>
  <c r="D605" i="2" s="1"/>
  <c r="B605" i="2" a="1"/>
  <c r="B605" i="2" s="1"/>
  <c r="BD604" i="2" a="1"/>
  <c r="BD604" i="2" s="1"/>
  <c r="BC604" i="2" a="1"/>
  <c r="BC604" i="2" s="1"/>
  <c r="BA604" i="2" a="1"/>
  <c r="BA604" i="2" s="1"/>
  <c r="AZ604" i="2" a="1"/>
  <c r="AZ604" i="2" s="1"/>
  <c r="AY604" i="2" a="1"/>
  <c r="AY604" i="2" s="1"/>
  <c r="AX604" i="2" a="1"/>
  <c r="AX604" i="2" s="1"/>
  <c r="AW604" i="2" a="1"/>
  <c r="AW604" i="2" s="1"/>
  <c r="AV604" i="2" a="1"/>
  <c r="AV604" i="2" s="1"/>
  <c r="AU604" i="2" a="1"/>
  <c r="AU604" i="2" s="1"/>
  <c r="AT604" i="2" a="1"/>
  <c r="AT604" i="2" s="1"/>
  <c r="AS604" i="2" a="1"/>
  <c r="AS604" i="2" s="1"/>
  <c r="AR604" i="2" a="1"/>
  <c r="AR604" i="2" s="1"/>
  <c r="AQ604" i="2" a="1"/>
  <c r="AQ604" i="2" s="1"/>
  <c r="AP604" i="2" a="1"/>
  <c r="AP604" i="2" s="1"/>
  <c r="AO604" i="2" a="1"/>
  <c r="AO604" i="2" s="1"/>
  <c r="AN604" i="2" a="1"/>
  <c r="AN604" i="2" s="1"/>
  <c r="AM604" i="2" a="1"/>
  <c r="AM604" i="2" s="1"/>
  <c r="AL604" i="2" a="1"/>
  <c r="AL604" i="2" s="1"/>
  <c r="AK604" i="2" a="1"/>
  <c r="AK604" i="2" s="1"/>
  <c r="AJ604" i="2" a="1"/>
  <c r="AJ604" i="2" s="1"/>
  <c r="AI604" i="2" a="1"/>
  <c r="AI604" i="2" s="1"/>
  <c r="AH604" i="2" a="1"/>
  <c r="AH604" i="2" s="1"/>
  <c r="AG604" i="2" a="1"/>
  <c r="AG604" i="2" s="1"/>
  <c r="AF604" i="2" a="1"/>
  <c r="AF604" i="2" s="1"/>
  <c r="AE604" i="2" a="1"/>
  <c r="AE604" i="2" s="1"/>
  <c r="AD604" i="2" a="1"/>
  <c r="AD604" i="2" s="1"/>
  <c r="AC604" i="2" a="1"/>
  <c r="AC604" i="2" s="1"/>
  <c r="AB604" i="2"/>
  <c r="AA604" i="2" a="1"/>
  <c r="AA604" i="2" s="1"/>
  <c r="Z604" i="2" a="1"/>
  <c r="Z604" i="2" s="1"/>
  <c r="Y604" i="2" a="1"/>
  <c r="Y604" i="2" s="1"/>
  <c r="X604" i="2" a="1"/>
  <c r="X604" i="2" s="1"/>
  <c r="W604" i="2" a="1"/>
  <c r="W604" i="2" s="1"/>
  <c r="BB604" i="2" s="1" a="1"/>
  <c r="BB604" i="2" s="1"/>
  <c r="V604" i="2" a="1"/>
  <c r="V604" i="2" s="1"/>
  <c r="E604" i="2" s="1" a="1"/>
  <c r="E604" i="2" s="1"/>
  <c r="U604" i="2" a="1"/>
  <c r="U604" i="2" s="1"/>
  <c r="T604" i="2" a="1"/>
  <c r="T604" i="2" s="1"/>
  <c r="S604" i="2" a="1"/>
  <c r="S604" i="2" s="1"/>
  <c r="R604" i="2" a="1"/>
  <c r="R604" i="2" s="1"/>
  <c r="Q604" i="2" a="1"/>
  <c r="Q604" i="2" s="1"/>
  <c r="P604" i="2" a="1"/>
  <c r="P604" i="2" s="1"/>
  <c r="O604" i="2" a="1"/>
  <c r="O604" i="2" s="1"/>
  <c r="N604" i="2" a="1"/>
  <c r="N604" i="2" s="1"/>
  <c r="M604" i="2" a="1"/>
  <c r="M604" i="2" s="1"/>
  <c r="L604" i="2" a="1"/>
  <c r="L604" i="2" s="1"/>
  <c r="K604" i="2" a="1"/>
  <c r="K604" i="2" s="1"/>
  <c r="J604" i="2" a="1"/>
  <c r="J604" i="2" s="1"/>
  <c r="I604" i="2" a="1"/>
  <c r="I604" i="2" s="1"/>
  <c r="H604" i="2" a="1"/>
  <c r="H604" i="2" s="1"/>
  <c r="F604" i="2" a="1"/>
  <c r="F604" i="2" s="1"/>
  <c r="D604" i="2" a="1"/>
  <c r="D604" i="2" s="1"/>
  <c r="B604" i="2" a="1"/>
  <c r="B604" i="2" s="1"/>
  <c r="BD602" i="2" a="1"/>
  <c r="BD602" i="2" s="1"/>
  <c r="BC602" i="2" a="1"/>
  <c r="BC602" i="2" s="1"/>
  <c r="BA602" i="2" a="1"/>
  <c r="BA602" i="2" s="1"/>
  <c r="AZ602" i="2" a="1"/>
  <c r="AZ602" i="2" s="1"/>
  <c r="AY602" i="2" a="1"/>
  <c r="AY602" i="2" s="1"/>
  <c r="AX602" i="2" a="1"/>
  <c r="AX602" i="2" s="1"/>
  <c r="AW602" i="2" a="1"/>
  <c r="AW602" i="2" s="1"/>
  <c r="AV602" i="2" a="1"/>
  <c r="AV602" i="2" s="1"/>
  <c r="AU602" i="2" a="1"/>
  <c r="AU602" i="2" s="1"/>
  <c r="AT602" i="2" a="1"/>
  <c r="AT602" i="2" s="1"/>
  <c r="AS602" i="2" a="1"/>
  <c r="AS602" i="2" s="1"/>
  <c r="AR602" i="2" a="1"/>
  <c r="AR602" i="2" s="1"/>
  <c r="AQ602" i="2" a="1"/>
  <c r="AQ602" i="2" s="1"/>
  <c r="AP602" i="2" a="1"/>
  <c r="AP602" i="2" s="1"/>
  <c r="AO602" i="2" a="1"/>
  <c r="AO602" i="2" s="1"/>
  <c r="AN602" i="2" a="1"/>
  <c r="AN602" i="2" s="1"/>
  <c r="AM602" i="2" a="1"/>
  <c r="AM602" i="2" s="1"/>
  <c r="AL602" i="2" a="1"/>
  <c r="AL602" i="2" s="1"/>
  <c r="AK602" i="2" a="1"/>
  <c r="AK602" i="2" s="1"/>
  <c r="AJ602" i="2" a="1"/>
  <c r="AJ602" i="2" s="1"/>
  <c r="AI602" i="2" a="1"/>
  <c r="AI602" i="2" s="1"/>
  <c r="AH602" i="2" a="1"/>
  <c r="AH602" i="2" s="1"/>
  <c r="AG602" i="2" a="1"/>
  <c r="AG602" i="2" s="1"/>
  <c r="AF602" i="2" a="1"/>
  <c r="AF602" i="2" s="1"/>
  <c r="AE602" i="2" a="1"/>
  <c r="AE602" i="2" s="1"/>
  <c r="AD602" i="2" a="1"/>
  <c r="AD602" i="2" s="1"/>
  <c r="AC602" i="2" a="1"/>
  <c r="AC602" i="2" s="1"/>
  <c r="AB602" i="2"/>
  <c r="AA602" i="2" a="1"/>
  <c r="AA602" i="2" s="1"/>
  <c r="Z602" i="2" a="1"/>
  <c r="Z602" i="2" s="1"/>
  <c r="Y602" i="2" a="1"/>
  <c r="Y602" i="2" s="1"/>
  <c r="X602" i="2" a="1"/>
  <c r="X602" i="2" s="1"/>
  <c r="W602" i="2" a="1"/>
  <c r="W602" i="2" s="1"/>
  <c r="BB602" i="2" s="1" a="1"/>
  <c r="BB602" i="2" s="1"/>
  <c r="V602" i="2" a="1"/>
  <c r="V602" i="2" s="1"/>
  <c r="E602" i="2" s="1" a="1"/>
  <c r="E602" i="2" s="1"/>
  <c r="U602" i="2" a="1"/>
  <c r="U602" i="2" s="1"/>
  <c r="T602" i="2" a="1"/>
  <c r="T602" i="2" s="1"/>
  <c r="S602" i="2" a="1"/>
  <c r="S602" i="2" s="1"/>
  <c r="R602" i="2" a="1"/>
  <c r="R602" i="2" s="1"/>
  <c r="Q602" i="2" a="1"/>
  <c r="Q602" i="2" s="1"/>
  <c r="P602" i="2" a="1"/>
  <c r="P602" i="2" s="1"/>
  <c r="O602" i="2" a="1"/>
  <c r="O602" i="2" s="1"/>
  <c r="N602" i="2" a="1"/>
  <c r="N602" i="2" s="1"/>
  <c r="M602" i="2" a="1"/>
  <c r="M602" i="2" s="1"/>
  <c r="L602" i="2" a="1"/>
  <c r="L602" i="2" s="1"/>
  <c r="K602" i="2" a="1"/>
  <c r="K602" i="2" s="1"/>
  <c r="J602" i="2" a="1"/>
  <c r="J602" i="2" s="1"/>
  <c r="I602" i="2" a="1"/>
  <c r="I602" i="2" s="1"/>
  <c r="H602" i="2" a="1"/>
  <c r="H602" i="2" s="1"/>
  <c r="F602" i="2" a="1"/>
  <c r="F602" i="2" s="1"/>
  <c r="D602" i="2" a="1"/>
  <c r="D602" i="2" s="1"/>
  <c r="B602" i="2" a="1"/>
  <c r="B602" i="2" s="1"/>
  <c r="BD601" i="2" a="1"/>
  <c r="BD601" i="2" s="1"/>
  <c r="BC601" i="2" a="1"/>
  <c r="BC601" i="2" s="1"/>
  <c r="BA601" i="2" a="1"/>
  <c r="BA601" i="2" s="1"/>
  <c r="AZ601" i="2" a="1"/>
  <c r="AZ601" i="2" s="1"/>
  <c r="AY601" i="2" a="1"/>
  <c r="AY601" i="2" s="1"/>
  <c r="AX601" i="2" a="1"/>
  <c r="AX601" i="2" s="1"/>
  <c r="AW601" i="2" a="1"/>
  <c r="AW601" i="2" s="1"/>
  <c r="AV601" i="2" a="1"/>
  <c r="AV601" i="2" s="1"/>
  <c r="AU601" i="2" a="1"/>
  <c r="AU601" i="2" s="1"/>
  <c r="AT601" i="2" a="1"/>
  <c r="AT601" i="2" s="1"/>
  <c r="AS601" i="2" a="1"/>
  <c r="AS601" i="2" s="1"/>
  <c r="AR601" i="2" a="1"/>
  <c r="AR601" i="2" s="1"/>
  <c r="AQ601" i="2" a="1"/>
  <c r="AQ601" i="2" s="1"/>
  <c r="AP601" i="2" a="1"/>
  <c r="AP601" i="2" s="1"/>
  <c r="AO601" i="2" a="1"/>
  <c r="AO601" i="2" s="1"/>
  <c r="AN601" i="2" a="1"/>
  <c r="AN601" i="2" s="1"/>
  <c r="AM601" i="2" a="1"/>
  <c r="AM601" i="2" s="1"/>
  <c r="AL601" i="2" a="1"/>
  <c r="AL601" i="2" s="1"/>
  <c r="AK601" i="2" a="1"/>
  <c r="AK601" i="2" s="1"/>
  <c r="AJ601" i="2" a="1"/>
  <c r="AJ601" i="2" s="1"/>
  <c r="AI601" i="2" a="1"/>
  <c r="AI601" i="2" s="1"/>
  <c r="AH601" i="2" a="1"/>
  <c r="AH601" i="2" s="1"/>
  <c r="AG601" i="2" a="1"/>
  <c r="AG601" i="2" s="1"/>
  <c r="AF601" i="2" a="1"/>
  <c r="AF601" i="2" s="1"/>
  <c r="AE601" i="2" a="1"/>
  <c r="AE601" i="2" s="1"/>
  <c r="AD601" i="2" a="1"/>
  <c r="AD601" i="2" s="1"/>
  <c r="AC601" i="2" a="1"/>
  <c r="AC601" i="2" s="1"/>
  <c r="AB601" i="2"/>
  <c r="AA601" i="2" a="1"/>
  <c r="AA601" i="2" s="1"/>
  <c r="Z601" i="2" a="1"/>
  <c r="Z601" i="2" s="1"/>
  <c r="Y601" i="2" a="1"/>
  <c r="Y601" i="2" s="1"/>
  <c r="X601" i="2" a="1"/>
  <c r="X601" i="2" s="1"/>
  <c r="W601" i="2" a="1"/>
  <c r="W601" i="2" s="1"/>
  <c r="BB601" i="2" s="1" a="1"/>
  <c r="BB601" i="2" s="1"/>
  <c r="V601" i="2" a="1"/>
  <c r="V601" i="2" s="1"/>
  <c r="E601" i="2" s="1" a="1"/>
  <c r="E601" i="2" s="1"/>
  <c r="U601" i="2" a="1"/>
  <c r="U601" i="2" s="1"/>
  <c r="T601" i="2" a="1"/>
  <c r="T601" i="2" s="1"/>
  <c r="S601" i="2" a="1"/>
  <c r="S601" i="2" s="1"/>
  <c r="R601" i="2" a="1"/>
  <c r="R601" i="2" s="1"/>
  <c r="Q601" i="2" a="1"/>
  <c r="Q601" i="2" s="1"/>
  <c r="P601" i="2" a="1"/>
  <c r="P601" i="2" s="1"/>
  <c r="O601" i="2" a="1"/>
  <c r="O601" i="2" s="1"/>
  <c r="N601" i="2" a="1"/>
  <c r="N601" i="2" s="1"/>
  <c r="M601" i="2" a="1"/>
  <c r="M601" i="2" s="1"/>
  <c r="L601" i="2" a="1"/>
  <c r="L601" i="2" s="1"/>
  <c r="K601" i="2" a="1"/>
  <c r="K601" i="2" s="1"/>
  <c r="J601" i="2" a="1"/>
  <c r="J601" i="2" s="1"/>
  <c r="I601" i="2" a="1"/>
  <c r="I601" i="2" s="1"/>
  <c r="H601" i="2" a="1"/>
  <c r="H601" i="2" s="1"/>
  <c r="F601" i="2" a="1"/>
  <c r="F601" i="2" s="1"/>
  <c r="D601" i="2" a="1"/>
  <c r="D601" i="2" s="1"/>
  <c r="B601" i="2" a="1"/>
  <c r="B601" i="2" s="1"/>
  <c r="BD600" i="2" a="1"/>
  <c r="BD600" i="2" s="1"/>
  <c r="BC600" i="2" a="1"/>
  <c r="BC600" i="2" s="1"/>
  <c r="BA600" i="2" a="1"/>
  <c r="BA600" i="2" s="1"/>
  <c r="AZ600" i="2" a="1"/>
  <c r="AZ600" i="2" s="1"/>
  <c r="AY600" i="2" a="1"/>
  <c r="AY600" i="2" s="1"/>
  <c r="AX600" i="2" a="1"/>
  <c r="AX600" i="2" s="1"/>
  <c r="AW600" i="2" a="1"/>
  <c r="AW600" i="2" s="1"/>
  <c r="AV600" i="2" a="1"/>
  <c r="AV600" i="2" s="1"/>
  <c r="AU600" i="2" a="1"/>
  <c r="AU600" i="2" s="1"/>
  <c r="AT600" i="2" a="1"/>
  <c r="AT600" i="2" s="1"/>
  <c r="AS600" i="2" a="1"/>
  <c r="AS600" i="2" s="1"/>
  <c r="AR600" i="2" a="1"/>
  <c r="AR600" i="2" s="1"/>
  <c r="AQ600" i="2" a="1"/>
  <c r="AQ600" i="2" s="1"/>
  <c r="AP600" i="2" a="1"/>
  <c r="AP600" i="2" s="1"/>
  <c r="AO600" i="2" a="1"/>
  <c r="AO600" i="2" s="1"/>
  <c r="AN600" i="2" a="1"/>
  <c r="AN600" i="2" s="1"/>
  <c r="AM600" i="2" a="1"/>
  <c r="AM600" i="2" s="1"/>
  <c r="AL600" i="2" a="1"/>
  <c r="AL600" i="2" s="1"/>
  <c r="AK600" i="2" a="1"/>
  <c r="AK600" i="2" s="1"/>
  <c r="AJ600" i="2" a="1"/>
  <c r="AJ600" i="2" s="1"/>
  <c r="AI600" i="2" a="1"/>
  <c r="AI600" i="2" s="1"/>
  <c r="AH600" i="2" a="1"/>
  <c r="AH600" i="2" s="1"/>
  <c r="AG600" i="2" a="1"/>
  <c r="AG600" i="2" s="1"/>
  <c r="AF600" i="2" a="1"/>
  <c r="AF600" i="2" s="1"/>
  <c r="AE600" i="2" a="1"/>
  <c r="AE600" i="2" s="1"/>
  <c r="AD600" i="2" a="1"/>
  <c r="AD600" i="2" s="1"/>
  <c r="AC600" i="2" a="1"/>
  <c r="AC600" i="2" s="1"/>
  <c r="AB600" i="2"/>
  <c r="AA600" i="2" a="1"/>
  <c r="AA600" i="2" s="1"/>
  <c r="Z600" i="2" a="1"/>
  <c r="Z600" i="2" s="1"/>
  <c r="Y600" i="2" a="1"/>
  <c r="Y600" i="2" s="1"/>
  <c r="X600" i="2" a="1"/>
  <c r="X600" i="2" s="1"/>
  <c r="W600" i="2" a="1"/>
  <c r="W600" i="2" s="1"/>
  <c r="BB600" i="2" s="1" a="1"/>
  <c r="BB600" i="2" s="1"/>
  <c r="V600" i="2" a="1"/>
  <c r="V600" i="2" s="1"/>
  <c r="E600" i="2" s="1" a="1"/>
  <c r="E600" i="2" s="1"/>
  <c r="U600" i="2" a="1"/>
  <c r="U600" i="2" s="1"/>
  <c r="T600" i="2" a="1"/>
  <c r="T600" i="2" s="1"/>
  <c r="S600" i="2" a="1"/>
  <c r="S600" i="2" s="1"/>
  <c r="R600" i="2" a="1"/>
  <c r="R600" i="2" s="1"/>
  <c r="Q600" i="2" a="1"/>
  <c r="Q600" i="2" s="1"/>
  <c r="P600" i="2" a="1"/>
  <c r="P600" i="2" s="1"/>
  <c r="O600" i="2" a="1"/>
  <c r="O600" i="2" s="1"/>
  <c r="N600" i="2" a="1"/>
  <c r="N600" i="2" s="1"/>
  <c r="M600" i="2" a="1"/>
  <c r="M600" i="2" s="1"/>
  <c r="L600" i="2" a="1"/>
  <c r="L600" i="2" s="1"/>
  <c r="K600" i="2" a="1"/>
  <c r="K600" i="2" s="1"/>
  <c r="J600" i="2" a="1"/>
  <c r="J600" i="2" s="1"/>
  <c r="I600" i="2" a="1"/>
  <c r="I600" i="2" s="1"/>
  <c r="H600" i="2" a="1"/>
  <c r="H600" i="2" s="1"/>
  <c r="F600" i="2" a="1"/>
  <c r="F600" i="2" s="1"/>
  <c r="D600" i="2" a="1"/>
  <c r="D600" i="2" s="1"/>
  <c r="B600" i="2" a="1"/>
  <c r="B600" i="2" s="1"/>
  <c r="BD599" i="2" a="1"/>
  <c r="BD599" i="2" s="1"/>
  <c r="BC599" i="2" a="1"/>
  <c r="BC599" i="2" s="1"/>
  <c r="BA599" i="2" a="1"/>
  <c r="BA599" i="2" s="1"/>
  <c r="AZ599" i="2" a="1"/>
  <c r="AZ599" i="2" s="1"/>
  <c r="AY599" i="2" a="1"/>
  <c r="AY599" i="2" s="1"/>
  <c r="AX599" i="2" a="1"/>
  <c r="AX599" i="2" s="1"/>
  <c r="AW599" i="2" a="1"/>
  <c r="AW599" i="2" s="1"/>
  <c r="AV599" i="2" a="1"/>
  <c r="AV599" i="2" s="1"/>
  <c r="AU599" i="2" a="1"/>
  <c r="AU599" i="2" s="1"/>
  <c r="AT599" i="2" a="1"/>
  <c r="AT599" i="2" s="1"/>
  <c r="AS599" i="2" a="1"/>
  <c r="AS599" i="2" s="1"/>
  <c r="AR599" i="2" a="1"/>
  <c r="AR599" i="2" s="1"/>
  <c r="AQ599" i="2" a="1"/>
  <c r="AQ599" i="2" s="1"/>
  <c r="AP599" i="2" a="1"/>
  <c r="AP599" i="2" s="1"/>
  <c r="AO599" i="2" a="1"/>
  <c r="AO599" i="2" s="1"/>
  <c r="AN599" i="2" a="1"/>
  <c r="AN599" i="2" s="1"/>
  <c r="AM599" i="2" a="1"/>
  <c r="AM599" i="2" s="1"/>
  <c r="AL599" i="2" a="1"/>
  <c r="AL599" i="2" s="1"/>
  <c r="AK599" i="2" a="1"/>
  <c r="AK599" i="2" s="1"/>
  <c r="AJ599" i="2" a="1"/>
  <c r="AJ599" i="2" s="1"/>
  <c r="AI599" i="2" a="1"/>
  <c r="AI599" i="2" s="1"/>
  <c r="AH599" i="2" a="1"/>
  <c r="AH599" i="2" s="1"/>
  <c r="AG599" i="2" a="1"/>
  <c r="AG599" i="2" s="1"/>
  <c r="AF599" i="2" a="1"/>
  <c r="AF599" i="2" s="1"/>
  <c r="AE599" i="2" a="1"/>
  <c r="AE599" i="2" s="1"/>
  <c r="AD599" i="2" a="1"/>
  <c r="AD599" i="2" s="1"/>
  <c r="AC599" i="2" a="1"/>
  <c r="AC599" i="2" s="1"/>
  <c r="AB599" i="2"/>
  <c r="AA599" i="2" a="1"/>
  <c r="AA599" i="2" s="1"/>
  <c r="Z599" i="2" a="1"/>
  <c r="Z599" i="2" s="1"/>
  <c r="Y599" i="2" a="1"/>
  <c r="Y599" i="2" s="1"/>
  <c r="X599" i="2" a="1"/>
  <c r="X599" i="2" s="1"/>
  <c r="W599" i="2" a="1"/>
  <c r="W599" i="2" s="1"/>
  <c r="BB599" i="2" s="1" a="1"/>
  <c r="BB599" i="2" s="1"/>
  <c r="V599" i="2" a="1"/>
  <c r="V599" i="2" s="1"/>
  <c r="E599" i="2" s="1" a="1"/>
  <c r="E599" i="2" s="1"/>
  <c r="U599" i="2" a="1"/>
  <c r="U599" i="2" s="1"/>
  <c r="T599" i="2" a="1"/>
  <c r="T599" i="2" s="1"/>
  <c r="S599" i="2" a="1"/>
  <c r="S599" i="2" s="1"/>
  <c r="R599" i="2" a="1"/>
  <c r="R599" i="2" s="1"/>
  <c r="Q599" i="2" a="1"/>
  <c r="Q599" i="2" s="1"/>
  <c r="P599" i="2" a="1"/>
  <c r="P599" i="2" s="1"/>
  <c r="O599" i="2" a="1"/>
  <c r="O599" i="2" s="1"/>
  <c r="N599" i="2" a="1"/>
  <c r="N599" i="2" s="1"/>
  <c r="M599" i="2" a="1"/>
  <c r="M599" i="2" s="1"/>
  <c r="L599" i="2" a="1"/>
  <c r="L599" i="2" s="1"/>
  <c r="K599" i="2" a="1"/>
  <c r="K599" i="2" s="1"/>
  <c r="J599" i="2" a="1"/>
  <c r="J599" i="2" s="1"/>
  <c r="I599" i="2" a="1"/>
  <c r="I599" i="2" s="1"/>
  <c r="H599" i="2" a="1"/>
  <c r="H599" i="2" s="1"/>
  <c r="F599" i="2" a="1"/>
  <c r="F599" i="2" s="1"/>
  <c r="D599" i="2" a="1"/>
  <c r="D599" i="2" s="1"/>
  <c r="B599" i="2" a="1"/>
  <c r="B599" i="2" s="1"/>
  <c r="BD598" i="2" a="1"/>
  <c r="BD598" i="2" s="1"/>
  <c r="BC598" i="2" a="1"/>
  <c r="BC598" i="2" s="1"/>
  <c r="BA598" i="2" a="1"/>
  <c r="BA598" i="2" s="1"/>
  <c r="AZ598" i="2" a="1"/>
  <c r="AZ598" i="2" s="1"/>
  <c r="AY598" i="2" a="1"/>
  <c r="AY598" i="2" s="1"/>
  <c r="AX598" i="2" a="1"/>
  <c r="AX598" i="2" s="1"/>
  <c r="AW598" i="2" a="1"/>
  <c r="AW598" i="2" s="1"/>
  <c r="AV598" i="2" a="1"/>
  <c r="AV598" i="2" s="1"/>
  <c r="AU598" i="2" a="1"/>
  <c r="AU598" i="2" s="1"/>
  <c r="AT598" i="2" a="1"/>
  <c r="AT598" i="2" s="1"/>
  <c r="AS598" i="2" a="1"/>
  <c r="AS598" i="2" s="1"/>
  <c r="AR598" i="2" a="1"/>
  <c r="AR598" i="2" s="1"/>
  <c r="AQ598" i="2" a="1"/>
  <c r="AQ598" i="2" s="1"/>
  <c r="AP598" i="2" a="1"/>
  <c r="AP598" i="2" s="1"/>
  <c r="AO598" i="2" a="1"/>
  <c r="AO598" i="2" s="1"/>
  <c r="AN598" i="2" a="1"/>
  <c r="AN598" i="2" s="1"/>
  <c r="AM598" i="2" a="1"/>
  <c r="AM598" i="2" s="1"/>
  <c r="AL598" i="2" a="1"/>
  <c r="AL598" i="2" s="1"/>
  <c r="AK598" i="2" a="1"/>
  <c r="AK598" i="2" s="1"/>
  <c r="AJ598" i="2" a="1"/>
  <c r="AJ598" i="2" s="1"/>
  <c r="AI598" i="2" a="1"/>
  <c r="AI598" i="2" s="1"/>
  <c r="AH598" i="2" a="1"/>
  <c r="AH598" i="2" s="1"/>
  <c r="AG598" i="2" a="1"/>
  <c r="AG598" i="2" s="1"/>
  <c r="AF598" i="2" a="1"/>
  <c r="AF598" i="2" s="1"/>
  <c r="AE598" i="2" a="1"/>
  <c r="AE598" i="2" s="1"/>
  <c r="AD598" i="2" a="1"/>
  <c r="AD598" i="2" s="1"/>
  <c r="AC598" i="2" a="1"/>
  <c r="AC598" i="2" s="1"/>
  <c r="AB598" i="2"/>
  <c r="AA598" i="2" a="1"/>
  <c r="AA598" i="2" s="1"/>
  <c r="Z598" i="2" a="1"/>
  <c r="Z598" i="2" s="1"/>
  <c r="Y598" i="2" a="1"/>
  <c r="Y598" i="2" s="1"/>
  <c r="X598" i="2" a="1"/>
  <c r="X598" i="2" s="1"/>
  <c r="W598" i="2" a="1"/>
  <c r="W598" i="2" s="1"/>
  <c r="BB598" i="2" s="1" a="1"/>
  <c r="BB598" i="2" s="1"/>
  <c r="V598" i="2" a="1"/>
  <c r="V598" i="2" s="1"/>
  <c r="E598" i="2" s="1" a="1"/>
  <c r="E598" i="2" s="1"/>
  <c r="U598" i="2" a="1"/>
  <c r="U598" i="2" s="1"/>
  <c r="T598" i="2" a="1"/>
  <c r="T598" i="2" s="1"/>
  <c r="S598" i="2" a="1"/>
  <c r="S598" i="2" s="1"/>
  <c r="R598" i="2" a="1"/>
  <c r="R598" i="2" s="1"/>
  <c r="Q598" i="2" a="1"/>
  <c r="Q598" i="2" s="1"/>
  <c r="P598" i="2" a="1"/>
  <c r="P598" i="2" s="1"/>
  <c r="O598" i="2" a="1"/>
  <c r="O598" i="2" s="1"/>
  <c r="N598" i="2" a="1"/>
  <c r="N598" i="2" s="1"/>
  <c r="M598" i="2" a="1"/>
  <c r="M598" i="2" s="1"/>
  <c r="L598" i="2" a="1"/>
  <c r="L598" i="2" s="1"/>
  <c r="K598" i="2" a="1"/>
  <c r="K598" i="2" s="1"/>
  <c r="J598" i="2" a="1"/>
  <c r="J598" i="2" s="1"/>
  <c r="I598" i="2" a="1"/>
  <c r="I598" i="2" s="1"/>
  <c r="H598" i="2" a="1"/>
  <c r="H598" i="2" s="1"/>
  <c r="F598" i="2" a="1"/>
  <c r="F598" i="2" s="1"/>
  <c r="D598" i="2" a="1"/>
  <c r="D598" i="2" s="1"/>
  <c r="B598" i="2" a="1"/>
  <c r="B598" i="2" s="1"/>
  <c r="BD597" i="2" a="1"/>
  <c r="BD597" i="2" s="1"/>
  <c r="BC597" i="2" a="1"/>
  <c r="BC597" i="2" s="1"/>
  <c r="BA597" i="2" a="1"/>
  <c r="BA597" i="2" s="1"/>
  <c r="AZ597" i="2" a="1"/>
  <c r="AZ597" i="2" s="1"/>
  <c r="AY597" i="2" a="1"/>
  <c r="AY597" i="2" s="1"/>
  <c r="AX597" i="2" a="1"/>
  <c r="AX597" i="2" s="1"/>
  <c r="AW597" i="2" a="1"/>
  <c r="AW597" i="2" s="1"/>
  <c r="AV597" i="2" a="1"/>
  <c r="AV597" i="2" s="1"/>
  <c r="AU597" i="2" a="1"/>
  <c r="AU597" i="2" s="1"/>
  <c r="AT597" i="2" a="1"/>
  <c r="AT597" i="2" s="1"/>
  <c r="AS597" i="2" a="1"/>
  <c r="AS597" i="2" s="1"/>
  <c r="AR597" i="2" a="1"/>
  <c r="AR597" i="2" s="1"/>
  <c r="AQ597" i="2" a="1"/>
  <c r="AQ597" i="2" s="1"/>
  <c r="AP597" i="2" a="1"/>
  <c r="AP597" i="2" s="1"/>
  <c r="AO597" i="2" a="1"/>
  <c r="AO597" i="2" s="1"/>
  <c r="AN597" i="2" a="1"/>
  <c r="AN597" i="2" s="1"/>
  <c r="AM597" i="2" a="1"/>
  <c r="AM597" i="2" s="1"/>
  <c r="AL597" i="2" a="1"/>
  <c r="AL597" i="2" s="1"/>
  <c r="AK597" i="2" a="1"/>
  <c r="AK597" i="2" s="1"/>
  <c r="AJ597" i="2" a="1"/>
  <c r="AJ597" i="2" s="1"/>
  <c r="AI597" i="2" a="1"/>
  <c r="AI597" i="2" s="1"/>
  <c r="AH597" i="2" a="1"/>
  <c r="AH597" i="2" s="1"/>
  <c r="AG597" i="2" a="1"/>
  <c r="AG597" i="2" s="1"/>
  <c r="AF597" i="2" a="1"/>
  <c r="AF597" i="2" s="1"/>
  <c r="AE597" i="2" a="1"/>
  <c r="AE597" i="2" s="1"/>
  <c r="AD597" i="2" a="1"/>
  <c r="AD597" i="2" s="1"/>
  <c r="AC597" i="2" a="1"/>
  <c r="AC597" i="2" s="1"/>
  <c r="AB597" i="2"/>
  <c r="AA597" i="2" a="1"/>
  <c r="AA597" i="2" s="1"/>
  <c r="Z597" i="2" a="1"/>
  <c r="Z597" i="2" s="1"/>
  <c r="Y597" i="2" a="1"/>
  <c r="Y597" i="2" s="1"/>
  <c r="X597" i="2" a="1"/>
  <c r="X597" i="2" s="1"/>
  <c r="W597" i="2" a="1"/>
  <c r="W597" i="2" s="1"/>
  <c r="BB597" i="2" s="1" a="1"/>
  <c r="BB597" i="2" s="1"/>
  <c r="V597" i="2" a="1"/>
  <c r="V597" i="2" s="1"/>
  <c r="E597" i="2" s="1" a="1"/>
  <c r="E597" i="2" s="1"/>
  <c r="U597" i="2" a="1"/>
  <c r="U597" i="2" s="1"/>
  <c r="T597" i="2" a="1"/>
  <c r="T597" i="2" s="1"/>
  <c r="S597" i="2" a="1"/>
  <c r="S597" i="2" s="1"/>
  <c r="R597" i="2" a="1"/>
  <c r="R597" i="2" s="1"/>
  <c r="Q597" i="2" a="1"/>
  <c r="Q597" i="2" s="1"/>
  <c r="P597" i="2" a="1"/>
  <c r="P597" i="2" s="1"/>
  <c r="O597" i="2" a="1"/>
  <c r="O597" i="2" s="1"/>
  <c r="N597" i="2" a="1"/>
  <c r="N597" i="2" s="1"/>
  <c r="M597" i="2" a="1"/>
  <c r="M597" i="2" s="1"/>
  <c r="L597" i="2" a="1"/>
  <c r="L597" i="2" s="1"/>
  <c r="K597" i="2" a="1"/>
  <c r="K597" i="2" s="1"/>
  <c r="J597" i="2" a="1"/>
  <c r="J597" i="2" s="1"/>
  <c r="I597" i="2" a="1"/>
  <c r="I597" i="2" s="1"/>
  <c r="H597" i="2" a="1"/>
  <c r="H597" i="2" s="1"/>
  <c r="F597" i="2" a="1"/>
  <c r="F597" i="2" s="1"/>
  <c r="D597" i="2" a="1"/>
  <c r="D597" i="2" s="1"/>
  <c r="B597" i="2" a="1"/>
  <c r="B597" i="2" s="1"/>
  <c r="BD593" i="2" a="1"/>
  <c r="BD593" i="2" s="1"/>
  <c r="BC593" i="2" a="1"/>
  <c r="BC593" i="2" s="1"/>
  <c r="AZ593" i="2" a="1"/>
  <c r="AZ593" i="2" s="1"/>
  <c r="AY593" i="2" a="1"/>
  <c r="AY593" i="2" s="1"/>
  <c r="AX593" i="2" a="1"/>
  <c r="AX593" i="2" s="1"/>
  <c r="AW593" i="2" a="1"/>
  <c r="AW593" i="2" s="1"/>
  <c r="AV593" i="2" a="1"/>
  <c r="AV593" i="2" s="1"/>
  <c r="AU593" i="2" a="1"/>
  <c r="AU593" i="2" s="1"/>
  <c r="AT593" i="2" a="1"/>
  <c r="AT593" i="2" s="1"/>
  <c r="AS593" i="2" a="1"/>
  <c r="AS593" i="2" s="1"/>
  <c r="AR593" i="2" a="1"/>
  <c r="AR593" i="2" s="1"/>
  <c r="AQ593" i="2" a="1"/>
  <c r="AQ593" i="2" s="1"/>
  <c r="AP593" i="2" a="1"/>
  <c r="AP593" i="2" s="1"/>
  <c r="AO593" i="2" a="1"/>
  <c r="AO593" i="2" s="1"/>
  <c r="AN593" i="2" a="1"/>
  <c r="AN593" i="2" s="1"/>
  <c r="AM593" i="2" a="1"/>
  <c r="AM593" i="2" s="1"/>
  <c r="AL593" i="2" a="1"/>
  <c r="AL593" i="2" s="1"/>
  <c r="AK593" i="2" a="1"/>
  <c r="AK593" i="2" s="1"/>
  <c r="AJ593" i="2" a="1"/>
  <c r="AJ593" i="2" s="1"/>
  <c r="AI593" i="2" a="1"/>
  <c r="AI593" i="2" s="1"/>
  <c r="AH593" i="2" a="1"/>
  <c r="AH593" i="2" s="1"/>
  <c r="AG593" i="2" a="1"/>
  <c r="AG593" i="2" s="1"/>
  <c r="AF593" i="2" a="1"/>
  <c r="AF593" i="2" s="1"/>
  <c r="AE593" i="2" a="1"/>
  <c r="AE593" i="2" s="1"/>
  <c r="AD593" i="2" a="1"/>
  <c r="AD593" i="2" s="1"/>
  <c r="AC593" i="2" a="1"/>
  <c r="AC593" i="2" s="1"/>
  <c r="AB593" i="2" a="1"/>
  <c r="AB593" i="2" s="1"/>
  <c r="AA593" i="2" a="1"/>
  <c r="AA593" i="2" s="1"/>
  <c r="Z593" i="2" a="1"/>
  <c r="Z593" i="2" s="1"/>
  <c r="Y593" i="2" a="1"/>
  <c r="Y593" i="2" s="1"/>
  <c r="X593" i="2" a="1"/>
  <c r="X593" i="2" s="1"/>
  <c r="W593" i="2" a="1"/>
  <c r="W593" i="2" s="1"/>
  <c r="V593" i="2" a="1"/>
  <c r="V593" i="2" s="1"/>
  <c r="E593" i="2" s="1" a="1"/>
  <c r="E593" i="2" s="1"/>
  <c r="U593" i="2" a="1"/>
  <c r="U593" i="2" s="1"/>
  <c r="T593" i="2" a="1"/>
  <c r="T593" i="2" s="1"/>
  <c r="S593" i="2" a="1"/>
  <c r="S593" i="2" s="1"/>
  <c r="R593" i="2" a="1"/>
  <c r="R593" i="2" s="1"/>
  <c r="Q593" i="2" a="1"/>
  <c r="Q593" i="2" s="1"/>
  <c r="P593" i="2" a="1"/>
  <c r="P593" i="2" s="1"/>
  <c r="O593" i="2" a="1"/>
  <c r="O593" i="2" s="1"/>
  <c r="N593" i="2" a="1"/>
  <c r="N593" i="2" s="1"/>
  <c r="M593" i="2" a="1"/>
  <c r="M593" i="2" s="1"/>
  <c r="L593" i="2" a="1"/>
  <c r="L593" i="2" s="1"/>
  <c r="K593" i="2" a="1"/>
  <c r="K593" i="2" s="1"/>
  <c r="J593" i="2" a="1"/>
  <c r="J593" i="2" s="1"/>
  <c r="I593" i="2" a="1"/>
  <c r="I593" i="2" s="1"/>
  <c r="H593" i="2" a="1"/>
  <c r="H593" i="2" s="1"/>
  <c r="F593" i="2" a="1"/>
  <c r="F593" i="2" s="1"/>
  <c r="D593" i="2" a="1"/>
  <c r="D593" i="2" s="1"/>
  <c r="B593" i="2" a="1"/>
  <c r="B593" i="2" s="1"/>
  <c r="BD589" i="2" a="1"/>
  <c r="BD589" i="2" s="1"/>
  <c r="BC589" i="2" a="1"/>
  <c r="BC589" i="2" s="1"/>
  <c r="BA589" i="2" a="1"/>
  <c r="BA589" i="2" s="1"/>
  <c r="AZ589" i="2" a="1"/>
  <c r="AZ589" i="2" s="1"/>
  <c r="AY589" i="2" a="1"/>
  <c r="AY589" i="2" s="1"/>
  <c r="AX589" i="2" a="1"/>
  <c r="AX589" i="2" s="1"/>
  <c r="AW589" i="2" a="1"/>
  <c r="AW589" i="2" s="1"/>
  <c r="AV589" i="2" a="1"/>
  <c r="AV589" i="2" s="1"/>
  <c r="AU589" i="2" a="1"/>
  <c r="AU589" i="2" s="1"/>
  <c r="AT589" i="2" a="1"/>
  <c r="AT589" i="2" s="1"/>
  <c r="AS589" i="2" a="1"/>
  <c r="AS589" i="2" s="1"/>
  <c r="AR589" i="2" a="1"/>
  <c r="AR589" i="2" s="1"/>
  <c r="AQ589" i="2" a="1"/>
  <c r="AQ589" i="2" s="1"/>
  <c r="AP589" i="2" a="1"/>
  <c r="AP589" i="2" s="1"/>
  <c r="AO589" i="2" a="1"/>
  <c r="AO589" i="2" s="1"/>
  <c r="AN589" i="2" a="1"/>
  <c r="AN589" i="2" s="1"/>
  <c r="AM589" i="2" a="1"/>
  <c r="AM589" i="2" s="1"/>
  <c r="AL589" i="2" a="1"/>
  <c r="AL589" i="2" s="1"/>
  <c r="AK589" i="2" a="1"/>
  <c r="AK589" i="2" s="1"/>
  <c r="AJ589" i="2" a="1"/>
  <c r="AJ589" i="2" s="1"/>
  <c r="AI589" i="2" a="1"/>
  <c r="AI589" i="2" s="1"/>
  <c r="AH589" i="2" a="1"/>
  <c r="AH589" i="2" s="1"/>
  <c r="AG589" i="2" a="1"/>
  <c r="AG589" i="2" s="1"/>
  <c r="AF589" i="2" a="1"/>
  <c r="AF589" i="2" s="1"/>
  <c r="AE589" i="2" a="1"/>
  <c r="AE589" i="2" s="1"/>
  <c r="AD589" i="2" a="1"/>
  <c r="AD589" i="2" s="1"/>
  <c r="AC589" i="2" a="1"/>
  <c r="AC589" i="2" s="1"/>
  <c r="AB589" i="2"/>
  <c r="AA589" i="2" a="1"/>
  <c r="AA589" i="2" s="1"/>
  <c r="Z589" i="2" a="1"/>
  <c r="Z589" i="2" s="1"/>
  <c r="Y589" i="2" a="1"/>
  <c r="Y589" i="2" s="1"/>
  <c r="X589" i="2" a="1"/>
  <c r="X589" i="2" s="1"/>
  <c r="W589" i="2" a="1"/>
  <c r="W589" i="2" s="1"/>
  <c r="BB589" i="2" s="1" a="1"/>
  <c r="BB589" i="2" s="1"/>
  <c r="V589" i="2" a="1"/>
  <c r="V589" i="2" s="1"/>
  <c r="E589" i="2" s="1" a="1"/>
  <c r="E589" i="2" s="1"/>
  <c r="U589" i="2" a="1"/>
  <c r="U589" i="2" s="1"/>
  <c r="T589" i="2" a="1"/>
  <c r="T589" i="2" s="1"/>
  <c r="S589" i="2" a="1"/>
  <c r="S589" i="2" s="1"/>
  <c r="R589" i="2" a="1"/>
  <c r="R589" i="2" s="1"/>
  <c r="Q589" i="2" a="1"/>
  <c r="Q589" i="2" s="1"/>
  <c r="P589" i="2" a="1"/>
  <c r="P589" i="2" s="1"/>
  <c r="O589" i="2" a="1"/>
  <c r="O589" i="2" s="1"/>
  <c r="N589" i="2" a="1"/>
  <c r="N589" i="2" s="1"/>
  <c r="M589" i="2" a="1"/>
  <c r="M589" i="2" s="1"/>
  <c r="L589" i="2" a="1"/>
  <c r="L589" i="2" s="1"/>
  <c r="K589" i="2" a="1"/>
  <c r="K589" i="2" s="1"/>
  <c r="J589" i="2" a="1"/>
  <c r="J589" i="2" s="1"/>
  <c r="I589" i="2" a="1"/>
  <c r="I589" i="2" s="1"/>
  <c r="H589" i="2" a="1"/>
  <c r="H589" i="2" s="1"/>
  <c r="F589" i="2" a="1"/>
  <c r="F589" i="2" s="1"/>
  <c r="D589" i="2" a="1"/>
  <c r="D589" i="2" s="1"/>
  <c r="B589" i="2" a="1"/>
  <c r="B589" i="2" s="1"/>
  <c r="BD588" i="2" a="1"/>
  <c r="BD588" i="2" s="1"/>
  <c r="BC588" i="2" a="1"/>
  <c r="BC588" i="2" s="1"/>
  <c r="BA588" i="2" a="1"/>
  <c r="BA588" i="2" s="1"/>
  <c r="AZ588" i="2" a="1"/>
  <c r="AZ588" i="2" s="1"/>
  <c r="AY588" i="2" a="1"/>
  <c r="AY588" i="2" s="1"/>
  <c r="AX588" i="2" a="1"/>
  <c r="AX588" i="2" s="1"/>
  <c r="AW588" i="2" a="1"/>
  <c r="AW588" i="2" s="1"/>
  <c r="AV588" i="2" a="1"/>
  <c r="AV588" i="2" s="1"/>
  <c r="AU588" i="2" a="1"/>
  <c r="AU588" i="2" s="1"/>
  <c r="AT588" i="2" a="1"/>
  <c r="AT588" i="2" s="1"/>
  <c r="AS588" i="2" a="1"/>
  <c r="AS588" i="2" s="1"/>
  <c r="AR588" i="2" a="1"/>
  <c r="AR588" i="2" s="1"/>
  <c r="AQ588" i="2" a="1"/>
  <c r="AQ588" i="2" s="1"/>
  <c r="AP588" i="2" a="1"/>
  <c r="AP588" i="2" s="1"/>
  <c r="AO588" i="2" a="1"/>
  <c r="AO588" i="2" s="1"/>
  <c r="AN588" i="2" a="1"/>
  <c r="AN588" i="2" s="1"/>
  <c r="AM588" i="2" a="1"/>
  <c r="AM588" i="2" s="1"/>
  <c r="AL588" i="2" a="1"/>
  <c r="AL588" i="2" s="1"/>
  <c r="AK588" i="2" a="1"/>
  <c r="AK588" i="2" s="1"/>
  <c r="AJ588" i="2" a="1"/>
  <c r="AJ588" i="2" s="1"/>
  <c r="AI588" i="2" a="1"/>
  <c r="AI588" i="2" s="1"/>
  <c r="AH588" i="2" a="1"/>
  <c r="AH588" i="2" s="1"/>
  <c r="AG588" i="2" a="1"/>
  <c r="AG588" i="2" s="1"/>
  <c r="AF588" i="2" a="1"/>
  <c r="AF588" i="2" s="1"/>
  <c r="AE588" i="2" a="1"/>
  <c r="AE588" i="2" s="1"/>
  <c r="AD588" i="2" a="1"/>
  <c r="AD588" i="2" s="1"/>
  <c r="AC588" i="2" a="1"/>
  <c r="AC588" i="2" s="1"/>
  <c r="AB588" i="2"/>
  <c r="AA588" i="2" a="1"/>
  <c r="AA588" i="2" s="1"/>
  <c r="Z588" i="2" a="1"/>
  <c r="Z588" i="2" s="1"/>
  <c r="Y588" i="2" a="1"/>
  <c r="Y588" i="2" s="1"/>
  <c r="X588" i="2" a="1"/>
  <c r="X588" i="2" s="1"/>
  <c r="W588" i="2" a="1"/>
  <c r="W588" i="2" s="1"/>
  <c r="BB588" i="2" s="1" a="1"/>
  <c r="BB588" i="2" s="1"/>
  <c r="V588" i="2" a="1"/>
  <c r="V588" i="2" s="1"/>
  <c r="E588" i="2" s="1" a="1"/>
  <c r="E588" i="2" s="1"/>
  <c r="U588" i="2" a="1"/>
  <c r="U588" i="2" s="1"/>
  <c r="T588" i="2" a="1"/>
  <c r="T588" i="2" s="1"/>
  <c r="S588" i="2" a="1"/>
  <c r="S588" i="2" s="1"/>
  <c r="R588" i="2" a="1"/>
  <c r="R588" i="2" s="1"/>
  <c r="Q588" i="2" a="1"/>
  <c r="Q588" i="2" s="1"/>
  <c r="P588" i="2" a="1"/>
  <c r="P588" i="2" s="1"/>
  <c r="O588" i="2" a="1"/>
  <c r="O588" i="2" s="1"/>
  <c r="N588" i="2" a="1"/>
  <c r="N588" i="2" s="1"/>
  <c r="M588" i="2" a="1"/>
  <c r="M588" i="2" s="1"/>
  <c r="L588" i="2" a="1"/>
  <c r="L588" i="2" s="1"/>
  <c r="K588" i="2" a="1"/>
  <c r="K588" i="2" s="1"/>
  <c r="J588" i="2" a="1"/>
  <c r="J588" i="2" s="1"/>
  <c r="I588" i="2" a="1"/>
  <c r="I588" i="2" s="1"/>
  <c r="H588" i="2" a="1"/>
  <c r="H588" i="2" s="1"/>
  <c r="F588" i="2" a="1"/>
  <c r="F588" i="2" s="1"/>
  <c r="D588" i="2" a="1"/>
  <c r="D588" i="2" s="1"/>
  <c r="B588" i="2" a="1"/>
  <c r="B588" i="2" s="1"/>
  <c r="BD587" i="2" a="1"/>
  <c r="BD587" i="2" s="1"/>
  <c r="BC587" i="2" a="1"/>
  <c r="BC587" i="2" s="1"/>
  <c r="BA587" i="2" a="1"/>
  <c r="BA587" i="2" s="1"/>
  <c r="AZ587" i="2" a="1"/>
  <c r="AZ587" i="2" s="1"/>
  <c r="AY587" i="2" a="1"/>
  <c r="AY587" i="2" s="1"/>
  <c r="AX587" i="2" a="1"/>
  <c r="AX587" i="2" s="1"/>
  <c r="AW587" i="2" a="1"/>
  <c r="AW587" i="2" s="1"/>
  <c r="AV587" i="2" a="1"/>
  <c r="AV587" i="2" s="1"/>
  <c r="AU587" i="2" a="1"/>
  <c r="AU587" i="2" s="1"/>
  <c r="AT587" i="2" a="1"/>
  <c r="AT587" i="2" s="1"/>
  <c r="AS587" i="2" a="1"/>
  <c r="AS587" i="2" s="1"/>
  <c r="AR587" i="2" a="1"/>
  <c r="AR587" i="2" s="1"/>
  <c r="AQ587" i="2" a="1"/>
  <c r="AQ587" i="2" s="1"/>
  <c r="AP587" i="2" a="1"/>
  <c r="AP587" i="2" s="1"/>
  <c r="AO587" i="2" a="1"/>
  <c r="AO587" i="2" s="1"/>
  <c r="AN587" i="2" a="1"/>
  <c r="AN587" i="2" s="1"/>
  <c r="AM587" i="2" a="1"/>
  <c r="AM587" i="2" s="1"/>
  <c r="AL587" i="2" a="1"/>
  <c r="AL587" i="2" s="1"/>
  <c r="AK587" i="2" a="1"/>
  <c r="AK587" i="2" s="1"/>
  <c r="AJ587" i="2" a="1"/>
  <c r="AJ587" i="2" s="1"/>
  <c r="AI587" i="2" a="1"/>
  <c r="AI587" i="2" s="1"/>
  <c r="AH587" i="2" a="1"/>
  <c r="AH587" i="2" s="1"/>
  <c r="AG587" i="2" a="1"/>
  <c r="AG587" i="2" s="1"/>
  <c r="AF587" i="2" a="1"/>
  <c r="AF587" i="2" s="1"/>
  <c r="AE587" i="2" a="1"/>
  <c r="AE587" i="2" s="1"/>
  <c r="AD587" i="2" a="1"/>
  <c r="AD587" i="2" s="1"/>
  <c r="AC587" i="2" a="1"/>
  <c r="AC587" i="2" s="1"/>
  <c r="AB587" i="2"/>
  <c r="AA587" i="2" a="1"/>
  <c r="AA587" i="2" s="1"/>
  <c r="Z587" i="2" a="1"/>
  <c r="Z587" i="2" s="1"/>
  <c r="Y587" i="2" a="1"/>
  <c r="Y587" i="2" s="1"/>
  <c r="X587" i="2" a="1"/>
  <c r="X587" i="2" s="1"/>
  <c r="W587" i="2" a="1"/>
  <c r="W587" i="2" s="1"/>
  <c r="BB587" i="2" s="1" a="1"/>
  <c r="BB587" i="2" s="1"/>
  <c r="V587" i="2" a="1"/>
  <c r="V587" i="2" s="1"/>
  <c r="E587" i="2" s="1" a="1"/>
  <c r="E587" i="2" s="1"/>
  <c r="U587" i="2" a="1"/>
  <c r="U587" i="2" s="1"/>
  <c r="T587" i="2" a="1"/>
  <c r="T587" i="2" s="1"/>
  <c r="S587" i="2" a="1"/>
  <c r="S587" i="2" s="1"/>
  <c r="R587" i="2" a="1"/>
  <c r="R587" i="2" s="1"/>
  <c r="Q587" i="2" a="1"/>
  <c r="Q587" i="2" s="1"/>
  <c r="P587" i="2" a="1"/>
  <c r="P587" i="2" s="1"/>
  <c r="O587" i="2" a="1"/>
  <c r="O587" i="2" s="1"/>
  <c r="N587" i="2" a="1"/>
  <c r="N587" i="2" s="1"/>
  <c r="M587" i="2" a="1"/>
  <c r="M587" i="2" s="1"/>
  <c r="L587" i="2" a="1"/>
  <c r="L587" i="2" s="1"/>
  <c r="K587" i="2" a="1"/>
  <c r="K587" i="2" s="1"/>
  <c r="J587" i="2" a="1"/>
  <c r="J587" i="2" s="1"/>
  <c r="I587" i="2" a="1"/>
  <c r="I587" i="2" s="1"/>
  <c r="H587" i="2" a="1"/>
  <c r="H587" i="2" s="1"/>
  <c r="F587" i="2" a="1"/>
  <c r="F587" i="2" s="1"/>
  <c r="D587" i="2" a="1"/>
  <c r="D587" i="2" s="1"/>
  <c r="B587" i="2" a="1"/>
  <c r="B587" i="2" s="1"/>
  <c r="BD586" i="2" a="1"/>
  <c r="BD586" i="2" s="1"/>
  <c r="BC586" i="2" a="1"/>
  <c r="BC586" i="2" s="1"/>
  <c r="BA586" i="2" a="1"/>
  <c r="BA586" i="2" s="1"/>
  <c r="AZ586" i="2" a="1"/>
  <c r="AZ586" i="2" s="1"/>
  <c r="AY586" i="2" a="1"/>
  <c r="AY586" i="2" s="1"/>
  <c r="AX586" i="2" a="1"/>
  <c r="AX586" i="2" s="1"/>
  <c r="AW586" i="2" a="1"/>
  <c r="AW586" i="2" s="1"/>
  <c r="AV586" i="2" a="1"/>
  <c r="AV586" i="2" s="1"/>
  <c r="AU586" i="2" a="1"/>
  <c r="AU586" i="2" s="1"/>
  <c r="AT586" i="2" a="1"/>
  <c r="AT586" i="2" s="1"/>
  <c r="AS586" i="2" a="1"/>
  <c r="AS586" i="2" s="1"/>
  <c r="AR586" i="2" a="1"/>
  <c r="AR586" i="2" s="1"/>
  <c r="AQ586" i="2" a="1"/>
  <c r="AQ586" i="2" s="1"/>
  <c r="AP586" i="2" a="1"/>
  <c r="AP586" i="2" s="1"/>
  <c r="AO586" i="2" a="1"/>
  <c r="AO586" i="2" s="1"/>
  <c r="AN586" i="2" a="1"/>
  <c r="AN586" i="2" s="1"/>
  <c r="AM586" i="2" a="1"/>
  <c r="AM586" i="2" s="1"/>
  <c r="AL586" i="2" a="1"/>
  <c r="AL586" i="2" s="1"/>
  <c r="AK586" i="2" a="1"/>
  <c r="AK586" i="2" s="1"/>
  <c r="AJ586" i="2" a="1"/>
  <c r="AJ586" i="2" s="1"/>
  <c r="AI586" i="2" a="1"/>
  <c r="AI586" i="2" s="1"/>
  <c r="AH586" i="2" a="1"/>
  <c r="AH586" i="2" s="1"/>
  <c r="AG586" i="2" a="1"/>
  <c r="AG586" i="2" s="1"/>
  <c r="AF586" i="2" a="1"/>
  <c r="AF586" i="2" s="1"/>
  <c r="AE586" i="2" a="1"/>
  <c r="AE586" i="2" s="1"/>
  <c r="AD586" i="2" a="1"/>
  <c r="AD586" i="2" s="1"/>
  <c r="AC586" i="2" a="1"/>
  <c r="AC586" i="2" s="1"/>
  <c r="AB586" i="2"/>
  <c r="AA586" i="2" a="1"/>
  <c r="AA586" i="2" s="1"/>
  <c r="Z586" i="2" a="1"/>
  <c r="Z586" i="2" s="1"/>
  <c r="Y586" i="2" a="1"/>
  <c r="Y586" i="2" s="1"/>
  <c r="X586" i="2" a="1"/>
  <c r="X586" i="2" s="1"/>
  <c r="W586" i="2" a="1"/>
  <c r="W586" i="2" s="1"/>
  <c r="BB586" i="2" s="1" a="1"/>
  <c r="BB586" i="2" s="1"/>
  <c r="V586" i="2" a="1"/>
  <c r="V586" i="2" s="1"/>
  <c r="E586" i="2" s="1" a="1"/>
  <c r="E586" i="2" s="1"/>
  <c r="U586" i="2" a="1"/>
  <c r="U586" i="2" s="1"/>
  <c r="T586" i="2" a="1"/>
  <c r="T586" i="2" s="1"/>
  <c r="S586" i="2" a="1"/>
  <c r="S586" i="2" s="1"/>
  <c r="R586" i="2" a="1"/>
  <c r="R586" i="2" s="1"/>
  <c r="Q586" i="2" a="1"/>
  <c r="Q586" i="2" s="1"/>
  <c r="P586" i="2" a="1"/>
  <c r="P586" i="2" s="1"/>
  <c r="O586" i="2" a="1"/>
  <c r="O586" i="2" s="1"/>
  <c r="N586" i="2" a="1"/>
  <c r="N586" i="2" s="1"/>
  <c r="M586" i="2" a="1"/>
  <c r="M586" i="2" s="1"/>
  <c r="L586" i="2" a="1"/>
  <c r="L586" i="2" s="1"/>
  <c r="K586" i="2" a="1"/>
  <c r="K586" i="2" s="1"/>
  <c r="J586" i="2" a="1"/>
  <c r="J586" i="2" s="1"/>
  <c r="I586" i="2" a="1"/>
  <c r="I586" i="2" s="1"/>
  <c r="H586" i="2" a="1"/>
  <c r="H586" i="2" s="1"/>
  <c r="F586" i="2" a="1"/>
  <c r="F586" i="2" s="1"/>
  <c r="D586" i="2" a="1"/>
  <c r="D586" i="2" s="1"/>
  <c r="B586" i="2" a="1"/>
  <c r="B586" i="2" s="1"/>
  <c r="BD585" i="2" a="1"/>
  <c r="BD585" i="2" s="1"/>
  <c r="BC585" i="2" a="1"/>
  <c r="BC585" i="2" s="1"/>
  <c r="BA585" i="2" a="1"/>
  <c r="BA585" i="2" s="1"/>
  <c r="AZ585" i="2" a="1"/>
  <c r="AZ585" i="2" s="1"/>
  <c r="AY585" i="2" a="1"/>
  <c r="AY585" i="2" s="1"/>
  <c r="AX585" i="2" a="1"/>
  <c r="AX585" i="2" s="1"/>
  <c r="AW585" i="2" a="1"/>
  <c r="AW585" i="2" s="1"/>
  <c r="AV585" i="2" a="1"/>
  <c r="AV585" i="2" s="1"/>
  <c r="AU585" i="2" a="1"/>
  <c r="AU585" i="2" s="1"/>
  <c r="AT585" i="2" a="1"/>
  <c r="AT585" i="2" s="1"/>
  <c r="AS585" i="2" a="1"/>
  <c r="AS585" i="2" s="1"/>
  <c r="AR585" i="2" a="1"/>
  <c r="AR585" i="2" s="1"/>
  <c r="AQ585" i="2" a="1"/>
  <c r="AQ585" i="2" s="1"/>
  <c r="AP585" i="2" a="1"/>
  <c r="AP585" i="2" s="1"/>
  <c r="AO585" i="2" a="1"/>
  <c r="AO585" i="2" s="1"/>
  <c r="AN585" i="2" a="1"/>
  <c r="AN585" i="2" s="1"/>
  <c r="AM585" i="2" a="1"/>
  <c r="AM585" i="2" s="1"/>
  <c r="AL585" i="2" a="1"/>
  <c r="AL585" i="2" s="1"/>
  <c r="AK585" i="2" a="1"/>
  <c r="AK585" i="2" s="1"/>
  <c r="AJ585" i="2" a="1"/>
  <c r="AJ585" i="2" s="1"/>
  <c r="AI585" i="2" a="1"/>
  <c r="AI585" i="2" s="1"/>
  <c r="AH585" i="2" a="1"/>
  <c r="AH585" i="2" s="1"/>
  <c r="AG585" i="2" a="1"/>
  <c r="AG585" i="2" s="1"/>
  <c r="AF585" i="2" a="1"/>
  <c r="AF585" i="2" s="1"/>
  <c r="AE585" i="2" a="1"/>
  <c r="AE585" i="2" s="1"/>
  <c r="AD585" i="2" a="1"/>
  <c r="AD585" i="2" s="1"/>
  <c r="AC585" i="2" a="1"/>
  <c r="AC585" i="2" s="1"/>
  <c r="AB585" i="2"/>
  <c r="AA585" i="2" a="1"/>
  <c r="AA585" i="2" s="1"/>
  <c r="Z585" i="2" a="1"/>
  <c r="Z585" i="2" s="1"/>
  <c r="Y585" i="2" a="1"/>
  <c r="Y585" i="2" s="1"/>
  <c r="X585" i="2" a="1"/>
  <c r="X585" i="2" s="1"/>
  <c r="W585" i="2" a="1"/>
  <c r="W585" i="2" s="1"/>
  <c r="BB585" i="2" s="1" a="1"/>
  <c r="BB585" i="2" s="1"/>
  <c r="V585" i="2" a="1"/>
  <c r="V585" i="2" s="1"/>
  <c r="E585" i="2" s="1" a="1"/>
  <c r="E585" i="2" s="1"/>
  <c r="U585" i="2" a="1"/>
  <c r="U585" i="2" s="1"/>
  <c r="T585" i="2" a="1"/>
  <c r="T585" i="2" s="1"/>
  <c r="S585" i="2" a="1"/>
  <c r="S585" i="2" s="1"/>
  <c r="R585" i="2" a="1"/>
  <c r="R585" i="2" s="1"/>
  <c r="Q585" i="2" a="1"/>
  <c r="Q585" i="2" s="1"/>
  <c r="P585" i="2" a="1"/>
  <c r="P585" i="2" s="1"/>
  <c r="O585" i="2" a="1"/>
  <c r="O585" i="2" s="1"/>
  <c r="N585" i="2" a="1"/>
  <c r="N585" i="2" s="1"/>
  <c r="M585" i="2" a="1"/>
  <c r="M585" i="2" s="1"/>
  <c r="L585" i="2" a="1"/>
  <c r="L585" i="2" s="1"/>
  <c r="K585" i="2" a="1"/>
  <c r="K585" i="2" s="1"/>
  <c r="J585" i="2" a="1"/>
  <c r="J585" i="2" s="1"/>
  <c r="I585" i="2" a="1"/>
  <c r="I585" i="2" s="1"/>
  <c r="H585" i="2" a="1"/>
  <c r="H585" i="2" s="1"/>
  <c r="F585" i="2" a="1"/>
  <c r="F585" i="2" s="1"/>
  <c r="D585" i="2" a="1"/>
  <c r="D585" i="2" s="1"/>
  <c r="B585" i="2" a="1"/>
  <c r="B585" i="2" s="1"/>
  <c r="BD584" i="2" a="1"/>
  <c r="BD584" i="2" s="1"/>
  <c r="BC584" i="2" a="1"/>
  <c r="BC584" i="2" s="1"/>
  <c r="BA584" i="2" a="1"/>
  <c r="BA584" i="2" s="1"/>
  <c r="AZ584" i="2" a="1"/>
  <c r="AZ584" i="2" s="1"/>
  <c r="AY584" i="2" a="1"/>
  <c r="AY584" i="2" s="1"/>
  <c r="AX584" i="2" a="1"/>
  <c r="AX584" i="2" s="1"/>
  <c r="AW584" i="2" a="1"/>
  <c r="AW584" i="2" s="1"/>
  <c r="AV584" i="2" a="1"/>
  <c r="AV584" i="2" s="1"/>
  <c r="AU584" i="2" a="1"/>
  <c r="AU584" i="2" s="1"/>
  <c r="AT584" i="2" a="1"/>
  <c r="AT584" i="2" s="1"/>
  <c r="AS584" i="2" a="1"/>
  <c r="AS584" i="2" s="1"/>
  <c r="AR584" i="2" a="1"/>
  <c r="AR584" i="2" s="1"/>
  <c r="AQ584" i="2" a="1"/>
  <c r="AQ584" i="2" s="1"/>
  <c r="AP584" i="2" a="1"/>
  <c r="AP584" i="2" s="1"/>
  <c r="AO584" i="2" a="1"/>
  <c r="AO584" i="2" s="1"/>
  <c r="AN584" i="2" a="1"/>
  <c r="AN584" i="2" s="1"/>
  <c r="AM584" i="2" a="1"/>
  <c r="AM584" i="2" s="1"/>
  <c r="AL584" i="2" a="1"/>
  <c r="AL584" i="2" s="1"/>
  <c r="AK584" i="2" a="1"/>
  <c r="AK584" i="2" s="1"/>
  <c r="AJ584" i="2" a="1"/>
  <c r="AJ584" i="2" s="1"/>
  <c r="AI584" i="2" a="1"/>
  <c r="AI584" i="2" s="1"/>
  <c r="AH584" i="2" a="1"/>
  <c r="AH584" i="2" s="1"/>
  <c r="AG584" i="2" a="1"/>
  <c r="AG584" i="2" s="1"/>
  <c r="AF584" i="2" a="1"/>
  <c r="AF584" i="2" s="1"/>
  <c r="AE584" i="2" a="1"/>
  <c r="AE584" i="2" s="1"/>
  <c r="AD584" i="2" a="1"/>
  <c r="AD584" i="2" s="1"/>
  <c r="AC584" i="2" a="1"/>
  <c r="AC584" i="2" s="1"/>
  <c r="AB584" i="2"/>
  <c r="AA584" i="2" a="1"/>
  <c r="AA584" i="2" s="1"/>
  <c r="Z584" i="2" a="1"/>
  <c r="Z584" i="2" s="1"/>
  <c r="Y584" i="2" a="1"/>
  <c r="Y584" i="2" s="1"/>
  <c r="X584" i="2" a="1"/>
  <c r="X584" i="2" s="1"/>
  <c r="W584" i="2" a="1"/>
  <c r="W584" i="2" s="1"/>
  <c r="BB584" i="2" s="1" a="1"/>
  <c r="BB584" i="2" s="1"/>
  <c r="V584" i="2" a="1"/>
  <c r="V584" i="2" s="1"/>
  <c r="E584" i="2" s="1" a="1"/>
  <c r="E584" i="2" s="1"/>
  <c r="U584" i="2" a="1"/>
  <c r="U584" i="2" s="1"/>
  <c r="T584" i="2" a="1"/>
  <c r="T584" i="2" s="1"/>
  <c r="S584" i="2" a="1"/>
  <c r="S584" i="2" s="1"/>
  <c r="R584" i="2" a="1"/>
  <c r="R584" i="2" s="1"/>
  <c r="Q584" i="2" a="1"/>
  <c r="Q584" i="2" s="1"/>
  <c r="P584" i="2" a="1"/>
  <c r="P584" i="2" s="1"/>
  <c r="O584" i="2" a="1"/>
  <c r="O584" i="2" s="1"/>
  <c r="N584" i="2" a="1"/>
  <c r="N584" i="2" s="1"/>
  <c r="M584" i="2" a="1"/>
  <c r="M584" i="2" s="1"/>
  <c r="L584" i="2" a="1"/>
  <c r="L584" i="2" s="1"/>
  <c r="K584" i="2" a="1"/>
  <c r="K584" i="2" s="1"/>
  <c r="J584" i="2" a="1"/>
  <c r="J584" i="2" s="1"/>
  <c r="I584" i="2" a="1"/>
  <c r="I584" i="2" s="1"/>
  <c r="H584" i="2" a="1"/>
  <c r="H584" i="2" s="1"/>
  <c r="F584" i="2" a="1"/>
  <c r="F584" i="2" s="1"/>
  <c r="D584" i="2" a="1"/>
  <c r="D584" i="2" s="1"/>
  <c r="B584" i="2" a="1"/>
  <c r="B584" i="2" s="1"/>
  <c r="BD583" i="2" a="1"/>
  <c r="BD583" i="2" s="1"/>
  <c r="BC583" i="2" a="1"/>
  <c r="BC583" i="2" s="1"/>
  <c r="BA583" i="2" a="1"/>
  <c r="BA583" i="2" s="1"/>
  <c r="AZ583" i="2" a="1"/>
  <c r="AZ583" i="2" s="1"/>
  <c r="AY583" i="2" a="1"/>
  <c r="AY583" i="2" s="1"/>
  <c r="AX583" i="2" a="1"/>
  <c r="AX583" i="2" s="1"/>
  <c r="AW583" i="2" a="1"/>
  <c r="AW583" i="2" s="1"/>
  <c r="AV583" i="2" a="1"/>
  <c r="AV583" i="2" s="1"/>
  <c r="AU583" i="2" a="1"/>
  <c r="AU583" i="2" s="1"/>
  <c r="AT583" i="2" a="1"/>
  <c r="AT583" i="2" s="1"/>
  <c r="AS583" i="2" a="1"/>
  <c r="AS583" i="2" s="1"/>
  <c r="AR583" i="2" a="1"/>
  <c r="AR583" i="2" s="1"/>
  <c r="AQ583" i="2" a="1"/>
  <c r="AQ583" i="2" s="1"/>
  <c r="AP583" i="2" a="1"/>
  <c r="AP583" i="2" s="1"/>
  <c r="AO583" i="2" a="1"/>
  <c r="AO583" i="2" s="1"/>
  <c r="AN583" i="2" a="1"/>
  <c r="AN583" i="2" s="1"/>
  <c r="AM583" i="2" a="1"/>
  <c r="AM583" i="2" s="1"/>
  <c r="AL583" i="2" a="1"/>
  <c r="AL583" i="2" s="1"/>
  <c r="AK583" i="2" a="1"/>
  <c r="AK583" i="2" s="1"/>
  <c r="AJ583" i="2" a="1"/>
  <c r="AJ583" i="2" s="1"/>
  <c r="AI583" i="2" a="1"/>
  <c r="AI583" i="2" s="1"/>
  <c r="AH583" i="2" a="1"/>
  <c r="AH583" i="2" s="1"/>
  <c r="AG583" i="2" a="1"/>
  <c r="AG583" i="2" s="1"/>
  <c r="AF583" i="2" a="1"/>
  <c r="AF583" i="2" s="1"/>
  <c r="AE583" i="2" a="1"/>
  <c r="AE583" i="2" s="1"/>
  <c r="AD583" i="2" a="1"/>
  <c r="AD583" i="2" s="1"/>
  <c r="AC583" i="2" a="1"/>
  <c r="AC583" i="2" s="1"/>
  <c r="AB583" i="2"/>
  <c r="AA583" i="2" a="1"/>
  <c r="AA583" i="2" s="1"/>
  <c r="Z583" i="2" a="1"/>
  <c r="Z583" i="2" s="1"/>
  <c r="Y583" i="2" a="1"/>
  <c r="Y583" i="2" s="1"/>
  <c r="X583" i="2" a="1"/>
  <c r="X583" i="2" s="1"/>
  <c r="W583" i="2" a="1"/>
  <c r="W583" i="2" s="1"/>
  <c r="BB583" i="2" s="1" a="1"/>
  <c r="BB583" i="2" s="1"/>
  <c r="V583" i="2" a="1"/>
  <c r="V583" i="2" s="1"/>
  <c r="E583" i="2" s="1" a="1"/>
  <c r="E583" i="2" s="1"/>
  <c r="U583" i="2" a="1"/>
  <c r="U583" i="2" s="1"/>
  <c r="T583" i="2" a="1"/>
  <c r="T583" i="2" s="1"/>
  <c r="S583" i="2" a="1"/>
  <c r="S583" i="2" s="1"/>
  <c r="R583" i="2" a="1"/>
  <c r="R583" i="2" s="1"/>
  <c r="Q583" i="2" a="1"/>
  <c r="Q583" i="2" s="1"/>
  <c r="P583" i="2" a="1"/>
  <c r="P583" i="2" s="1"/>
  <c r="O583" i="2" a="1"/>
  <c r="O583" i="2" s="1"/>
  <c r="N583" i="2" a="1"/>
  <c r="N583" i="2" s="1"/>
  <c r="M583" i="2" a="1"/>
  <c r="M583" i="2" s="1"/>
  <c r="L583" i="2" a="1"/>
  <c r="L583" i="2" s="1"/>
  <c r="K583" i="2" a="1"/>
  <c r="K583" i="2" s="1"/>
  <c r="J583" i="2" a="1"/>
  <c r="J583" i="2" s="1"/>
  <c r="I583" i="2" a="1"/>
  <c r="I583" i="2" s="1"/>
  <c r="H583" i="2" a="1"/>
  <c r="H583" i="2" s="1"/>
  <c r="F583" i="2" a="1"/>
  <c r="F583" i="2" s="1"/>
  <c r="D583" i="2" a="1"/>
  <c r="D583" i="2" s="1"/>
  <c r="B583" i="2" a="1"/>
  <c r="B583" i="2" s="1"/>
  <c r="BD582" i="2" a="1"/>
  <c r="BD582" i="2" s="1"/>
  <c r="BC582" i="2" a="1"/>
  <c r="BC582" i="2" s="1"/>
  <c r="BA582" i="2" a="1"/>
  <c r="BA582" i="2" s="1"/>
  <c r="AZ582" i="2" a="1"/>
  <c r="AZ582" i="2" s="1"/>
  <c r="AY582" i="2" a="1"/>
  <c r="AY582" i="2" s="1"/>
  <c r="AX582" i="2" a="1"/>
  <c r="AX582" i="2" s="1"/>
  <c r="AW582" i="2" a="1"/>
  <c r="AW582" i="2" s="1"/>
  <c r="AV582" i="2" a="1"/>
  <c r="AV582" i="2" s="1"/>
  <c r="AU582" i="2" a="1"/>
  <c r="AU582" i="2" s="1"/>
  <c r="AT582" i="2" a="1"/>
  <c r="AT582" i="2" s="1"/>
  <c r="AS582" i="2" a="1"/>
  <c r="AS582" i="2" s="1"/>
  <c r="AR582" i="2" a="1"/>
  <c r="AR582" i="2" s="1"/>
  <c r="AQ582" i="2" a="1"/>
  <c r="AQ582" i="2" s="1"/>
  <c r="AP582" i="2" a="1"/>
  <c r="AP582" i="2" s="1"/>
  <c r="AO582" i="2" a="1"/>
  <c r="AO582" i="2" s="1"/>
  <c r="AN582" i="2" a="1"/>
  <c r="AN582" i="2" s="1"/>
  <c r="AM582" i="2" a="1"/>
  <c r="AM582" i="2" s="1"/>
  <c r="AL582" i="2" a="1"/>
  <c r="AL582" i="2" s="1"/>
  <c r="AK582" i="2" a="1"/>
  <c r="AK582" i="2" s="1"/>
  <c r="AJ582" i="2" a="1"/>
  <c r="AJ582" i="2" s="1"/>
  <c r="AI582" i="2" a="1"/>
  <c r="AI582" i="2" s="1"/>
  <c r="AH582" i="2" a="1"/>
  <c r="AH582" i="2" s="1"/>
  <c r="AG582" i="2" a="1"/>
  <c r="AG582" i="2" s="1"/>
  <c r="AF582" i="2" a="1"/>
  <c r="AF582" i="2" s="1"/>
  <c r="AE582" i="2" a="1"/>
  <c r="AE582" i="2" s="1"/>
  <c r="AD582" i="2" a="1"/>
  <c r="AD582" i="2" s="1"/>
  <c r="AC582" i="2" a="1"/>
  <c r="AC582" i="2" s="1"/>
  <c r="AB582" i="2"/>
  <c r="AA582" i="2" a="1"/>
  <c r="AA582" i="2" s="1"/>
  <c r="Z582" i="2" a="1"/>
  <c r="Z582" i="2" s="1"/>
  <c r="Y582" i="2" a="1"/>
  <c r="Y582" i="2" s="1"/>
  <c r="X582" i="2" a="1"/>
  <c r="X582" i="2" s="1"/>
  <c r="W582" i="2" a="1"/>
  <c r="W582" i="2" s="1"/>
  <c r="BB582" i="2" s="1" a="1"/>
  <c r="BB582" i="2" s="1"/>
  <c r="V582" i="2" a="1"/>
  <c r="V582" i="2" s="1"/>
  <c r="E582" i="2" s="1" a="1"/>
  <c r="E582" i="2" s="1"/>
  <c r="U582" i="2" a="1"/>
  <c r="U582" i="2" s="1"/>
  <c r="T582" i="2" a="1"/>
  <c r="T582" i="2" s="1"/>
  <c r="S582" i="2" a="1"/>
  <c r="S582" i="2" s="1"/>
  <c r="R582" i="2" a="1"/>
  <c r="R582" i="2" s="1"/>
  <c r="Q582" i="2" a="1"/>
  <c r="Q582" i="2" s="1"/>
  <c r="P582" i="2" a="1"/>
  <c r="P582" i="2" s="1"/>
  <c r="O582" i="2" a="1"/>
  <c r="O582" i="2" s="1"/>
  <c r="N582" i="2" a="1"/>
  <c r="N582" i="2" s="1"/>
  <c r="M582" i="2" a="1"/>
  <c r="M582" i="2" s="1"/>
  <c r="L582" i="2" a="1"/>
  <c r="L582" i="2" s="1"/>
  <c r="K582" i="2" a="1"/>
  <c r="K582" i="2" s="1"/>
  <c r="J582" i="2" a="1"/>
  <c r="J582" i="2" s="1"/>
  <c r="I582" i="2" a="1"/>
  <c r="I582" i="2" s="1"/>
  <c r="H582" i="2" a="1"/>
  <c r="H582" i="2" s="1"/>
  <c r="F582" i="2" a="1"/>
  <c r="F582" i="2" s="1"/>
  <c r="D582" i="2" a="1"/>
  <c r="D582" i="2" s="1"/>
  <c r="B582" i="2" a="1"/>
  <c r="B582" i="2" s="1"/>
  <c r="BD580" i="2" a="1"/>
  <c r="BD580" i="2" s="1"/>
  <c r="BC580" i="2" a="1"/>
  <c r="BC580" i="2" s="1"/>
  <c r="BA580" i="2" a="1"/>
  <c r="BA580" i="2" s="1"/>
  <c r="AZ580" i="2" a="1"/>
  <c r="AZ580" i="2" s="1"/>
  <c r="AY580" i="2" a="1"/>
  <c r="AY580" i="2" s="1"/>
  <c r="AX580" i="2" a="1"/>
  <c r="AX580" i="2" s="1"/>
  <c r="AW580" i="2" a="1"/>
  <c r="AW580" i="2" s="1"/>
  <c r="AV580" i="2" a="1"/>
  <c r="AV580" i="2" s="1"/>
  <c r="AU580" i="2" a="1"/>
  <c r="AU580" i="2" s="1"/>
  <c r="AT580" i="2" a="1"/>
  <c r="AT580" i="2" s="1"/>
  <c r="AS580" i="2" a="1"/>
  <c r="AS580" i="2" s="1"/>
  <c r="AR580" i="2" a="1"/>
  <c r="AR580" i="2" s="1"/>
  <c r="AQ580" i="2" a="1"/>
  <c r="AQ580" i="2" s="1"/>
  <c r="AP580" i="2" a="1"/>
  <c r="AP580" i="2" s="1"/>
  <c r="AO580" i="2" a="1"/>
  <c r="AO580" i="2" s="1"/>
  <c r="AN580" i="2" a="1"/>
  <c r="AN580" i="2" s="1"/>
  <c r="AM580" i="2" a="1"/>
  <c r="AM580" i="2" s="1"/>
  <c r="AL580" i="2" a="1"/>
  <c r="AL580" i="2" s="1"/>
  <c r="AK580" i="2" a="1"/>
  <c r="AK580" i="2" s="1"/>
  <c r="AJ580" i="2" a="1"/>
  <c r="AJ580" i="2" s="1"/>
  <c r="AI580" i="2" a="1"/>
  <c r="AI580" i="2" s="1"/>
  <c r="AH580" i="2" a="1"/>
  <c r="AH580" i="2" s="1"/>
  <c r="AG580" i="2" a="1"/>
  <c r="AG580" i="2" s="1"/>
  <c r="AF580" i="2" a="1"/>
  <c r="AF580" i="2" s="1"/>
  <c r="AE580" i="2" a="1"/>
  <c r="AE580" i="2" s="1"/>
  <c r="AD580" i="2" a="1"/>
  <c r="AD580" i="2" s="1"/>
  <c r="AC580" i="2" a="1"/>
  <c r="AC580" i="2" s="1"/>
  <c r="AB580" i="2"/>
  <c r="AA580" i="2" a="1"/>
  <c r="AA580" i="2" s="1"/>
  <c r="Z580" i="2" a="1"/>
  <c r="Z580" i="2" s="1"/>
  <c r="Y580" i="2" a="1"/>
  <c r="Y580" i="2" s="1"/>
  <c r="X580" i="2" a="1"/>
  <c r="X580" i="2" s="1"/>
  <c r="W580" i="2" a="1"/>
  <c r="W580" i="2" s="1"/>
  <c r="BB580" i="2" s="1" a="1"/>
  <c r="BB580" i="2" s="1"/>
  <c r="V580" i="2" a="1"/>
  <c r="V580" i="2" s="1"/>
  <c r="E580" i="2" s="1" a="1"/>
  <c r="E580" i="2" s="1"/>
  <c r="U580" i="2" a="1"/>
  <c r="U580" i="2" s="1"/>
  <c r="T580" i="2" a="1"/>
  <c r="T580" i="2" s="1"/>
  <c r="S580" i="2" a="1"/>
  <c r="S580" i="2" s="1"/>
  <c r="R580" i="2" a="1"/>
  <c r="R580" i="2" s="1"/>
  <c r="Q580" i="2" a="1"/>
  <c r="Q580" i="2" s="1"/>
  <c r="P580" i="2" a="1"/>
  <c r="P580" i="2" s="1"/>
  <c r="O580" i="2" a="1"/>
  <c r="O580" i="2" s="1"/>
  <c r="N580" i="2" a="1"/>
  <c r="N580" i="2" s="1"/>
  <c r="M580" i="2" a="1"/>
  <c r="M580" i="2" s="1"/>
  <c r="L580" i="2" a="1"/>
  <c r="L580" i="2" s="1"/>
  <c r="K580" i="2" a="1"/>
  <c r="K580" i="2" s="1"/>
  <c r="J580" i="2" a="1"/>
  <c r="J580" i="2" s="1"/>
  <c r="I580" i="2" a="1"/>
  <c r="I580" i="2" s="1"/>
  <c r="H580" i="2" a="1"/>
  <c r="H580" i="2" s="1"/>
  <c r="F580" i="2" a="1"/>
  <c r="F580" i="2" s="1"/>
  <c r="D580" i="2" a="1"/>
  <c r="D580" i="2" s="1"/>
  <c r="B580" i="2" a="1"/>
  <c r="B580" i="2" s="1"/>
  <c r="BD579" i="2" a="1"/>
  <c r="BD579" i="2" s="1"/>
  <c r="BC579" i="2" a="1"/>
  <c r="BC579" i="2" s="1"/>
  <c r="BA579" i="2" a="1"/>
  <c r="BA579" i="2" s="1"/>
  <c r="AZ579" i="2" a="1"/>
  <c r="AZ579" i="2" s="1"/>
  <c r="AY579" i="2" a="1"/>
  <c r="AY579" i="2" s="1"/>
  <c r="AX579" i="2" a="1"/>
  <c r="AX579" i="2" s="1"/>
  <c r="AW579" i="2" a="1"/>
  <c r="AW579" i="2" s="1"/>
  <c r="AV579" i="2" a="1"/>
  <c r="AV579" i="2" s="1"/>
  <c r="AU579" i="2" a="1"/>
  <c r="AU579" i="2" s="1"/>
  <c r="AT579" i="2" a="1"/>
  <c r="AT579" i="2" s="1"/>
  <c r="AS579" i="2" a="1"/>
  <c r="AS579" i="2" s="1"/>
  <c r="AR579" i="2" a="1"/>
  <c r="AR579" i="2" s="1"/>
  <c r="AQ579" i="2" a="1"/>
  <c r="AQ579" i="2" s="1"/>
  <c r="AP579" i="2" a="1"/>
  <c r="AP579" i="2" s="1"/>
  <c r="AO579" i="2" a="1"/>
  <c r="AO579" i="2" s="1"/>
  <c r="AN579" i="2" a="1"/>
  <c r="AN579" i="2" s="1"/>
  <c r="AM579" i="2" a="1"/>
  <c r="AM579" i="2" s="1"/>
  <c r="AL579" i="2" a="1"/>
  <c r="AL579" i="2" s="1"/>
  <c r="AK579" i="2" a="1"/>
  <c r="AK579" i="2" s="1"/>
  <c r="AJ579" i="2" a="1"/>
  <c r="AJ579" i="2" s="1"/>
  <c r="AI579" i="2" a="1"/>
  <c r="AI579" i="2" s="1"/>
  <c r="AH579" i="2" a="1"/>
  <c r="AH579" i="2" s="1"/>
  <c r="AG579" i="2" a="1"/>
  <c r="AG579" i="2" s="1"/>
  <c r="AF579" i="2" a="1"/>
  <c r="AF579" i="2" s="1"/>
  <c r="AE579" i="2" a="1"/>
  <c r="AE579" i="2" s="1"/>
  <c r="AD579" i="2" a="1"/>
  <c r="AD579" i="2" s="1"/>
  <c r="AC579" i="2" a="1"/>
  <c r="AC579" i="2" s="1"/>
  <c r="AB579" i="2"/>
  <c r="AA579" i="2" a="1"/>
  <c r="AA579" i="2" s="1"/>
  <c r="Z579" i="2" a="1"/>
  <c r="Z579" i="2" s="1"/>
  <c r="Y579" i="2" a="1"/>
  <c r="Y579" i="2" s="1"/>
  <c r="X579" i="2" a="1"/>
  <c r="X579" i="2" s="1"/>
  <c r="W579" i="2" a="1"/>
  <c r="W579" i="2" s="1"/>
  <c r="BB579" i="2" s="1" a="1"/>
  <c r="BB579" i="2" s="1"/>
  <c r="V579" i="2" a="1"/>
  <c r="V579" i="2" s="1"/>
  <c r="E579" i="2" s="1" a="1"/>
  <c r="E579" i="2" s="1"/>
  <c r="U579" i="2" a="1"/>
  <c r="U579" i="2" s="1"/>
  <c r="T579" i="2" a="1"/>
  <c r="T579" i="2" s="1"/>
  <c r="S579" i="2" a="1"/>
  <c r="S579" i="2" s="1"/>
  <c r="R579" i="2" a="1"/>
  <c r="R579" i="2" s="1"/>
  <c r="Q579" i="2" a="1"/>
  <c r="Q579" i="2" s="1"/>
  <c r="P579" i="2" a="1"/>
  <c r="P579" i="2" s="1"/>
  <c r="O579" i="2" a="1"/>
  <c r="O579" i="2" s="1"/>
  <c r="N579" i="2" a="1"/>
  <c r="N579" i="2" s="1"/>
  <c r="M579" i="2" a="1"/>
  <c r="M579" i="2" s="1"/>
  <c r="L579" i="2" a="1"/>
  <c r="L579" i="2" s="1"/>
  <c r="K579" i="2" a="1"/>
  <c r="K579" i="2" s="1"/>
  <c r="J579" i="2" a="1"/>
  <c r="J579" i="2" s="1"/>
  <c r="I579" i="2" a="1"/>
  <c r="I579" i="2" s="1"/>
  <c r="H579" i="2" a="1"/>
  <c r="H579" i="2" s="1"/>
  <c r="F579" i="2" a="1"/>
  <c r="F579" i="2" s="1"/>
  <c r="D579" i="2" a="1"/>
  <c r="D579" i="2" s="1"/>
  <c r="B579" i="2" a="1"/>
  <c r="B579" i="2" s="1"/>
  <c r="BD578" i="2" a="1"/>
  <c r="BD578" i="2" s="1"/>
  <c r="BC578" i="2" a="1"/>
  <c r="BC578" i="2" s="1"/>
  <c r="BA578" i="2" a="1"/>
  <c r="BA578" i="2" s="1"/>
  <c r="AZ578" i="2" a="1"/>
  <c r="AZ578" i="2" s="1"/>
  <c r="AY578" i="2" a="1"/>
  <c r="AY578" i="2" s="1"/>
  <c r="AX578" i="2" a="1"/>
  <c r="AX578" i="2" s="1"/>
  <c r="AW578" i="2" a="1"/>
  <c r="AW578" i="2" s="1"/>
  <c r="AV578" i="2" a="1"/>
  <c r="AV578" i="2" s="1"/>
  <c r="AU578" i="2" a="1"/>
  <c r="AU578" i="2" s="1"/>
  <c r="AT578" i="2" a="1"/>
  <c r="AT578" i="2" s="1"/>
  <c r="AS578" i="2" a="1"/>
  <c r="AS578" i="2" s="1"/>
  <c r="AR578" i="2" a="1"/>
  <c r="AR578" i="2" s="1"/>
  <c r="AQ578" i="2" a="1"/>
  <c r="AQ578" i="2" s="1"/>
  <c r="AP578" i="2" a="1"/>
  <c r="AP578" i="2" s="1"/>
  <c r="AO578" i="2" a="1"/>
  <c r="AO578" i="2" s="1"/>
  <c r="AN578" i="2" a="1"/>
  <c r="AN578" i="2" s="1"/>
  <c r="AM578" i="2" a="1"/>
  <c r="AM578" i="2" s="1"/>
  <c r="AL578" i="2" a="1"/>
  <c r="AL578" i="2" s="1"/>
  <c r="AK578" i="2" a="1"/>
  <c r="AK578" i="2" s="1"/>
  <c r="AJ578" i="2" a="1"/>
  <c r="AJ578" i="2" s="1"/>
  <c r="AI578" i="2" a="1"/>
  <c r="AI578" i="2" s="1"/>
  <c r="AH578" i="2" a="1"/>
  <c r="AH578" i="2" s="1"/>
  <c r="AG578" i="2" a="1"/>
  <c r="AG578" i="2" s="1"/>
  <c r="AF578" i="2" a="1"/>
  <c r="AF578" i="2" s="1"/>
  <c r="AE578" i="2" a="1"/>
  <c r="AE578" i="2" s="1"/>
  <c r="AD578" i="2" a="1"/>
  <c r="AD578" i="2" s="1"/>
  <c r="AC578" i="2" a="1"/>
  <c r="AC578" i="2" s="1"/>
  <c r="AB578" i="2"/>
  <c r="AA578" i="2" a="1"/>
  <c r="AA578" i="2" s="1"/>
  <c r="Z578" i="2" a="1"/>
  <c r="Z578" i="2" s="1"/>
  <c r="Y578" i="2" a="1"/>
  <c r="Y578" i="2" s="1"/>
  <c r="X578" i="2" a="1"/>
  <c r="X578" i="2" s="1"/>
  <c r="W578" i="2" a="1"/>
  <c r="W578" i="2" s="1"/>
  <c r="BB578" i="2" s="1" a="1"/>
  <c r="BB578" i="2" s="1"/>
  <c r="V578" i="2" a="1"/>
  <c r="V578" i="2" s="1"/>
  <c r="E578" i="2" s="1" a="1"/>
  <c r="E578" i="2" s="1"/>
  <c r="U578" i="2" a="1"/>
  <c r="U578" i="2" s="1"/>
  <c r="T578" i="2" a="1"/>
  <c r="T578" i="2" s="1"/>
  <c r="S578" i="2" a="1"/>
  <c r="S578" i="2" s="1"/>
  <c r="R578" i="2" a="1"/>
  <c r="R578" i="2" s="1"/>
  <c r="Q578" i="2" a="1"/>
  <c r="Q578" i="2" s="1"/>
  <c r="P578" i="2" a="1"/>
  <c r="P578" i="2" s="1"/>
  <c r="O578" i="2" a="1"/>
  <c r="O578" i="2" s="1"/>
  <c r="N578" i="2" a="1"/>
  <c r="N578" i="2" s="1"/>
  <c r="M578" i="2" a="1"/>
  <c r="M578" i="2" s="1"/>
  <c r="L578" i="2" a="1"/>
  <c r="L578" i="2" s="1"/>
  <c r="K578" i="2" a="1"/>
  <c r="K578" i="2" s="1"/>
  <c r="J578" i="2" a="1"/>
  <c r="J578" i="2" s="1"/>
  <c r="I578" i="2" a="1"/>
  <c r="I578" i="2" s="1"/>
  <c r="H578" i="2" a="1"/>
  <c r="H578" i="2" s="1"/>
  <c r="F578" i="2" a="1"/>
  <c r="F578" i="2" s="1"/>
  <c r="D578" i="2" a="1"/>
  <c r="D578" i="2" s="1"/>
  <c r="B578" i="2" a="1"/>
  <c r="B578" i="2" s="1"/>
  <c r="BD577" i="2" a="1"/>
  <c r="BD577" i="2" s="1"/>
  <c r="BC577" i="2" a="1"/>
  <c r="BC577" i="2" s="1"/>
  <c r="BA577" i="2" a="1"/>
  <c r="BA577" i="2" s="1"/>
  <c r="AZ577" i="2" a="1"/>
  <c r="AZ577" i="2" s="1"/>
  <c r="AY577" i="2" a="1"/>
  <c r="AY577" i="2" s="1"/>
  <c r="AX577" i="2" a="1"/>
  <c r="AX577" i="2" s="1"/>
  <c r="AW577" i="2" a="1"/>
  <c r="AW577" i="2" s="1"/>
  <c r="AV577" i="2" a="1"/>
  <c r="AV577" i="2" s="1"/>
  <c r="AU577" i="2" a="1"/>
  <c r="AU577" i="2" s="1"/>
  <c r="AT577" i="2" a="1"/>
  <c r="AT577" i="2" s="1"/>
  <c r="AS577" i="2" a="1"/>
  <c r="AS577" i="2" s="1"/>
  <c r="AR577" i="2" a="1"/>
  <c r="AR577" i="2" s="1"/>
  <c r="AQ577" i="2" a="1"/>
  <c r="AQ577" i="2" s="1"/>
  <c r="AP577" i="2" a="1"/>
  <c r="AP577" i="2" s="1"/>
  <c r="AO577" i="2" a="1"/>
  <c r="AO577" i="2" s="1"/>
  <c r="AN577" i="2" a="1"/>
  <c r="AN577" i="2" s="1"/>
  <c r="AM577" i="2" a="1"/>
  <c r="AM577" i="2" s="1"/>
  <c r="AL577" i="2" a="1"/>
  <c r="AL577" i="2" s="1"/>
  <c r="AK577" i="2" a="1"/>
  <c r="AK577" i="2" s="1"/>
  <c r="AJ577" i="2" a="1"/>
  <c r="AJ577" i="2" s="1"/>
  <c r="AI577" i="2" a="1"/>
  <c r="AI577" i="2" s="1"/>
  <c r="AH577" i="2" a="1"/>
  <c r="AH577" i="2" s="1"/>
  <c r="AG577" i="2" a="1"/>
  <c r="AG577" i="2" s="1"/>
  <c r="AF577" i="2" a="1"/>
  <c r="AF577" i="2" s="1"/>
  <c r="AE577" i="2" a="1"/>
  <c r="AE577" i="2" s="1"/>
  <c r="AD577" i="2" a="1"/>
  <c r="AD577" i="2" s="1"/>
  <c r="AC577" i="2" a="1"/>
  <c r="AC577" i="2" s="1"/>
  <c r="AB577" i="2"/>
  <c r="AA577" i="2" a="1"/>
  <c r="AA577" i="2" s="1"/>
  <c r="Z577" i="2" a="1"/>
  <c r="Z577" i="2" s="1"/>
  <c r="Y577" i="2" a="1"/>
  <c r="Y577" i="2" s="1"/>
  <c r="X577" i="2" a="1"/>
  <c r="X577" i="2" s="1"/>
  <c r="W577" i="2" a="1"/>
  <c r="W577" i="2" s="1"/>
  <c r="BB577" i="2" s="1" a="1"/>
  <c r="BB577" i="2" s="1"/>
  <c r="V577" i="2" a="1"/>
  <c r="V577" i="2" s="1"/>
  <c r="E577" i="2" s="1" a="1"/>
  <c r="E577" i="2" s="1"/>
  <c r="U577" i="2" a="1"/>
  <c r="U577" i="2" s="1"/>
  <c r="T577" i="2" a="1"/>
  <c r="T577" i="2" s="1"/>
  <c r="S577" i="2" a="1"/>
  <c r="S577" i="2" s="1"/>
  <c r="R577" i="2" a="1"/>
  <c r="R577" i="2" s="1"/>
  <c r="Q577" i="2" a="1"/>
  <c r="Q577" i="2" s="1"/>
  <c r="P577" i="2" a="1"/>
  <c r="P577" i="2" s="1"/>
  <c r="O577" i="2" a="1"/>
  <c r="O577" i="2" s="1"/>
  <c r="N577" i="2" a="1"/>
  <c r="N577" i="2" s="1"/>
  <c r="M577" i="2" a="1"/>
  <c r="M577" i="2" s="1"/>
  <c r="L577" i="2" a="1"/>
  <c r="L577" i="2" s="1"/>
  <c r="K577" i="2" a="1"/>
  <c r="K577" i="2" s="1"/>
  <c r="J577" i="2" a="1"/>
  <c r="J577" i="2" s="1"/>
  <c r="I577" i="2" a="1"/>
  <c r="I577" i="2" s="1"/>
  <c r="H577" i="2" a="1"/>
  <c r="H577" i="2" s="1"/>
  <c r="F577" i="2" a="1"/>
  <c r="F577" i="2" s="1"/>
  <c r="D577" i="2" a="1"/>
  <c r="D577" i="2" s="1"/>
  <c r="B577" i="2" a="1"/>
  <c r="B577" i="2" s="1"/>
  <c r="BD576" i="2" a="1"/>
  <c r="BD576" i="2" s="1"/>
  <c r="BC576" i="2" a="1"/>
  <c r="BC576" i="2" s="1"/>
  <c r="BA576" i="2" a="1"/>
  <c r="BA576" i="2" s="1"/>
  <c r="AZ576" i="2" a="1"/>
  <c r="AZ576" i="2" s="1"/>
  <c r="AY576" i="2" a="1"/>
  <c r="AY576" i="2" s="1"/>
  <c r="AX576" i="2" a="1"/>
  <c r="AX576" i="2" s="1"/>
  <c r="AW576" i="2" a="1"/>
  <c r="AW576" i="2" s="1"/>
  <c r="AV576" i="2" a="1"/>
  <c r="AV576" i="2" s="1"/>
  <c r="AU576" i="2" a="1"/>
  <c r="AU576" i="2" s="1"/>
  <c r="AT576" i="2" a="1"/>
  <c r="AT576" i="2" s="1"/>
  <c r="AS576" i="2" a="1"/>
  <c r="AS576" i="2" s="1"/>
  <c r="AR576" i="2" a="1"/>
  <c r="AR576" i="2" s="1"/>
  <c r="AQ576" i="2" a="1"/>
  <c r="AQ576" i="2" s="1"/>
  <c r="AP576" i="2" a="1"/>
  <c r="AP576" i="2" s="1"/>
  <c r="AO576" i="2" a="1"/>
  <c r="AO576" i="2" s="1"/>
  <c r="AN576" i="2" a="1"/>
  <c r="AN576" i="2" s="1"/>
  <c r="AM576" i="2" a="1"/>
  <c r="AM576" i="2" s="1"/>
  <c r="AL576" i="2" a="1"/>
  <c r="AL576" i="2" s="1"/>
  <c r="AK576" i="2" a="1"/>
  <c r="AK576" i="2" s="1"/>
  <c r="AJ576" i="2" a="1"/>
  <c r="AJ576" i="2" s="1"/>
  <c r="AI576" i="2" a="1"/>
  <c r="AI576" i="2" s="1"/>
  <c r="AH576" i="2" a="1"/>
  <c r="AH576" i="2" s="1"/>
  <c r="AG576" i="2" a="1"/>
  <c r="AG576" i="2" s="1"/>
  <c r="AF576" i="2" a="1"/>
  <c r="AF576" i="2" s="1"/>
  <c r="AE576" i="2" a="1"/>
  <c r="AE576" i="2" s="1"/>
  <c r="AD576" i="2" a="1"/>
  <c r="AD576" i="2" s="1"/>
  <c r="AC576" i="2" a="1"/>
  <c r="AC576" i="2" s="1"/>
  <c r="AB576" i="2"/>
  <c r="AA576" i="2" a="1"/>
  <c r="AA576" i="2" s="1"/>
  <c r="Z576" i="2" a="1"/>
  <c r="Z576" i="2" s="1"/>
  <c r="Y576" i="2" a="1"/>
  <c r="Y576" i="2" s="1"/>
  <c r="X576" i="2" a="1"/>
  <c r="X576" i="2" s="1"/>
  <c r="W576" i="2" a="1"/>
  <c r="W576" i="2" s="1"/>
  <c r="BB576" i="2" s="1" a="1"/>
  <c r="BB576" i="2" s="1"/>
  <c r="V576" i="2" a="1"/>
  <c r="V576" i="2" s="1"/>
  <c r="E576" i="2" s="1" a="1"/>
  <c r="E576" i="2" s="1"/>
  <c r="U576" i="2" a="1"/>
  <c r="U576" i="2" s="1"/>
  <c r="T576" i="2" a="1"/>
  <c r="T576" i="2" s="1"/>
  <c r="S576" i="2" a="1"/>
  <c r="S576" i="2" s="1"/>
  <c r="R576" i="2" a="1"/>
  <c r="R576" i="2" s="1"/>
  <c r="Q576" i="2" a="1"/>
  <c r="Q576" i="2" s="1"/>
  <c r="P576" i="2" a="1"/>
  <c r="P576" i="2" s="1"/>
  <c r="O576" i="2" a="1"/>
  <c r="O576" i="2" s="1"/>
  <c r="N576" i="2" a="1"/>
  <c r="N576" i="2" s="1"/>
  <c r="M576" i="2" a="1"/>
  <c r="M576" i="2" s="1"/>
  <c r="L576" i="2" a="1"/>
  <c r="L576" i="2" s="1"/>
  <c r="K576" i="2" a="1"/>
  <c r="K576" i="2" s="1"/>
  <c r="J576" i="2" a="1"/>
  <c r="J576" i="2" s="1"/>
  <c r="I576" i="2" a="1"/>
  <c r="I576" i="2" s="1"/>
  <c r="H576" i="2" a="1"/>
  <c r="H576" i="2" s="1"/>
  <c r="F576" i="2" a="1"/>
  <c r="F576" i="2" s="1"/>
  <c r="D576" i="2" a="1"/>
  <c r="D576" i="2" s="1"/>
  <c r="B576" i="2" a="1"/>
  <c r="B576" i="2" s="1"/>
  <c r="BD575" i="2" a="1"/>
  <c r="BD575" i="2" s="1"/>
  <c r="BC575" i="2" a="1"/>
  <c r="BC575" i="2" s="1"/>
  <c r="BA575" i="2" a="1"/>
  <c r="BA575" i="2" s="1"/>
  <c r="AZ575" i="2" a="1"/>
  <c r="AZ575" i="2" s="1"/>
  <c r="AY575" i="2" a="1"/>
  <c r="AY575" i="2" s="1"/>
  <c r="AX575" i="2" a="1"/>
  <c r="AX575" i="2" s="1"/>
  <c r="AW575" i="2" a="1"/>
  <c r="AW575" i="2" s="1"/>
  <c r="AV575" i="2" a="1"/>
  <c r="AV575" i="2" s="1"/>
  <c r="AU575" i="2" a="1"/>
  <c r="AU575" i="2" s="1"/>
  <c r="AT575" i="2" a="1"/>
  <c r="AT575" i="2" s="1"/>
  <c r="AS575" i="2" a="1"/>
  <c r="AS575" i="2" s="1"/>
  <c r="AR575" i="2" a="1"/>
  <c r="AR575" i="2" s="1"/>
  <c r="AQ575" i="2" a="1"/>
  <c r="AQ575" i="2" s="1"/>
  <c r="AP575" i="2" a="1"/>
  <c r="AP575" i="2" s="1"/>
  <c r="AO575" i="2" a="1"/>
  <c r="AO575" i="2" s="1"/>
  <c r="AN575" i="2" a="1"/>
  <c r="AN575" i="2" s="1"/>
  <c r="AM575" i="2" a="1"/>
  <c r="AM575" i="2" s="1"/>
  <c r="AL575" i="2" a="1"/>
  <c r="AL575" i="2" s="1"/>
  <c r="AK575" i="2" a="1"/>
  <c r="AK575" i="2" s="1"/>
  <c r="AJ575" i="2" a="1"/>
  <c r="AJ575" i="2" s="1"/>
  <c r="AI575" i="2" a="1"/>
  <c r="AI575" i="2" s="1"/>
  <c r="AH575" i="2" a="1"/>
  <c r="AH575" i="2" s="1"/>
  <c r="AG575" i="2" a="1"/>
  <c r="AG575" i="2" s="1"/>
  <c r="AF575" i="2" a="1"/>
  <c r="AF575" i="2" s="1"/>
  <c r="AE575" i="2" a="1"/>
  <c r="AE575" i="2" s="1"/>
  <c r="AD575" i="2" a="1"/>
  <c r="AD575" i="2" s="1"/>
  <c r="AC575" i="2" a="1"/>
  <c r="AC575" i="2" s="1"/>
  <c r="AB575" i="2"/>
  <c r="AA575" i="2" a="1"/>
  <c r="AA575" i="2" s="1"/>
  <c r="Z575" i="2" a="1"/>
  <c r="Z575" i="2" s="1"/>
  <c r="Y575" i="2" a="1"/>
  <c r="Y575" i="2" s="1"/>
  <c r="X575" i="2" a="1"/>
  <c r="X575" i="2" s="1"/>
  <c r="W575" i="2" a="1"/>
  <c r="W575" i="2" s="1"/>
  <c r="BB575" i="2" s="1" a="1"/>
  <c r="BB575" i="2" s="1"/>
  <c r="V575" i="2" a="1"/>
  <c r="V575" i="2" s="1"/>
  <c r="E575" i="2" s="1" a="1"/>
  <c r="E575" i="2" s="1"/>
  <c r="U575" i="2" a="1"/>
  <c r="U575" i="2" s="1"/>
  <c r="T575" i="2" a="1"/>
  <c r="T575" i="2" s="1"/>
  <c r="S575" i="2" a="1"/>
  <c r="S575" i="2" s="1"/>
  <c r="R575" i="2" a="1"/>
  <c r="R575" i="2" s="1"/>
  <c r="Q575" i="2" a="1"/>
  <c r="Q575" i="2" s="1"/>
  <c r="P575" i="2" a="1"/>
  <c r="P575" i="2" s="1"/>
  <c r="O575" i="2" a="1"/>
  <c r="O575" i="2" s="1"/>
  <c r="N575" i="2" a="1"/>
  <c r="N575" i="2" s="1"/>
  <c r="M575" i="2" a="1"/>
  <c r="M575" i="2" s="1"/>
  <c r="L575" i="2" a="1"/>
  <c r="L575" i="2" s="1"/>
  <c r="K575" i="2" a="1"/>
  <c r="K575" i="2" s="1"/>
  <c r="J575" i="2" a="1"/>
  <c r="J575" i="2" s="1"/>
  <c r="I575" i="2" a="1"/>
  <c r="I575" i="2" s="1"/>
  <c r="H575" i="2" a="1"/>
  <c r="H575" i="2" s="1"/>
  <c r="F575" i="2" a="1"/>
  <c r="F575" i="2" s="1"/>
  <c r="D575" i="2" a="1"/>
  <c r="D575" i="2" s="1"/>
  <c r="B575" i="2" a="1"/>
  <c r="B575" i="2" s="1"/>
  <c r="BD574" i="2" a="1"/>
  <c r="BD574" i="2" s="1"/>
  <c r="BC574" i="2" a="1"/>
  <c r="BC574" i="2" s="1"/>
  <c r="BA574" i="2" a="1"/>
  <c r="BA574" i="2" s="1"/>
  <c r="AZ574" i="2" a="1"/>
  <c r="AZ574" i="2" s="1"/>
  <c r="AY574" i="2" a="1"/>
  <c r="AY574" i="2" s="1"/>
  <c r="AX574" i="2" a="1"/>
  <c r="AX574" i="2" s="1"/>
  <c r="AW574" i="2" a="1"/>
  <c r="AW574" i="2" s="1"/>
  <c r="AV574" i="2" a="1"/>
  <c r="AV574" i="2" s="1"/>
  <c r="AU574" i="2" a="1"/>
  <c r="AU574" i="2" s="1"/>
  <c r="AT574" i="2" a="1"/>
  <c r="AT574" i="2" s="1"/>
  <c r="AS574" i="2" a="1"/>
  <c r="AS574" i="2" s="1"/>
  <c r="AR574" i="2" a="1"/>
  <c r="AR574" i="2" s="1"/>
  <c r="AQ574" i="2" a="1"/>
  <c r="AQ574" i="2" s="1"/>
  <c r="AP574" i="2" a="1"/>
  <c r="AP574" i="2" s="1"/>
  <c r="AO574" i="2" a="1"/>
  <c r="AO574" i="2" s="1"/>
  <c r="AN574" i="2" a="1"/>
  <c r="AN574" i="2" s="1"/>
  <c r="AM574" i="2" a="1"/>
  <c r="AM574" i="2" s="1"/>
  <c r="AL574" i="2" a="1"/>
  <c r="AL574" i="2" s="1"/>
  <c r="AK574" i="2" a="1"/>
  <c r="AK574" i="2" s="1"/>
  <c r="AJ574" i="2" a="1"/>
  <c r="AJ574" i="2" s="1"/>
  <c r="AI574" i="2" a="1"/>
  <c r="AI574" i="2" s="1"/>
  <c r="AH574" i="2" a="1"/>
  <c r="AH574" i="2" s="1"/>
  <c r="AG574" i="2" a="1"/>
  <c r="AG574" i="2" s="1"/>
  <c r="AF574" i="2" a="1"/>
  <c r="AF574" i="2" s="1"/>
  <c r="AE574" i="2" a="1"/>
  <c r="AE574" i="2" s="1"/>
  <c r="AD574" i="2" a="1"/>
  <c r="AD574" i="2" s="1"/>
  <c r="AC574" i="2" a="1"/>
  <c r="AC574" i="2" s="1"/>
  <c r="AB574" i="2"/>
  <c r="AA574" i="2" a="1"/>
  <c r="AA574" i="2" s="1"/>
  <c r="Z574" i="2" a="1"/>
  <c r="Z574" i="2" s="1"/>
  <c r="Y574" i="2" a="1"/>
  <c r="Y574" i="2" s="1"/>
  <c r="X574" i="2" a="1"/>
  <c r="X574" i="2" s="1"/>
  <c r="W574" i="2" a="1"/>
  <c r="W574" i="2" s="1"/>
  <c r="BB574" i="2" s="1" a="1"/>
  <c r="BB574" i="2" s="1"/>
  <c r="V574" i="2" a="1"/>
  <c r="V574" i="2" s="1"/>
  <c r="E574" i="2" s="1" a="1"/>
  <c r="E574" i="2" s="1"/>
  <c r="U574" i="2" a="1"/>
  <c r="U574" i="2" s="1"/>
  <c r="T574" i="2" a="1"/>
  <c r="T574" i="2" s="1"/>
  <c r="S574" i="2" a="1"/>
  <c r="S574" i="2" s="1"/>
  <c r="R574" i="2" a="1"/>
  <c r="R574" i="2" s="1"/>
  <c r="Q574" i="2" a="1"/>
  <c r="Q574" i="2" s="1"/>
  <c r="P574" i="2" a="1"/>
  <c r="P574" i="2" s="1"/>
  <c r="O574" i="2" a="1"/>
  <c r="O574" i="2" s="1"/>
  <c r="N574" i="2" a="1"/>
  <c r="N574" i="2" s="1"/>
  <c r="M574" i="2" a="1"/>
  <c r="M574" i="2" s="1"/>
  <c r="L574" i="2" a="1"/>
  <c r="L574" i="2" s="1"/>
  <c r="K574" i="2" a="1"/>
  <c r="K574" i="2" s="1"/>
  <c r="J574" i="2" a="1"/>
  <c r="J574" i="2" s="1"/>
  <c r="I574" i="2" a="1"/>
  <c r="I574" i="2" s="1"/>
  <c r="H574" i="2" a="1"/>
  <c r="H574" i="2" s="1"/>
  <c r="F574" i="2" a="1"/>
  <c r="F574" i="2" s="1"/>
  <c r="D574" i="2" a="1"/>
  <c r="D574" i="2" s="1"/>
  <c r="B574" i="2" a="1"/>
  <c r="B574" i="2" s="1"/>
  <c r="BD573" i="2" a="1"/>
  <c r="BD573" i="2" s="1"/>
  <c r="BC573" i="2" a="1"/>
  <c r="BC573" i="2" s="1"/>
  <c r="BA573" i="2" a="1"/>
  <c r="BA573" i="2" s="1"/>
  <c r="AZ573" i="2" a="1"/>
  <c r="AZ573" i="2" s="1"/>
  <c r="AY573" i="2" a="1"/>
  <c r="AY573" i="2" s="1"/>
  <c r="AX573" i="2" a="1"/>
  <c r="AX573" i="2" s="1"/>
  <c r="AW573" i="2" a="1"/>
  <c r="AW573" i="2" s="1"/>
  <c r="AV573" i="2" a="1"/>
  <c r="AV573" i="2" s="1"/>
  <c r="AU573" i="2" a="1"/>
  <c r="AU573" i="2" s="1"/>
  <c r="AT573" i="2" a="1"/>
  <c r="AT573" i="2" s="1"/>
  <c r="AS573" i="2" a="1"/>
  <c r="AS573" i="2" s="1"/>
  <c r="AR573" i="2" a="1"/>
  <c r="AR573" i="2" s="1"/>
  <c r="AQ573" i="2" a="1"/>
  <c r="AQ573" i="2" s="1"/>
  <c r="AP573" i="2" a="1"/>
  <c r="AP573" i="2" s="1"/>
  <c r="AO573" i="2" a="1"/>
  <c r="AO573" i="2" s="1"/>
  <c r="AN573" i="2" a="1"/>
  <c r="AN573" i="2" s="1"/>
  <c r="AM573" i="2" a="1"/>
  <c r="AM573" i="2" s="1"/>
  <c r="AL573" i="2" a="1"/>
  <c r="AL573" i="2" s="1"/>
  <c r="AK573" i="2" a="1"/>
  <c r="AK573" i="2" s="1"/>
  <c r="AJ573" i="2" a="1"/>
  <c r="AJ573" i="2" s="1"/>
  <c r="AI573" i="2" a="1"/>
  <c r="AI573" i="2" s="1"/>
  <c r="AH573" i="2" a="1"/>
  <c r="AH573" i="2" s="1"/>
  <c r="AG573" i="2" a="1"/>
  <c r="AG573" i="2" s="1"/>
  <c r="AF573" i="2" a="1"/>
  <c r="AF573" i="2" s="1"/>
  <c r="AE573" i="2" a="1"/>
  <c r="AE573" i="2" s="1"/>
  <c r="AD573" i="2" a="1"/>
  <c r="AD573" i="2" s="1"/>
  <c r="AC573" i="2" a="1"/>
  <c r="AC573" i="2" s="1"/>
  <c r="AB573" i="2"/>
  <c r="AA573" i="2" a="1"/>
  <c r="AA573" i="2" s="1"/>
  <c r="Z573" i="2" a="1"/>
  <c r="Z573" i="2" s="1"/>
  <c r="Y573" i="2" a="1"/>
  <c r="Y573" i="2" s="1"/>
  <c r="X573" i="2" a="1"/>
  <c r="X573" i="2" s="1"/>
  <c r="W573" i="2" a="1"/>
  <c r="W573" i="2" s="1"/>
  <c r="BB573" i="2" s="1" a="1"/>
  <c r="BB573" i="2" s="1"/>
  <c r="V573" i="2" a="1"/>
  <c r="V573" i="2" s="1"/>
  <c r="E573" i="2" s="1" a="1"/>
  <c r="E573" i="2" s="1"/>
  <c r="U573" i="2" a="1"/>
  <c r="U573" i="2" s="1"/>
  <c r="T573" i="2" a="1"/>
  <c r="T573" i="2" s="1"/>
  <c r="S573" i="2" a="1"/>
  <c r="S573" i="2" s="1"/>
  <c r="R573" i="2" a="1"/>
  <c r="R573" i="2" s="1"/>
  <c r="Q573" i="2" a="1"/>
  <c r="Q573" i="2" s="1"/>
  <c r="P573" i="2" a="1"/>
  <c r="P573" i="2" s="1"/>
  <c r="O573" i="2" a="1"/>
  <c r="O573" i="2" s="1"/>
  <c r="N573" i="2" a="1"/>
  <c r="N573" i="2" s="1"/>
  <c r="M573" i="2" a="1"/>
  <c r="M573" i="2" s="1"/>
  <c r="L573" i="2" a="1"/>
  <c r="L573" i="2" s="1"/>
  <c r="K573" i="2" a="1"/>
  <c r="K573" i="2" s="1"/>
  <c r="J573" i="2" a="1"/>
  <c r="J573" i="2" s="1"/>
  <c r="I573" i="2" a="1"/>
  <c r="I573" i="2" s="1"/>
  <c r="H573" i="2" a="1"/>
  <c r="H573" i="2" s="1"/>
  <c r="F573" i="2" a="1"/>
  <c r="F573" i="2" s="1"/>
  <c r="D573" i="2" a="1"/>
  <c r="D573" i="2" s="1"/>
  <c r="B573" i="2" a="1"/>
  <c r="B573" i="2" s="1"/>
  <c r="BD572" i="2" a="1"/>
  <c r="BD572" i="2" s="1"/>
  <c r="BC572" i="2" a="1"/>
  <c r="BC572" i="2" s="1"/>
  <c r="BA572" i="2" a="1"/>
  <c r="BA572" i="2" s="1"/>
  <c r="AZ572" i="2" a="1"/>
  <c r="AZ572" i="2" s="1"/>
  <c r="AY572" i="2" a="1"/>
  <c r="AY572" i="2" s="1"/>
  <c r="AX572" i="2" a="1"/>
  <c r="AX572" i="2" s="1"/>
  <c r="AW572" i="2" a="1"/>
  <c r="AW572" i="2" s="1"/>
  <c r="AV572" i="2" a="1"/>
  <c r="AV572" i="2" s="1"/>
  <c r="AU572" i="2" a="1"/>
  <c r="AU572" i="2" s="1"/>
  <c r="AT572" i="2" a="1"/>
  <c r="AT572" i="2" s="1"/>
  <c r="AS572" i="2" a="1"/>
  <c r="AS572" i="2" s="1"/>
  <c r="AR572" i="2" a="1"/>
  <c r="AR572" i="2" s="1"/>
  <c r="AQ572" i="2" a="1"/>
  <c r="AQ572" i="2" s="1"/>
  <c r="AP572" i="2" a="1"/>
  <c r="AP572" i="2" s="1"/>
  <c r="AO572" i="2" a="1"/>
  <c r="AO572" i="2" s="1"/>
  <c r="AN572" i="2" a="1"/>
  <c r="AN572" i="2" s="1"/>
  <c r="AM572" i="2" a="1"/>
  <c r="AM572" i="2" s="1"/>
  <c r="AL572" i="2" a="1"/>
  <c r="AL572" i="2" s="1"/>
  <c r="AK572" i="2" a="1"/>
  <c r="AK572" i="2" s="1"/>
  <c r="AJ572" i="2" a="1"/>
  <c r="AJ572" i="2" s="1"/>
  <c r="AI572" i="2" a="1"/>
  <c r="AI572" i="2" s="1"/>
  <c r="AH572" i="2" a="1"/>
  <c r="AH572" i="2" s="1"/>
  <c r="AG572" i="2" a="1"/>
  <c r="AG572" i="2" s="1"/>
  <c r="AF572" i="2" a="1"/>
  <c r="AF572" i="2" s="1"/>
  <c r="AE572" i="2" a="1"/>
  <c r="AE572" i="2" s="1"/>
  <c r="AD572" i="2" a="1"/>
  <c r="AD572" i="2" s="1"/>
  <c r="AC572" i="2" a="1"/>
  <c r="AC572" i="2" s="1"/>
  <c r="AB572" i="2"/>
  <c r="AA572" i="2" a="1"/>
  <c r="AA572" i="2" s="1"/>
  <c r="Z572" i="2" a="1"/>
  <c r="Z572" i="2" s="1"/>
  <c r="Y572" i="2" a="1"/>
  <c r="Y572" i="2" s="1"/>
  <c r="X572" i="2" a="1"/>
  <c r="X572" i="2" s="1"/>
  <c r="W572" i="2" a="1"/>
  <c r="W572" i="2" s="1"/>
  <c r="BB572" i="2" s="1" a="1"/>
  <c r="BB572" i="2" s="1"/>
  <c r="V572" i="2" a="1"/>
  <c r="V572" i="2" s="1"/>
  <c r="E572" i="2" s="1" a="1"/>
  <c r="E572" i="2" s="1"/>
  <c r="U572" i="2" a="1"/>
  <c r="U572" i="2" s="1"/>
  <c r="T572" i="2" a="1"/>
  <c r="T572" i="2" s="1"/>
  <c r="S572" i="2" a="1"/>
  <c r="S572" i="2" s="1"/>
  <c r="R572" i="2" a="1"/>
  <c r="R572" i="2" s="1"/>
  <c r="Q572" i="2" a="1"/>
  <c r="Q572" i="2" s="1"/>
  <c r="P572" i="2" a="1"/>
  <c r="P572" i="2" s="1"/>
  <c r="O572" i="2" a="1"/>
  <c r="O572" i="2" s="1"/>
  <c r="N572" i="2" a="1"/>
  <c r="N572" i="2" s="1"/>
  <c r="M572" i="2" a="1"/>
  <c r="M572" i="2" s="1"/>
  <c r="L572" i="2" a="1"/>
  <c r="L572" i="2" s="1"/>
  <c r="K572" i="2" a="1"/>
  <c r="K572" i="2" s="1"/>
  <c r="J572" i="2" a="1"/>
  <c r="J572" i="2" s="1"/>
  <c r="I572" i="2" a="1"/>
  <c r="I572" i="2" s="1"/>
  <c r="H572" i="2" a="1"/>
  <c r="H572" i="2" s="1"/>
  <c r="F572" i="2" a="1"/>
  <c r="F572" i="2" s="1"/>
  <c r="D572" i="2" a="1"/>
  <c r="D572" i="2" s="1"/>
  <c r="B572" i="2" a="1"/>
  <c r="B572" i="2" s="1"/>
  <c r="BD571" i="2" a="1"/>
  <c r="BD571" i="2" s="1"/>
  <c r="BC571" i="2" a="1"/>
  <c r="BC571" i="2" s="1"/>
  <c r="BA571" i="2" a="1"/>
  <c r="BA571" i="2" s="1"/>
  <c r="AZ571" i="2" a="1"/>
  <c r="AZ571" i="2" s="1"/>
  <c r="AY571" i="2" a="1"/>
  <c r="AY571" i="2" s="1"/>
  <c r="AX571" i="2" a="1"/>
  <c r="AX571" i="2" s="1"/>
  <c r="AW571" i="2" a="1"/>
  <c r="AW571" i="2" s="1"/>
  <c r="AV571" i="2" a="1"/>
  <c r="AV571" i="2" s="1"/>
  <c r="AU571" i="2" a="1"/>
  <c r="AU571" i="2" s="1"/>
  <c r="AT571" i="2" a="1"/>
  <c r="AT571" i="2" s="1"/>
  <c r="AS571" i="2" a="1"/>
  <c r="AS571" i="2" s="1"/>
  <c r="AR571" i="2" a="1"/>
  <c r="AR571" i="2" s="1"/>
  <c r="AQ571" i="2" a="1"/>
  <c r="AQ571" i="2" s="1"/>
  <c r="AP571" i="2" a="1"/>
  <c r="AP571" i="2" s="1"/>
  <c r="AO571" i="2" a="1"/>
  <c r="AO571" i="2" s="1"/>
  <c r="AN571" i="2" a="1"/>
  <c r="AN571" i="2" s="1"/>
  <c r="AM571" i="2" a="1"/>
  <c r="AM571" i="2" s="1"/>
  <c r="AL571" i="2" a="1"/>
  <c r="AL571" i="2" s="1"/>
  <c r="AK571" i="2" a="1"/>
  <c r="AK571" i="2" s="1"/>
  <c r="AJ571" i="2" a="1"/>
  <c r="AJ571" i="2" s="1"/>
  <c r="AI571" i="2" a="1"/>
  <c r="AI571" i="2" s="1"/>
  <c r="AH571" i="2" a="1"/>
  <c r="AH571" i="2" s="1"/>
  <c r="AG571" i="2" a="1"/>
  <c r="AG571" i="2" s="1"/>
  <c r="AF571" i="2" a="1"/>
  <c r="AF571" i="2" s="1"/>
  <c r="AE571" i="2" a="1"/>
  <c r="AE571" i="2" s="1"/>
  <c r="AD571" i="2" a="1"/>
  <c r="AD571" i="2" s="1"/>
  <c r="AC571" i="2" a="1"/>
  <c r="AC571" i="2" s="1"/>
  <c r="AB571" i="2"/>
  <c r="AA571" i="2" a="1"/>
  <c r="AA571" i="2" s="1"/>
  <c r="Z571" i="2" a="1"/>
  <c r="Z571" i="2" s="1"/>
  <c r="Y571" i="2" a="1"/>
  <c r="Y571" i="2" s="1"/>
  <c r="X571" i="2" a="1"/>
  <c r="X571" i="2" s="1"/>
  <c r="W571" i="2" a="1"/>
  <c r="W571" i="2" s="1"/>
  <c r="BB571" i="2" s="1" a="1"/>
  <c r="BB571" i="2" s="1"/>
  <c r="V571" i="2" a="1"/>
  <c r="V571" i="2" s="1"/>
  <c r="E571" i="2" s="1" a="1"/>
  <c r="E571" i="2" s="1"/>
  <c r="U571" i="2" a="1"/>
  <c r="U571" i="2" s="1"/>
  <c r="T571" i="2" a="1"/>
  <c r="T571" i="2" s="1"/>
  <c r="S571" i="2" a="1"/>
  <c r="S571" i="2" s="1"/>
  <c r="R571" i="2" a="1"/>
  <c r="R571" i="2" s="1"/>
  <c r="Q571" i="2" a="1"/>
  <c r="Q571" i="2" s="1"/>
  <c r="P571" i="2" a="1"/>
  <c r="P571" i="2" s="1"/>
  <c r="O571" i="2" a="1"/>
  <c r="O571" i="2" s="1"/>
  <c r="N571" i="2" a="1"/>
  <c r="N571" i="2" s="1"/>
  <c r="M571" i="2" a="1"/>
  <c r="M571" i="2" s="1"/>
  <c r="L571" i="2" a="1"/>
  <c r="L571" i="2" s="1"/>
  <c r="K571" i="2" a="1"/>
  <c r="K571" i="2" s="1"/>
  <c r="J571" i="2" a="1"/>
  <c r="J571" i="2" s="1"/>
  <c r="I571" i="2" a="1"/>
  <c r="I571" i="2" s="1"/>
  <c r="H571" i="2" a="1"/>
  <c r="H571" i="2" s="1"/>
  <c r="F571" i="2" a="1"/>
  <c r="F571" i="2" s="1"/>
  <c r="D571" i="2" a="1"/>
  <c r="D571" i="2" s="1"/>
  <c r="B571" i="2" a="1"/>
  <c r="B571" i="2" s="1"/>
  <c r="BD570" i="2" a="1"/>
  <c r="BD570" i="2" s="1"/>
  <c r="BC570" i="2" a="1"/>
  <c r="BC570" i="2" s="1"/>
  <c r="BA570" i="2" a="1"/>
  <c r="BA570" i="2" s="1"/>
  <c r="AZ570" i="2" a="1"/>
  <c r="AZ570" i="2" s="1"/>
  <c r="AY570" i="2" a="1"/>
  <c r="AY570" i="2" s="1"/>
  <c r="AX570" i="2" a="1"/>
  <c r="AX570" i="2" s="1"/>
  <c r="AW570" i="2" a="1"/>
  <c r="AW570" i="2" s="1"/>
  <c r="AV570" i="2" a="1"/>
  <c r="AV570" i="2" s="1"/>
  <c r="AU570" i="2" a="1"/>
  <c r="AU570" i="2" s="1"/>
  <c r="AT570" i="2" a="1"/>
  <c r="AT570" i="2" s="1"/>
  <c r="AS570" i="2" a="1"/>
  <c r="AS570" i="2" s="1"/>
  <c r="AR570" i="2" a="1"/>
  <c r="AR570" i="2" s="1"/>
  <c r="AQ570" i="2" a="1"/>
  <c r="AQ570" i="2" s="1"/>
  <c r="AP570" i="2" a="1"/>
  <c r="AP570" i="2" s="1"/>
  <c r="AO570" i="2" a="1"/>
  <c r="AO570" i="2" s="1"/>
  <c r="AN570" i="2" a="1"/>
  <c r="AN570" i="2" s="1"/>
  <c r="AM570" i="2" a="1"/>
  <c r="AM570" i="2" s="1"/>
  <c r="AL570" i="2" a="1"/>
  <c r="AL570" i="2" s="1"/>
  <c r="AK570" i="2" a="1"/>
  <c r="AK570" i="2" s="1"/>
  <c r="AJ570" i="2" a="1"/>
  <c r="AJ570" i="2" s="1"/>
  <c r="AI570" i="2" a="1"/>
  <c r="AI570" i="2" s="1"/>
  <c r="AH570" i="2" a="1"/>
  <c r="AH570" i="2" s="1"/>
  <c r="AG570" i="2" a="1"/>
  <c r="AG570" i="2" s="1"/>
  <c r="AF570" i="2" a="1"/>
  <c r="AF570" i="2" s="1"/>
  <c r="AE570" i="2" a="1"/>
  <c r="AE570" i="2" s="1"/>
  <c r="AD570" i="2" a="1"/>
  <c r="AD570" i="2" s="1"/>
  <c r="AC570" i="2" a="1"/>
  <c r="AC570" i="2" s="1"/>
  <c r="AB570" i="2"/>
  <c r="AA570" i="2" a="1"/>
  <c r="AA570" i="2" s="1"/>
  <c r="Z570" i="2" a="1"/>
  <c r="Z570" i="2" s="1"/>
  <c r="Y570" i="2" a="1"/>
  <c r="Y570" i="2" s="1"/>
  <c r="X570" i="2" a="1"/>
  <c r="X570" i="2" s="1"/>
  <c r="W570" i="2" a="1"/>
  <c r="W570" i="2" s="1"/>
  <c r="BB570" i="2" s="1" a="1"/>
  <c r="BB570" i="2" s="1"/>
  <c r="V570" i="2" a="1"/>
  <c r="V570" i="2" s="1"/>
  <c r="E570" i="2" s="1" a="1"/>
  <c r="E570" i="2" s="1"/>
  <c r="U570" i="2" a="1"/>
  <c r="U570" i="2" s="1"/>
  <c r="T570" i="2" a="1"/>
  <c r="T570" i="2" s="1"/>
  <c r="S570" i="2" a="1"/>
  <c r="S570" i="2" s="1"/>
  <c r="R570" i="2" a="1"/>
  <c r="R570" i="2" s="1"/>
  <c r="Q570" i="2" a="1"/>
  <c r="Q570" i="2" s="1"/>
  <c r="P570" i="2" a="1"/>
  <c r="P570" i="2" s="1"/>
  <c r="O570" i="2" a="1"/>
  <c r="O570" i="2" s="1"/>
  <c r="N570" i="2" a="1"/>
  <c r="N570" i="2" s="1"/>
  <c r="M570" i="2" a="1"/>
  <c r="M570" i="2" s="1"/>
  <c r="L570" i="2" a="1"/>
  <c r="L570" i="2" s="1"/>
  <c r="K570" i="2" a="1"/>
  <c r="K570" i="2" s="1"/>
  <c r="J570" i="2" a="1"/>
  <c r="J570" i="2" s="1"/>
  <c r="I570" i="2" a="1"/>
  <c r="I570" i="2" s="1"/>
  <c r="H570" i="2" a="1"/>
  <c r="H570" i="2" s="1"/>
  <c r="F570" i="2" a="1"/>
  <c r="F570" i="2" s="1"/>
  <c r="D570" i="2" a="1"/>
  <c r="D570" i="2" s="1"/>
  <c r="B570" i="2" a="1"/>
  <c r="B570" i="2" s="1"/>
  <c r="BD568" i="2" a="1"/>
  <c r="BD568" i="2" s="1"/>
  <c r="BC568" i="2" a="1"/>
  <c r="BC568" i="2" s="1"/>
  <c r="BA568" i="2" a="1"/>
  <c r="BA568" i="2" s="1"/>
  <c r="AZ568" i="2" a="1"/>
  <c r="AZ568" i="2" s="1"/>
  <c r="AY568" i="2" a="1"/>
  <c r="AY568" i="2" s="1"/>
  <c r="AX568" i="2" a="1"/>
  <c r="AX568" i="2" s="1"/>
  <c r="AW568" i="2" a="1"/>
  <c r="AW568" i="2" s="1"/>
  <c r="AV568" i="2" a="1"/>
  <c r="AV568" i="2" s="1"/>
  <c r="AU568" i="2" a="1"/>
  <c r="AU568" i="2" s="1"/>
  <c r="AT568" i="2" a="1"/>
  <c r="AT568" i="2" s="1"/>
  <c r="AS568" i="2" a="1"/>
  <c r="AS568" i="2" s="1"/>
  <c r="AR568" i="2" a="1"/>
  <c r="AR568" i="2" s="1"/>
  <c r="AQ568" i="2" a="1"/>
  <c r="AQ568" i="2" s="1"/>
  <c r="AP568" i="2" a="1"/>
  <c r="AP568" i="2" s="1"/>
  <c r="AO568" i="2" a="1"/>
  <c r="AO568" i="2" s="1"/>
  <c r="AN568" i="2" a="1"/>
  <c r="AN568" i="2" s="1"/>
  <c r="AM568" i="2" a="1"/>
  <c r="AM568" i="2" s="1"/>
  <c r="AL568" i="2" a="1"/>
  <c r="AL568" i="2" s="1"/>
  <c r="AK568" i="2" a="1"/>
  <c r="AK568" i="2" s="1"/>
  <c r="AJ568" i="2" a="1"/>
  <c r="AJ568" i="2" s="1"/>
  <c r="AI568" i="2" a="1"/>
  <c r="AI568" i="2" s="1"/>
  <c r="AH568" i="2" a="1"/>
  <c r="AH568" i="2" s="1"/>
  <c r="AG568" i="2" a="1"/>
  <c r="AG568" i="2" s="1"/>
  <c r="AF568" i="2" a="1"/>
  <c r="AF568" i="2" s="1"/>
  <c r="AE568" i="2" a="1"/>
  <c r="AE568" i="2" s="1"/>
  <c r="AD568" i="2" a="1"/>
  <c r="AD568" i="2" s="1"/>
  <c r="AC568" i="2" a="1"/>
  <c r="AC568" i="2" s="1"/>
  <c r="AB568" i="2"/>
  <c r="AA568" i="2" a="1"/>
  <c r="AA568" i="2" s="1"/>
  <c r="Z568" i="2" a="1"/>
  <c r="Z568" i="2" s="1"/>
  <c r="Y568" i="2" a="1"/>
  <c r="Y568" i="2" s="1"/>
  <c r="X568" i="2" a="1"/>
  <c r="X568" i="2" s="1"/>
  <c r="W568" i="2" a="1"/>
  <c r="W568" i="2" s="1"/>
  <c r="BB568" i="2" s="1" a="1"/>
  <c r="BB568" i="2" s="1"/>
  <c r="V568" i="2" a="1"/>
  <c r="V568" i="2" s="1"/>
  <c r="E568" i="2" s="1" a="1"/>
  <c r="E568" i="2" s="1"/>
  <c r="U568" i="2" a="1"/>
  <c r="U568" i="2" s="1"/>
  <c r="T568" i="2" a="1"/>
  <c r="T568" i="2" s="1"/>
  <c r="S568" i="2" a="1"/>
  <c r="S568" i="2" s="1"/>
  <c r="R568" i="2" a="1"/>
  <c r="R568" i="2" s="1"/>
  <c r="Q568" i="2" a="1"/>
  <c r="Q568" i="2" s="1"/>
  <c r="P568" i="2" a="1"/>
  <c r="P568" i="2" s="1"/>
  <c r="O568" i="2" a="1"/>
  <c r="O568" i="2" s="1"/>
  <c r="N568" i="2" a="1"/>
  <c r="N568" i="2" s="1"/>
  <c r="M568" i="2" a="1"/>
  <c r="M568" i="2" s="1"/>
  <c r="L568" i="2" a="1"/>
  <c r="L568" i="2" s="1"/>
  <c r="K568" i="2" a="1"/>
  <c r="K568" i="2" s="1"/>
  <c r="J568" i="2" a="1"/>
  <c r="J568" i="2" s="1"/>
  <c r="I568" i="2" a="1"/>
  <c r="I568" i="2" s="1"/>
  <c r="H568" i="2" a="1"/>
  <c r="H568" i="2" s="1"/>
  <c r="F568" i="2" a="1"/>
  <c r="F568" i="2" s="1"/>
  <c r="D568" i="2" a="1"/>
  <c r="D568" i="2" s="1"/>
  <c r="B568" i="2" a="1"/>
  <c r="B568" i="2" s="1"/>
  <c r="BD567" i="2" a="1"/>
  <c r="BD567" i="2" s="1"/>
  <c r="BC567" i="2" a="1"/>
  <c r="BC567" i="2" s="1"/>
  <c r="BA567" i="2" a="1"/>
  <c r="BA567" i="2" s="1"/>
  <c r="AZ567" i="2" a="1"/>
  <c r="AZ567" i="2" s="1"/>
  <c r="AY567" i="2" a="1"/>
  <c r="AY567" i="2" s="1"/>
  <c r="AX567" i="2" a="1"/>
  <c r="AX567" i="2" s="1"/>
  <c r="AW567" i="2" a="1"/>
  <c r="AW567" i="2" s="1"/>
  <c r="AV567" i="2" a="1"/>
  <c r="AV567" i="2" s="1"/>
  <c r="AU567" i="2" a="1"/>
  <c r="AU567" i="2" s="1"/>
  <c r="AT567" i="2" a="1"/>
  <c r="AT567" i="2" s="1"/>
  <c r="AS567" i="2" a="1"/>
  <c r="AS567" i="2" s="1"/>
  <c r="AR567" i="2" a="1"/>
  <c r="AR567" i="2" s="1"/>
  <c r="AQ567" i="2" a="1"/>
  <c r="AQ567" i="2" s="1"/>
  <c r="AP567" i="2" a="1"/>
  <c r="AP567" i="2" s="1"/>
  <c r="AO567" i="2" a="1"/>
  <c r="AO567" i="2" s="1"/>
  <c r="AN567" i="2" a="1"/>
  <c r="AN567" i="2" s="1"/>
  <c r="AM567" i="2" a="1"/>
  <c r="AM567" i="2" s="1"/>
  <c r="AL567" i="2" a="1"/>
  <c r="AL567" i="2" s="1"/>
  <c r="AK567" i="2" a="1"/>
  <c r="AK567" i="2" s="1"/>
  <c r="AJ567" i="2" a="1"/>
  <c r="AJ567" i="2" s="1"/>
  <c r="AI567" i="2" a="1"/>
  <c r="AI567" i="2" s="1"/>
  <c r="AH567" i="2" a="1"/>
  <c r="AH567" i="2" s="1"/>
  <c r="AG567" i="2" a="1"/>
  <c r="AG567" i="2" s="1"/>
  <c r="AF567" i="2" a="1"/>
  <c r="AF567" i="2" s="1"/>
  <c r="AE567" i="2" a="1"/>
  <c r="AE567" i="2" s="1"/>
  <c r="AD567" i="2" a="1"/>
  <c r="AD567" i="2" s="1"/>
  <c r="AC567" i="2" a="1"/>
  <c r="AC567" i="2" s="1"/>
  <c r="AB567" i="2"/>
  <c r="AA567" i="2" a="1"/>
  <c r="AA567" i="2" s="1"/>
  <c r="Z567" i="2" a="1"/>
  <c r="Z567" i="2" s="1"/>
  <c r="Y567" i="2" a="1"/>
  <c r="Y567" i="2" s="1"/>
  <c r="X567" i="2" a="1"/>
  <c r="X567" i="2" s="1"/>
  <c r="W567" i="2" a="1"/>
  <c r="W567" i="2" s="1"/>
  <c r="BB567" i="2" s="1" a="1"/>
  <c r="BB567" i="2" s="1"/>
  <c r="V567" i="2" a="1"/>
  <c r="V567" i="2" s="1"/>
  <c r="E567" i="2" s="1" a="1"/>
  <c r="E567" i="2" s="1"/>
  <c r="U567" i="2" a="1"/>
  <c r="U567" i="2" s="1"/>
  <c r="T567" i="2" a="1"/>
  <c r="T567" i="2" s="1"/>
  <c r="S567" i="2" a="1"/>
  <c r="S567" i="2" s="1"/>
  <c r="R567" i="2" a="1"/>
  <c r="R567" i="2" s="1"/>
  <c r="Q567" i="2" a="1"/>
  <c r="Q567" i="2" s="1"/>
  <c r="P567" i="2" a="1"/>
  <c r="P567" i="2" s="1"/>
  <c r="O567" i="2" a="1"/>
  <c r="O567" i="2" s="1"/>
  <c r="N567" i="2" a="1"/>
  <c r="N567" i="2" s="1"/>
  <c r="M567" i="2" a="1"/>
  <c r="M567" i="2" s="1"/>
  <c r="L567" i="2" a="1"/>
  <c r="L567" i="2" s="1"/>
  <c r="K567" i="2" a="1"/>
  <c r="K567" i="2" s="1"/>
  <c r="J567" i="2" a="1"/>
  <c r="J567" i="2" s="1"/>
  <c r="I567" i="2" a="1"/>
  <c r="I567" i="2" s="1"/>
  <c r="H567" i="2" a="1"/>
  <c r="H567" i="2" s="1"/>
  <c r="F567" i="2" a="1"/>
  <c r="F567" i="2" s="1"/>
  <c r="D567" i="2" a="1"/>
  <c r="D567" i="2" s="1"/>
  <c r="B567" i="2" a="1"/>
  <c r="B567" i="2" s="1"/>
  <c r="BD566" i="2" a="1"/>
  <c r="BD566" i="2" s="1"/>
  <c r="BC566" i="2" a="1"/>
  <c r="BC566" i="2" s="1"/>
  <c r="BA566" i="2" a="1"/>
  <c r="BA566" i="2" s="1"/>
  <c r="AZ566" i="2" a="1"/>
  <c r="AZ566" i="2" s="1"/>
  <c r="AY566" i="2" a="1"/>
  <c r="AY566" i="2" s="1"/>
  <c r="AX566" i="2" a="1"/>
  <c r="AX566" i="2" s="1"/>
  <c r="AW566" i="2" a="1"/>
  <c r="AW566" i="2" s="1"/>
  <c r="AV566" i="2" a="1"/>
  <c r="AV566" i="2" s="1"/>
  <c r="AU566" i="2" a="1"/>
  <c r="AU566" i="2" s="1"/>
  <c r="AT566" i="2" a="1"/>
  <c r="AT566" i="2" s="1"/>
  <c r="AS566" i="2" a="1"/>
  <c r="AS566" i="2" s="1"/>
  <c r="AR566" i="2" a="1"/>
  <c r="AR566" i="2" s="1"/>
  <c r="AQ566" i="2" a="1"/>
  <c r="AQ566" i="2" s="1"/>
  <c r="AP566" i="2" a="1"/>
  <c r="AP566" i="2" s="1"/>
  <c r="AO566" i="2" a="1"/>
  <c r="AO566" i="2" s="1"/>
  <c r="AN566" i="2" a="1"/>
  <c r="AN566" i="2" s="1"/>
  <c r="AM566" i="2" a="1"/>
  <c r="AM566" i="2" s="1"/>
  <c r="AL566" i="2" a="1"/>
  <c r="AL566" i="2" s="1"/>
  <c r="AK566" i="2" a="1"/>
  <c r="AK566" i="2" s="1"/>
  <c r="AJ566" i="2" a="1"/>
  <c r="AJ566" i="2" s="1"/>
  <c r="AI566" i="2" a="1"/>
  <c r="AI566" i="2" s="1"/>
  <c r="AH566" i="2" a="1"/>
  <c r="AH566" i="2" s="1"/>
  <c r="AG566" i="2" a="1"/>
  <c r="AG566" i="2" s="1"/>
  <c r="AF566" i="2" a="1"/>
  <c r="AF566" i="2" s="1"/>
  <c r="AE566" i="2" a="1"/>
  <c r="AE566" i="2" s="1"/>
  <c r="AD566" i="2" a="1"/>
  <c r="AD566" i="2" s="1"/>
  <c r="AC566" i="2" a="1"/>
  <c r="AC566" i="2" s="1"/>
  <c r="AB566" i="2"/>
  <c r="AA566" i="2" a="1"/>
  <c r="AA566" i="2" s="1"/>
  <c r="Z566" i="2" a="1"/>
  <c r="Z566" i="2" s="1"/>
  <c r="Y566" i="2" a="1"/>
  <c r="Y566" i="2" s="1"/>
  <c r="X566" i="2" a="1"/>
  <c r="X566" i="2" s="1"/>
  <c r="W566" i="2" a="1"/>
  <c r="W566" i="2" s="1"/>
  <c r="BB566" i="2" s="1" a="1"/>
  <c r="BB566" i="2" s="1"/>
  <c r="V566" i="2" a="1"/>
  <c r="V566" i="2" s="1"/>
  <c r="E566" i="2" s="1" a="1"/>
  <c r="E566" i="2" s="1"/>
  <c r="U566" i="2" a="1"/>
  <c r="U566" i="2" s="1"/>
  <c r="T566" i="2" a="1"/>
  <c r="T566" i="2" s="1"/>
  <c r="S566" i="2" a="1"/>
  <c r="S566" i="2" s="1"/>
  <c r="R566" i="2" a="1"/>
  <c r="R566" i="2" s="1"/>
  <c r="Q566" i="2" a="1"/>
  <c r="Q566" i="2" s="1"/>
  <c r="P566" i="2" a="1"/>
  <c r="P566" i="2" s="1"/>
  <c r="O566" i="2" a="1"/>
  <c r="O566" i="2" s="1"/>
  <c r="N566" i="2" a="1"/>
  <c r="N566" i="2" s="1"/>
  <c r="M566" i="2" a="1"/>
  <c r="M566" i="2" s="1"/>
  <c r="L566" i="2" a="1"/>
  <c r="L566" i="2" s="1"/>
  <c r="K566" i="2" a="1"/>
  <c r="K566" i="2" s="1"/>
  <c r="J566" i="2" a="1"/>
  <c r="J566" i="2" s="1"/>
  <c r="I566" i="2" a="1"/>
  <c r="I566" i="2" s="1"/>
  <c r="H566" i="2" a="1"/>
  <c r="H566" i="2" s="1"/>
  <c r="F566" i="2" a="1"/>
  <c r="F566" i="2" s="1"/>
  <c r="D566" i="2" a="1"/>
  <c r="D566" i="2" s="1"/>
  <c r="B566" i="2" a="1"/>
  <c r="B566" i="2" s="1"/>
  <c r="BD565" i="2" a="1"/>
  <c r="BD565" i="2" s="1"/>
  <c r="BC565" i="2" a="1"/>
  <c r="BC565" i="2" s="1"/>
  <c r="BA565" i="2" a="1"/>
  <c r="BA565" i="2" s="1"/>
  <c r="AZ565" i="2" a="1"/>
  <c r="AZ565" i="2" s="1"/>
  <c r="AY565" i="2" a="1"/>
  <c r="AY565" i="2" s="1"/>
  <c r="AX565" i="2" a="1"/>
  <c r="AX565" i="2" s="1"/>
  <c r="AW565" i="2" a="1"/>
  <c r="AW565" i="2" s="1"/>
  <c r="AV565" i="2" a="1"/>
  <c r="AV565" i="2" s="1"/>
  <c r="AU565" i="2" a="1"/>
  <c r="AU565" i="2" s="1"/>
  <c r="AT565" i="2" a="1"/>
  <c r="AT565" i="2" s="1"/>
  <c r="AS565" i="2" a="1"/>
  <c r="AS565" i="2" s="1"/>
  <c r="AR565" i="2" a="1"/>
  <c r="AR565" i="2" s="1"/>
  <c r="AQ565" i="2" a="1"/>
  <c r="AQ565" i="2" s="1"/>
  <c r="AP565" i="2" a="1"/>
  <c r="AP565" i="2" s="1"/>
  <c r="AO565" i="2" a="1"/>
  <c r="AO565" i="2" s="1"/>
  <c r="AN565" i="2" a="1"/>
  <c r="AN565" i="2" s="1"/>
  <c r="AM565" i="2" a="1"/>
  <c r="AM565" i="2" s="1"/>
  <c r="AL565" i="2" a="1"/>
  <c r="AL565" i="2" s="1"/>
  <c r="AK565" i="2" a="1"/>
  <c r="AK565" i="2" s="1"/>
  <c r="AJ565" i="2" a="1"/>
  <c r="AJ565" i="2" s="1"/>
  <c r="AI565" i="2" a="1"/>
  <c r="AI565" i="2" s="1"/>
  <c r="AH565" i="2" a="1"/>
  <c r="AH565" i="2" s="1"/>
  <c r="AG565" i="2" a="1"/>
  <c r="AG565" i="2" s="1"/>
  <c r="AF565" i="2" a="1"/>
  <c r="AF565" i="2" s="1"/>
  <c r="AE565" i="2" a="1"/>
  <c r="AE565" i="2" s="1"/>
  <c r="AD565" i="2" a="1"/>
  <c r="AD565" i="2" s="1"/>
  <c r="AC565" i="2" a="1"/>
  <c r="AC565" i="2" s="1"/>
  <c r="AB565" i="2"/>
  <c r="AA565" i="2" a="1"/>
  <c r="AA565" i="2" s="1"/>
  <c r="Z565" i="2" a="1"/>
  <c r="Z565" i="2" s="1"/>
  <c r="Y565" i="2" a="1"/>
  <c r="Y565" i="2" s="1"/>
  <c r="X565" i="2" a="1"/>
  <c r="X565" i="2" s="1"/>
  <c r="W565" i="2" a="1"/>
  <c r="W565" i="2" s="1"/>
  <c r="BB565" i="2" s="1" a="1"/>
  <c r="BB565" i="2" s="1"/>
  <c r="V565" i="2" a="1"/>
  <c r="V565" i="2" s="1"/>
  <c r="E565" i="2" s="1" a="1"/>
  <c r="E565" i="2" s="1"/>
  <c r="U565" i="2" a="1"/>
  <c r="U565" i="2" s="1"/>
  <c r="T565" i="2" a="1"/>
  <c r="T565" i="2" s="1"/>
  <c r="S565" i="2" a="1"/>
  <c r="S565" i="2" s="1"/>
  <c r="R565" i="2" a="1"/>
  <c r="R565" i="2" s="1"/>
  <c r="Q565" i="2" a="1"/>
  <c r="Q565" i="2" s="1"/>
  <c r="P565" i="2" a="1"/>
  <c r="P565" i="2" s="1"/>
  <c r="O565" i="2" a="1"/>
  <c r="O565" i="2" s="1"/>
  <c r="N565" i="2" a="1"/>
  <c r="N565" i="2" s="1"/>
  <c r="M565" i="2" a="1"/>
  <c r="M565" i="2" s="1"/>
  <c r="L565" i="2" a="1"/>
  <c r="L565" i="2" s="1"/>
  <c r="K565" i="2" a="1"/>
  <c r="K565" i="2" s="1"/>
  <c r="J565" i="2" a="1"/>
  <c r="J565" i="2" s="1"/>
  <c r="I565" i="2" a="1"/>
  <c r="I565" i="2" s="1"/>
  <c r="H565" i="2" a="1"/>
  <c r="H565" i="2" s="1"/>
  <c r="F565" i="2" a="1"/>
  <c r="F565" i="2" s="1"/>
  <c r="D565" i="2" a="1"/>
  <c r="D565" i="2" s="1"/>
  <c r="B565" i="2" a="1"/>
  <c r="B565" i="2" s="1"/>
  <c r="BD564" i="2" a="1"/>
  <c r="BD564" i="2" s="1"/>
  <c r="BC564" i="2" a="1"/>
  <c r="BC564" i="2" s="1"/>
  <c r="BA564" i="2" a="1"/>
  <c r="BA564" i="2" s="1"/>
  <c r="AZ564" i="2" a="1"/>
  <c r="AZ564" i="2" s="1"/>
  <c r="AY564" i="2" a="1"/>
  <c r="AY564" i="2" s="1"/>
  <c r="AX564" i="2" a="1"/>
  <c r="AX564" i="2" s="1"/>
  <c r="AW564" i="2" a="1"/>
  <c r="AW564" i="2" s="1"/>
  <c r="AV564" i="2" a="1"/>
  <c r="AV564" i="2" s="1"/>
  <c r="AU564" i="2" a="1"/>
  <c r="AU564" i="2" s="1"/>
  <c r="AT564" i="2" a="1"/>
  <c r="AT564" i="2" s="1"/>
  <c r="AS564" i="2" a="1"/>
  <c r="AS564" i="2" s="1"/>
  <c r="AR564" i="2" a="1"/>
  <c r="AR564" i="2" s="1"/>
  <c r="AQ564" i="2" a="1"/>
  <c r="AQ564" i="2" s="1"/>
  <c r="AP564" i="2" a="1"/>
  <c r="AP564" i="2" s="1"/>
  <c r="AO564" i="2" a="1"/>
  <c r="AO564" i="2" s="1"/>
  <c r="AN564" i="2" a="1"/>
  <c r="AN564" i="2" s="1"/>
  <c r="AM564" i="2" a="1"/>
  <c r="AM564" i="2" s="1"/>
  <c r="AL564" i="2" a="1"/>
  <c r="AL564" i="2" s="1"/>
  <c r="AK564" i="2" a="1"/>
  <c r="AK564" i="2" s="1"/>
  <c r="AJ564" i="2" a="1"/>
  <c r="AJ564" i="2" s="1"/>
  <c r="AI564" i="2" a="1"/>
  <c r="AI564" i="2" s="1"/>
  <c r="AH564" i="2" a="1"/>
  <c r="AH564" i="2" s="1"/>
  <c r="AG564" i="2" a="1"/>
  <c r="AG564" i="2" s="1"/>
  <c r="AF564" i="2" a="1"/>
  <c r="AF564" i="2" s="1"/>
  <c r="AE564" i="2" a="1"/>
  <c r="AE564" i="2" s="1"/>
  <c r="AD564" i="2" a="1"/>
  <c r="AD564" i="2" s="1"/>
  <c r="AC564" i="2" a="1"/>
  <c r="AC564" i="2" s="1"/>
  <c r="AB564" i="2"/>
  <c r="AA564" i="2" a="1"/>
  <c r="AA564" i="2" s="1"/>
  <c r="Z564" i="2" a="1"/>
  <c r="Z564" i="2" s="1"/>
  <c r="Y564" i="2" a="1"/>
  <c r="Y564" i="2" s="1"/>
  <c r="X564" i="2" a="1"/>
  <c r="X564" i="2" s="1"/>
  <c r="W564" i="2" a="1"/>
  <c r="W564" i="2" s="1"/>
  <c r="BB564" i="2" s="1" a="1"/>
  <c r="BB564" i="2" s="1"/>
  <c r="V564" i="2" a="1"/>
  <c r="V564" i="2" s="1"/>
  <c r="E564" i="2" s="1" a="1"/>
  <c r="E564" i="2" s="1"/>
  <c r="U564" i="2" a="1"/>
  <c r="U564" i="2" s="1"/>
  <c r="T564" i="2" a="1"/>
  <c r="T564" i="2" s="1"/>
  <c r="S564" i="2" a="1"/>
  <c r="S564" i="2" s="1"/>
  <c r="R564" i="2" a="1"/>
  <c r="R564" i="2" s="1"/>
  <c r="Q564" i="2" a="1"/>
  <c r="Q564" i="2" s="1"/>
  <c r="P564" i="2" a="1"/>
  <c r="P564" i="2" s="1"/>
  <c r="O564" i="2" a="1"/>
  <c r="O564" i="2" s="1"/>
  <c r="N564" i="2" a="1"/>
  <c r="N564" i="2" s="1"/>
  <c r="M564" i="2" a="1"/>
  <c r="M564" i="2" s="1"/>
  <c r="L564" i="2" a="1"/>
  <c r="L564" i="2" s="1"/>
  <c r="K564" i="2" a="1"/>
  <c r="K564" i="2" s="1"/>
  <c r="J564" i="2" a="1"/>
  <c r="J564" i="2" s="1"/>
  <c r="I564" i="2" a="1"/>
  <c r="I564" i="2" s="1"/>
  <c r="H564" i="2" a="1"/>
  <c r="H564" i="2" s="1"/>
  <c r="F564" i="2" a="1"/>
  <c r="F564" i="2" s="1"/>
  <c r="D564" i="2" a="1"/>
  <c r="D564" i="2" s="1"/>
  <c r="B564" i="2" a="1"/>
  <c r="B564" i="2" s="1"/>
  <c r="BD563" i="2" a="1"/>
  <c r="BD563" i="2" s="1"/>
  <c r="BC563" i="2" a="1"/>
  <c r="BC563" i="2" s="1"/>
  <c r="BA563" i="2" a="1"/>
  <c r="BA563" i="2" s="1"/>
  <c r="AZ563" i="2" a="1"/>
  <c r="AZ563" i="2" s="1"/>
  <c r="AY563" i="2" a="1"/>
  <c r="AY563" i="2" s="1"/>
  <c r="AX563" i="2" a="1"/>
  <c r="AX563" i="2" s="1"/>
  <c r="AW563" i="2" a="1"/>
  <c r="AW563" i="2" s="1"/>
  <c r="AV563" i="2" a="1"/>
  <c r="AV563" i="2" s="1"/>
  <c r="AU563" i="2" a="1"/>
  <c r="AU563" i="2" s="1"/>
  <c r="AT563" i="2" a="1"/>
  <c r="AT563" i="2" s="1"/>
  <c r="AS563" i="2" a="1"/>
  <c r="AS563" i="2" s="1"/>
  <c r="AR563" i="2" a="1"/>
  <c r="AR563" i="2" s="1"/>
  <c r="AQ563" i="2" a="1"/>
  <c r="AQ563" i="2" s="1"/>
  <c r="AP563" i="2" a="1"/>
  <c r="AP563" i="2" s="1"/>
  <c r="AO563" i="2" a="1"/>
  <c r="AO563" i="2" s="1"/>
  <c r="AN563" i="2" a="1"/>
  <c r="AN563" i="2" s="1"/>
  <c r="AM563" i="2" a="1"/>
  <c r="AM563" i="2" s="1"/>
  <c r="AL563" i="2" a="1"/>
  <c r="AL563" i="2" s="1"/>
  <c r="AK563" i="2" a="1"/>
  <c r="AK563" i="2" s="1"/>
  <c r="AJ563" i="2" a="1"/>
  <c r="AJ563" i="2" s="1"/>
  <c r="AI563" i="2" a="1"/>
  <c r="AI563" i="2" s="1"/>
  <c r="AH563" i="2" a="1"/>
  <c r="AH563" i="2" s="1"/>
  <c r="AG563" i="2" a="1"/>
  <c r="AG563" i="2" s="1"/>
  <c r="AF563" i="2" a="1"/>
  <c r="AF563" i="2" s="1"/>
  <c r="AE563" i="2" a="1"/>
  <c r="AE563" i="2" s="1"/>
  <c r="AD563" i="2" a="1"/>
  <c r="AD563" i="2" s="1"/>
  <c r="AC563" i="2" a="1"/>
  <c r="AC563" i="2" s="1"/>
  <c r="AB563" i="2"/>
  <c r="AA563" i="2" a="1"/>
  <c r="AA563" i="2" s="1"/>
  <c r="Z563" i="2" a="1"/>
  <c r="Z563" i="2" s="1"/>
  <c r="Y563" i="2" a="1"/>
  <c r="Y563" i="2" s="1"/>
  <c r="X563" i="2" a="1"/>
  <c r="X563" i="2" s="1"/>
  <c r="W563" i="2" a="1"/>
  <c r="W563" i="2" s="1"/>
  <c r="BB563" i="2" s="1" a="1"/>
  <c r="BB563" i="2" s="1"/>
  <c r="V563" i="2" a="1"/>
  <c r="V563" i="2" s="1"/>
  <c r="E563" i="2" s="1" a="1"/>
  <c r="E563" i="2" s="1"/>
  <c r="U563" i="2" a="1"/>
  <c r="U563" i="2" s="1"/>
  <c r="T563" i="2" a="1"/>
  <c r="T563" i="2" s="1"/>
  <c r="S563" i="2" a="1"/>
  <c r="S563" i="2" s="1"/>
  <c r="R563" i="2" a="1"/>
  <c r="R563" i="2" s="1"/>
  <c r="Q563" i="2" a="1"/>
  <c r="Q563" i="2" s="1"/>
  <c r="P563" i="2" a="1"/>
  <c r="P563" i="2" s="1"/>
  <c r="O563" i="2" a="1"/>
  <c r="O563" i="2" s="1"/>
  <c r="N563" i="2" a="1"/>
  <c r="N563" i="2" s="1"/>
  <c r="M563" i="2" a="1"/>
  <c r="M563" i="2" s="1"/>
  <c r="L563" i="2" a="1"/>
  <c r="L563" i="2" s="1"/>
  <c r="K563" i="2" a="1"/>
  <c r="K563" i="2" s="1"/>
  <c r="J563" i="2" a="1"/>
  <c r="J563" i="2" s="1"/>
  <c r="I563" i="2" a="1"/>
  <c r="I563" i="2" s="1"/>
  <c r="H563" i="2" a="1"/>
  <c r="H563" i="2" s="1"/>
  <c r="F563" i="2" a="1"/>
  <c r="F563" i="2" s="1"/>
  <c r="D563" i="2" a="1"/>
  <c r="D563" i="2" s="1"/>
  <c r="B563" i="2" a="1"/>
  <c r="B563" i="2" s="1"/>
  <c r="BD559" i="2" a="1"/>
  <c r="BD559" i="2" s="1"/>
  <c r="BC559" i="2" a="1"/>
  <c r="BC559" i="2" s="1"/>
  <c r="AZ559" i="2" a="1"/>
  <c r="AZ559" i="2" s="1"/>
  <c r="AY559" i="2" a="1"/>
  <c r="AY559" i="2" s="1"/>
  <c r="AX559" i="2" a="1"/>
  <c r="AX559" i="2" s="1"/>
  <c r="AW559" i="2" a="1"/>
  <c r="AW559" i="2" s="1"/>
  <c r="AV559" i="2" a="1"/>
  <c r="AV559" i="2" s="1"/>
  <c r="AU559" i="2" a="1"/>
  <c r="AU559" i="2" s="1"/>
  <c r="AT559" i="2" a="1"/>
  <c r="AT559" i="2" s="1"/>
  <c r="AS559" i="2" a="1"/>
  <c r="AS559" i="2" s="1"/>
  <c r="AR559" i="2" a="1"/>
  <c r="AR559" i="2" s="1"/>
  <c r="AQ559" i="2" a="1"/>
  <c r="AQ559" i="2" s="1"/>
  <c r="AP559" i="2" a="1"/>
  <c r="AP559" i="2" s="1"/>
  <c r="AO559" i="2" a="1"/>
  <c r="AO559" i="2" s="1"/>
  <c r="AN559" i="2" a="1"/>
  <c r="AN559" i="2" s="1"/>
  <c r="AM559" i="2" a="1"/>
  <c r="AM559" i="2" s="1"/>
  <c r="AL559" i="2" a="1"/>
  <c r="AL559" i="2" s="1"/>
  <c r="AK559" i="2" a="1"/>
  <c r="AK559" i="2" s="1"/>
  <c r="AJ559" i="2" a="1"/>
  <c r="AJ559" i="2" s="1"/>
  <c r="AI559" i="2" a="1"/>
  <c r="AI559" i="2" s="1"/>
  <c r="AH559" i="2" a="1"/>
  <c r="AH559" i="2" s="1"/>
  <c r="AG559" i="2" a="1"/>
  <c r="AG559" i="2" s="1"/>
  <c r="AF559" i="2" a="1"/>
  <c r="AF559" i="2" s="1"/>
  <c r="AE559" i="2" a="1"/>
  <c r="AE559" i="2" s="1"/>
  <c r="AD559" i="2" a="1"/>
  <c r="AD559" i="2" s="1"/>
  <c r="AC559" i="2" a="1"/>
  <c r="AC559" i="2" s="1"/>
  <c r="AB559" i="2" a="1"/>
  <c r="AB559" i="2" s="1"/>
  <c r="AA559" i="2" a="1"/>
  <c r="AA559" i="2" s="1"/>
  <c r="Z559" i="2" a="1"/>
  <c r="Z559" i="2" s="1"/>
  <c r="Y559" i="2" a="1"/>
  <c r="Y559" i="2" s="1"/>
  <c r="X559" i="2" a="1"/>
  <c r="X559" i="2" s="1"/>
  <c r="W559" i="2" a="1"/>
  <c r="W559" i="2" s="1"/>
  <c r="V559" i="2" a="1"/>
  <c r="V559" i="2" s="1"/>
  <c r="E559" i="2" s="1" a="1"/>
  <c r="E559" i="2" s="1"/>
  <c r="U559" i="2" a="1"/>
  <c r="U559" i="2" s="1"/>
  <c r="T559" i="2" a="1"/>
  <c r="T559" i="2" s="1"/>
  <c r="S559" i="2" a="1"/>
  <c r="S559" i="2" s="1"/>
  <c r="R559" i="2" a="1"/>
  <c r="R559" i="2" s="1"/>
  <c r="Q559" i="2" a="1"/>
  <c r="Q559" i="2" s="1"/>
  <c r="P559" i="2" a="1"/>
  <c r="P559" i="2" s="1"/>
  <c r="O559" i="2" a="1"/>
  <c r="O559" i="2" s="1"/>
  <c r="N559" i="2" a="1"/>
  <c r="N559" i="2" s="1"/>
  <c r="M559" i="2" a="1"/>
  <c r="M559" i="2" s="1"/>
  <c r="L559" i="2" a="1"/>
  <c r="L559" i="2" s="1"/>
  <c r="K559" i="2" a="1"/>
  <c r="K559" i="2" s="1"/>
  <c r="J559" i="2" a="1"/>
  <c r="J559" i="2" s="1"/>
  <c r="I559" i="2" a="1"/>
  <c r="I559" i="2" s="1"/>
  <c r="H559" i="2" a="1"/>
  <c r="H559" i="2" s="1"/>
  <c r="F559" i="2" a="1"/>
  <c r="F559" i="2" s="1"/>
  <c r="D559" i="2" a="1"/>
  <c r="D559" i="2" s="1"/>
  <c r="B559" i="2" a="1"/>
  <c r="B559" i="2" s="1"/>
  <c r="BD555" i="2" a="1"/>
  <c r="BD555" i="2" s="1"/>
  <c r="BC555" i="2" a="1"/>
  <c r="BC555" i="2" s="1"/>
  <c r="BA555" i="2" a="1"/>
  <c r="BA555" i="2" s="1"/>
  <c r="AZ555" i="2" a="1"/>
  <c r="AZ555" i="2" s="1"/>
  <c r="AY555" i="2" a="1"/>
  <c r="AY555" i="2" s="1"/>
  <c r="AX555" i="2" a="1"/>
  <c r="AX555" i="2" s="1"/>
  <c r="AW555" i="2" a="1"/>
  <c r="AW555" i="2" s="1"/>
  <c r="AV555" i="2" a="1"/>
  <c r="AV555" i="2" s="1"/>
  <c r="AU555" i="2" a="1"/>
  <c r="AU555" i="2" s="1"/>
  <c r="AT555" i="2" a="1"/>
  <c r="AT555" i="2" s="1"/>
  <c r="AS555" i="2" a="1"/>
  <c r="AS555" i="2" s="1"/>
  <c r="AR555" i="2" a="1"/>
  <c r="AR555" i="2" s="1"/>
  <c r="AQ555" i="2" a="1"/>
  <c r="AQ555" i="2" s="1"/>
  <c r="AP555" i="2" a="1"/>
  <c r="AP555" i="2" s="1"/>
  <c r="AO555" i="2" a="1"/>
  <c r="AO555" i="2" s="1"/>
  <c r="AN555" i="2" a="1"/>
  <c r="AN555" i="2" s="1"/>
  <c r="AM555" i="2" a="1"/>
  <c r="AM555" i="2" s="1"/>
  <c r="AL555" i="2" a="1"/>
  <c r="AL555" i="2" s="1"/>
  <c r="AK555" i="2" a="1"/>
  <c r="AK555" i="2" s="1"/>
  <c r="AJ555" i="2" a="1"/>
  <c r="AJ555" i="2" s="1"/>
  <c r="AI555" i="2" a="1"/>
  <c r="AI555" i="2" s="1"/>
  <c r="AH555" i="2" a="1"/>
  <c r="AH555" i="2" s="1"/>
  <c r="AG555" i="2" a="1"/>
  <c r="AG555" i="2" s="1"/>
  <c r="AF555" i="2" a="1"/>
  <c r="AF555" i="2" s="1"/>
  <c r="AE555" i="2" a="1"/>
  <c r="AE555" i="2" s="1"/>
  <c r="AD555" i="2" a="1"/>
  <c r="AD555" i="2" s="1"/>
  <c r="AC555" i="2" a="1"/>
  <c r="AC555" i="2" s="1"/>
  <c r="AB555" i="2"/>
  <c r="AA555" i="2" a="1"/>
  <c r="AA555" i="2" s="1"/>
  <c r="Z555" i="2" a="1"/>
  <c r="Z555" i="2" s="1"/>
  <c r="Y555" i="2" a="1"/>
  <c r="Y555" i="2" s="1"/>
  <c r="X555" i="2" a="1"/>
  <c r="X555" i="2" s="1"/>
  <c r="W555" i="2" a="1"/>
  <c r="W555" i="2" s="1"/>
  <c r="BB555" i="2" s="1" a="1"/>
  <c r="BB555" i="2" s="1"/>
  <c r="V555" i="2" a="1"/>
  <c r="V555" i="2" s="1"/>
  <c r="E555" i="2" s="1" a="1"/>
  <c r="E555" i="2" s="1"/>
  <c r="U555" i="2" a="1"/>
  <c r="U555" i="2" s="1"/>
  <c r="T555" i="2" a="1"/>
  <c r="T555" i="2" s="1"/>
  <c r="S555" i="2" a="1"/>
  <c r="S555" i="2" s="1"/>
  <c r="R555" i="2" a="1"/>
  <c r="R555" i="2" s="1"/>
  <c r="Q555" i="2" a="1"/>
  <c r="Q555" i="2" s="1"/>
  <c r="P555" i="2" a="1"/>
  <c r="P555" i="2" s="1"/>
  <c r="O555" i="2" a="1"/>
  <c r="O555" i="2" s="1"/>
  <c r="N555" i="2" a="1"/>
  <c r="N555" i="2" s="1"/>
  <c r="M555" i="2" a="1"/>
  <c r="M555" i="2" s="1"/>
  <c r="L555" i="2" a="1"/>
  <c r="L555" i="2" s="1"/>
  <c r="K555" i="2" a="1"/>
  <c r="K555" i="2" s="1"/>
  <c r="J555" i="2" a="1"/>
  <c r="J555" i="2" s="1"/>
  <c r="I555" i="2" a="1"/>
  <c r="I555" i="2" s="1"/>
  <c r="H555" i="2" a="1"/>
  <c r="H555" i="2" s="1"/>
  <c r="F555" i="2" a="1"/>
  <c r="F555" i="2" s="1"/>
  <c r="D555" i="2" a="1"/>
  <c r="D555" i="2" s="1"/>
  <c r="B555" i="2" a="1"/>
  <c r="B555" i="2" s="1"/>
  <c r="BD554" i="2" a="1"/>
  <c r="BD554" i="2" s="1"/>
  <c r="BC554" i="2" a="1"/>
  <c r="BC554" i="2" s="1"/>
  <c r="BA554" i="2" a="1"/>
  <c r="BA554" i="2" s="1"/>
  <c r="AZ554" i="2" a="1"/>
  <c r="AZ554" i="2" s="1"/>
  <c r="AY554" i="2" a="1"/>
  <c r="AY554" i="2" s="1"/>
  <c r="AX554" i="2" a="1"/>
  <c r="AX554" i="2" s="1"/>
  <c r="AW554" i="2" a="1"/>
  <c r="AW554" i="2" s="1"/>
  <c r="AV554" i="2" a="1"/>
  <c r="AV554" i="2" s="1"/>
  <c r="AU554" i="2" a="1"/>
  <c r="AU554" i="2" s="1"/>
  <c r="AT554" i="2" a="1"/>
  <c r="AT554" i="2" s="1"/>
  <c r="AS554" i="2" a="1"/>
  <c r="AS554" i="2" s="1"/>
  <c r="AR554" i="2" a="1"/>
  <c r="AR554" i="2" s="1"/>
  <c r="AQ554" i="2" a="1"/>
  <c r="AQ554" i="2" s="1"/>
  <c r="AP554" i="2" a="1"/>
  <c r="AP554" i="2" s="1"/>
  <c r="AO554" i="2" a="1"/>
  <c r="AO554" i="2" s="1"/>
  <c r="AN554" i="2" a="1"/>
  <c r="AN554" i="2" s="1"/>
  <c r="AM554" i="2" a="1"/>
  <c r="AM554" i="2" s="1"/>
  <c r="AL554" i="2" a="1"/>
  <c r="AL554" i="2" s="1"/>
  <c r="AK554" i="2" a="1"/>
  <c r="AK554" i="2" s="1"/>
  <c r="AJ554" i="2" a="1"/>
  <c r="AJ554" i="2" s="1"/>
  <c r="AI554" i="2" a="1"/>
  <c r="AI554" i="2" s="1"/>
  <c r="AH554" i="2" a="1"/>
  <c r="AH554" i="2" s="1"/>
  <c r="AG554" i="2" a="1"/>
  <c r="AG554" i="2" s="1"/>
  <c r="AF554" i="2" a="1"/>
  <c r="AF554" i="2" s="1"/>
  <c r="AE554" i="2" a="1"/>
  <c r="AE554" i="2" s="1"/>
  <c r="AD554" i="2" a="1"/>
  <c r="AD554" i="2" s="1"/>
  <c r="AC554" i="2" a="1"/>
  <c r="AC554" i="2" s="1"/>
  <c r="AB554" i="2"/>
  <c r="AA554" i="2" a="1"/>
  <c r="AA554" i="2" s="1"/>
  <c r="Z554" i="2" a="1"/>
  <c r="Z554" i="2" s="1"/>
  <c r="Y554" i="2" a="1"/>
  <c r="Y554" i="2" s="1"/>
  <c r="X554" i="2" a="1"/>
  <c r="X554" i="2" s="1"/>
  <c r="W554" i="2" a="1"/>
  <c r="W554" i="2" s="1"/>
  <c r="BB554" i="2" s="1" a="1"/>
  <c r="BB554" i="2" s="1"/>
  <c r="V554" i="2" a="1"/>
  <c r="V554" i="2" s="1"/>
  <c r="E554" i="2" s="1" a="1"/>
  <c r="E554" i="2" s="1"/>
  <c r="U554" i="2" a="1"/>
  <c r="U554" i="2" s="1"/>
  <c r="T554" i="2" a="1"/>
  <c r="T554" i="2" s="1"/>
  <c r="S554" i="2" a="1"/>
  <c r="S554" i="2" s="1"/>
  <c r="R554" i="2" a="1"/>
  <c r="R554" i="2" s="1"/>
  <c r="Q554" i="2" a="1"/>
  <c r="Q554" i="2" s="1"/>
  <c r="P554" i="2" a="1"/>
  <c r="P554" i="2" s="1"/>
  <c r="O554" i="2" a="1"/>
  <c r="O554" i="2" s="1"/>
  <c r="N554" i="2" a="1"/>
  <c r="N554" i="2" s="1"/>
  <c r="M554" i="2" a="1"/>
  <c r="M554" i="2" s="1"/>
  <c r="L554" i="2" a="1"/>
  <c r="L554" i="2" s="1"/>
  <c r="K554" i="2" a="1"/>
  <c r="K554" i="2" s="1"/>
  <c r="J554" i="2" a="1"/>
  <c r="J554" i="2" s="1"/>
  <c r="I554" i="2" a="1"/>
  <c r="I554" i="2" s="1"/>
  <c r="H554" i="2" a="1"/>
  <c r="H554" i="2" s="1"/>
  <c r="F554" i="2" a="1"/>
  <c r="F554" i="2" s="1"/>
  <c r="D554" i="2" a="1"/>
  <c r="D554" i="2" s="1"/>
  <c r="B554" i="2" a="1"/>
  <c r="B554" i="2" s="1"/>
  <c r="BD553" i="2" a="1"/>
  <c r="BD553" i="2" s="1"/>
  <c r="BC553" i="2" a="1"/>
  <c r="BC553" i="2" s="1"/>
  <c r="BA553" i="2" a="1"/>
  <c r="BA553" i="2" s="1"/>
  <c r="AZ553" i="2" a="1"/>
  <c r="AZ553" i="2" s="1"/>
  <c r="AY553" i="2" a="1"/>
  <c r="AY553" i="2" s="1"/>
  <c r="AX553" i="2" a="1"/>
  <c r="AX553" i="2" s="1"/>
  <c r="AW553" i="2" a="1"/>
  <c r="AW553" i="2" s="1"/>
  <c r="AV553" i="2" a="1"/>
  <c r="AV553" i="2" s="1"/>
  <c r="AU553" i="2" a="1"/>
  <c r="AU553" i="2" s="1"/>
  <c r="AT553" i="2" a="1"/>
  <c r="AT553" i="2" s="1"/>
  <c r="AS553" i="2" a="1"/>
  <c r="AS553" i="2" s="1"/>
  <c r="AR553" i="2" a="1"/>
  <c r="AR553" i="2" s="1"/>
  <c r="AQ553" i="2" a="1"/>
  <c r="AQ553" i="2" s="1"/>
  <c r="AP553" i="2" a="1"/>
  <c r="AP553" i="2" s="1"/>
  <c r="AO553" i="2" a="1"/>
  <c r="AO553" i="2" s="1"/>
  <c r="AN553" i="2" a="1"/>
  <c r="AN553" i="2" s="1"/>
  <c r="AM553" i="2" a="1"/>
  <c r="AM553" i="2" s="1"/>
  <c r="AL553" i="2" a="1"/>
  <c r="AL553" i="2" s="1"/>
  <c r="AK553" i="2" a="1"/>
  <c r="AK553" i="2" s="1"/>
  <c r="AJ553" i="2" a="1"/>
  <c r="AJ553" i="2" s="1"/>
  <c r="AI553" i="2" a="1"/>
  <c r="AI553" i="2" s="1"/>
  <c r="AH553" i="2" a="1"/>
  <c r="AH553" i="2" s="1"/>
  <c r="AG553" i="2" a="1"/>
  <c r="AG553" i="2" s="1"/>
  <c r="AF553" i="2" a="1"/>
  <c r="AF553" i="2" s="1"/>
  <c r="AE553" i="2" a="1"/>
  <c r="AE553" i="2" s="1"/>
  <c r="AD553" i="2" a="1"/>
  <c r="AD553" i="2" s="1"/>
  <c r="AC553" i="2" a="1"/>
  <c r="AC553" i="2" s="1"/>
  <c r="AB553" i="2"/>
  <c r="AA553" i="2" a="1"/>
  <c r="AA553" i="2" s="1"/>
  <c r="Z553" i="2" a="1"/>
  <c r="Z553" i="2" s="1"/>
  <c r="Y553" i="2" a="1"/>
  <c r="Y553" i="2" s="1"/>
  <c r="X553" i="2" a="1"/>
  <c r="X553" i="2" s="1"/>
  <c r="W553" i="2" a="1"/>
  <c r="W553" i="2" s="1"/>
  <c r="BB553" i="2" s="1" a="1"/>
  <c r="BB553" i="2" s="1"/>
  <c r="V553" i="2" a="1"/>
  <c r="V553" i="2" s="1"/>
  <c r="E553" i="2" s="1" a="1"/>
  <c r="E553" i="2" s="1"/>
  <c r="U553" i="2" a="1"/>
  <c r="U553" i="2" s="1"/>
  <c r="T553" i="2" a="1"/>
  <c r="T553" i="2" s="1"/>
  <c r="S553" i="2" a="1"/>
  <c r="S553" i="2" s="1"/>
  <c r="R553" i="2" a="1"/>
  <c r="R553" i="2" s="1"/>
  <c r="Q553" i="2" a="1"/>
  <c r="Q553" i="2" s="1"/>
  <c r="P553" i="2" a="1"/>
  <c r="P553" i="2" s="1"/>
  <c r="O553" i="2" a="1"/>
  <c r="O553" i="2" s="1"/>
  <c r="N553" i="2" a="1"/>
  <c r="N553" i="2" s="1"/>
  <c r="M553" i="2" a="1"/>
  <c r="M553" i="2" s="1"/>
  <c r="L553" i="2" a="1"/>
  <c r="L553" i="2" s="1"/>
  <c r="K553" i="2" a="1"/>
  <c r="K553" i="2" s="1"/>
  <c r="J553" i="2" a="1"/>
  <c r="J553" i="2" s="1"/>
  <c r="I553" i="2" a="1"/>
  <c r="I553" i="2" s="1"/>
  <c r="H553" i="2" a="1"/>
  <c r="H553" i="2" s="1"/>
  <c r="F553" i="2" a="1"/>
  <c r="F553" i="2" s="1"/>
  <c r="D553" i="2" a="1"/>
  <c r="D553" i="2" s="1"/>
  <c r="B553" i="2" a="1"/>
  <c r="B553" i="2" s="1"/>
  <c r="BD552" i="2" a="1"/>
  <c r="BD552" i="2" s="1"/>
  <c r="BC552" i="2" a="1"/>
  <c r="BC552" i="2" s="1"/>
  <c r="BA552" i="2" a="1"/>
  <c r="BA552" i="2" s="1"/>
  <c r="AZ552" i="2" a="1"/>
  <c r="AZ552" i="2" s="1"/>
  <c r="AY552" i="2" a="1"/>
  <c r="AY552" i="2" s="1"/>
  <c r="AX552" i="2" a="1"/>
  <c r="AX552" i="2" s="1"/>
  <c r="AW552" i="2" a="1"/>
  <c r="AW552" i="2" s="1"/>
  <c r="AV552" i="2" a="1"/>
  <c r="AV552" i="2" s="1"/>
  <c r="AU552" i="2" a="1"/>
  <c r="AU552" i="2" s="1"/>
  <c r="AT552" i="2" a="1"/>
  <c r="AT552" i="2" s="1"/>
  <c r="AS552" i="2" a="1"/>
  <c r="AS552" i="2" s="1"/>
  <c r="AR552" i="2" a="1"/>
  <c r="AR552" i="2" s="1"/>
  <c r="AQ552" i="2" a="1"/>
  <c r="AQ552" i="2" s="1"/>
  <c r="AP552" i="2" a="1"/>
  <c r="AP552" i="2" s="1"/>
  <c r="AO552" i="2" a="1"/>
  <c r="AO552" i="2" s="1"/>
  <c r="AN552" i="2" a="1"/>
  <c r="AN552" i="2" s="1"/>
  <c r="AM552" i="2" a="1"/>
  <c r="AM552" i="2" s="1"/>
  <c r="AL552" i="2" a="1"/>
  <c r="AL552" i="2" s="1"/>
  <c r="AK552" i="2" a="1"/>
  <c r="AK552" i="2" s="1"/>
  <c r="AJ552" i="2" a="1"/>
  <c r="AJ552" i="2" s="1"/>
  <c r="AI552" i="2" a="1"/>
  <c r="AI552" i="2" s="1"/>
  <c r="AH552" i="2" a="1"/>
  <c r="AH552" i="2" s="1"/>
  <c r="AG552" i="2" a="1"/>
  <c r="AG552" i="2" s="1"/>
  <c r="AF552" i="2" a="1"/>
  <c r="AF552" i="2" s="1"/>
  <c r="AE552" i="2" a="1"/>
  <c r="AE552" i="2" s="1"/>
  <c r="AD552" i="2" a="1"/>
  <c r="AD552" i="2" s="1"/>
  <c r="AC552" i="2" a="1"/>
  <c r="AC552" i="2" s="1"/>
  <c r="AB552" i="2"/>
  <c r="AA552" i="2" a="1"/>
  <c r="AA552" i="2" s="1"/>
  <c r="Z552" i="2" a="1"/>
  <c r="Z552" i="2" s="1"/>
  <c r="Y552" i="2" a="1"/>
  <c r="Y552" i="2" s="1"/>
  <c r="X552" i="2" a="1"/>
  <c r="X552" i="2" s="1"/>
  <c r="W552" i="2" a="1"/>
  <c r="W552" i="2" s="1"/>
  <c r="BB552" i="2" s="1" a="1"/>
  <c r="BB552" i="2" s="1"/>
  <c r="V552" i="2" a="1"/>
  <c r="V552" i="2" s="1"/>
  <c r="E552" i="2" s="1" a="1"/>
  <c r="E552" i="2" s="1"/>
  <c r="U552" i="2" a="1"/>
  <c r="U552" i="2" s="1"/>
  <c r="T552" i="2" a="1"/>
  <c r="T552" i="2" s="1"/>
  <c r="S552" i="2" a="1"/>
  <c r="S552" i="2" s="1"/>
  <c r="R552" i="2" a="1"/>
  <c r="R552" i="2" s="1"/>
  <c r="Q552" i="2" a="1"/>
  <c r="Q552" i="2" s="1"/>
  <c r="P552" i="2" a="1"/>
  <c r="P552" i="2" s="1"/>
  <c r="O552" i="2" a="1"/>
  <c r="O552" i="2" s="1"/>
  <c r="N552" i="2" a="1"/>
  <c r="N552" i="2" s="1"/>
  <c r="M552" i="2" a="1"/>
  <c r="M552" i="2" s="1"/>
  <c r="L552" i="2" a="1"/>
  <c r="L552" i="2" s="1"/>
  <c r="K552" i="2" a="1"/>
  <c r="K552" i="2" s="1"/>
  <c r="J552" i="2" a="1"/>
  <c r="J552" i="2" s="1"/>
  <c r="I552" i="2" a="1"/>
  <c r="I552" i="2" s="1"/>
  <c r="H552" i="2" a="1"/>
  <c r="H552" i="2" s="1"/>
  <c r="F552" i="2" a="1"/>
  <c r="F552" i="2" s="1"/>
  <c r="D552" i="2" a="1"/>
  <c r="D552" i="2" s="1"/>
  <c r="B552" i="2" a="1"/>
  <c r="B552" i="2" s="1"/>
  <c r="BD551" i="2" a="1"/>
  <c r="BD551" i="2" s="1"/>
  <c r="BC551" i="2" a="1"/>
  <c r="BC551" i="2" s="1"/>
  <c r="BA551" i="2" a="1"/>
  <c r="BA551" i="2" s="1"/>
  <c r="AZ551" i="2" a="1"/>
  <c r="AZ551" i="2" s="1"/>
  <c r="AY551" i="2" a="1"/>
  <c r="AY551" i="2" s="1"/>
  <c r="AX551" i="2" a="1"/>
  <c r="AX551" i="2" s="1"/>
  <c r="AW551" i="2" a="1"/>
  <c r="AW551" i="2" s="1"/>
  <c r="AV551" i="2" a="1"/>
  <c r="AV551" i="2" s="1"/>
  <c r="AU551" i="2" a="1"/>
  <c r="AU551" i="2" s="1"/>
  <c r="AT551" i="2" a="1"/>
  <c r="AT551" i="2" s="1"/>
  <c r="AS551" i="2" a="1"/>
  <c r="AS551" i="2" s="1"/>
  <c r="AR551" i="2" a="1"/>
  <c r="AR551" i="2" s="1"/>
  <c r="AQ551" i="2" a="1"/>
  <c r="AQ551" i="2" s="1"/>
  <c r="AP551" i="2" a="1"/>
  <c r="AP551" i="2" s="1"/>
  <c r="AO551" i="2" a="1"/>
  <c r="AO551" i="2" s="1"/>
  <c r="AN551" i="2" a="1"/>
  <c r="AN551" i="2" s="1"/>
  <c r="AM551" i="2" a="1"/>
  <c r="AM551" i="2" s="1"/>
  <c r="AL551" i="2" a="1"/>
  <c r="AL551" i="2" s="1"/>
  <c r="AK551" i="2" a="1"/>
  <c r="AK551" i="2" s="1"/>
  <c r="AJ551" i="2" a="1"/>
  <c r="AJ551" i="2" s="1"/>
  <c r="AI551" i="2" a="1"/>
  <c r="AI551" i="2" s="1"/>
  <c r="AH551" i="2" a="1"/>
  <c r="AH551" i="2" s="1"/>
  <c r="AG551" i="2" a="1"/>
  <c r="AG551" i="2" s="1"/>
  <c r="AF551" i="2" a="1"/>
  <c r="AF551" i="2" s="1"/>
  <c r="AE551" i="2" a="1"/>
  <c r="AE551" i="2" s="1"/>
  <c r="AD551" i="2" a="1"/>
  <c r="AD551" i="2" s="1"/>
  <c r="AC551" i="2" a="1"/>
  <c r="AC551" i="2" s="1"/>
  <c r="AB551" i="2"/>
  <c r="AA551" i="2" a="1"/>
  <c r="AA551" i="2" s="1"/>
  <c r="Z551" i="2" a="1"/>
  <c r="Z551" i="2" s="1"/>
  <c r="Y551" i="2" a="1"/>
  <c r="Y551" i="2" s="1"/>
  <c r="X551" i="2" a="1"/>
  <c r="X551" i="2" s="1"/>
  <c r="W551" i="2" a="1"/>
  <c r="W551" i="2" s="1"/>
  <c r="BB551" i="2" s="1" a="1"/>
  <c r="BB551" i="2" s="1"/>
  <c r="V551" i="2" a="1"/>
  <c r="V551" i="2" s="1"/>
  <c r="E551" i="2" s="1" a="1"/>
  <c r="E551" i="2" s="1"/>
  <c r="U551" i="2" a="1"/>
  <c r="U551" i="2" s="1"/>
  <c r="T551" i="2" a="1"/>
  <c r="T551" i="2" s="1"/>
  <c r="S551" i="2" a="1"/>
  <c r="S551" i="2" s="1"/>
  <c r="R551" i="2" a="1"/>
  <c r="R551" i="2" s="1"/>
  <c r="Q551" i="2" a="1"/>
  <c r="Q551" i="2" s="1"/>
  <c r="P551" i="2" a="1"/>
  <c r="P551" i="2" s="1"/>
  <c r="O551" i="2" a="1"/>
  <c r="O551" i="2" s="1"/>
  <c r="N551" i="2" a="1"/>
  <c r="N551" i="2" s="1"/>
  <c r="M551" i="2" a="1"/>
  <c r="M551" i="2" s="1"/>
  <c r="L551" i="2" a="1"/>
  <c r="L551" i="2" s="1"/>
  <c r="K551" i="2" a="1"/>
  <c r="K551" i="2" s="1"/>
  <c r="J551" i="2" a="1"/>
  <c r="J551" i="2" s="1"/>
  <c r="I551" i="2" a="1"/>
  <c r="I551" i="2" s="1"/>
  <c r="H551" i="2" a="1"/>
  <c r="H551" i="2" s="1"/>
  <c r="F551" i="2" a="1"/>
  <c r="F551" i="2" s="1"/>
  <c r="D551" i="2" a="1"/>
  <c r="D551" i="2" s="1"/>
  <c r="B551" i="2" a="1"/>
  <c r="B551" i="2" s="1"/>
  <c r="BD550" i="2" a="1"/>
  <c r="BD550" i="2" s="1"/>
  <c r="BC550" i="2" a="1"/>
  <c r="BC550" i="2" s="1"/>
  <c r="BA550" i="2" a="1"/>
  <c r="BA550" i="2" s="1"/>
  <c r="AZ550" i="2" a="1"/>
  <c r="AZ550" i="2" s="1"/>
  <c r="AY550" i="2" a="1"/>
  <c r="AY550" i="2" s="1"/>
  <c r="AX550" i="2" a="1"/>
  <c r="AX550" i="2" s="1"/>
  <c r="AW550" i="2" a="1"/>
  <c r="AW550" i="2" s="1"/>
  <c r="AV550" i="2" a="1"/>
  <c r="AV550" i="2" s="1"/>
  <c r="AU550" i="2" a="1"/>
  <c r="AU550" i="2" s="1"/>
  <c r="AT550" i="2" a="1"/>
  <c r="AT550" i="2" s="1"/>
  <c r="AS550" i="2" a="1"/>
  <c r="AS550" i="2" s="1"/>
  <c r="AR550" i="2" a="1"/>
  <c r="AR550" i="2" s="1"/>
  <c r="AQ550" i="2" a="1"/>
  <c r="AQ550" i="2" s="1"/>
  <c r="AP550" i="2" a="1"/>
  <c r="AP550" i="2" s="1"/>
  <c r="AO550" i="2" a="1"/>
  <c r="AO550" i="2" s="1"/>
  <c r="AN550" i="2" a="1"/>
  <c r="AN550" i="2" s="1"/>
  <c r="AM550" i="2" a="1"/>
  <c r="AM550" i="2" s="1"/>
  <c r="AL550" i="2" a="1"/>
  <c r="AL550" i="2" s="1"/>
  <c r="AK550" i="2" a="1"/>
  <c r="AK550" i="2" s="1"/>
  <c r="AJ550" i="2" a="1"/>
  <c r="AJ550" i="2" s="1"/>
  <c r="AI550" i="2" a="1"/>
  <c r="AI550" i="2" s="1"/>
  <c r="AH550" i="2" a="1"/>
  <c r="AH550" i="2" s="1"/>
  <c r="AG550" i="2" a="1"/>
  <c r="AG550" i="2" s="1"/>
  <c r="AF550" i="2" a="1"/>
  <c r="AF550" i="2" s="1"/>
  <c r="AE550" i="2" a="1"/>
  <c r="AE550" i="2" s="1"/>
  <c r="AD550" i="2" a="1"/>
  <c r="AD550" i="2" s="1"/>
  <c r="AC550" i="2" a="1"/>
  <c r="AC550" i="2" s="1"/>
  <c r="AB550" i="2"/>
  <c r="AA550" i="2" a="1"/>
  <c r="AA550" i="2" s="1"/>
  <c r="Z550" i="2" a="1"/>
  <c r="Z550" i="2" s="1"/>
  <c r="Y550" i="2" a="1"/>
  <c r="Y550" i="2" s="1"/>
  <c r="X550" i="2" a="1"/>
  <c r="X550" i="2" s="1"/>
  <c r="W550" i="2" a="1"/>
  <c r="W550" i="2" s="1"/>
  <c r="BB550" i="2" s="1" a="1"/>
  <c r="BB550" i="2" s="1"/>
  <c r="V550" i="2" a="1"/>
  <c r="V550" i="2" s="1"/>
  <c r="E550" i="2" s="1" a="1"/>
  <c r="E550" i="2" s="1"/>
  <c r="U550" i="2" a="1"/>
  <c r="U550" i="2" s="1"/>
  <c r="T550" i="2" a="1"/>
  <c r="T550" i="2" s="1"/>
  <c r="S550" i="2" a="1"/>
  <c r="S550" i="2" s="1"/>
  <c r="R550" i="2" a="1"/>
  <c r="R550" i="2" s="1"/>
  <c r="Q550" i="2" a="1"/>
  <c r="Q550" i="2" s="1"/>
  <c r="P550" i="2" a="1"/>
  <c r="P550" i="2" s="1"/>
  <c r="O550" i="2" a="1"/>
  <c r="O550" i="2" s="1"/>
  <c r="N550" i="2" a="1"/>
  <c r="N550" i="2" s="1"/>
  <c r="M550" i="2" a="1"/>
  <c r="M550" i="2" s="1"/>
  <c r="L550" i="2" a="1"/>
  <c r="L550" i="2" s="1"/>
  <c r="K550" i="2" a="1"/>
  <c r="K550" i="2" s="1"/>
  <c r="J550" i="2" a="1"/>
  <c r="J550" i="2" s="1"/>
  <c r="I550" i="2" a="1"/>
  <c r="I550" i="2" s="1"/>
  <c r="H550" i="2" a="1"/>
  <c r="H550" i="2" s="1"/>
  <c r="F550" i="2" a="1"/>
  <c r="F550" i="2" s="1"/>
  <c r="D550" i="2" a="1"/>
  <c r="D550" i="2" s="1"/>
  <c r="B550" i="2" a="1"/>
  <c r="B550" i="2" s="1"/>
  <c r="BD549" i="2" a="1"/>
  <c r="BD549" i="2" s="1"/>
  <c r="BC549" i="2" a="1"/>
  <c r="BC549" i="2" s="1"/>
  <c r="BA549" i="2" a="1"/>
  <c r="BA549" i="2" s="1"/>
  <c r="AZ549" i="2" a="1"/>
  <c r="AZ549" i="2" s="1"/>
  <c r="AY549" i="2" a="1"/>
  <c r="AY549" i="2" s="1"/>
  <c r="AX549" i="2" a="1"/>
  <c r="AX549" i="2" s="1"/>
  <c r="AW549" i="2" a="1"/>
  <c r="AW549" i="2" s="1"/>
  <c r="AV549" i="2" a="1"/>
  <c r="AV549" i="2" s="1"/>
  <c r="AU549" i="2" a="1"/>
  <c r="AU549" i="2" s="1"/>
  <c r="AT549" i="2" a="1"/>
  <c r="AT549" i="2" s="1"/>
  <c r="AS549" i="2" a="1"/>
  <c r="AS549" i="2" s="1"/>
  <c r="AR549" i="2" a="1"/>
  <c r="AR549" i="2" s="1"/>
  <c r="AQ549" i="2" a="1"/>
  <c r="AQ549" i="2" s="1"/>
  <c r="AP549" i="2" a="1"/>
  <c r="AP549" i="2" s="1"/>
  <c r="AO549" i="2" a="1"/>
  <c r="AO549" i="2" s="1"/>
  <c r="AN549" i="2" a="1"/>
  <c r="AN549" i="2" s="1"/>
  <c r="AM549" i="2" a="1"/>
  <c r="AM549" i="2" s="1"/>
  <c r="AL549" i="2" a="1"/>
  <c r="AL549" i="2" s="1"/>
  <c r="AK549" i="2" a="1"/>
  <c r="AK549" i="2" s="1"/>
  <c r="AJ549" i="2" a="1"/>
  <c r="AJ549" i="2" s="1"/>
  <c r="AI549" i="2" a="1"/>
  <c r="AI549" i="2" s="1"/>
  <c r="AH549" i="2" a="1"/>
  <c r="AH549" i="2" s="1"/>
  <c r="AG549" i="2" a="1"/>
  <c r="AG549" i="2" s="1"/>
  <c r="AF549" i="2" a="1"/>
  <c r="AF549" i="2" s="1"/>
  <c r="AE549" i="2" a="1"/>
  <c r="AE549" i="2" s="1"/>
  <c r="AD549" i="2" a="1"/>
  <c r="AD549" i="2" s="1"/>
  <c r="AC549" i="2" a="1"/>
  <c r="AC549" i="2" s="1"/>
  <c r="AB549" i="2"/>
  <c r="AA549" i="2" a="1"/>
  <c r="AA549" i="2" s="1"/>
  <c r="Z549" i="2" a="1"/>
  <c r="Z549" i="2" s="1"/>
  <c r="Y549" i="2" a="1"/>
  <c r="Y549" i="2" s="1"/>
  <c r="X549" i="2" a="1"/>
  <c r="X549" i="2" s="1"/>
  <c r="W549" i="2" a="1"/>
  <c r="W549" i="2" s="1"/>
  <c r="BB549" i="2" s="1" a="1"/>
  <c r="BB549" i="2" s="1"/>
  <c r="V549" i="2" a="1"/>
  <c r="V549" i="2" s="1"/>
  <c r="E549" i="2" s="1" a="1"/>
  <c r="E549" i="2" s="1"/>
  <c r="U549" i="2" a="1"/>
  <c r="U549" i="2" s="1"/>
  <c r="T549" i="2" a="1"/>
  <c r="T549" i="2" s="1"/>
  <c r="S549" i="2" a="1"/>
  <c r="S549" i="2" s="1"/>
  <c r="R549" i="2" a="1"/>
  <c r="R549" i="2" s="1"/>
  <c r="Q549" i="2" a="1"/>
  <c r="Q549" i="2" s="1"/>
  <c r="P549" i="2" a="1"/>
  <c r="P549" i="2" s="1"/>
  <c r="O549" i="2" a="1"/>
  <c r="O549" i="2" s="1"/>
  <c r="N549" i="2" a="1"/>
  <c r="N549" i="2" s="1"/>
  <c r="M549" i="2" a="1"/>
  <c r="M549" i="2" s="1"/>
  <c r="L549" i="2" a="1"/>
  <c r="L549" i="2" s="1"/>
  <c r="K549" i="2" a="1"/>
  <c r="K549" i="2" s="1"/>
  <c r="J549" i="2" a="1"/>
  <c r="J549" i="2" s="1"/>
  <c r="I549" i="2" a="1"/>
  <c r="I549" i="2" s="1"/>
  <c r="H549" i="2" a="1"/>
  <c r="H549" i="2" s="1"/>
  <c r="F549" i="2" a="1"/>
  <c r="F549" i="2" s="1"/>
  <c r="D549" i="2" a="1"/>
  <c r="D549" i="2" s="1"/>
  <c r="B549" i="2" a="1"/>
  <c r="B549" i="2" s="1"/>
  <c r="BD548" i="2" a="1"/>
  <c r="BD548" i="2" s="1"/>
  <c r="BC548" i="2" a="1"/>
  <c r="BC548" i="2" s="1"/>
  <c r="BA548" i="2" a="1"/>
  <c r="BA548" i="2" s="1"/>
  <c r="AZ548" i="2" a="1"/>
  <c r="AZ548" i="2" s="1"/>
  <c r="AY548" i="2" a="1"/>
  <c r="AY548" i="2" s="1"/>
  <c r="AX548" i="2" a="1"/>
  <c r="AX548" i="2" s="1"/>
  <c r="AW548" i="2" a="1"/>
  <c r="AW548" i="2" s="1"/>
  <c r="AV548" i="2" a="1"/>
  <c r="AV548" i="2" s="1"/>
  <c r="AU548" i="2" a="1"/>
  <c r="AU548" i="2" s="1"/>
  <c r="AT548" i="2" a="1"/>
  <c r="AT548" i="2" s="1"/>
  <c r="AS548" i="2" a="1"/>
  <c r="AS548" i="2" s="1"/>
  <c r="AR548" i="2" a="1"/>
  <c r="AR548" i="2" s="1"/>
  <c r="AQ548" i="2" a="1"/>
  <c r="AQ548" i="2" s="1"/>
  <c r="AP548" i="2" a="1"/>
  <c r="AP548" i="2" s="1"/>
  <c r="AO548" i="2" a="1"/>
  <c r="AO548" i="2" s="1"/>
  <c r="AN548" i="2" a="1"/>
  <c r="AN548" i="2" s="1"/>
  <c r="AM548" i="2" a="1"/>
  <c r="AM548" i="2" s="1"/>
  <c r="AL548" i="2" a="1"/>
  <c r="AL548" i="2" s="1"/>
  <c r="AK548" i="2" a="1"/>
  <c r="AK548" i="2" s="1"/>
  <c r="AJ548" i="2" a="1"/>
  <c r="AJ548" i="2" s="1"/>
  <c r="AI548" i="2" a="1"/>
  <c r="AI548" i="2" s="1"/>
  <c r="AH548" i="2" a="1"/>
  <c r="AH548" i="2" s="1"/>
  <c r="AG548" i="2" a="1"/>
  <c r="AG548" i="2" s="1"/>
  <c r="AF548" i="2" a="1"/>
  <c r="AF548" i="2" s="1"/>
  <c r="AE548" i="2" a="1"/>
  <c r="AE548" i="2" s="1"/>
  <c r="AD548" i="2" a="1"/>
  <c r="AD548" i="2" s="1"/>
  <c r="AC548" i="2" a="1"/>
  <c r="AC548" i="2" s="1"/>
  <c r="AB548" i="2"/>
  <c r="AA548" i="2" a="1"/>
  <c r="AA548" i="2" s="1"/>
  <c r="Z548" i="2" a="1"/>
  <c r="Z548" i="2" s="1"/>
  <c r="Y548" i="2" a="1"/>
  <c r="Y548" i="2" s="1"/>
  <c r="X548" i="2" a="1"/>
  <c r="X548" i="2" s="1"/>
  <c r="W548" i="2" a="1"/>
  <c r="W548" i="2" s="1"/>
  <c r="BB548" i="2" s="1" a="1"/>
  <c r="BB548" i="2" s="1"/>
  <c r="V548" i="2" a="1"/>
  <c r="V548" i="2" s="1"/>
  <c r="E548" i="2" s="1" a="1"/>
  <c r="E548" i="2" s="1"/>
  <c r="U548" i="2" a="1"/>
  <c r="U548" i="2" s="1"/>
  <c r="T548" i="2" a="1"/>
  <c r="T548" i="2" s="1"/>
  <c r="S548" i="2" a="1"/>
  <c r="S548" i="2" s="1"/>
  <c r="R548" i="2" a="1"/>
  <c r="R548" i="2" s="1"/>
  <c r="Q548" i="2" a="1"/>
  <c r="Q548" i="2" s="1"/>
  <c r="P548" i="2" a="1"/>
  <c r="P548" i="2" s="1"/>
  <c r="O548" i="2" a="1"/>
  <c r="O548" i="2" s="1"/>
  <c r="N548" i="2" a="1"/>
  <c r="N548" i="2" s="1"/>
  <c r="M548" i="2" a="1"/>
  <c r="M548" i="2" s="1"/>
  <c r="L548" i="2" a="1"/>
  <c r="L548" i="2" s="1"/>
  <c r="K548" i="2" a="1"/>
  <c r="K548" i="2" s="1"/>
  <c r="J548" i="2" a="1"/>
  <c r="J548" i="2" s="1"/>
  <c r="I548" i="2" a="1"/>
  <c r="I548" i="2" s="1"/>
  <c r="H548" i="2" a="1"/>
  <c r="H548" i="2" s="1"/>
  <c r="F548" i="2" a="1"/>
  <c r="F548" i="2" s="1"/>
  <c r="D548" i="2" a="1"/>
  <c r="D548" i="2" s="1"/>
  <c r="B548" i="2" a="1"/>
  <c r="B548" i="2" s="1"/>
  <c r="BD546" i="2" a="1"/>
  <c r="BD546" i="2" s="1"/>
  <c r="BC546" i="2" a="1"/>
  <c r="BC546" i="2" s="1"/>
  <c r="BA546" i="2" a="1"/>
  <c r="BA546" i="2" s="1"/>
  <c r="AZ546" i="2" a="1"/>
  <c r="AZ546" i="2" s="1"/>
  <c r="AY546" i="2" a="1"/>
  <c r="AY546" i="2" s="1"/>
  <c r="AX546" i="2" a="1"/>
  <c r="AX546" i="2" s="1"/>
  <c r="AW546" i="2" a="1"/>
  <c r="AW546" i="2" s="1"/>
  <c r="AV546" i="2" a="1"/>
  <c r="AV546" i="2" s="1"/>
  <c r="AU546" i="2" a="1"/>
  <c r="AU546" i="2" s="1"/>
  <c r="AT546" i="2" a="1"/>
  <c r="AT546" i="2" s="1"/>
  <c r="AS546" i="2" a="1"/>
  <c r="AS546" i="2" s="1"/>
  <c r="AR546" i="2" a="1"/>
  <c r="AR546" i="2" s="1"/>
  <c r="AQ546" i="2" a="1"/>
  <c r="AQ546" i="2" s="1"/>
  <c r="AP546" i="2" a="1"/>
  <c r="AP546" i="2" s="1"/>
  <c r="AO546" i="2" a="1"/>
  <c r="AO546" i="2" s="1"/>
  <c r="AN546" i="2" a="1"/>
  <c r="AN546" i="2" s="1"/>
  <c r="AM546" i="2" a="1"/>
  <c r="AM546" i="2" s="1"/>
  <c r="AL546" i="2" a="1"/>
  <c r="AL546" i="2" s="1"/>
  <c r="AK546" i="2" a="1"/>
  <c r="AK546" i="2" s="1"/>
  <c r="AJ546" i="2" a="1"/>
  <c r="AJ546" i="2" s="1"/>
  <c r="AI546" i="2" a="1"/>
  <c r="AI546" i="2" s="1"/>
  <c r="AH546" i="2" a="1"/>
  <c r="AH546" i="2" s="1"/>
  <c r="AG546" i="2" a="1"/>
  <c r="AG546" i="2" s="1"/>
  <c r="AF546" i="2" a="1"/>
  <c r="AF546" i="2" s="1"/>
  <c r="AE546" i="2" a="1"/>
  <c r="AE546" i="2" s="1"/>
  <c r="AD546" i="2" a="1"/>
  <c r="AD546" i="2" s="1"/>
  <c r="AC546" i="2" a="1"/>
  <c r="AC546" i="2" s="1"/>
  <c r="AB546" i="2"/>
  <c r="AA546" i="2" a="1"/>
  <c r="AA546" i="2" s="1"/>
  <c r="Z546" i="2" a="1"/>
  <c r="Z546" i="2" s="1"/>
  <c r="Y546" i="2" a="1"/>
  <c r="Y546" i="2" s="1"/>
  <c r="X546" i="2" a="1"/>
  <c r="X546" i="2" s="1"/>
  <c r="W546" i="2" a="1"/>
  <c r="W546" i="2" s="1"/>
  <c r="BB546" i="2" s="1" a="1"/>
  <c r="BB546" i="2" s="1"/>
  <c r="V546" i="2" a="1"/>
  <c r="V546" i="2" s="1"/>
  <c r="E546" i="2" s="1" a="1"/>
  <c r="E546" i="2" s="1"/>
  <c r="U546" i="2" a="1"/>
  <c r="U546" i="2" s="1"/>
  <c r="T546" i="2" a="1"/>
  <c r="T546" i="2" s="1"/>
  <c r="S546" i="2" a="1"/>
  <c r="S546" i="2" s="1"/>
  <c r="R546" i="2" a="1"/>
  <c r="R546" i="2" s="1"/>
  <c r="Q546" i="2" a="1"/>
  <c r="Q546" i="2" s="1"/>
  <c r="P546" i="2" a="1"/>
  <c r="P546" i="2" s="1"/>
  <c r="O546" i="2" a="1"/>
  <c r="O546" i="2" s="1"/>
  <c r="N546" i="2" a="1"/>
  <c r="N546" i="2" s="1"/>
  <c r="M546" i="2" a="1"/>
  <c r="M546" i="2" s="1"/>
  <c r="L546" i="2" a="1"/>
  <c r="L546" i="2" s="1"/>
  <c r="K546" i="2" a="1"/>
  <c r="K546" i="2" s="1"/>
  <c r="J546" i="2" a="1"/>
  <c r="J546" i="2" s="1"/>
  <c r="I546" i="2" a="1"/>
  <c r="I546" i="2" s="1"/>
  <c r="H546" i="2" a="1"/>
  <c r="H546" i="2" s="1"/>
  <c r="F546" i="2" a="1"/>
  <c r="F546" i="2" s="1"/>
  <c r="D546" i="2" a="1"/>
  <c r="D546" i="2" s="1"/>
  <c r="B546" i="2" a="1"/>
  <c r="B546" i="2" s="1"/>
  <c r="BD545" i="2" a="1"/>
  <c r="BD545" i="2" s="1"/>
  <c r="BC545" i="2" a="1"/>
  <c r="BC545" i="2" s="1"/>
  <c r="BA545" i="2" a="1"/>
  <c r="BA545" i="2" s="1"/>
  <c r="AZ545" i="2" a="1"/>
  <c r="AZ545" i="2" s="1"/>
  <c r="AY545" i="2" a="1"/>
  <c r="AY545" i="2" s="1"/>
  <c r="AX545" i="2" a="1"/>
  <c r="AX545" i="2" s="1"/>
  <c r="AW545" i="2" a="1"/>
  <c r="AW545" i="2" s="1"/>
  <c r="AV545" i="2" a="1"/>
  <c r="AV545" i="2" s="1"/>
  <c r="AU545" i="2" a="1"/>
  <c r="AU545" i="2" s="1"/>
  <c r="AT545" i="2" a="1"/>
  <c r="AT545" i="2" s="1"/>
  <c r="AS545" i="2" a="1"/>
  <c r="AS545" i="2" s="1"/>
  <c r="AR545" i="2" a="1"/>
  <c r="AR545" i="2" s="1"/>
  <c r="AQ545" i="2" a="1"/>
  <c r="AQ545" i="2" s="1"/>
  <c r="AP545" i="2" a="1"/>
  <c r="AP545" i="2" s="1"/>
  <c r="AO545" i="2" a="1"/>
  <c r="AO545" i="2" s="1"/>
  <c r="AN545" i="2" a="1"/>
  <c r="AN545" i="2" s="1"/>
  <c r="AM545" i="2" a="1"/>
  <c r="AM545" i="2" s="1"/>
  <c r="AL545" i="2" a="1"/>
  <c r="AL545" i="2" s="1"/>
  <c r="AK545" i="2" a="1"/>
  <c r="AK545" i="2" s="1"/>
  <c r="AJ545" i="2" a="1"/>
  <c r="AJ545" i="2" s="1"/>
  <c r="AI545" i="2" a="1"/>
  <c r="AI545" i="2" s="1"/>
  <c r="AH545" i="2" a="1"/>
  <c r="AH545" i="2" s="1"/>
  <c r="AG545" i="2" a="1"/>
  <c r="AG545" i="2" s="1"/>
  <c r="AF545" i="2" a="1"/>
  <c r="AF545" i="2" s="1"/>
  <c r="AE545" i="2" a="1"/>
  <c r="AE545" i="2" s="1"/>
  <c r="AD545" i="2" a="1"/>
  <c r="AD545" i="2" s="1"/>
  <c r="AC545" i="2" a="1"/>
  <c r="AC545" i="2" s="1"/>
  <c r="AB545" i="2"/>
  <c r="AA545" i="2" a="1"/>
  <c r="AA545" i="2" s="1"/>
  <c r="Z545" i="2" a="1"/>
  <c r="Z545" i="2" s="1"/>
  <c r="Y545" i="2" a="1"/>
  <c r="Y545" i="2" s="1"/>
  <c r="X545" i="2" a="1"/>
  <c r="X545" i="2" s="1"/>
  <c r="W545" i="2" a="1"/>
  <c r="W545" i="2" s="1"/>
  <c r="BB545" i="2" s="1" a="1"/>
  <c r="BB545" i="2" s="1"/>
  <c r="V545" i="2" a="1"/>
  <c r="V545" i="2" s="1"/>
  <c r="E545" i="2" s="1" a="1"/>
  <c r="E545" i="2" s="1"/>
  <c r="U545" i="2" a="1"/>
  <c r="U545" i="2" s="1"/>
  <c r="T545" i="2" a="1"/>
  <c r="T545" i="2" s="1"/>
  <c r="S545" i="2" a="1"/>
  <c r="S545" i="2" s="1"/>
  <c r="R545" i="2" a="1"/>
  <c r="R545" i="2" s="1"/>
  <c r="Q545" i="2" a="1"/>
  <c r="Q545" i="2" s="1"/>
  <c r="P545" i="2" a="1"/>
  <c r="P545" i="2" s="1"/>
  <c r="O545" i="2" a="1"/>
  <c r="O545" i="2" s="1"/>
  <c r="N545" i="2" a="1"/>
  <c r="N545" i="2" s="1"/>
  <c r="M545" i="2" a="1"/>
  <c r="M545" i="2" s="1"/>
  <c r="L545" i="2" a="1"/>
  <c r="L545" i="2" s="1"/>
  <c r="K545" i="2" a="1"/>
  <c r="K545" i="2" s="1"/>
  <c r="J545" i="2" a="1"/>
  <c r="J545" i="2" s="1"/>
  <c r="I545" i="2" a="1"/>
  <c r="I545" i="2" s="1"/>
  <c r="H545" i="2" a="1"/>
  <c r="H545" i="2" s="1"/>
  <c r="F545" i="2" a="1"/>
  <c r="F545" i="2" s="1"/>
  <c r="D545" i="2" a="1"/>
  <c r="D545" i="2" s="1"/>
  <c r="B545" i="2" a="1"/>
  <c r="B545" i="2" s="1"/>
  <c r="BD544" i="2" a="1"/>
  <c r="BD544" i="2" s="1"/>
  <c r="BC544" i="2" a="1"/>
  <c r="BC544" i="2" s="1"/>
  <c r="BA544" i="2" a="1"/>
  <c r="BA544" i="2" s="1"/>
  <c r="AZ544" i="2" a="1"/>
  <c r="AZ544" i="2" s="1"/>
  <c r="AY544" i="2" a="1"/>
  <c r="AY544" i="2" s="1"/>
  <c r="AX544" i="2" a="1"/>
  <c r="AX544" i="2" s="1"/>
  <c r="AW544" i="2" a="1"/>
  <c r="AW544" i="2" s="1"/>
  <c r="AV544" i="2" a="1"/>
  <c r="AV544" i="2" s="1"/>
  <c r="AU544" i="2" a="1"/>
  <c r="AU544" i="2" s="1"/>
  <c r="AT544" i="2" a="1"/>
  <c r="AT544" i="2" s="1"/>
  <c r="AS544" i="2" a="1"/>
  <c r="AS544" i="2" s="1"/>
  <c r="AR544" i="2" a="1"/>
  <c r="AR544" i="2" s="1"/>
  <c r="AQ544" i="2" a="1"/>
  <c r="AQ544" i="2" s="1"/>
  <c r="AP544" i="2" a="1"/>
  <c r="AP544" i="2" s="1"/>
  <c r="AO544" i="2" a="1"/>
  <c r="AO544" i="2" s="1"/>
  <c r="AN544" i="2" a="1"/>
  <c r="AN544" i="2" s="1"/>
  <c r="AM544" i="2" a="1"/>
  <c r="AM544" i="2" s="1"/>
  <c r="AL544" i="2" a="1"/>
  <c r="AL544" i="2" s="1"/>
  <c r="AK544" i="2" a="1"/>
  <c r="AK544" i="2" s="1"/>
  <c r="AJ544" i="2" a="1"/>
  <c r="AJ544" i="2" s="1"/>
  <c r="AI544" i="2" a="1"/>
  <c r="AI544" i="2" s="1"/>
  <c r="AH544" i="2" a="1"/>
  <c r="AH544" i="2" s="1"/>
  <c r="AG544" i="2" a="1"/>
  <c r="AG544" i="2" s="1"/>
  <c r="AF544" i="2" a="1"/>
  <c r="AF544" i="2" s="1"/>
  <c r="AE544" i="2" a="1"/>
  <c r="AE544" i="2" s="1"/>
  <c r="AD544" i="2" a="1"/>
  <c r="AD544" i="2" s="1"/>
  <c r="AC544" i="2" a="1"/>
  <c r="AC544" i="2" s="1"/>
  <c r="AB544" i="2"/>
  <c r="AA544" i="2" a="1"/>
  <c r="AA544" i="2" s="1"/>
  <c r="Z544" i="2" a="1"/>
  <c r="Z544" i="2" s="1"/>
  <c r="Y544" i="2" a="1"/>
  <c r="Y544" i="2" s="1"/>
  <c r="X544" i="2" a="1"/>
  <c r="X544" i="2" s="1"/>
  <c r="W544" i="2" a="1"/>
  <c r="W544" i="2" s="1"/>
  <c r="BB544" i="2" s="1" a="1"/>
  <c r="BB544" i="2" s="1"/>
  <c r="V544" i="2" a="1"/>
  <c r="V544" i="2" s="1"/>
  <c r="E544" i="2" s="1" a="1"/>
  <c r="E544" i="2" s="1"/>
  <c r="U544" i="2" a="1"/>
  <c r="U544" i="2" s="1"/>
  <c r="T544" i="2" a="1"/>
  <c r="T544" i="2" s="1"/>
  <c r="S544" i="2" a="1"/>
  <c r="S544" i="2" s="1"/>
  <c r="R544" i="2" a="1"/>
  <c r="R544" i="2" s="1"/>
  <c r="Q544" i="2" a="1"/>
  <c r="Q544" i="2" s="1"/>
  <c r="P544" i="2" a="1"/>
  <c r="P544" i="2" s="1"/>
  <c r="O544" i="2" a="1"/>
  <c r="O544" i="2" s="1"/>
  <c r="N544" i="2" a="1"/>
  <c r="N544" i="2" s="1"/>
  <c r="M544" i="2" a="1"/>
  <c r="M544" i="2" s="1"/>
  <c r="L544" i="2" a="1"/>
  <c r="L544" i="2" s="1"/>
  <c r="K544" i="2" a="1"/>
  <c r="K544" i="2" s="1"/>
  <c r="J544" i="2" a="1"/>
  <c r="J544" i="2" s="1"/>
  <c r="I544" i="2" a="1"/>
  <c r="I544" i="2" s="1"/>
  <c r="H544" i="2" a="1"/>
  <c r="H544" i="2" s="1"/>
  <c r="F544" i="2" a="1"/>
  <c r="F544" i="2" s="1"/>
  <c r="D544" i="2" a="1"/>
  <c r="D544" i="2" s="1"/>
  <c r="B544" i="2" a="1"/>
  <c r="B544" i="2" s="1"/>
  <c r="BD543" i="2" a="1"/>
  <c r="BD543" i="2" s="1"/>
  <c r="BC543" i="2" a="1"/>
  <c r="BC543" i="2" s="1"/>
  <c r="BA543" i="2" a="1"/>
  <c r="BA543" i="2" s="1"/>
  <c r="AZ543" i="2" a="1"/>
  <c r="AZ543" i="2" s="1"/>
  <c r="AY543" i="2" a="1"/>
  <c r="AY543" i="2" s="1"/>
  <c r="AX543" i="2" a="1"/>
  <c r="AX543" i="2" s="1"/>
  <c r="AW543" i="2" a="1"/>
  <c r="AW543" i="2" s="1"/>
  <c r="AV543" i="2" a="1"/>
  <c r="AV543" i="2" s="1"/>
  <c r="AU543" i="2" a="1"/>
  <c r="AU543" i="2" s="1"/>
  <c r="AT543" i="2" a="1"/>
  <c r="AT543" i="2" s="1"/>
  <c r="AS543" i="2" a="1"/>
  <c r="AS543" i="2" s="1"/>
  <c r="AR543" i="2" a="1"/>
  <c r="AR543" i="2" s="1"/>
  <c r="AQ543" i="2" a="1"/>
  <c r="AQ543" i="2" s="1"/>
  <c r="AP543" i="2" a="1"/>
  <c r="AP543" i="2" s="1"/>
  <c r="AO543" i="2" a="1"/>
  <c r="AO543" i="2" s="1"/>
  <c r="AN543" i="2" a="1"/>
  <c r="AN543" i="2" s="1"/>
  <c r="AM543" i="2" a="1"/>
  <c r="AM543" i="2" s="1"/>
  <c r="AL543" i="2" a="1"/>
  <c r="AL543" i="2" s="1"/>
  <c r="AK543" i="2" a="1"/>
  <c r="AK543" i="2" s="1"/>
  <c r="AJ543" i="2" a="1"/>
  <c r="AJ543" i="2" s="1"/>
  <c r="AI543" i="2" a="1"/>
  <c r="AI543" i="2" s="1"/>
  <c r="AH543" i="2" a="1"/>
  <c r="AH543" i="2" s="1"/>
  <c r="AG543" i="2" a="1"/>
  <c r="AG543" i="2" s="1"/>
  <c r="AF543" i="2" a="1"/>
  <c r="AF543" i="2" s="1"/>
  <c r="AE543" i="2" a="1"/>
  <c r="AE543" i="2" s="1"/>
  <c r="AD543" i="2" a="1"/>
  <c r="AD543" i="2" s="1"/>
  <c r="AC543" i="2" a="1"/>
  <c r="AC543" i="2" s="1"/>
  <c r="AB543" i="2"/>
  <c r="AA543" i="2" a="1"/>
  <c r="AA543" i="2" s="1"/>
  <c r="Z543" i="2" a="1"/>
  <c r="Z543" i="2" s="1"/>
  <c r="Y543" i="2" a="1"/>
  <c r="Y543" i="2" s="1"/>
  <c r="X543" i="2" a="1"/>
  <c r="X543" i="2" s="1"/>
  <c r="W543" i="2" a="1"/>
  <c r="W543" i="2" s="1"/>
  <c r="BB543" i="2" s="1" a="1"/>
  <c r="BB543" i="2" s="1"/>
  <c r="V543" i="2" a="1"/>
  <c r="V543" i="2" s="1"/>
  <c r="E543" i="2" s="1" a="1"/>
  <c r="E543" i="2" s="1"/>
  <c r="U543" i="2" a="1"/>
  <c r="U543" i="2" s="1"/>
  <c r="T543" i="2" a="1"/>
  <c r="T543" i="2" s="1"/>
  <c r="S543" i="2" a="1"/>
  <c r="S543" i="2" s="1"/>
  <c r="R543" i="2" a="1"/>
  <c r="R543" i="2" s="1"/>
  <c r="Q543" i="2" a="1"/>
  <c r="Q543" i="2" s="1"/>
  <c r="P543" i="2" a="1"/>
  <c r="P543" i="2" s="1"/>
  <c r="O543" i="2" a="1"/>
  <c r="O543" i="2" s="1"/>
  <c r="N543" i="2" a="1"/>
  <c r="N543" i="2" s="1"/>
  <c r="M543" i="2" a="1"/>
  <c r="M543" i="2" s="1"/>
  <c r="L543" i="2" a="1"/>
  <c r="L543" i="2" s="1"/>
  <c r="K543" i="2" a="1"/>
  <c r="K543" i="2" s="1"/>
  <c r="J543" i="2" a="1"/>
  <c r="J543" i="2" s="1"/>
  <c r="I543" i="2" a="1"/>
  <c r="I543" i="2" s="1"/>
  <c r="H543" i="2" a="1"/>
  <c r="H543" i="2" s="1"/>
  <c r="F543" i="2" a="1"/>
  <c r="F543" i="2" s="1"/>
  <c r="D543" i="2" a="1"/>
  <c r="D543" i="2" s="1"/>
  <c r="B543" i="2" a="1"/>
  <c r="B543" i="2" s="1"/>
  <c r="BD542" i="2" a="1"/>
  <c r="BD542" i="2" s="1"/>
  <c r="BC542" i="2" a="1"/>
  <c r="BC542" i="2" s="1"/>
  <c r="BA542" i="2" a="1"/>
  <c r="BA542" i="2" s="1"/>
  <c r="AZ542" i="2" a="1"/>
  <c r="AZ542" i="2" s="1"/>
  <c r="AY542" i="2" a="1"/>
  <c r="AY542" i="2" s="1"/>
  <c r="AX542" i="2" a="1"/>
  <c r="AX542" i="2" s="1"/>
  <c r="AW542" i="2" a="1"/>
  <c r="AW542" i="2" s="1"/>
  <c r="AV542" i="2" a="1"/>
  <c r="AV542" i="2" s="1"/>
  <c r="AU542" i="2" a="1"/>
  <c r="AU542" i="2" s="1"/>
  <c r="AT542" i="2" a="1"/>
  <c r="AT542" i="2" s="1"/>
  <c r="AS542" i="2" a="1"/>
  <c r="AS542" i="2" s="1"/>
  <c r="AR542" i="2" a="1"/>
  <c r="AR542" i="2" s="1"/>
  <c r="AQ542" i="2" a="1"/>
  <c r="AQ542" i="2" s="1"/>
  <c r="AP542" i="2" a="1"/>
  <c r="AP542" i="2" s="1"/>
  <c r="AO542" i="2" a="1"/>
  <c r="AO542" i="2" s="1"/>
  <c r="AN542" i="2" a="1"/>
  <c r="AN542" i="2" s="1"/>
  <c r="AM542" i="2" a="1"/>
  <c r="AM542" i="2" s="1"/>
  <c r="AL542" i="2" a="1"/>
  <c r="AL542" i="2" s="1"/>
  <c r="AK542" i="2" a="1"/>
  <c r="AK542" i="2" s="1"/>
  <c r="AJ542" i="2" a="1"/>
  <c r="AJ542" i="2" s="1"/>
  <c r="AI542" i="2" a="1"/>
  <c r="AI542" i="2" s="1"/>
  <c r="AH542" i="2" a="1"/>
  <c r="AH542" i="2" s="1"/>
  <c r="AG542" i="2" a="1"/>
  <c r="AG542" i="2" s="1"/>
  <c r="AF542" i="2" a="1"/>
  <c r="AF542" i="2" s="1"/>
  <c r="AE542" i="2" a="1"/>
  <c r="AE542" i="2" s="1"/>
  <c r="AD542" i="2" a="1"/>
  <c r="AD542" i="2" s="1"/>
  <c r="AC542" i="2" a="1"/>
  <c r="AC542" i="2" s="1"/>
  <c r="AB542" i="2"/>
  <c r="AA542" i="2" a="1"/>
  <c r="AA542" i="2" s="1"/>
  <c r="Z542" i="2" a="1"/>
  <c r="Z542" i="2" s="1"/>
  <c r="Y542" i="2" a="1"/>
  <c r="Y542" i="2" s="1"/>
  <c r="X542" i="2" a="1"/>
  <c r="X542" i="2" s="1"/>
  <c r="W542" i="2" a="1"/>
  <c r="W542" i="2" s="1"/>
  <c r="BB542" i="2" s="1" a="1"/>
  <c r="BB542" i="2" s="1"/>
  <c r="V542" i="2" a="1"/>
  <c r="V542" i="2" s="1"/>
  <c r="E542" i="2" s="1" a="1"/>
  <c r="E542" i="2" s="1"/>
  <c r="U542" i="2" a="1"/>
  <c r="U542" i="2" s="1"/>
  <c r="T542" i="2" a="1"/>
  <c r="T542" i="2" s="1"/>
  <c r="S542" i="2" a="1"/>
  <c r="S542" i="2" s="1"/>
  <c r="R542" i="2" a="1"/>
  <c r="R542" i="2" s="1"/>
  <c r="Q542" i="2" a="1"/>
  <c r="Q542" i="2" s="1"/>
  <c r="P542" i="2" a="1"/>
  <c r="P542" i="2" s="1"/>
  <c r="O542" i="2" a="1"/>
  <c r="O542" i="2" s="1"/>
  <c r="N542" i="2" a="1"/>
  <c r="N542" i="2" s="1"/>
  <c r="M542" i="2" a="1"/>
  <c r="M542" i="2" s="1"/>
  <c r="L542" i="2" a="1"/>
  <c r="L542" i="2" s="1"/>
  <c r="K542" i="2" a="1"/>
  <c r="K542" i="2" s="1"/>
  <c r="J542" i="2" a="1"/>
  <c r="J542" i="2" s="1"/>
  <c r="I542" i="2" a="1"/>
  <c r="I542" i="2" s="1"/>
  <c r="H542" i="2" a="1"/>
  <c r="H542" i="2" s="1"/>
  <c r="F542" i="2" a="1"/>
  <c r="F542" i="2" s="1"/>
  <c r="D542" i="2" a="1"/>
  <c r="D542" i="2" s="1"/>
  <c r="B542" i="2" a="1"/>
  <c r="B542" i="2" s="1"/>
  <c r="BD541" i="2" a="1"/>
  <c r="BD541" i="2" s="1"/>
  <c r="BC541" i="2" a="1"/>
  <c r="BC541" i="2" s="1"/>
  <c r="BA541" i="2" a="1"/>
  <c r="BA541" i="2" s="1"/>
  <c r="AZ541" i="2" a="1"/>
  <c r="AZ541" i="2" s="1"/>
  <c r="AY541" i="2" a="1"/>
  <c r="AY541" i="2" s="1"/>
  <c r="AX541" i="2" a="1"/>
  <c r="AX541" i="2" s="1"/>
  <c r="AW541" i="2" a="1"/>
  <c r="AW541" i="2" s="1"/>
  <c r="AV541" i="2" a="1"/>
  <c r="AV541" i="2" s="1"/>
  <c r="AU541" i="2" a="1"/>
  <c r="AU541" i="2" s="1"/>
  <c r="AT541" i="2" a="1"/>
  <c r="AT541" i="2" s="1"/>
  <c r="AS541" i="2" a="1"/>
  <c r="AS541" i="2" s="1"/>
  <c r="AR541" i="2" a="1"/>
  <c r="AR541" i="2" s="1"/>
  <c r="AQ541" i="2" a="1"/>
  <c r="AQ541" i="2" s="1"/>
  <c r="AP541" i="2" a="1"/>
  <c r="AP541" i="2" s="1"/>
  <c r="AO541" i="2" a="1"/>
  <c r="AO541" i="2" s="1"/>
  <c r="AN541" i="2" a="1"/>
  <c r="AN541" i="2" s="1"/>
  <c r="AM541" i="2" a="1"/>
  <c r="AM541" i="2" s="1"/>
  <c r="AL541" i="2" a="1"/>
  <c r="AL541" i="2" s="1"/>
  <c r="AK541" i="2" a="1"/>
  <c r="AK541" i="2" s="1"/>
  <c r="AJ541" i="2" a="1"/>
  <c r="AJ541" i="2" s="1"/>
  <c r="AI541" i="2" a="1"/>
  <c r="AI541" i="2" s="1"/>
  <c r="AH541" i="2" a="1"/>
  <c r="AH541" i="2" s="1"/>
  <c r="AG541" i="2" a="1"/>
  <c r="AG541" i="2" s="1"/>
  <c r="AF541" i="2" a="1"/>
  <c r="AF541" i="2" s="1"/>
  <c r="AE541" i="2" a="1"/>
  <c r="AE541" i="2" s="1"/>
  <c r="AD541" i="2" a="1"/>
  <c r="AD541" i="2" s="1"/>
  <c r="AC541" i="2" a="1"/>
  <c r="AC541" i="2" s="1"/>
  <c r="AB541" i="2"/>
  <c r="AA541" i="2" a="1"/>
  <c r="AA541" i="2" s="1"/>
  <c r="Z541" i="2" a="1"/>
  <c r="Z541" i="2" s="1"/>
  <c r="Y541" i="2" a="1"/>
  <c r="Y541" i="2" s="1"/>
  <c r="X541" i="2" a="1"/>
  <c r="X541" i="2" s="1"/>
  <c r="W541" i="2" a="1"/>
  <c r="W541" i="2" s="1"/>
  <c r="BB541" i="2" s="1" a="1"/>
  <c r="BB541" i="2" s="1"/>
  <c r="V541" i="2" a="1"/>
  <c r="V541" i="2" s="1"/>
  <c r="E541" i="2" s="1" a="1"/>
  <c r="E541" i="2" s="1"/>
  <c r="U541" i="2" a="1"/>
  <c r="U541" i="2" s="1"/>
  <c r="T541" i="2" a="1"/>
  <c r="T541" i="2" s="1"/>
  <c r="S541" i="2" a="1"/>
  <c r="S541" i="2" s="1"/>
  <c r="R541" i="2" a="1"/>
  <c r="R541" i="2" s="1"/>
  <c r="Q541" i="2" a="1"/>
  <c r="Q541" i="2" s="1"/>
  <c r="P541" i="2" a="1"/>
  <c r="P541" i="2" s="1"/>
  <c r="O541" i="2" a="1"/>
  <c r="O541" i="2" s="1"/>
  <c r="N541" i="2" a="1"/>
  <c r="N541" i="2" s="1"/>
  <c r="M541" i="2" a="1"/>
  <c r="M541" i="2" s="1"/>
  <c r="L541" i="2" a="1"/>
  <c r="L541" i="2" s="1"/>
  <c r="K541" i="2" a="1"/>
  <c r="K541" i="2" s="1"/>
  <c r="J541" i="2" a="1"/>
  <c r="J541" i="2" s="1"/>
  <c r="I541" i="2" a="1"/>
  <c r="I541" i="2" s="1"/>
  <c r="H541" i="2" a="1"/>
  <c r="H541" i="2" s="1"/>
  <c r="F541" i="2" a="1"/>
  <c r="F541" i="2" s="1"/>
  <c r="D541" i="2" a="1"/>
  <c r="D541" i="2" s="1"/>
  <c r="B541" i="2" a="1"/>
  <c r="B541" i="2" s="1"/>
  <c r="BD540" i="2" a="1"/>
  <c r="BD540" i="2" s="1"/>
  <c r="BC540" i="2" a="1"/>
  <c r="BC540" i="2" s="1"/>
  <c r="BA540" i="2" a="1"/>
  <c r="BA540" i="2" s="1"/>
  <c r="AZ540" i="2" a="1"/>
  <c r="AZ540" i="2" s="1"/>
  <c r="AY540" i="2" a="1"/>
  <c r="AY540" i="2" s="1"/>
  <c r="AX540" i="2" a="1"/>
  <c r="AX540" i="2" s="1"/>
  <c r="AW540" i="2" a="1"/>
  <c r="AW540" i="2" s="1"/>
  <c r="AV540" i="2" a="1"/>
  <c r="AV540" i="2" s="1"/>
  <c r="AU540" i="2" a="1"/>
  <c r="AU540" i="2" s="1"/>
  <c r="AT540" i="2" a="1"/>
  <c r="AT540" i="2" s="1"/>
  <c r="AS540" i="2" a="1"/>
  <c r="AS540" i="2" s="1"/>
  <c r="AR540" i="2" a="1"/>
  <c r="AR540" i="2" s="1"/>
  <c r="AQ540" i="2" a="1"/>
  <c r="AQ540" i="2" s="1"/>
  <c r="AP540" i="2" a="1"/>
  <c r="AP540" i="2" s="1"/>
  <c r="AO540" i="2" a="1"/>
  <c r="AO540" i="2" s="1"/>
  <c r="AN540" i="2" a="1"/>
  <c r="AN540" i="2" s="1"/>
  <c r="AM540" i="2" a="1"/>
  <c r="AM540" i="2" s="1"/>
  <c r="AL540" i="2" a="1"/>
  <c r="AL540" i="2" s="1"/>
  <c r="AK540" i="2" a="1"/>
  <c r="AK540" i="2" s="1"/>
  <c r="AJ540" i="2" a="1"/>
  <c r="AJ540" i="2" s="1"/>
  <c r="AI540" i="2" a="1"/>
  <c r="AI540" i="2" s="1"/>
  <c r="AH540" i="2" a="1"/>
  <c r="AH540" i="2" s="1"/>
  <c r="AG540" i="2" a="1"/>
  <c r="AG540" i="2" s="1"/>
  <c r="AF540" i="2" a="1"/>
  <c r="AF540" i="2" s="1"/>
  <c r="AE540" i="2" a="1"/>
  <c r="AE540" i="2" s="1"/>
  <c r="AD540" i="2" a="1"/>
  <c r="AD540" i="2" s="1"/>
  <c r="AC540" i="2" a="1"/>
  <c r="AC540" i="2" s="1"/>
  <c r="AB540" i="2"/>
  <c r="AA540" i="2" a="1"/>
  <c r="AA540" i="2" s="1"/>
  <c r="Z540" i="2" a="1"/>
  <c r="Z540" i="2" s="1"/>
  <c r="Y540" i="2" a="1"/>
  <c r="Y540" i="2" s="1"/>
  <c r="X540" i="2" a="1"/>
  <c r="X540" i="2" s="1"/>
  <c r="W540" i="2" a="1"/>
  <c r="W540" i="2" s="1"/>
  <c r="BB540" i="2" s="1" a="1"/>
  <c r="BB540" i="2" s="1"/>
  <c r="V540" i="2" a="1"/>
  <c r="V540" i="2" s="1"/>
  <c r="E540" i="2" s="1" a="1"/>
  <c r="E540" i="2" s="1"/>
  <c r="U540" i="2" a="1"/>
  <c r="U540" i="2" s="1"/>
  <c r="T540" i="2" a="1"/>
  <c r="T540" i="2" s="1"/>
  <c r="S540" i="2" a="1"/>
  <c r="S540" i="2" s="1"/>
  <c r="R540" i="2" a="1"/>
  <c r="R540" i="2" s="1"/>
  <c r="Q540" i="2" a="1"/>
  <c r="Q540" i="2" s="1"/>
  <c r="P540" i="2" a="1"/>
  <c r="P540" i="2" s="1"/>
  <c r="O540" i="2" a="1"/>
  <c r="O540" i="2" s="1"/>
  <c r="N540" i="2" a="1"/>
  <c r="N540" i="2" s="1"/>
  <c r="M540" i="2" a="1"/>
  <c r="M540" i="2" s="1"/>
  <c r="L540" i="2" a="1"/>
  <c r="L540" i="2" s="1"/>
  <c r="K540" i="2" a="1"/>
  <c r="K540" i="2" s="1"/>
  <c r="J540" i="2" a="1"/>
  <c r="J540" i="2" s="1"/>
  <c r="I540" i="2" a="1"/>
  <c r="I540" i="2" s="1"/>
  <c r="H540" i="2" a="1"/>
  <c r="H540" i="2" s="1"/>
  <c r="F540" i="2" a="1"/>
  <c r="F540" i="2" s="1"/>
  <c r="D540" i="2" a="1"/>
  <c r="D540" i="2" s="1"/>
  <c r="B540" i="2" a="1"/>
  <c r="B540" i="2" s="1"/>
  <c r="BD539" i="2" a="1"/>
  <c r="BD539" i="2" s="1"/>
  <c r="BC539" i="2" a="1"/>
  <c r="BC539" i="2" s="1"/>
  <c r="BA539" i="2" a="1"/>
  <c r="BA539" i="2" s="1"/>
  <c r="AZ539" i="2" a="1"/>
  <c r="AZ539" i="2" s="1"/>
  <c r="AY539" i="2" a="1"/>
  <c r="AY539" i="2" s="1"/>
  <c r="AX539" i="2" a="1"/>
  <c r="AX539" i="2" s="1"/>
  <c r="AW539" i="2" a="1"/>
  <c r="AW539" i="2" s="1"/>
  <c r="AV539" i="2" a="1"/>
  <c r="AV539" i="2" s="1"/>
  <c r="AU539" i="2" a="1"/>
  <c r="AU539" i="2" s="1"/>
  <c r="AT539" i="2" a="1"/>
  <c r="AT539" i="2" s="1"/>
  <c r="AS539" i="2" a="1"/>
  <c r="AS539" i="2" s="1"/>
  <c r="AR539" i="2" a="1"/>
  <c r="AR539" i="2" s="1"/>
  <c r="AQ539" i="2" a="1"/>
  <c r="AQ539" i="2" s="1"/>
  <c r="AP539" i="2" a="1"/>
  <c r="AP539" i="2" s="1"/>
  <c r="AO539" i="2" a="1"/>
  <c r="AO539" i="2" s="1"/>
  <c r="AN539" i="2" a="1"/>
  <c r="AN539" i="2" s="1"/>
  <c r="AM539" i="2" a="1"/>
  <c r="AM539" i="2" s="1"/>
  <c r="AL539" i="2" a="1"/>
  <c r="AL539" i="2" s="1"/>
  <c r="AK539" i="2" a="1"/>
  <c r="AK539" i="2" s="1"/>
  <c r="AJ539" i="2" a="1"/>
  <c r="AJ539" i="2" s="1"/>
  <c r="AI539" i="2" a="1"/>
  <c r="AI539" i="2" s="1"/>
  <c r="AH539" i="2" a="1"/>
  <c r="AH539" i="2" s="1"/>
  <c r="AG539" i="2" a="1"/>
  <c r="AG539" i="2" s="1"/>
  <c r="AF539" i="2" a="1"/>
  <c r="AF539" i="2" s="1"/>
  <c r="AE539" i="2" a="1"/>
  <c r="AE539" i="2" s="1"/>
  <c r="AD539" i="2" a="1"/>
  <c r="AD539" i="2" s="1"/>
  <c r="AC539" i="2" a="1"/>
  <c r="AC539" i="2" s="1"/>
  <c r="AB539" i="2"/>
  <c r="AA539" i="2" a="1"/>
  <c r="AA539" i="2" s="1"/>
  <c r="Z539" i="2" a="1"/>
  <c r="Z539" i="2" s="1"/>
  <c r="Y539" i="2" a="1"/>
  <c r="Y539" i="2" s="1"/>
  <c r="X539" i="2" a="1"/>
  <c r="X539" i="2" s="1"/>
  <c r="W539" i="2" a="1"/>
  <c r="W539" i="2" s="1"/>
  <c r="BB539" i="2" s="1" a="1"/>
  <c r="BB539" i="2" s="1"/>
  <c r="V539" i="2" a="1"/>
  <c r="V539" i="2" s="1"/>
  <c r="E539" i="2" s="1" a="1"/>
  <c r="E539" i="2" s="1"/>
  <c r="U539" i="2" a="1"/>
  <c r="U539" i="2" s="1"/>
  <c r="T539" i="2" a="1"/>
  <c r="T539" i="2" s="1"/>
  <c r="S539" i="2" a="1"/>
  <c r="S539" i="2" s="1"/>
  <c r="R539" i="2" a="1"/>
  <c r="R539" i="2" s="1"/>
  <c r="Q539" i="2" a="1"/>
  <c r="Q539" i="2" s="1"/>
  <c r="P539" i="2" a="1"/>
  <c r="P539" i="2" s="1"/>
  <c r="O539" i="2" a="1"/>
  <c r="O539" i="2" s="1"/>
  <c r="N539" i="2" a="1"/>
  <c r="N539" i="2" s="1"/>
  <c r="M539" i="2" a="1"/>
  <c r="M539" i="2" s="1"/>
  <c r="L539" i="2" a="1"/>
  <c r="L539" i="2" s="1"/>
  <c r="K539" i="2" a="1"/>
  <c r="K539" i="2" s="1"/>
  <c r="J539" i="2" a="1"/>
  <c r="J539" i="2" s="1"/>
  <c r="I539" i="2" a="1"/>
  <c r="I539" i="2" s="1"/>
  <c r="H539" i="2" a="1"/>
  <c r="H539" i="2" s="1"/>
  <c r="F539" i="2" a="1"/>
  <c r="F539" i="2" s="1"/>
  <c r="D539" i="2" a="1"/>
  <c r="D539" i="2" s="1"/>
  <c r="B539" i="2" a="1"/>
  <c r="B539" i="2" s="1"/>
  <c r="BD538" i="2" a="1"/>
  <c r="BD538" i="2" s="1"/>
  <c r="BC538" i="2" a="1"/>
  <c r="BC538" i="2" s="1"/>
  <c r="BA538" i="2" a="1"/>
  <c r="BA538" i="2" s="1"/>
  <c r="AZ538" i="2" a="1"/>
  <c r="AZ538" i="2" s="1"/>
  <c r="AY538" i="2" a="1"/>
  <c r="AY538" i="2" s="1"/>
  <c r="AX538" i="2" a="1"/>
  <c r="AX538" i="2" s="1"/>
  <c r="AW538" i="2" a="1"/>
  <c r="AW538" i="2" s="1"/>
  <c r="AV538" i="2" a="1"/>
  <c r="AV538" i="2" s="1"/>
  <c r="AU538" i="2" a="1"/>
  <c r="AU538" i="2" s="1"/>
  <c r="AT538" i="2" a="1"/>
  <c r="AT538" i="2" s="1"/>
  <c r="AS538" i="2" a="1"/>
  <c r="AS538" i="2" s="1"/>
  <c r="AR538" i="2" a="1"/>
  <c r="AR538" i="2" s="1"/>
  <c r="AQ538" i="2" a="1"/>
  <c r="AQ538" i="2" s="1"/>
  <c r="AP538" i="2" a="1"/>
  <c r="AP538" i="2" s="1"/>
  <c r="AO538" i="2" a="1"/>
  <c r="AO538" i="2" s="1"/>
  <c r="AN538" i="2" a="1"/>
  <c r="AN538" i="2" s="1"/>
  <c r="AM538" i="2" a="1"/>
  <c r="AM538" i="2" s="1"/>
  <c r="AL538" i="2" a="1"/>
  <c r="AL538" i="2" s="1"/>
  <c r="AK538" i="2" a="1"/>
  <c r="AK538" i="2" s="1"/>
  <c r="AJ538" i="2" a="1"/>
  <c r="AJ538" i="2" s="1"/>
  <c r="AI538" i="2" a="1"/>
  <c r="AI538" i="2" s="1"/>
  <c r="AH538" i="2" a="1"/>
  <c r="AH538" i="2" s="1"/>
  <c r="AG538" i="2" a="1"/>
  <c r="AG538" i="2" s="1"/>
  <c r="AF538" i="2" a="1"/>
  <c r="AF538" i="2" s="1"/>
  <c r="AE538" i="2" a="1"/>
  <c r="AE538" i="2" s="1"/>
  <c r="AD538" i="2" a="1"/>
  <c r="AD538" i="2" s="1"/>
  <c r="AC538" i="2" a="1"/>
  <c r="AC538" i="2" s="1"/>
  <c r="AB538" i="2"/>
  <c r="AA538" i="2" a="1"/>
  <c r="AA538" i="2" s="1"/>
  <c r="Z538" i="2" a="1"/>
  <c r="Z538" i="2" s="1"/>
  <c r="Y538" i="2" a="1"/>
  <c r="Y538" i="2" s="1"/>
  <c r="X538" i="2" a="1"/>
  <c r="X538" i="2" s="1"/>
  <c r="W538" i="2" a="1"/>
  <c r="W538" i="2" s="1"/>
  <c r="BB538" i="2" s="1" a="1"/>
  <c r="BB538" i="2" s="1"/>
  <c r="V538" i="2" a="1"/>
  <c r="V538" i="2" s="1"/>
  <c r="E538" i="2" s="1" a="1"/>
  <c r="E538" i="2" s="1"/>
  <c r="U538" i="2" a="1"/>
  <c r="U538" i="2" s="1"/>
  <c r="T538" i="2" a="1"/>
  <c r="T538" i="2" s="1"/>
  <c r="S538" i="2" a="1"/>
  <c r="S538" i="2" s="1"/>
  <c r="R538" i="2" a="1"/>
  <c r="R538" i="2" s="1"/>
  <c r="Q538" i="2" a="1"/>
  <c r="Q538" i="2" s="1"/>
  <c r="P538" i="2" a="1"/>
  <c r="P538" i="2" s="1"/>
  <c r="O538" i="2" a="1"/>
  <c r="O538" i="2" s="1"/>
  <c r="N538" i="2" a="1"/>
  <c r="N538" i="2" s="1"/>
  <c r="M538" i="2" a="1"/>
  <c r="M538" i="2" s="1"/>
  <c r="L538" i="2" a="1"/>
  <c r="L538" i="2" s="1"/>
  <c r="K538" i="2" a="1"/>
  <c r="K538" i="2" s="1"/>
  <c r="J538" i="2" a="1"/>
  <c r="J538" i="2" s="1"/>
  <c r="I538" i="2" a="1"/>
  <c r="I538" i="2" s="1"/>
  <c r="H538" i="2" a="1"/>
  <c r="H538" i="2" s="1"/>
  <c r="F538" i="2" a="1"/>
  <c r="F538" i="2" s="1"/>
  <c r="D538" i="2" a="1"/>
  <c r="D538" i="2" s="1"/>
  <c r="B538" i="2" a="1"/>
  <c r="B538" i="2" s="1"/>
  <c r="BD537" i="2" a="1"/>
  <c r="BD537" i="2" s="1"/>
  <c r="BC537" i="2" a="1"/>
  <c r="BC537" i="2" s="1"/>
  <c r="BA537" i="2" a="1"/>
  <c r="BA537" i="2" s="1"/>
  <c r="AZ537" i="2" a="1"/>
  <c r="AZ537" i="2" s="1"/>
  <c r="AY537" i="2" a="1"/>
  <c r="AY537" i="2" s="1"/>
  <c r="AX537" i="2" a="1"/>
  <c r="AX537" i="2" s="1"/>
  <c r="AW537" i="2" a="1"/>
  <c r="AW537" i="2" s="1"/>
  <c r="AV537" i="2" a="1"/>
  <c r="AV537" i="2" s="1"/>
  <c r="AU537" i="2" a="1"/>
  <c r="AU537" i="2" s="1"/>
  <c r="AT537" i="2" a="1"/>
  <c r="AT537" i="2" s="1"/>
  <c r="AS537" i="2" a="1"/>
  <c r="AS537" i="2" s="1"/>
  <c r="AR537" i="2" a="1"/>
  <c r="AR537" i="2" s="1"/>
  <c r="AQ537" i="2" a="1"/>
  <c r="AQ537" i="2" s="1"/>
  <c r="AP537" i="2" a="1"/>
  <c r="AP537" i="2" s="1"/>
  <c r="AO537" i="2" a="1"/>
  <c r="AO537" i="2" s="1"/>
  <c r="AN537" i="2" a="1"/>
  <c r="AN537" i="2" s="1"/>
  <c r="AM537" i="2" a="1"/>
  <c r="AM537" i="2" s="1"/>
  <c r="AL537" i="2" a="1"/>
  <c r="AL537" i="2" s="1"/>
  <c r="AK537" i="2" a="1"/>
  <c r="AK537" i="2" s="1"/>
  <c r="AJ537" i="2" a="1"/>
  <c r="AJ537" i="2" s="1"/>
  <c r="AI537" i="2" a="1"/>
  <c r="AI537" i="2" s="1"/>
  <c r="AH537" i="2" a="1"/>
  <c r="AH537" i="2" s="1"/>
  <c r="AG537" i="2" a="1"/>
  <c r="AG537" i="2" s="1"/>
  <c r="AF537" i="2" a="1"/>
  <c r="AF537" i="2" s="1"/>
  <c r="AE537" i="2" a="1"/>
  <c r="AE537" i="2" s="1"/>
  <c r="AD537" i="2" a="1"/>
  <c r="AD537" i="2" s="1"/>
  <c r="AC537" i="2" a="1"/>
  <c r="AC537" i="2" s="1"/>
  <c r="AB537" i="2"/>
  <c r="AA537" i="2" a="1"/>
  <c r="AA537" i="2" s="1"/>
  <c r="Z537" i="2" a="1"/>
  <c r="Z537" i="2" s="1"/>
  <c r="Y537" i="2" a="1"/>
  <c r="Y537" i="2" s="1"/>
  <c r="X537" i="2" a="1"/>
  <c r="X537" i="2" s="1"/>
  <c r="W537" i="2" a="1"/>
  <c r="W537" i="2" s="1"/>
  <c r="BB537" i="2" s="1" a="1"/>
  <c r="BB537" i="2" s="1"/>
  <c r="V537" i="2" a="1"/>
  <c r="V537" i="2" s="1"/>
  <c r="E537" i="2" s="1" a="1"/>
  <c r="E537" i="2" s="1"/>
  <c r="U537" i="2" a="1"/>
  <c r="U537" i="2" s="1"/>
  <c r="T537" i="2" a="1"/>
  <c r="T537" i="2" s="1"/>
  <c r="S537" i="2" a="1"/>
  <c r="S537" i="2" s="1"/>
  <c r="R537" i="2" a="1"/>
  <c r="R537" i="2" s="1"/>
  <c r="Q537" i="2" a="1"/>
  <c r="Q537" i="2" s="1"/>
  <c r="P537" i="2" a="1"/>
  <c r="P537" i="2" s="1"/>
  <c r="O537" i="2" a="1"/>
  <c r="O537" i="2" s="1"/>
  <c r="N537" i="2" a="1"/>
  <c r="N537" i="2" s="1"/>
  <c r="M537" i="2" a="1"/>
  <c r="M537" i="2" s="1"/>
  <c r="L537" i="2" a="1"/>
  <c r="L537" i="2" s="1"/>
  <c r="K537" i="2" a="1"/>
  <c r="K537" i="2" s="1"/>
  <c r="J537" i="2" a="1"/>
  <c r="J537" i="2" s="1"/>
  <c r="I537" i="2" a="1"/>
  <c r="I537" i="2" s="1"/>
  <c r="H537" i="2" a="1"/>
  <c r="H537" i="2" s="1"/>
  <c r="F537" i="2" a="1"/>
  <c r="F537" i="2" s="1"/>
  <c r="D537" i="2" a="1"/>
  <c r="D537" i="2" s="1"/>
  <c r="B537" i="2" a="1"/>
  <c r="B537" i="2" s="1"/>
  <c r="BD536" i="2" a="1"/>
  <c r="BD536" i="2" s="1"/>
  <c r="BC536" i="2" a="1"/>
  <c r="BC536" i="2" s="1"/>
  <c r="BA536" i="2" a="1"/>
  <c r="BA536" i="2" s="1"/>
  <c r="AZ536" i="2" a="1"/>
  <c r="AZ536" i="2" s="1"/>
  <c r="AY536" i="2" a="1"/>
  <c r="AY536" i="2" s="1"/>
  <c r="AX536" i="2" a="1"/>
  <c r="AX536" i="2" s="1"/>
  <c r="AW536" i="2" a="1"/>
  <c r="AW536" i="2" s="1"/>
  <c r="AV536" i="2" a="1"/>
  <c r="AV536" i="2" s="1"/>
  <c r="AU536" i="2" a="1"/>
  <c r="AU536" i="2" s="1"/>
  <c r="AT536" i="2" a="1"/>
  <c r="AT536" i="2" s="1"/>
  <c r="AS536" i="2" a="1"/>
  <c r="AS536" i="2" s="1"/>
  <c r="AR536" i="2" a="1"/>
  <c r="AR536" i="2" s="1"/>
  <c r="AQ536" i="2" a="1"/>
  <c r="AQ536" i="2" s="1"/>
  <c r="AP536" i="2" a="1"/>
  <c r="AP536" i="2" s="1"/>
  <c r="AO536" i="2" a="1"/>
  <c r="AO536" i="2" s="1"/>
  <c r="AN536" i="2" a="1"/>
  <c r="AN536" i="2" s="1"/>
  <c r="AM536" i="2" a="1"/>
  <c r="AM536" i="2" s="1"/>
  <c r="AL536" i="2" a="1"/>
  <c r="AL536" i="2" s="1"/>
  <c r="AK536" i="2" a="1"/>
  <c r="AK536" i="2" s="1"/>
  <c r="AJ536" i="2" a="1"/>
  <c r="AJ536" i="2" s="1"/>
  <c r="AI536" i="2" a="1"/>
  <c r="AI536" i="2" s="1"/>
  <c r="AH536" i="2" a="1"/>
  <c r="AH536" i="2" s="1"/>
  <c r="AG536" i="2" a="1"/>
  <c r="AG536" i="2" s="1"/>
  <c r="AF536" i="2" a="1"/>
  <c r="AF536" i="2" s="1"/>
  <c r="AE536" i="2" a="1"/>
  <c r="AE536" i="2" s="1"/>
  <c r="AD536" i="2" a="1"/>
  <c r="AD536" i="2" s="1"/>
  <c r="AC536" i="2" a="1"/>
  <c r="AC536" i="2" s="1"/>
  <c r="AB536" i="2"/>
  <c r="AA536" i="2" a="1"/>
  <c r="AA536" i="2" s="1"/>
  <c r="Z536" i="2" a="1"/>
  <c r="Z536" i="2" s="1"/>
  <c r="Y536" i="2" a="1"/>
  <c r="Y536" i="2" s="1"/>
  <c r="X536" i="2" a="1"/>
  <c r="X536" i="2" s="1"/>
  <c r="W536" i="2" a="1"/>
  <c r="W536" i="2" s="1"/>
  <c r="BB536" i="2" s="1" a="1"/>
  <c r="BB536" i="2" s="1"/>
  <c r="V536" i="2" a="1"/>
  <c r="V536" i="2" s="1"/>
  <c r="E536" i="2" s="1" a="1"/>
  <c r="E536" i="2" s="1"/>
  <c r="U536" i="2" a="1"/>
  <c r="U536" i="2" s="1"/>
  <c r="T536" i="2" a="1"/>
  <c r="T536" i="2" s="1"/>
  <c r="S536" i="2" a="1"/>
  <c r="S536" i="2" s="1"/>
  <c r="R536" i="2" a="1"/>
  <c r="R536" i="2" s="1"/>
  <c r="Q536" i="2" a="1"/>
  <c r="Q536" i="2" s="1"/>
  <c r="P536" i="2" a="1"/>
  <c r="P536" i="2" s="1"/>
  <c r="O536" i="2" a="1"/>
  <c r="O536" i="2" s="1"/>
  <c r="N536" i="2" a="1"/>
  <c r="N536" i="2" s="1"/>
  <c r="M536" i="2" a="1"/>
  <c r="M536" i="2" s="1"/>
  <c r="L536" i="2" a="1"/>
  <c r="L536" i="2" s="1"/>
  <c r="K536" i="2" a="1"/>
  <c r="K536" i="2" s="1"/>
  <c r="J536" i="2" a="1"/>
  <c r="J536" i="2" s="1"/>
  <c r="I536" i="2" a="1"/>
  <c r="I536" i="2" s="1"/>
  <c r="H536" i="2" a="1"/>
  <c r="H536" i="2" s="1"/>
  <c r="F536" i="2" a="1"/>
  <c r="F536" i="2" s="1"/>
  <c r="D536" i="2" a="1"/>
  <c r="D536" i="2" s="1"/>
  <c r="B536" i="2" a="1"/>
  <c r="B536" i="2" s="1"/>
  <c r="BD534" i="2" a="1"/>
  <c r="BD534" i="2" s="1"/>
  <c r="BC534" i="2" a="1"/>
  <c r="BC534" i="2" s="1"/>
  <c r="BA534" i="2" a="1"/>
  <c r="BA534" i="2" s="1"/>
  <c r="AZ534" i="2" a="1"/>
  <c r="AZ534" i="2" s="1"/>
  <c r="AY534" i="2" a="1"/>
  <c r="AY534" i="2" s="1"/>
  <c r="AX534" i="2" a="1"/>
  <c r="AX534" i="2" s="1"/>
  <c r="AW534" i="2" a="1"/>
  <c r="AW534" i="2" s="1"/>
  <c r="AV534" i="2" a="1"/>
  <c r="AV534" i="2" s="1"/>
  <c r="AU534" i="2" a="1"/>
  <c r="AU534" i="2" s="1"/>
  <c r="AT534" i="2" a="1"/>
  <c r="AT534" i="2" s="1"/>
  <c r="AS534" i="2" a="1"/>
  <c r="AS534" i="2" s="1"/>
  <c r="AR534" i="2" a="1"/>
  <c r="AR534" i="2" s="1"/>
  <c r="AQ534" i="2" a="1"/>
  <c r="AQ534" i="2" s="1"/>
  <c r="AP534" i="2" a="1"/>
  <c r="AP534" i="2" s="1"/>
  <c r="AO534" i="2" a="1"/>
  <c r="AO534" i="2" s="1"/>
  <c r="AN534" i="2" a="1"/>
  <c r="AN534" i="2" s="1"/>
  <c r="AM534" i="2" a="1"/>
  <c r="AM534" i="2" s="1"/>
  <c r="AL534" i="2" a="1"/>
  <c r="AL534" i="2" s="1"/>
  <c r="AK534" i="2" a="1"/>
  <c r="AK534" i="2" s="1"/>
  <c r="AJ534" i="2" a="1"/>
  <c r="AJ534" i="2" s="1"/>
  <c r="AI534" i="2" a="1"/>
  <c r="AI534" i="2" s="1"/>
  <c r="AH534" i="2" a="1"/>
  <c r="AH534" i="2" s="1"/>
  <c r="AG534" i="2" a="1"/>
  <c r="AG534" i="2" s="1"/>
  <c r="AF534" i="2" a="1"/>
  <c r="AF534" i="2" s="1"/>
  <c r="AE534" i="2" a="1"/>
  <c r="AE534" i="2" s="1"/>
  <c r="AD534" i="2" a="1"/>
  <c r="AD534" i="2" s="1"/>
  <c r="AC534" i="2" a="1"/>
  <c r="AC534" i="2" s="1"/>
  <c r="AB534" i="2"/>
  <c r="AA534" i="2" a="1"/>
  <c r="AA534" i="2" s="1"/>
  <c r="Z534" i="2" a="1"/>
  <c r="Z534" i="2" s="1"/>
  <c r="Y534" i="2" a="1"/>
  <c r="Y534" i="2" s="1"/>
  <c r="X534" i="2" a="1"/>
  <c r="X534" i="2" s="1"/>
  <c r="W534" i="2" a="1"/>
  <c r="W534" i="2" s="1"/>
  <c r="BB534" i="2" s="1" a="1"/>
  <c r="BB534" i="2" s="1"/>
  <c r="V534" i="2" a="1"/>
  <c r="V534" i="2" s="1"/>
  <c r="E534" i="2" s="1" a="1"/>
  <c r="E534" i="2" s="1"/>
  <c r="U534" i="2" a="1"/>
  <c r="U534" i="2" s="1"/>
  <c r="T534" i="2" a="1"/>
  <c r="T534" i="2" s="1"/>
  <c r="S534" i="2" a="1"/>
  <c r="S534" i="2" s="1"/>
  <c r="R534" i="2" a="1"/>
  <c r="R534" i="2" s="1"/>
  <c r="Q534" i="2" a="1"/>
  <c r="Q534" i="2" s="1"/>
  <c r="P534" i="2" a="1"/>
  <c r="P534" i="2" s="1"/>
  <c r="O534" i="2" a="1"/>
  <c r="O534" i="2" s="1"/>
  <c r="N534" i="2" a="1"/>
  <c r="N534" i="2" s="1"/>
  <c r="M534" i="2" a="1"/>
  <c r="M534" i="2" s="1"/>
  <c r="L534" i="2" a="1"/>
  <c r="L534" i="2" s="1"/>
  <c r="K534" i="2" a="1"/>
  <c r="K534" i="2" s="1"/>
  <c r="J534" i="2" a="1"/>
  <c r="J534" i="2" s="1"/>
  <c r="I534" i="2" a="1"/>
  <c r="I534" i="2" s="1"/>
  <c r="H534" i="2" a="1"/>
  <c r="H534" i="2" s="1"/>
  <c r="F534" i="2" a="1"/>
  <c r="F534" i="2" s="1"/>
  <c r="D534" i="2" a="1"/>
  <c r="D534" i="2" s="1"/>
  <c r="B534" i="2" a="1"/>
  <c r="B534" i="2" s="1"/>
  <c r="BD533" i="2" a="1"/>
  <c r="BD533" i="2" s="1"/>
  <c r="BC533" i="2" a="1"/>
  <c r="BC533" i="2" s="1"/>
  <c r="BA533" i="2" a="1"/>
  <c r="BA533" i="2" s="1"/>
  <c r="AZ533" i="2" a="1"/>
  <c r="AZ533" i="2" s="1"/>
  <c r="AY533" i="2" a="1"/>
  <c r="AY533" i="2" s="1"/>
  <c r="AX533" i="2" a="1"/>
  <c r="AX533" i="2" s="1"/>
  <c r="AW533" i="2" a="1"/>
  <c r="AW533" i="2" s="1"/>
  <c r="AV533" i="2" a="1"/>
  <c r="AV533" i="2" s="1"/>
  <c r="AU533" i="2" a="1"/>
  <c r="AU533" i="2" s="1"/>
  <c r="AT533" i="2" a="1"/>
  <c r="AT533" i="2" s="1"/>
  <c r="AS533" i="2" a="1"/>
  <c r="AS533" i="2" s="1"/>
  <c r="AR533" i="2" a="1"/>
  <c r="AR533" i="2" s="1"/>
  <c r="AQ533" i="2" a="1"/>
  <c r="AQ533" i="2" s="1"/>
  <c r="AP533" i="2" a="1"/>
  <c r="AP533" i="2" s="1"/>
  <c r="AO533" i="2" a="1"/>
  <c r="AO533" i="2" s="1"/>
  <c r="AN533" i="2" a="1"/>
  <c r="AN533" i="2" s="1"/>
  <c r="AM533" i="2" a="1"/>
  <c r="AM533" i="2" s="1"/>
  <c r="AL533" i="2" a="1"/>
  <c r="AL533" i="2" s="1"/>
  <c r="AK533" i="2" a="1"/>
  <c r="AK533" i="2" s="1"/>
  <c r="AJ533" i="2" a="1"/>
  <c r="AJ533" i="2" s="1"/>
  <c r="AI533" i="2" a="1"/>
  <c r="AI533" i="2" s="1"/>
  <c r="AH533" i="2" a="1"/>
  <c r="AH533" i="2" s="1"/>
  <c r="AG533" i="2" a="1"/>
  <c r="AG533" i="2" s="1"/>
  <c r="AF533" i="2" a="1"/>
  <c r="AF533" i="2" s="1"/>
  <c r="AE533" i="2" a="1"/>
  <c r="AE533" i="2" s="1"/>
  <c r="AD533" i="2" a="1"/>
  <c r="AD533" i="2" s="1"/>
  <c r="AC533" i="2" a="1"/>
  <c r="AC533" i="2" s="1"/>
  <c r="AB533" i="2"/>
  <c r="AA533" i="2" a="1"/>
  <c r="AA533" i="2" s="1"/>
  <c r="Z533" i="2" a="1"/>
  <c r="Z533" i="2" s="1"/>
  <c r="Y533" i="2" a="1"/>
  <c r="Y533" i="2" s="1"/>
  <c r="X533" i="2" a="1"/>
  <c r="X533" i="2" s="1"/>
  <c r="W533" i="2" a="1"/>
  <c r="W533" i="2" s="1"/>
  <c r="BB533" i="2" s="1" a="1"/>
  <c r="BB533" i="2" s="1"/>
  <c r="V533" i="2" a="1"/>
  <c r="V533" i="2" s="1"/>
  <c r="E533" i="2" s="1" a="1"/>
  <c r="E533" i="2" s="1"/>
  <c r="U533" i="2" a="1"/>
  <c r="U533" i="2" s="1"/>
  <c r="T533" i="2" a="1"/>
  <c r="T533" i="2" s="1"/>
  <c r="S533" i="2" a="1"/>
  <c r="S533" i="2" s="1"/>
  <c r="R533" i="2" a="1"/>
  <c r="R533" i="2" s="1"/>
  <c r="Q533" i="2" a="1"/>
  <c r="Q533" i="2" s="1"/>
  <c r="P533" i="2" a="1"/>
  <c r="P533" i="2" s="1"/>
  <c r="O533" i="2" a="1"/>
  <c r="O533" i="2" s="1"/>
  <c r="N533" i="2" a="1"/>
  <c r="N533" i="2" s="1"/>
  <c r="M533" i="2" a="1"/>
  <c r="M533" i="2" s="1"/>
  <c r="L533" i="2" a="1"/>
  <c r="L533" i="2" s="1"/>
  <c r="K533" i="2" a="1"/>
  <c r="K533" i="2" s="1"/>
  <c r="J533" i="2" a="1"/>
  <c r="J533" i="2" s="1"/>
  <c r="I533" i="2" a="1"/>
  <c r="I533" i="2" s="1"/>
  <c r="H533" i="2" a="1"/>
  <c r="H533" i="2" s="1"/>
  <c r="F533" i="2" a="1"/>
  <c r="F533" i="2" s="1"/>
  <c r="D533" i="2" a="1"/>
  <c r="D533" i="2" s="1"/>
  <c r="B533" i="2" a="1"/>
  <c r="B533" i="2" s="1"/>
  <c r="BD532" i="2" a="1"/>
  <c r="BD532" i="2" s="1"/>
  <c r="BC532" i="2" a="1"/>
  <c r="BC532" i="2" s="1"/>
  <c r="BA532" i="2" a="1"/>
  <c r="BA532" i="2" s="1"/>
  <c r="AZ532" i="2" a="1"/>
  <c r="AZ532" i="2" s="1"/>
  <c r="AY532" i="2" a="1"/>
  <c r="AY532" i="2" s="1"/>
  <c r="AX532" i="2" a="1"/>
  <c r="AX532" i="2" s="1"/>
  <c r="AW532" i="2" a="1"/>
  <c r="AW532" i="2" s="1"/>
  <c r="AV532" i="2" a="1"/>
  <c r="AV532" i="2" s="1"/>
  <c r="AU532" i="2" a="1"/>
  <c r="AU532" i="2" s="1"/>
  <c r="AT532" i="2" a="1"/>
  <c r="AT532" i="2" s="1"/>
  <c r="AS532" i="2" a="1"/>
  <c r="AS532" i="2" s="1"/>
  <c r="AR532" i="2" a="1"/>
  <c r="AR532" i="2" s="1"/>
  <c r="AQ532" i="2" a="1"/>
  <c r="AQ532" i="2" s="1"/>
  <c r="AP532" i="2" a="1"/>
  <c r="AP532" i="2" s="1"/>
  <c r="AO532" i="2" a="1"/>
  <c r="AO532" i="2" s="1"/>
  <c r="AN532" i="2" a="1"/>
  <c r="AN532" i="2" s="1"/>
  <c r="AM532" i="2" a="1"/>
  <c r="AM532" i="2" s="1"/>
  <c r="AL532" i="2" a="1"/>
  <c r="AL532" i="2" s="1"/>
  <c r="AK532" i="2" a="1"/>
  <c r="AK532" i="2" s="1"/>
  <c r="AJ532" i="2" a="1"/>
  <c r="AJ532" i="2" s="1"/>
  <c r="AI532" i="2" a="1"/>
  <c r="AI532" i="2" s="1"/>
  <c r="AH532" i="2" a="1"/>
  <c r="AH532" i="2" s="1"/>
  <c r="AG532" i="2" a="1"/>
  <c r="AG532" i="2" s="1"/>
  <c r="AF532" i="2" a="1"/>
  <c r="AF532" i="2" s="1"/>
  <c r="AE532" i="2" a="1"/>
  <c r="AE532" i="2" s="1"/>
  <c r="AD532" i="2" a="1"/>
  <c r="AD532" i="2" s="1"/>
  <c r="AC532" i="2" a="1"/>
  <c r="AC532" i="2" s="1"/>
  <c r="AB532" i="2"/>
  <c r="AA532" i="2" a="1"/>
  <c r="AA532" i="2" s="1"/>
  <c r="Z532" i="2" a="1"/>
  <c r="Z532" i="2" s="1"/>
  <c r="Y532" i="2" a="1"/>
  <c r="Y532" i="2" s="1"/>
  <c r="X532" i="2" a="1"/>
  <c r="X532" i="2" s="1"/>
  <c r="W532" i="2" a="1"/>
  <c r="W532" i="2" s="1"/>
  <c r="BB532" i="2" s="1" a="1"/>
  <c r="BB532" i="2" s="1"/>
  <c r="V532" i="2" a="1"/>
  <c r="V532" i="2" s="1"/>
  <c r="E532" i="2" s="1" a="1"/>
  <c r="E532" i="2" s="1"/>
  <c r="U532" i="2" a="1"/>
  <c r="U532" i="2" s="1"/>
  <c r="T532" i="2" a="1"/>
  <c r="T532" i="2" s="1"/>
  <c r="S532" i="2" a="1"/>
  <c r="S532" i="2" s="1"/>
  <c r="R532" i="2" a="1"/>
  <c r="R532" i="2" s="1"/>
  <c r="Q532" i="2" a="1"/>
  <c r="Q532" i="2" s="1"/>
  <c r="P532" i="2" a="1"/>
  <c r="P532" i="2" s="1"/>
  <c r="O532" i="2" a="1"/>
  <c r="O532" i="2" s="1"/>
  <c r="N532" i="2" a="1"/>
  <c r="N532" i="2" s="1"/>
  <c r="M532" i="2" a="1"/>
  <c r="M532" i="2" s="1"/>
  <c r="L532" i="2" a="1"/>
  <c r="L532" i="2" s="1"/>
  <c r="K532" i="2" a="1"/>
  <c r="K532" i="2" s="1"/>
  <c r="J532" i="2" a="1"/>
  <c r="J532" i="2" s="1"/>
  <c r="I532" i="2" a="1"/>
  <c r="I532" i="2" s="1"/>
  <c r="H532" i="2" a="1"/>
  <c r="H532" i="2" s="1"/>
  <c r="F532" i="2" a="1"/>
  <c r="F532" i="2" s="1"/>
  <c r="D532" i="2" a="1"/>
  <c r="D532" i="2" s="1"/>
  <c r="B532" i="2" a="1"/>
  <c r="B532" i="2" s="1"/>
  <c r="BD531" i="2" a="1"/>
  <c r="BD531" i="2" s="1"/>
  <c r="BC531" i="2" a="1"/>
  <c r="BC531" i="2" s="1"/>
  <c r="BA531" i="2" a="1"/>
  <c r="BA531" i="2" s="1"/>
  <c r="AZ531" i="2" a="1"/>
  <c r="AZ531" i="2" s="1"/>
  <c r="AY531" i="2" a="1"/>
  <c r="AY531" i="2" s="1"/>
  <c r="AX531" i="2" a="1"/>
  <c r="AX531" i="2" s="1"/>
  <c r="AW531" i="2" a="1"/>
  <c r="AW531" i="2" s="1"/>
  <c r="AV531" i="2" a="1"/>
  <c r="AV531" i="2" s="1"/>
  <c r="AU531" i="2" a="1"/>
  <c r="AU531" i="2" s="1"/>
  <c r="AT531" i="2" a="1"/>
  <c r="AT531" i="2" s="1"/>
  <c r="AS531" i="2" a="1"/>
  <c r="AS531" i="2" s="1"/>
  <c r="AR531" i="2" a="1"/>
  <c r="AR531" i="2" s="1"/>
  <c r="AQ531" i="2" a="1"/>
  <c r="AQ531" i="2" s="1"/>
  <c r="AP531" i="2" a="1"/>
  <c r="AP531" i="2" s="1"/>
  <c r="AO531" i="2" a="1"/>
  <c r="AO531" i="2" s="1"/>
  <c r="AN531" i="2" a="1"/>
  <c r="AN531" i="2" s="1"/>
  <c r="AM531" i="2" a="1"/>
  <c r="AM531" i="2" s="1"/>
  <c r="AL531" i="2" a="1"/>
  <c r="AL531" i="2" s="1"/>
  <c r="AK531" i="2" a="1"/>
  <c r="AK531" i="2" s="1"/>
  <c r="AJ531" i="2" a="1"/>
  <c r="AJ531" i="2" s="1"/>
  <c r="AI531" i="2" a="1"/>
  <c r="AI531" i="2" s="1"/>
  <c r="AH531" i="2" a="1"/>
  <c r="AH531" i="2" s="1"/>
  <c r="AG531" i="2" a="1"/>
  <c r="AG531" i="2" s="1"/>
  <c r="AF531" i="2" a="1"/>
  <c r="AF531" i="2" s="1"/>
  <c r="AE531" i="2" a="1"/>
  <c r="AE531" i="2" s="1"/>
  <c r="AD531" i="2" a="1"/>
  <c r="AD531" i="2" s="1"/>
  <c r="AC531" i="2" a="1"/>
  <c r="AC531" i="2" s="1"/>
  <c r="AB531" i="2"/>
  <c r="AA531" i="2" a="1"/>
  <c r="AA531" i="2" s="1"/>
  <c r="Z531" i="2" a="1"/>
  <c r="Z531" i="2" s="1"/>
  <c r="Y531" i="2" a="1"/>
  <c r="Y531" i="2" s="1"/>
  <c r="X531" i="2" a="1"/>
  <c r="X531" i="2" s="1"/>
  <c r="W531" i="2" a="1"/>
  <c r="W531" i="2" s="1"/>
  <c r="BB531" i="2" s="1" a="1"/>
  <c r="BB531" i="2" s="1"/>
  <c r="V531" i="2" a="1"/>
  <c r="V531" i="2" s="1"/>
  <c r="E531" i="2" s="1" a="1"/>
  <c r="E531" i="2" s="1"/>
  <c r="U531" i="2" a="1"/>
  <c r="U531" i="2" s="1"/>
  <c r="T531" i="2" a="1"/>
  <c r="T531" i="2" s="1"/>
  <c r="S531" i="2" a="1"/>
  <c r="S531" i="2" s="1"/>
  <c r="R531" i="2" a="1"/>
  <c r="R531" i="2" s="1"/>
  <c r="Q531" i="2" a="1"/>
  <c r="Q531" i="2" s="1"/>
  <c r="P531" i="2" a="1"/>
  <c r="P531" i="2" s="1"/>
  <c r="O531" i="2" a="1"/>
  <c r="O531" i="2" s="1"/>
  <c r="N531" i="2" a="1"/>
  <c r="N531" i="2" s="1"/>
  <c r="M531" i="2" a="1"/>
  <c r="M531" i="2" s="1"/>
  <c r="L531" i="2" a="1"/>
  <c r="L531" i="2" s="1"/>
  <c r="K531" i="2" a="1"/>
  <c r="K531" i="2" s="1"/>
  <c r="J531" i="2" a="1"/>
  <c r="J531" i="2" s="1"/>
  <c r="I531" i="2" a="1"/>
  <c r="I531" i="2" s="1"/>
  <c r="H531" i="2" a="1"/>
  <c r="H531" i="2" s="1"/>
  <c r="F531" i="2" a="1"/>
  <c r="F531" i="2" s="1"/>
  <c r="D531" i="2" a="1"/>
  <c r="D531" i="2" s="1"/>
  <c r="B531" i="2" a="1"/>
  <c r="B531" i="2" s="1"/>
  <c r="BD530" i="2" a="1"/>
  <c r="BD530" i="2" s="1"/>
  <c r="BC530" i="2" a="1"/>
  <c r="BC530" i="2" s="1"/>
  <c r="BA530" i="2" a="1"/>
  <c r="BA530" i="2" s="1"/>
  <c r="AZ530" i="2" a="1"/>
  <c r="AZ530" i="2" s="1"/>
  <c r="AY530" i="2" a="1"/>
  <c r="AY530" i="2" s="1"/>
  <c r="AX530" i="2" a="1"/>
  <c r="AX530" i="2" s="1"/>
  <c r="AW530" i="2" a="1"/>
  <c r="AW530" i="2" s="1"/>
  <c r="AV530" i="2" a="1"/>
  <c r="AV530" i="2" s="1"/>
  <c r="AU530" i="2" a="1"/>
  <c r="AU530" i="2" s="1"/>
  <c r="AT530" i="2" a="1"/>
  <c r="AT530" i="2" s="1"/>
  <c r="AS530" i="2" a="1"/>
  <c r="AS530" i="2" s="1"/>
  <c r="AR530" i="2" a="1"/>
  <c r="AR530" i="2" s="1"/>
  <c r="AQ530" i="2" a="1"/>
  <c r="AQ530" i="2" s="1"/>
  <c r="AP530" i="2" a="1"/>
  <c r="AP530" i="2" s="1"/>
  <c r="AO530" i="2" a="1"/>
  <c r="AO530" i="2" s="1"/>
  <c r="AN530" i="2" a="1"/>
  <c r="AN530" i="2" s="1"/>
  <c r="AM530" i="2" a="1"/>
  <c r="AM530" i="2" s="1"/>
  <c r="AL530" i="2" a="1"/>
  <c r="AL530" i="2" s="1"/>
  <c r="AK530" i="2" a="1"/>
  <c r="AK530" i="2" s="1"/>
  <c r="AJ530" i="2" a="1"/>
  <c r="AJ530" i="2" s="1"/>
  <c r="AI530" i="2" a="1"/>
  <c r="AI530" i="2" s="1"/>
  <c r="AH530" i="2" a="1"/>
  <c r="AH530" i="2" s="1"/>
  <c r="AG530" i="2" a="1"/>
  <c r="AG530" i="2" s="1"/>
  <c r="AF530" i="2" a="1"/>
  <c r="AF530" i="2" s="1"/>
  <c r="AE530" i="2" a="1"/>
  <c r="AE530" i="2" s="1"/>
  <c r="AD530" i="2" a="1"/>
  <c r="AD530" i="2" s="1"/>
  <c r="AC530" i="2" a="1"/>
  <c r="AC530" i="2" s="1"/>
  <c r="AB530" i="2"/>
  <c r="AA530" i="2" a="1"/>
  <c r="AA530" i="2" s="1"/>
  <c r="Z530" i="2" a="1"/>
  <c r="Z530" i="2" s="1"/>
  <c r="Y530" i="2" a="1"/>
  <c r="Y530" i="2" s="1"/>
  <c r="X530" i="2" a="1"/>
  <c r="X530" i="2" s="1"/>
  <c r="W530" i="2" a="1"/>
  <c r="W530" i="2" s="1"/>
  <c r="BB530" i="2" s="1" a="1"/>
  <c r="BB530" i="2" s="1"/>
  <c r="V530" i="2" a="1"/>
  <c r="V530" i="2" s="1"/>
  <c r="E530" i="2" s="1" a="1"/>
  <c r="E530" i="2" s="1"/>
  <c r="U530" i="2" a="1"/>
  <c r="U530" i="2" s="1"/>
  <c r="T530" i="2" a="1"/>
  <c r="T530" i="2" s="1"/>
  <c r="S530" i="2" a="1"/>
  <c r="S530" i="2" s="1"/>
  <c r="R530" i="2" a="1"/>
  <c r="R530" i="2" s="1"/>
  <c r="Q530" i="2" a="1"/>
  <c r="Q530" i="2" s="1"/>
  <c r="P530" i="2" a="1"/>
  <c r="P530" i="2" s="1"/>
  <c r="O530" i="2" a="1"/>
  <c r="O530" i="2" s="1"/>
  <c r="N530" i="2" a="1"/>
  <c r="N530" i="2" s="1"/>
  <c r="M530" i="2" a="1"/>
  <c r="M530" i="2" s="1"/>
  <c r="L530" i="2" a="1"/>
  <c r="L530" i="2" s="1"/>
  <c r="K530" i="2" a="1"/>
  <c r="K530" i="2" s="1"/>
  <c r="J530" i="2" a="1"/>
  <c r="J530" i="2" s="1"/>
  <c r="I530" i="2" a="1"/>
  <c r="I530" i="2" s="1"/>
  <c r="H530" i="2" a="1"/>
  <c r="H530" i="2" s="1"/>
  <c r="F530" i="2" a="1"/>
  <c r="F530" i="2" s="1"/>
  <c r="D530" i="2" a="1"/>
  <c r="D530" i="2" s="1"/>
  <c r="B530" i="2" a="1"/>
  <c r="B530" i="2" s="1"/>
  <c r="BD529" i="2" a="1"/>
  <c r="BD529" i="2" s="1"/>
  <c r="BC529" i="2" a="1"/>
  <c r="BC529" i="2" s="1"/>
  <c r="BA529" i="2" a="1"/>
  <c r="BA529" i="2" s="1"/>
  <c r="AZ529" i="2" a="1"/>
  <c r="AZ529" i="2" s="1"/>
  <c r="AY529" i="2" a="1"/>
  <c r="AY529" i="2" s="1"/>
  <c r="AX529" i="2" a="1"/>
  <c r="AX529" i="2" s="1"/>
  <c r="AW529" i="2" a="1"/>
  <c r="AW529" i="2" s="1"/>
  <c r="AV529" i="2" a="1"/>
  <c r="AV529" i="2" s="1"/>
  <c r="AU529" i="2" a="1"/>
  <c r="AU529" i="2" s="1"/>
  <c r="AT529" i="2" a="1"/>
  <c r="AT529" i="2" s="1"/>
  <c r="AS529" i="2" a="1"/>
  <c r="AS529" i="2" s="1"/>
  <c r="AR529" i="2" a="1"/>
  <c r="AR529" i="2" s="1"/>
  <c r="AQ529" i="2" a="1"/>
  <c r="AQ529" i="2" s="1"/>
  <c r="AP529" i="2" a="1"/>
  <c r="AP529" i="2" s="1"/>
  <c r="AO529" i="2" a="1"/>
  <c r="AO529" i="2" s="1"/>
  <c r="AN529" i="2" a="1"/>
  <c r="AN529" i="2" s="1"/>
  <c r="AM529" i="2" a="1"/>
  <c r="AM529" i="2" s="1"/>
  <c r="AL529" i="2" a="1"/>
  <c r="AL529" i="2" s="1"/>
  <c r="AK529" i="2" a="1"/>
  <c r="AK529" i="2" s="1"/>
  <c r="AJ529" i="2" a="1"/>
  <c r="AJ529" i="2" s="1"/>
  <c r="AI529" i="2" a="1"/>
  <c r="AI529" i="2" s="1"/>
  <c r="AH529" i="2" a="1"/>
  <c r="AH529" i="2" s="1"/>
  <c r="AG529" i="2" a="1"/>
  <c r="AG529" i="2" s="1"/>
  <c r="AF529" i="2" a="1"/>
  <c r="AF529" i="2" s="1"/>
  <c r="AE529" i="2" a="1"/>
  <c r="AE529" i="2" s="1"/>
  <c r="AD529" i="2" a="1"/>
  <c r="AD529" i="2" s="1"/>
  <c r="AC529" i="2" a="1"/>
  <c r="AC529" i="2" s="1"/>
  <c r="AB529" i="2"/>
  <c r="AA529" i="2" a="1"/>
  <c r="AA529" i="2" s="1"/>
  <c r="Z529" i="2" a="1"/>
  <c r="Z529" i="2" s="1"/>
  <c r="Y529" i="2" a="1"/>
  <c r="Y529" i="2" s="1"/>
  <c r="X529" i="2" a="1"/>
  <c r="X529" i="2" s="1"/>
  <c r="W529" i="2" a="1"/>
  <c r="W529" i="2" s="1"/>
  <c r="BB529" i="2" s="1" a="1"/>
  <c r="BB529" i="2" s="1"/>
  <c r="V529" i="2" a="1"/>
  <c r="V529" i="2" s="1"/>
  <c r="E529" i="2" s="1" a="1"/>
  <c r="E529" i="2" s="1"/>
  <c r="U529" i="2" a="1"/>
  <c r="U529" i="2" s="1"/>
  <c r="T529" i="2" a="1"/>
  <c r="T529" i="2" s="1"/>
  <c r="S529" i="2" a="1"/>
  <c r="S529" i="2" s="1"/>
  <c r="R529" i="2" a="1"/>
  <c r="R529" i="2" s="1"/>
  <c r="Q529" i="2" a="1"/>
  <c r="Q529" i="2" s="1"/>
  <c r="P529" i="2" a="1"/>
  <c r="P529" i="2" s="1"/>
  <c r="O529" i="2" a="1"/>
  <c r="O529" i="2" s="1"/>
  <c r="N529" i="2" a="1"/>
  <c r="N529" i="2" s="1"/>
  <c r="M529" i="2" a="1"/>
  <c r="M529" i="2" s="1"/>
  <c r="L529" i="2" a="1"/>
  <c r="L529" i="2" s="1"/>
  <c r="K529" i="2" a="1"/>
  <c r="K529" i="2" s="1"/>
  <c r="J529" i="2" a="1"/>
  <c r="J529" i="2" s="1"/>
  <c r="I529" i="2" a="1"/>
  <c r="I529" i="2" s="1"/>
  <c r="H529" i="2" a="1"/>
  <c r="H529" i="2" s="1"/>
  <c r="F529" i="2" a="1"/>
  <c r="F529" i="2" s="1"/>
  <c r="D529" i="2" a="1"/>
  <c r="D529" i="2" s="1"/>
  <c r="B529" i="2" a="1"/>
  <c r="B529" i="2" s="1"/>
  <c r="BD525" i="2" a="1"/>
  <c r="BD525" i="2" s="1"/>
  <c r="BC525" i="2" a="1"/>
  <c r="BC525" i="2" s="1"/>
  <c r="AZ525" i="2" a="1"/>
  <c r="AZ525" i="2" s="1"/>
  <c r="AY525" i="2" a="1"/>
  <c r="AY525" i="2" s="1"/>
  <c r="AX525" i="2" a="1"/>
  <c r="AX525" i="2" s="1"/>
  <c r="AW525" i="2" a="1"/>
  <c r="AW525" i="2" s="1"/>
  <c r="AV525" i="2" a="1"/>
  <c r="AV525" i="2" s="1"/>
  <c r="AU525" i="2" a="1"/>
  <c r="AU525" i="2" s="1"/>
  <c r="AT525" i="2" a="1"/>
  <c r="AT525" i="2" s="1"/>
  <c r="AS525" i="2" a="1"/>
  <c r="AS525" i="2" s="1"/>
  <c r="AR525" i="2" a="1"/>
  <c r="AR525" i="2" s="1"/>
  <c r="AQ525" i="2" a="1"/>
  <c r="AQ525" i="2" s="1"/>
  <c r="AP525" i="2" a="1"/>
  <c r="AP525" i="2" s="1"/>
  <c r="AO525" i="2" a="1"/>
  <c r="AO525" i="2" s="1"/>
  <c r="AN525" i="2" a="1"/>
  <c r="AN525" i="2" s="1"/>
  <c r="AM525" i="2" a="1"/>
  <c r="AM525" i="2" s="1"/>
  <c r="AL525" i="2" a="1"/>
  <c r="AL525" i="2" s="1"/>
  <c r="AK525" i="2" a="1"/>
  <c r="AK525" i="2" s="1"/>
  <c r="AJ525" i="2" a="1"/>
  <c r="AJ525" i="2" s="1"/>
  <c r="AI525" i="2" a="1"/>
  <c r="AI525" i="2" s="1"/>
  <c r="AH525" i="2" a="1"/>
  <c r="AH525" i="2" s="1"/>
  <c r="AG525" i="2" a="1"/>
  <c r="AG525" i="2" s="1"/>
  <c r="AF525" i="2" a="1"/>
  <c r="AF525" i="2" s="1"/>
  <c r="AE525" i="2" a="1"/>
  <c r="AE525" i="2" s="1"/>
  <c r="AD525" i="2" a="1"/>
  <c r="AD525" i="2" s="1"/>
  <c r="AC525" i="2" a="1"/>
  <c r="AC525" i="2" s="1"/>
  <c r="AB525" i="2" a="1"/>
  <c r="AB525" i="2" s="1"/>
  <c r="AA525" i="2" a="1"/>
  <c r="AA525" i="2" s="1"/>
  <c r="Z525" i="2" a="1"/>
  <c r="Z525" i="2" s="1"/>
  <c r="Y525" i="2" a="1"/>
  <c r="Y525" i="2" s="1"/>
  <c r="X525" i="2" a="1"/>
  <c r="X525" i="2" s="1"/>
  <c r="W525" i="2" a="1"/>
  <c r="W525" i="2" s="1"/>
  <c r="V525" i="2" a="1"/>
  <c r="V525" i="2" s="1"/>
  <c r="E525" i="2" s="1" a="1"/>
  <c r="E525" i="2" s="1"/>
  <c r="U525" i="2" a="1"/>
  <c r="U525" i="2" s="1"/>
  <c r="T525" i="2" a="1"/>
  <c r="T525" i="2" s="1"/>
  <c r="S525" i="2" a="1"/>
  <c r="S525" i="2" s="1"/>
  <c r="R525" i="2" a="1"/>
  <c r="R525" i="2" s="1"/>
  <c r="Q525" i="2" a="1"/>
  <c r="Q525" i="2" s="1"/>
  <c r="P525" i="2" a="1"/>
  <c r="P525" i="2" s="1"/>
  <c r="O525" i="2" a="1"/>
  <c r="O525" i="2" s="1"/>
  <c r="N525" i="2" a="1"/>
  <c r="N525" i="2" s="1"/>
  <c r="M525" i="2" a="1"/>
  <c r="M525" i="2" s="1"/>
  <c r="L525" i="2" a="1"/>
  <c r="L525" i="2" s="1"/>
  <c r="K525" i="2" a="1"/>
  <c r="K525" i="2" s="1"/>
  <c r="J525" i="2" a="1"/>
  <c r="J525" i="2" s="1"/>
  <c r="I525" i="2" a="1"/>
  <c r="I525" i="2" s="1"/>
  <c r="H525" i="2" a="1"/>
  <c r="H525" i="2" s="1"/>
  <c r="F525" i="2" a="1"/>
  <c r="F525" i="2" s="1"/>
  <c r="D525" i="2" a="1"/>
  <c r="D525" i="2" s="1"/>
  <c r="B525" i="2" a="1"/>
  <c r="B525" i="2" s="1"/>
  <c r="B409" i="2" a="1"/>
  <c r="B409" i="2" s="1"/>
  <c r="BD521" i="2" a="1"/>
  <c r="BD521" i="2" s="1"/>
  <c r="BC521" i="2" a="1"/>
  <c r="BC521" i="2" s="1"/>
  <c r="BA521" i="2" a="1"/>
  <c r="BA521" i="2" s="1"/>
  <c r="AZ521" i="2" a="1"/>
  <c r="AZ521" i="2" s="1"/>
  <c r="AY521" i="2" a="1"/>
  <c r="AY521" i="2" s="1"/>
  <c r="AX521" i="2" a="1"/>
  <c r="AX521" i="2" s="1"/>
  <c r="AW521" i="2" a="1"/>
  <c r="AW521" i="2" s="1"/>
  <c r="AV521" i="2" a="1"/>
  <c r="AV521" i="2" s="1"/>
  <c r="AU521" i="2" a="1"/>
  <c r="AU521" i="2" s="1"/>
  <c r="AT521" i="2" a="1"/>
  <c r="AT521" i="2" s="1"/>
  <c r="AS521" i="2" a="1"/>
  <c r="AS521" i="2" s="1"/>
  <c r="AR521" i="2" a="1"/>
  <c r="AR521" i="2" s="1"/>
  <c r="AQ521" i="2" a="1"/>
  <c r="AQ521" i="2" s="1"/>
  <c r="AP521" i="2" a="1"/>
  <c r="AP521" i="2" s="1"/>
  <c r="AO521" i="2" a="1"/>
  <c r="AO521" i="2" s="1"/>
  <c r="AN521" i="2" a="1"/>
  <c r="AN521" i="2" s="1"/>
  <c r="AM521" i="2" a="1"/>
  <c r="AM521" i="2" s="1"/>
  <c r="AL521" i="2" a="1"/>
  <c r="AL521" i="2" s="1"/>
  <c r="AK521" i="2" a="1"/>
  <c r="AK521" i="2" s="1"/>
  <c r="AJ521" i="2" a="1"/>
  <c r="AJ521" i="2" s="1"/>
  <c r="AI521" i="2" a="1"/>
  <c r="AI521" i="2" s="1"/>
  <c r="AH521" i="2" a="1"/>
  <c r="AH521" i="2" s="1"/>
  <c r="AG521" i="2" a="1"/>
  <c r="AG521" i="2" s="1"/>
  <c r="AF521" i="2" a="1"/>
  <c r="AF521" i="2" s="1"/>
  <c r="AE521" i="2" a="1"/>
  <c r="AE521" i="2" s="1"/>
  <c r="AD521" i="2" a="1"/>
  <c r="AD521" i="2" s="1"/>
  <c r="AC521" i="2" a="1"/>
  <c r="AC521" i="2" s="1"/>
  <c r="AB521" i="2"/>
  <c r="AA521" i="2" a="1"/>
  <c r="AA521" i="2" s="1"/>
  <c r="Z521" i="2" a="1"/>
  <c r="Z521" i="2" s="1"/>
  <c r="Y521" i="2" a="1"/>
  <c r="Y521" i="2" s="1"/>
  <c r="X521" i="2" a="1"/>
  <c r="X521" i="2" s="1"/>
  <c r="W521" i="2" a="1"/>
  <c r="W521" i="2" s="1"/>
  <c r="BB521" i="2" s="1" a="1"/>
  <c r="BB521" i="2" s="1"/>
  <c r="V521" i="2" a="1"/>
  <c r="V521" i="2" s="1"/>
  <c r="E521" i="2" s="1" a="1"/>
  <c r="E521" i="2" s="1"/>
  <c r="U521" i="2" a="1"/>
  <c r="U521" i="2" s="1"/>
  <c r="T521" i="2" a="1"/>
  <c r="T521" i="2" s="1"/>
  <c r="S521" i="2" a="1"/>
  <c r="S521" i="2" s="1"/>
  <c r="R521" i="2" a="1"/>
  <c r="R521" i="2" s="1"/>
  <c r="Q521" i="2" a="1"/>
  <c r="Q521" i="2" s="1"/>
  <c r="P521" i="2" a="1"/>
  <c r="P521" i="2" s="1"/>
  <c r="O521" i="2" a="1"/>
  <c r="O521" i="2" s="1"/>
  <c r="N521" i="2" a="1"/>
  <c r="N521" i="2" s="1"/>
  <c r="M521" i="2" a="1"/>
  <c r="M521" i="2" s="1"/>
  <c r="L521" i="2" a="1"/>
  <c r="L521" i="2" s="1"/>
  <c r="K521" i="2" a="1"/>
  <c r="K521" i="2" s="1"/>
  <c r="J521" i="2" a="1"/>
  <c r="J521" i="2" s="1"/>
  <c r="I521" i="2" a="1"/>
  <c r="I521" i="2" s="1"/>
  <c r="H521" i="2" a="1"/>
  <c r="H521" i="2" s="1"/>
  <c r="F521" i="2" a="1"/>
  <c r="F521" i="2" s="1"/>
  <c r="D521" i="2" a="1"/>
  <c r="D521" i="2" s="1"/>
  <c r="B521" i="2" a="1"/>
  <c r="B521" i="2" s="1"/>
  <c r="BD520" i="2" a="1"/>
  <c r="BD520" i="2" s="1"/>
  <c r="BC520" i="2" a="1"/>
  <c r="BC520" i="2" s="1"/>
  <c r="BA520" i="2" a="1"/>
  <c r="BA520" i="2" s="1"/>
  <c r="AZ520" i="2" a="1"/>
  <c r="AZ520" i="2" s="1"/>
  <c r="AY520" i="2" a="1"/>
  <c r="AY520" i="2" s="1"/>
  <c r="AX520" i="2" a="1"/>
  <c r="AX520" i="2" s="1"/>
  <c r="AW520" i="2" a="1"/>
  <c r="AW520" i="2" s="1"/>
  <c r="AV520" i="2" a="1"/>
  <c r="AV520" i="2" s="1"/>
  <c r="AU520" i="2" a="1"/>
  <c r="AU520" i="2" s="1"/>
  <c r="AT520" i="2" a="1"/>
  <c r="AT520" i="2" s="1"/>
  <c r="AS520" i="2" a="1"/>
  <c r="AS520" i="2" s="1"/>
  <c r="AR520" i="2" a="1"/>
  <c r="AR520" i="2" s="1"/>
  <c r="AQ520" i="2" a="1"/>
  <c r="AQ520" i="2" s="1"/>
  <c r="AP520" i="2" a="1"/>
  <c r="AP520" i="2" s="1"/>
  <c r="AO520" i="2" a="1"/>
  <c r="AO520" i="2" s="1"/>
  <c r="AN520" i="2" a="1"/>
  <c r="AN520" i="2" s="1"/>
  <c r="AM520" i="2" a="1"/>
  <c r="AM520" i="2" s="1"/>
  <c r="AL520" i="2" a="1"/>
  <c r="AL520" i="2" s="1"/>
  <c r="AK520" i="2" a="1"/>
  <c r="AK520" i="2" s="1"/>
  <c r="AJ520" i="2" a="1"/>
  <c r="AJ520" i="2" s="1"/>
  <c r="AI520" i="2" a="1"/>
  <c r="AI520" i="2" s="1"/>
  <c r="AH520" i="2" a="1"/>
  <c r="AH520" i="2" s="1"/>
  <c r="AG520" i="2" a="1"/>
  <c r="AG520" i="2" s="1"/>
  <c r="AF520" i="2" a="1"/>
  <c r="AF520" i="2" s="1"/>
  <c r="AE520" i="2" a="1"/>
  <c r="AE520" i="2" s="1"/>
  <c r="AD520" i="2" a="1"/>
  <c r="AD520" i="2" s="1"/>
  <c r="AC520" i="2" a="1"/>
  <c r="AC520" i="2" s="1"/>
  <c r="AB520" i="2"/>
  <c r="AA520" i="2" a="1"/>
  <c r="AA520" i="2" s="1"/>
  <c r="Z520" i="2" a="1"/>
  <c r="Z520" i="2" s="1"/>
  <c r="Y520" i="2" a="1"/>
  <c r="Y520" i="2" s="1"/>
  <c r="X520" i="2" a="1"/>
  <c r="X520" i="2" s="1"/>
  <c r="W520" i="2" a="1"/>
  <c r="W520" i="2" s="1"/>
  <c r="BB520" i="2" s="1" a="1"/>
  <c r="BB520" i="2" s="1"/>
  <c r="V520" i="2" a="1"/>
  <c r="V520" i="2" s="1"/>
  <c r="E520" i="2" s="1" a="1"/>
  <c r="E520" i="2" s="1"/>
  <c r="U520" i="2" a="1"/>
  <c r="U520" i="2" s="1"/>
  <c r="T520" i="2" a="1"/>
  <c r="T520" i="2" s="1"/>
  <c r="S520" i="2" a="1"/>
  <c r="S520" i="2" s="1"/>
  <c r="R520" i="2" a="1"/>
  <c r="R520" i="2" s="1"/>
  <c r="Q520" i="2" a="1"/>
  <c r="Q520" i="2" s="1"/>
  <c r="P520" i="2" a="1"/>
  <c r="P520" i="2" s="1"/>
  <c r="O520" i="2" a="1"/>
  <c r="O520" i="2" s="1"/>
  <c r="N520" i="2" a="1"/>
  <c r="N520" i="2" s="1"/>
  <c r="M520" i="2" a="1"/>
  <c r="M520" i="2" s="1"/>
  <c r="L520" i="2" a="1"/>
  <c r="L520" i="2" s="1"/>
  <c r="K520" i="2" a="1"/>
  <c r="K520" i="2" s="1"/>
  <c r="J520" i="2" a="1"/>
  <c r="J520" i="2" s="1"/>
  <c r="I520" i="2" a="1"/>
  <c r="I520" i="2" s="1"/>
  <c r="H520" i="2" a="1"/>
  <c r="H520" i="2" s="1"/>
  <c r="F520" i="2" a="1"/>
  <c r="F520" i="2" s="1"/>
  <c r="D520" i="2" a="1"/>
  <c r="D520" i="2" s="1"/>
  <c r="B520" i="2" a="1"/>
  <c r="B520" i="2" s="1"/>
  <c r="BD519" i="2" a="1"/>
  <c r="BD519" i="2" s="1"/>
  <c r="BC519" i="2" a="1"/>
  <c r="BC519" i="2" s="1"/>
  <c r="BA519" i="2" a="1"/>
  <c r="BA519" i="2" s="1"/>
  <c r="AZ519" i="2" a="1"/>
  <c r="AZ519" i="2" s="1"/>
  <c r="AY519" i="2" a="1"/>
  <c r="AY519" i="2" s="1"/>
  <c r="AX519" i="2" a="1"/>
  <c r="AX519" i="2" s="1"/>
  <c r="AW519" i="2" a="1"/>
  <c r="AW519" i="2" s="1"/>
  <c r="AV519" i="2" a="1"/>
  <c r="AV519" i="2" s="1"/>
  <c r="AU519" i="2" a="1"/>
  <c r="AU519" i="2" s="1"/>
  <c r="AT519" i="2" a="1"/>
  <c r="AT519" i="2" s="1"/>
  <c r="AS519" i="2" a="1"/>
  <c r="AS519" i="2" s="1"/>
  <c r="AR519" i="2" a="1"/>
  <c r="AR519" i="2" s="1"/>
  <c r="AQ519" i="2" a="1"/>
  <c r="AQ519" i="2" s="1"/>
  <c r="AP519" i="2" a="1"/>
  <c r="AP519" i="2" s="1"/>
  <c r="AO519" i="2" a="1"/>
  <c r="AO519" i="2" s="1"/>
  <c r="AN519" i="2" a="1"/>
  <c r="AN519" i="2" s="1"/>
  <c r="AM519" i="2" a="1"/>
  <c r="AM519" i="2" s="1"/>
  <c r="AL519" i="2" a="1"/>
  <c r="AL519" i="2" s="1"/>
  <c r="AK519" i="2" a="1"/>
  <c r="AK519" i="2" s="1"/>
  <c r="AJ519" i="2" a="1"/>
  <c r="AJ519" i="2" s="1"/>
  <c r="AI519" i="2" a="1"/>
  <c r="AI519" i="2" s="1"/>
  <c r="AH519" i="2" a="1"/>
  <c r="AH519" i="2" s="1"/>
  <c r="AG519" i="2" a="1"/>
  <c r="AG519" i="2" s="1"/>
  <c r="AF519" i="2" a="1"/>
  <c r="AF519" i="2" s="1"/>
  <c r="AE519" i="2" a="1"/>
  <c r="AE519" i="2" s="1"/>
  <c r="AD519" i="2" a="1"/>
  <c r="AD519" i="2" s="1"/>
  <c r="AC519" i="2" a="1"/>
  <c r="AC519" i="2" s="1"/>
  <c r="AB519" i="2"/>
  <c r="AA519" i="2" a="1"/>
  <c r="AA519" i="2" s="1"/>
  <c r="Z519" i="2" a="1"/>
  <c r="Z519" i="2" s="1"/>
  <c r="Y519" i="2" a="1"/>
  <c r="Y519" i="2" s="1"/>
  <c r="X519" i="2" a="1"/>
  <c r="X519" i="2" s="1"/>
  <c r="W519" i="2" a="1"/>
  <c r="W519" i="2" s="1"/>
  <c r="BB519" i="2" s="1" a="1"/>
  <c r="BB519" i="2" s="1"/>
  <c r="V519" i="2" a="1"/>
  <c r="V519" i="2" s="1"/>
  <c r="E519" i="2" s="1" a="1"/>
  <c r="E519" i="2" s="1"/>
  <c r="U519" i="2" a="1"/>
  <c r="U519" i="2" s="1"/>
  <c r="T519" i="2" a="1"/>
  <c r="T519" i="2" s="1"/>
  <c r="S519" i="2" a="1"/>
  <c r="S519" i="2" s="1"/>
  <c r="R519" i="2" a="1"/>
  <c r="R519" i="2" s="1"/>
  <c r="Q519" i="2" a="1"/>
  <c r="Q519" i="2" s="1"/>
  <c r="P519" i="2" a="1"/>
  <c r="P519" i="2" s="1"/>
  <c r="O519" i="2" a="1"/>
  <c r="O519" i="2" s="1"/>
  <c r="N519" i="2" a="1"/>
  <c r="N519" i="2" s="1"/>
  <c r="M519" i="2" a="1"/>
  <c r="M519" i="2" s="1"/>
  <c r="L519" i="2" a="1"/>
  <c r="L519" i="2" s="1"/>
  <c r="K519" i="2" a="1"/>
  <c r="K519" i="2" s="1"/>
  <c r="J519" i="2" a="1"/>
  <c r="J519" i="2" s="1"/>
  <c r="I519" i="2" a="1"/>
  <c r="I519" i="2" s="1"/>
  <c r="H519" i="2" a="1"/>
  <c r="H519" i="2" s="1"/>
  <c r="F519" i="2" a="1"/>
  <c r="F519" i="2" s="1"/>
  <c r="D519" i="2" a="1"/>
  <c r="D519" i="2" s="1"/>
  <c r="B519" i="2" a="1"/>
  <c r="B519" i="2" s="1"/>
  <c r="BD518" i="2" a="1"/>
  <c r="BD518" i="2" s="1"/>
  <c r="BC518" i="2" a="1"/>
  <c r="BC518" i="2" s="1"/>
  <c r="BA518" i="2" a="1"/>
  <c r="BA518" i="2" s="1"/>
  <c r="AZ518" i="2" a="1"/>
  <c r="AZ518" i="2" s="1"/>
  <c r="AY518" i="2" a="1"/>
  <c r="AY518" i="2" s="1"/>
  <c r="AX518" i="2" a="1"/>
  <c r="AX518" i="2" s="1"/>
  <c r="AW518" i="2" a="1"/>
  <c r="AW518" i="2" s="1"/>
  <c r="AV518" i="2" a="1"/>
  <c r="AV518" i="2" s="1"/>
  <c r="AU518" i="2" a="1"/>
  <c r="AU518" i="2" s="1"/>
  <c r="AT518" i="2" a="1"/>
  <c r="AT518" i="2" s="1"/>
  <c r="AS518" i="2" a="1"/>
  <c r="AS518" i="2" s="1"/>
  <c r="AR518" i="2" a="1"/>
  <c r="AR518" i="2" s="1"/>
  <c r="AQ518" i="2" a="1"/>
  <c r="AQ518" i="2" s="1"/>
  <c r="AP518" i="2" a="1"/>
  <c r="AP518" i="2" s="1"/>
  <c r="AO518" i="2" a="1"/>
  <c r="AO518" i="2" s="1"/>
  <c r="AN518" i="2" a="1"/>
  <c r="AN518" i="2" s="1"/>
  <c r="AM518" i="2" a="1"/>
  <c r="AM518" i="2" s="1"/>
  <c r="AL518" i="2" a="1"/>
  <c r="AL518" i="2" s="1"/>
  <c r="AK518" i="2" a="1"/>
  <c r="AK518" i="2" s="1"/>
  <c r="AJ518" i="2" a="1"/>
  <c r="AJ518" i="2" s="1"/>
  <c r="AI518" i="2" a="1"/>
  <c r="AI518" i="2" s="1"/>
  <c r="AH518" i="2" a="1"/>
  <c r="AH518" i="2" s="1"/>
  <c r="AG518" i="2" a="1"/>
  <c r="AG518" i="2" s="1"/>
  <c r="AF518" i="2" a="1"/>
  <c r="AF518" i="2" s="1"/>
  <c r="AE518" i="2" a="1"/>
  <c r="AE518" i="2" s="1"/>
  <c r="AD518" i="2" a="1"/>
  <c r="AD518" i="2" s="1"/>
  <c r="AC518" i="2" a="1"/>
  <c r="AC518" i="2" s="1"/>
  <c r="AB518" i="2"/>
  <c r="AA518" i="2" a="1"/>
  <c r="AA518" i="2" s="1"/>
  <c r="Z518" i="2" a="1"/>
  <c r="Z518" i="2" s="1"/>
  <c r="Y518" i="2" a="1"/>
  <c r="Y518" i="2" s="1"/>
  <c r="X518" i="2" a="1"/>
  <c r="X518" i="2" s="1"/>
  <c r="W518" i="2" a="1"/>
  <c r="W518" i="2" s="1"/>
  <c r="BB518" i="2" s="1" a="1"/>
  <c r="BB518" i="2" s="1"/>
  <c r="V518" i="2" a="1"/>
  <c r="V518" i="2" s="1"/>
  <c r="E518" i="2" s="1" a="1"/>
  <c r="E518" i="2" s="1"/>
  <c r="U518" i="2" a="1"/>
  <c r="U518" i="2" s="1"/>
  <c r="T518" i="2" a="1"/>
  <c r="T518" i="2" s="1"/>
  <c r="S518" i="2" a="1"/>
  <c r="S518" i="2" s="1"/>
  <c r="R518" i="2" a="1"/>
  <c r="R518" i="2" s="1"/>
  <c r="Q518" i="2" a="1"/>
  <c r="Q518" i="2" s="1"/>
  <c r="P518" i="2" a="1"/>
  <c r="P518" i="2" s="1"/>
  <c r="O518" i="2" a="1"/>
  <c r="O518" i="2" s="1"/>
  <c r="N518" i="2" a="1"/>
  <c r="N518" i="2" s="1"/>
  <c r="M518" i="2" a="1"/>
  <c r="M518" i="2" s="1"/>
  <c r="L518" i="2" a="1"/>
  <c r="L518" i="2" s="1"/>
  <c r="K518" i="2" a="1"/>
  <c r="K518" i="2" s="1"/>
  <c r="J518" i="2" a="1"/>
  <c r="J518" i="2" s="1"/>
  <c r="I518" i="2" a="1"/>
  <c r="I518" i="2" s="1"/>
  <c r="H518" i="2" a="1"/>
  <c r="H518" i="2" s="1"/>
  <c r="F518" i="2" a="1"/>
  <c r="F518" i="2" s="1"/>
  <c r="D518" i="2" a="1"/>
  <c r="D518" i="2" s="1"/>
  <c r="B518" i="2" a="1"/>
  <c r="B518" i="2" s="1"/>
  <c r="BD517" i="2" a="1"/>
  <c r="BD517" i="2" s="1"/>
  <c r="BC517" i="2" a="1"/>
  <c r="BC517" i="2" s="1"/>
  <c r="BA517" i="2" a="1"/>
  <c r="BA517" i="2" s="1"/>
  <c r="AZ517" i="2" a="1"/>
  <c r="AZ517" i="2" s="1"/>
  <c r="AY517" i="2" a="1"/>
  <c r="AY517" i="2" s="1"/>
  <c r="AX517" i="2" a="1"/>
  <c r="AX517" i="2" s="1"/>
  <c r="AW517" i="2" a="1"/>
  <c r="AW517" i="2" s="1"/>
  <c r="AV517" i="2" a="1"/>
  <c r="AV517" i="2" s="1"/>
  <c r="AU517" i="2" a="1"/>
  <c r="AU517" i="2" s="1"/>
  <c r="AT517" i="2" a="1"/>
  <c r="AT517" i="2" s="1"/>
  <c r="AS517" i="2" a="1"/>
  <c r="AS517" i="2" s="1"/>
  <c r="AR517" i="2" a="1"/>
  <c r="AR517" i="2" s="1"/>
  <c r="AQ517" i="2" a="1"/>
  <c r="AQ517" i="2" s="1"/>
  <c r="AP517" i="2" a="1"/>
  <c r="AP517" i="2" s="1"/>
  <c r="AO517" i="2" a="1"/>
  <c r="AO517" i="2" s="1"/>
  <c r="AN517" i="2" a="1"/>
  <c r="AN517" i="2" s="1"/>
  <c r="AM517" i="2" a="1"/>
  <c r="AM517" i="2" s="1"/>
  <c r="AL517" i="2" a="1"/>
  <c r="AL517" i="2" s="1"/>
  <c r="AK517" i="2" a="1"/>
  <c r="AK517" i="2" s="1"/>
  <c r="AJ517" i="2" a="1"/>
  <c r="AJ517" i="2" s="1"/>
  <c r="AI517" i="2" a="1"/>
  <c r="AI517" i="2" s="1"/>
  <c r="AH517" i="2" a="1"/>
  <c r="AH517" i="2" s="1"/>
  <c r="AG517" i="2" a="1"/>
  <c r="AG517" i="2" s="1"/>
  <c r="AF517" i="2" a="1"/>
  <c r="AF517" i="2" s="1"/>
  <c r="AE517" i="2" a="1"/>
  <c r="AE517" i="2" s="1"/>
  <c r="AD517" i="2" a="1"/>
  <c r="AD517" i="2" s="1"/>
  <c r="AC517" i="2" a="1"/>
  <c r="AC517" i="2" s="1"/>
  <c r="AB517" i="2"/>
  <c r="AA517" i="2" a="1"/>
  <c r="AA517" i="2" s="1"/>
  <c r="Z517" i="2" a="1"/>
  <c r="Z517" i="2" s="1"/>
  <c r="Y517" i="2" a="1"/>
  <c r="Y517" i="2" s="1"/>
  <c r="X517" i="2" a="1"/>
  <c r="X517" i="2" s="1"/>
  <c r="W517" i="2" a="1"/>
  <c r="W517" i="2" s="1"/>
  <c r="BB517" i="2" s="1" a="1"/>
  <c r="BB517" i="2" s="1"/>
  <c r="V517" i="2" a="1"/>
  <c r="V517" i="2" s="1"/>
  <c r="E517" i="2" s="1" a="1"/>
  <c r="E517" i="2" s="1"/>
  <c r="U517" i="2" a="1"/>
  <c r="U517" i="2" s="1"/>
  <c r="T517" i="2" a="1"/>
  <c r="T517" i="2" s="1"/>
  <c r="S517" i="2" a="1"/>
  <c r="S517" i="2" s="1"/>
  <c r="R517" i="2" a="1"/>
  <c r="R517" i="2" s="1"/>
  <c r="Q517" i="2" a="1"/>
  <c r="Q517" i="2" s="1"/>
  <c r="P517" i="2" a="1"/>
  <c r="P517" i="2" s="1"/>
  <c r="O517" i="2" a="1"/>
  <c r="O517" i="2" s="1"/>
  <c r="N517" i="2" a="1"/>
  <c r="N517" i="2" s="1"/>
  <c r="M517" i="2" a="1"/>
  <c r="M517" i="2" s="1"/>
  <c r="L517" i="2" a="1"/>
  <c r="L517" i="2" s="1"/>
  <c r="K517" i="2" a="1"/>
  <c r="K517" i="2" s="1"/>
  <c r="J517" i="2" a="1"/>
  <c r="J517" i="2" s="1"/>
  <c r="I517" i="2" a="1"/>
  <c r="I517" i="2" s="1"/>
  <c r="H517" i="2" a="1"/>
  <c r="H517" i="2" s="1"/>
  <c r="F517" i="2" a="1"/>
  <c r="F517" i="2" s="1"/>
  <c r="D517" i="2" a="1"/>
  <c r="D517" i="2" s="1"/>
  <c r="B517" i="2" a="1"/>
  <c r="B517" i="2" s="1"/>
  <c r="BD516" i="2" a="1"/>
  <c r="BD516" i="2" s="1"/>
  <c r="BC516" i="2" a="1"/>
  <c r="BC516" i="2" s="1"/>
  <c r="BA516" i="2" a="1"/>
  <c r="BA516" i="2" s="1"/>
  <c r="AZ516" i="2" a="1"/>
  <c r="AZ516" i="2" s="1"/>
  <c r="AY516" i="2" a="1"/>
  <c r="AY516" i="2" s="1"/>
  <c r="AX516" i="2" a="1"/>
  <c r="AX516" i="2" s="1"/>
  <c r="AW516" i="2" a="1"/>
  <c r="AW516" i="2" s="1"/>
  <c r="AV516" i="2" a="1"/>
  <c r="AV516" i="2" s="1"/>
  <c r="AU516" i="2" a="1"/>
  <c r="AU516" i="2" s="1"/>
  <c r="AT516" i="2" a="1"/>
  <c r="AT516" i="2" s="1"/>
  <c r="AS516" i="2" a="1"/>
  <c r="AS516" i="2" s="1"/>
  <c r="AR516" i="2" a="1"/>
  <c r="AR516" i="2" s="1"/>
  <c r="AQ516" i="2" a="1"/>
  <c r="AQ516" i="2" s="1"/>
  <c r="AP516" i="2" a="1"/>
  <c r="AP516" i="2" s="1"/>
  <c r="AO516" i="2" a="1"/>
  <c r="AO516" i="2" s="1"/>
  <c r="AN516" i="2" a="1"/>
  <c r="AN516" i="2" s="1"/>
  <c r="AM516" i="2" a="1"/>
  <c r="AM516" i="2" s="1"/>
  <c r="AL516" i="2" a="1"/>
  <c r="AL516" i="2" s="1"/>
  <c r="AK516" i="2" a="1"/>
  <c r="AK516" i="2" s="1"/>
  <c r="AJ516" i="2" a="1"/>
  <c r="AJ516" i="2" s="1"/>
  <c r="AI516" i="2" a="1"/>
  <c r="AI516" i="2" s="1"/>
  <c r="AH516" i="2" a="1"/>
  <c r="AH516" i="2" s="1"/>
  <c r="AG516" i="2" a="1"/>
  <c r="AG516" i="2" s="1"/>
  <c r="AF516" i="2" a="1"/>
  <c r="AF516" i="2" s="1"/>
  <c r="AE516" i="2" a="1"/>
  <c r="AE516" i="2" s="1"/>
  <c r="AD516" i="2" a="1"/>
  <c r="AD516" i="2" s="1"/>
  <c r="AC516" i="2" a="1"/>
  <c r="AC516" i="2" s="1"/>
  <c r="AB516" i="2"/>
  <c r="AA516" i="2" a="1"/>
  <c r="AA516" i="2" s="1"/>
  <c r="Z516" i="2" a="1"/>
  <c r="Z516" i="2" s="1"/>
  <c r="Y516" i="2" a="1"/>
  <c r="Y516" i="2" s="1"/>
  <c r="X516" i="2" a="1"/>
  <c r="X516" i="2" s="1"/>
  <c r="W516" i="2" a="1"/>
  <c r="W516" i="2" s="1"/>
  <c r="BB516" i="2" s="1" a="1"/>
  <c r="BB516" i="2" s="1"/>
  <c r="V516" i="2" a="1"/>
  <c r="V516" i="2" s="1"/>
  <c r="E516" i="2" s="1" a="1"/>
  <c r="E516" i="2" s="1"/>
  <c r="U516" i="2" a="1"/>
  <c r="U516" i="2" s="1"/>
  <c r="T516" i="2" a="1"/>
  <c r="T516" i="2" s="1"/>
  <c r="S516" i="2" a="1"/>
  <c r="S516" i="2" s="1"/>
  <c r="R516" i="2" a="1"/>
  <c r="R516" i="2" s="1"/>
  <c r="Q516" i="2" a="1"/>
  <c r="Q516" i="2" s="1"/>
  <c r="P516" i="2" a="1"/>
  <c r="P516" i="2" s="1"/>
  <c r="O516" i="2" a="1"/>
  <c r="O516" i="2" s="1"/>
  <c r="N516" i="2" a="1"/>
  <c r="N516" i="2" s="1"/>
  <c r="M516" i="2" a="1"/>
  <c r="M516" i="2" s="1"/>
  <c r="L516" i="2" a="1"/>
  <c r="L516" i="2" s="1"/>
  <c r="K516" i="2" a="1"/>
  <c r="K516" i="2" s="1"/>
  <c r="J516" i="2" a="1"/>
  <c r="J516" i="2" s="1"/>
  <c r="I516" i="2" a="1"/>
  <c r="I516" i="2" s="1"/>
  <c r="H516" i="2" a="1"/>
  <c r="H516" i="2" s="1"/>
  <c r="F516" i="2" a="1"/>
  <c r="F516" i="2" s="1"/>
  <c r="D516" i="2" a="1"/>
  <c r="D516" i="2" s="1"/>
  <c r="B516" i="2" a="1"/>
  <c r="B516" i="2" s="1"/>
  <c r="BD515" i="2" a="1"/>
  <c r="BD515" i="2" s="1"/>
  <c r="BC515" i="2" a="1"/>
  <c r="BC515" i="2" s="1"/>
  <c r="BA515" i="2" a="1"/>
  <c r="BA515" i="2" s="1"/>
  <c r="AZ515" i="2" a="1"/>
  <c r="AZ515" i="2" s="1"/>
  <c r="AY515" i="2" a="1"/>
  <c r="AY515" i="2" s="1"/>
  <c r="AX515" i="2" a="1"/>
  <c r="AX515" i="2" s="1"/>
  <c r="AW515" i="2" a="1"/>
  <c r="AW515" i="2" s="1"/>
  <c r="AV515" i="2" a="1"/>
  <c r="AV515" i="2" s="1"/>
  <c r="AU515" i="2" a="1"/>
  <c r="AU515" i="2" s="1"/>
  <c r="AT515" i="2" a="1"/>
  <c r="AT515" i="2" s="1"/>
  <c r="AS515" i="2" a="1"/>
  <c r="AS515" i="2" s="1"/>
  <c r="AR515" i="2" a="1"/>
  <c r="AR515" i="2" s="1"/>
  <c r="AQ515" i="2" a="1"/>
  <c r="AQ515" i="2" s="1"/>
  <c r="AP515" i="2" a="1"/>
  <c r="AP515" i="2" s="1"/>
  <c r="AO515" i="2" a="1"/>
  <c r="AO515" i="2" s="1"/>
  <c r="AN515" i="2" a="1"/>
  <c r="AN515" i="2" s="1"/>
  <c r="AM515" i="2" a="1"/>
  <c r="AM515" i="2" s="1"/>
  <c r="AL515" i="2" a="1"/>
  <c r="AL515" i="2" s="1"/>
  <c r="AK515" i="2" a="1"/>
  <c r="AK515" i="2" s="1"/>
  <c r="AJ515" i="2" a="1"/>
  <c r="AJ515" i="2" s="1"/>
  <c r="AI515" i="2" a="1"/>
  <c r="AI515" i="2" s="1"/>
  <c r="AH515" i="2" a="1"/>
  <c r="AH515" i="2" s="1"/>
  <c r="AG515" i="2" a="1"/>
  <c r="AG515" i="2" s="1"/>
  <c r="AF515" i="2" a="1"/>
  <c r="AF515" i="2" s="1"/>
  <c r="AE515" i="2" a="1"/>
  <c r="AE515" i="2" s="1"/>
  <c r="AD515" i="2" a="1"/>
  <c r="AD515" i="2" s="1"/>
  <c r="AC515" i="2" a="1"/>
  <c r="AC515" i="2" s="1"/>
  <c r="AB515" i="2"/>
  <c r="AA515" i="2" a="1"/>
  <c r="AA515" i="2" s="1"/>
  <c r="Z515" i="2" a="1"/>
  <c r="Z515" i="2" s="1"/>
  <c r="Y515" i="2" a="1"/>
  <c r="Y515" i="2" s="1"/>
  <c r="X515" i="2" a="1"/>
  <c r="X515" i="2" s="1"/>
  <c r="W515" i="2" a="1"/>
  <c r="W515" i="2" s="1"/>
  <c r="BB515" i="2" s="1" a="1"/>
  <c r="BB515" i="2" s="1"/>
  <c r="V515" i="2" a="1"/>
  <c r="V515" i="2" s="1"/>
  <c r="E515" i="2" s="1" a="1"/>
  <c r="E515" i="2" s="1"/>
  <c r="U515" i="2" a="1"/>
  <c r="U515" i="2" s="1"/>
  <c r="T515" i="2" a="1"/>
  <c r="T515" i="2" s="1"/>
  <c r="S515" i="2" a="1"/>
  <c r="S515" i="2" s="1"/>
  <c r="R515" i="2" a="1"/>
  <c r="R515" i="2" s="1"/>
  <c r="Q515" i="2" a="1"/>
  <c r="Q515" i="2" s="1"/>
  <c r="P515" i="2" a="1"/>
  <c r="P515" i="2" s="1"/>
  <c r="O515" i="2" a="1"/>
  <c r="O515" i="2" s="1"/>
  <c r="N515" i="2" a="1"/>
  <c r="N515" i="2" s="1"/>
  <c r="M515" i="2" a="1"/>
  <c r="M515" i="2" s="1"/>
  <c r="L515" i="2" a="1"/>
  <c r="L515" i="2" s="1"/>
  <c r="K515" i="2" a="1"/>
  <c r="K515" i="2" s="1"/>
  <c r="J515" i="2" a="1"/>
  <c r="J515" i="2" s="1"/>
  <c r="I515" i="2" a="1"/>
  <c r="I515" i="2" s="1"/>
  <c r="H515" i="2" a="1"/>
  <c r="H515" i="2" s="1"/>
  <c r="F515" i="2" a="1"/>
  <c r="F515" i="2" s="1"/>
  <c r="D515" i="2" a="1"/>
  <c r="D515" i="2" s="1"/>
  <c r="B515" i="2" a="1"/>
  <c r="B515" i="2" s="1"/>
  <c r="BD514" i="2" a="1"/>
  <c r="BD514" i="2" s="1"/>
  <c r="BC514" i="2" a="1"/>
  <c r="BC514" i="2" s="1"/>
  <c r="BA514" i="2" a="1"/>
  <c r="BA514" i="2" s="1"/>
  <c r="AZ514" i="2" a="1"/>
  <c r="AZ514" i="2" s="1"/>
  <c r="AY514" i="2" a="1"/>
  <c r="AY514" i="2" s="1"/>
  <c r="AX514" i="2" a="1"/>
  <c r="AX514" i="2" s="1"/>
  <c r="AW514" i="2" a="1"/>
  <c r="AW514" i="2" s="1"/>
  <c r="AV514" i="2" a="1"/>
  <c r="AV514" i="2" s="1"/>
  <c r="AU514" i="2" a="1"/>
  <c r="AU514" i="2" s="1"/>
  <c r="AT514" i="2" a="1"/>
  <c r="AT514" i="2" s="1"/>
  <c r="AS514" i="2" a="1"/>
  <c r="AS514" i="2" s="1"/>
  <c r="AR514" i="2" a="1"/>
  <c r="AR514" i="2" s="1"/>
  <c r="AQ514" i="2" a="1"/>
  <c r="AQ514" i="2" s="1"/>
  <c r="AP514" i="2" a="1"/>
  <c r="AP514" i="2" s="1"/>
  <c r="AO514" i="2" a="1"/>
  <c r="AO514" i="2" s="1"/>
  <c r="AN514" i="2" a="1"/>
  <c r="AN514" i="2" s="1"/>
  <c r="AM514" i="2" a="1"/>
  <c r="AM514" i="2" s="1"/>
  <c r="AL514" i="2" a="1"/>
  <c r="AL514" i="2" s="1"/>
  <c r="AK514" i="2" a="1"/>
  <c r="AK514" i="2" s="1"/>
  <c r="AJ514" i="2" a="1"/>
  <c r="AJ514" i="2" s="1"/>
  <c r="AI514" i="2" a="1"/>
  <c r="AI514" i="2" s="1"/>
  <c r="AH514" i="2" a="1"/>
  <c r="AH514" i="2" s="1"/>
  <c r="AG514" i="2" a="1"/>
  <c r="AG514" i="2" s="1"/>
  <c r="AF514" i="2" a="1"/>
  <c r="AF514" i="2" s="1"/>
  <c r="AE514" i="2" a="1"/>
  <c r="AE514" i="2" s="1"/>
  <c r="AD514" i="2" a="1"/>
  <c r="AD514" i="2" s="1"/>
  <c r="AC514" i="2" a="1"/>
  <c r="AC514" i="2" s="1"/>
  <c r="AB514" i="2"/>
  <c r="AA514" i="2" a="1"/>
  <c r="AA514" i="2" s="1"/>
  <c r="Z514" i="2" a="1"/>
  <c r="Z514" i="2" s="1"/>
  <c r="Y514" i="2" a="1"/>
  <c r="Y514" i="2" s="1"/>
  <c r="X514" i="2" a="1"/>
  <c r="X514" i="2" s="1"/>
  <c r="W514" i="2" a="1"/>
  <c r="W514" i="2" s="1"/>
  <c r="BB514" i="2" s="1" a="1"/>
  <c r="BB514" i="2" s="1"/>
  <c r="V514" i="2" a="1"/>
  <c r="V514" i="2" s="1"/>
  <c r="E514" i="2" s="1" a="1"/>
  <c r="E514" i="2" s="1"/>
  <c r="U514" i="2" a="1"/>
  <c r="U514" i="2" s="1"/>
  <c r="T514" i="2" a="1"/>
  <c r="T514" i="2" s="1"/>
  <c r="S514" i="2" a="1"/>
  <c r="S514" i="2" s="1"/>
  <c r="R514" i="2" a="1"/>
  <c r="R514" i="2" s="1"/>
  <c r="Q514" i="2" a="1"/>
  <c r="Q514" i="2" s="1"/>
  <c r="P514" i="2" a="1"/>
  <c r="P514" i="2" s="1"/>
  <c r="O514" i="2" a="1"/>
  <c r="O514" i="2" s="1"/>
  <c r="N514" i="2" a="1"/>
  <c r="N514" i="2" s="1"/>
  <c r="M514" i="2" a="1"/>
  <c r="M514" i="2" s="1"/>
  <c r="L514" i="2" a="1"/>
  <c r="L514" i="2" s="1"/>
  <c r="K514" i="2" a="1"/>
  <c r="K514" i="2" s="1"/>
  <c r="J514" i="2" a="1"/>
  <c r="J514" i="2" s="1"/>
  <c r="I514" i="2" a="1"/>
  <c r="I514" i="2" s="1"/>
  <c r="H514" i="2" a="1"/>
  <c r="H514" i="2" s="1"/>
  <c r="F514" i="2" a="1"/>
  <c r="F514" i="2" s="1"/>
  <c r="D514" i="2" a="1"/>
  <c r="D514" i="2" s="1"/>
  <c r="B514" i="2" a="1"/>
  <c r="B514" i="2" s="1"/>
  <c r="BD512" i="2" a="1"/>
  <c r="BD512" i="2" s="1"/>
  <c r="BC512" i="2" a="1"/>
  <c r="BC512" i="2" s="1"/>
  <c r="BA512" i="2" a="1"/>
  <c r="BA512" i="2" s="1"/>
  <c r="AZ512" i="2" a="1"/>
  <c r="AZ512" i="2" s="1"/>
  <c r="AY512" i="2" a="1"/>
  <c r="AY512" i="2" s="1"/>
  <c r="AX512" i="2" a="1"/>
  <c r="AX512" i="2" s="1"/>
  <c r="AW512" i="2" a="1"/>
  <c r="AW512" i="2" s="1"/>
  <c r="AV512" i="2" a="1"/>
  <c r="AV512" i="2" s="1"/>
  <c r="AU512" i="2" a="1"/>
  <c r="AU512" i="2" s="1"/>
  <c r="AT512" i="2" a="1"/>
  <c r="AT512" i="2" s="1"/>
  <c r="AS512" i="2" a="1"/>
  <c r="AS512" i="2" s="1"/>
  <c r="AR512" i="2" a="1"/>
  <c r="AR512" i="2" s="1"/>
  <c r="AQ512" i="2" a="1"/>
  <c r="AQ512" i="2" s="1"/>
  <c r="AP512" i="2" a="1"/>
  <c r="AP512" i="2" s="1"/>
  <c r="AO512" i="2" a="1"/>
  <c r="AO512" i="2" s="1"/>
  <c r="AN512" i="2" a="1"/>
  <c r="AN512" i="2" s="1"/>
  <c r="AM512" i="2" a="1"/>
  <c r="AM512" i="2" s="1"/>
  <c r="AL512" i="2" a="1"/>
  <c r="AL512" i="2" s="1"/>
  <c r="AK512" i="2" a="1"/>
  <c r="AK512" i="2" s="1"/>
  <c r="AJ512" i="2" a="1"/>
  <c r="AJ512" i="2" s="1"/>
  <c r="AI512" i="2" a="1"/>
  <c r="AI512" i="2" s="1"/>
  <c r="AH512" i="2" a="1"/>
  <c r="AH512" i="2" s="1"/>
  <c r="AG512" i="2" a="1"/>
  <c r="AG512" i="2" s="1"/>
  <c r="AF512" i="2" a="1"/>
  <c r="AF512" i="2" s="1"/>
  <c r="AE512" i="2" a="1"/>
  <c r="AE512" i="2" s="1"/>
  <c r="AD512" i="2" a="1"/>
  <c r="AD512" i="2" s="1"/>
  <c r="AC512" i="2" a="1"/>
  <c r="AC512" i="2" s="1"/>
  <c r="AB512" i="2"/>
  <c r="AA512" i="2" a="1"/>
  <c r="AA512" i="2" s="1"/>
  <c r="Z512" i="2" a="1"/>
  <c r="Z512" i="2" s="1"/>
  <c r="Y512" i="2" a="1"/>
  <c r="Y512" i="2" s="1"/>
  <c r="X512" i="2" a="1"/>
  <c r="X512" i="2" s="1"/>
  <c r="W512" i="2" a="1"/>
  <c r="W512" i="2" s="1"/>
  <c r="BB512" i="2" s="1" a="1"/>
  <c r="BB512" i="2" s="1"/>
  <c r="V512" i="2" a="1"/>
  <c r="V512" i="2" s="1"/>
  <c r="E512" i="2" s="1" a="1"/>
  <c r="E512" i="2" s="1"/>
  <c r="U512" i="2" a="1"/>
  <c r="U512" i="2" s="1"/>
  <c r="T512" i="2" a="1"/>
  <c r="T512" i="2" s="1"/>
  <c r="S512" i="2" a="1"/>
  <c r="S512" i="2" s="1"/>
  <c r="R512" i="2" a="1"/>
  <c r="R512" i="2" s="1"/>
  <c r="Q512" i="2" a="1"/>
  <c r="Q512" i="2" s="1"/>
  <c r="P512" i="2" a="1"/>
  <c r="P512" i="2" s="1"/>
  <c r="O512" i="2" a="1"/>
  <c r="O512" i="2" s="1"/>
  <c r="N512" i="2" a="1"/>
  <c r="N512" i="2" s="1"/>
  <c r="M512" i="2" a="1"/>
  <c r="M512" i="2" s="1"/>
  <c r="L512" i="2" a="1"/>
  <c r="L512" i="2" s="1"/>
  <c r="K512" i="2" a="1"/>
  <c r="K512" i="2" s="1"/>
  <c r="J512" i="2" a="1"/>
  <c r="J512" i="2" s="1"/>
  <c r="I512" i="2" a="1"/>
  <c r="I512" i="2" s="1"/>
  <c r="H512" i="2" a="1"/>
  <c r="H512" i="2" s="1"/>
  <c r="F512" i="2" a="1"/>
  <c r="F512" i="2" s="1"/>
  <c r="D512" i="2" a="1"/>
  <c r="D512" i="2" s="1"/>
  <c r="B512" i="2" a="1"/>
  <c r="B512" i="2" s="1"/>
  <c r="BD511" i="2" a="1"/>
  <c r="BD511" i="2" s="1"/>
  <c r="BC511" i="2" a="1"/>
  <c r="BC511" i="2" s="1"/>
  <c r="BA511" i="2" a="1"/>
  <c r="BA511" i="2" s="1"/>
  <c r="AZ511" i="2" a="1"/>
  <c r="AZ511" i="2" s="1"/>
  <c r="AY511" i="2" a="1"/>
  <c r="AY511" i="2" s="1"/>
  <c r="AX511" i="2" a="1"/>
  <c r="AX511" i="2" s="1"/>
  <c r="AW511" i="2" a="1"/>
  <c r="AW511" i="2" s="1"/>
  <c r="AV511" i="2" a="1"/>
  <c r="AV511" i="2" s="1"/>
  <c r="AU511" i="2" a="1"/>
  <c r="AU511" i="2" s="1"/>
  <c r="AT511" i="2" a="1"/>
  <c r="AT511" i="2" s="1"/>
  <c r="AS511" i="2" a="1"/>
  <c r="AS511" i="2" s="1"/>
  <c r="AR511" i="2" a="1"/>
  <c r="AR511" i="2" s="1"/>
  <c r="AQ511" i="2" a="1"/>
  <c r="AQ511" i="2" s="1"/>
  <c r="AP511" i="2" a="1"/>
  <c r="AP511" i="2" s="1"/>
  <c r="AO511" i="2" a="1"/>
  <c r="AO511" i="2" s="1"/>
  <c r="AN511" i="2" a="1"/>
  <c r="AN511" i="2" s="1"/>
  <c r="AM511" i="2" a="1"/>
  <c r="AM511" i="2" s="1"/>
  <c r="AL511" i="2" a="1"/>
  <c r="AL511" i="2" s="1"/>
  <c r="AK511" i="2" a="1"/>
  <c r="AK511" i="2" s="1"/>
  <c r="AJ511" i="2" a="1"/>
  <c r="AJ511" i="2" s="1"/>
  <c r="AI511" i="2" a="1"/>
  <c r="AI511" i="2" s="1"/>
  <c r="AH511" i="2" a="1"/>
  <c r="AH511" i="2" s="1"/>
  <c r="AG511" i="2" a="1"/>
  <c r="AG511" i="2" s="1"/>
  <c r="AF511" i="2" a="1"/>
  <c r="AF511" i="2" s="1"/>
  <c r="AE511" i="2" a="1"/>
  <c r="AE511" i="2" s="1"/>
  <c r="AD511" i="2" a="1"/>
  <c r="AD511" i="2" s="1"/>
  <c r="AC511" i="2" a="1"/>
  <c r="AC511" i="2" s="1"/>
  <c r="AB511" i="2"/>
  <c r="AA511" i="2" a="1"/>
  <c r="AA511" i="2" s="1"/>
  <c r="Z511" i="2" a="1"/>
  <c r="Z511" i="2" s="1"/>
  <c r="Y511" i="2" a="1"/>
  <c r="Y511" i="2" s="1"/>
  <c r="X511" i="2" a="1"/>
  <c r="X511" i="2" s="1"/>
  <c r="W511" i="2" a="1"/>
  <c r="W511" i="2" s="1"/>
  <c r="BB511" i="2" s="1" a="1"/>
  <c r="BB511" i="2" s="1"/>
  <c r="V511" i="2" a="1"/>
  <c r="V511" i="2" s="1"/>
  <c r="E511" i="2" s="1" a="1"/>
  <c r="E511" i="2" s="1"/>
  <c r="U511" i="2" a="1"/>
  <c r="U511" i="2" s="1"/>
  <c r="T511" i="2" a="1"/>
  <c r="T511" i="2" s="1"/>
  <c r="S511" i="2" a="1"/>
  <c r="S511" i="2" s="1"/>
  <c r="R511" i="2" a="1"/>
  <c r="R511" i="2" s="1"/>
  <c r="Q511" i="2" a="1"/>
  <c r="Q511" i="2" s="1"/>
  <c r="P511" i="2" a="1"/>
  <c r="P511" i="2" s="1"/>
  <c r="O511" i="2" a="1"/>
  <c r="O511" i="2" s="1"/>
  <c r="N511" i="2" a="1"/>
  <c r="N511" i="2" s="1"/>
  <c r="M511" i="2" a="1"/>
  <c r="M511" i="2" s="1"/>
  <c r="L511" i="2" a="1"/>
  <c r="L511" i="2" s="1"/>
  <c r="K511" i="2" a="1"/>
  <c r="K511" i="2" s="1"/>
  <c r="J511" i="2" a="1"/>
  <c r="J511" i="2" s="1"/>
  <c r="I511" i="2" a="1"/>
  <c r="I511" i="2" s="1"/>
  <c r="H511" i="2" a="1"/>
  <c r="H511" i="2" s="1"/>
  <c r="F511" i="2" a="1"/>
  <c r="F511" i="2" s="1"/>
  <c r="D511" i="2" a="1"/>
  <c r="D511" i="2" s="1"/>
  <c r="B511" i="2" a="1"/>
  <c r="B511" i="2" s="1"/>
  <c r="BD510" i="2" a="1"/>
  <c r="BD510" i="2" s="1"/>
  <c r="BC510" i="2" a="1"/>
  <c r="BC510" i="2" s="1"/>
  <c r="BA510" i="2" a="1"/>
  <c r="BA510" i="2" s="1"/>
  <c r="AZ510" i="2" a="1"/>
  <c r="AZ510" i="2" s="1"/>
  <c r="AY510" i="2" a="1"/>
  <c r="AY510" i="2" s="1"/>
  <c r="AX510" i="2" a="1"/>
  <c r="AX510" i="2" s="1"/>
  <c r="AW510" i="2" a="1"/>
  <c r="AW510" i="2" s="1"/>
  <c r="AV510" i="2" a="1"/>
  <c r="AV510" i="2" s="1"/>
  <c r="AU510" i="2" a="1"/>
  <c r="AU510" i="2" s="1"/>
  <c r="AT510" i="2" a="1"/>
  <c r="AT510" i="2" s="1"/>
  <c r="AS510" i="2" a="1"/>
  <c r="AS510" i="2" s="1"/>
  <c r="AR510" i="2" a="1"/>
  <c r="AR510" i="2" s="1"/>
  <c r="AQ510" i="2" a="1"/>
  <c r="AQ510" i="2" s="1"/>
  <c r="AP510" i="2" a="1"/>
  <c r="AP510" i="2" s="1"/>
  <c r="AO510" i="2" a="1"/>
  <c r="AO510" i="2" s="1"/>
  <c r="AN510" i="2" a="1"/>
  <c r="AN510" i="2" s="1"/>
  <c r="AM510" i="2" a="1"/>
  <c r="AM510" i="2" s="1"/>
  <c r="AL510" i="2" a="1"/>
  <c r="AL510" i="2" s="1"/>
  <c r="AK510" i="2" a="1"/>
  <c r="AK510" i="2" s="1"/>
  <c r="AJ510" i="2" a="1"/>
  <c r="AJ510" i="2" s="1"/>
  <c r="AI510" i="2" a="1"/>
  <c r="AI510" i="2" s="1"/>
  <c r="AH510" i="2" a="1"/>
  <c r="AH510" i="2" s="1"/>
  <c r="AG510" i="2" a="1"/>
  <c r="AG510" i="2" s="1"/>
  <c r="AF510" i="2" a="1"/>
  <c r="AF510" i="2" s="1"/>
  <c r="AE510" i="2" a="1"/>
  <c r="AE510" i="2" s="1"/>
  <c r="AD510" i="2" a="1"/>
  <c r="AD510" i="2" s="1"/>
  <c r="AC510" i="2" a="1"/>
  <c r="AC510" i="2" s="1"/>
  <c r="AB510" i="2"/>
  <c r="AA510" i="2" a="1"/>
  <c r="AA510" i="2" s="1"/>
  <c r="Z510" i="2" a="1"/>
  <c r="Z510" i="2" s="1"/>
  <c r="Y510" i="2" a="1"/>
  <c r="Y510" i="2" s="1"/>
  <c r="X510" i="2" a="1"/>
  <c r="X510" i="2" s="1"/>
  <c r="W510" i="2" a="1"/>
  <c r="W510" i="2" s="1"/>
  <c r="BB510" i="2" s="1" a="1"/>
  <c r="BB510" i="2" s="1"/>
  <c r="V510" i="2" a="1"/>
  <c r="V510" i="2" s="1"/>
  <c r="E510" i="2" s="1" a="1"/>
  <c r="E510" i="2" s="1"/>
  <c r="U510" i="2" a="1"/>
  <c r="U510" i="2" s="1"/>
  <c r="T510" i="2" a="1"/>
  <c r="T510" i="2" s="1"/>
  <c r="S510" i="2" a="1"/>
  <c r="S510" i="2" s="1"/>
  <c r="R510" i="2" a="1"/>
  <c r="R510" i="2" s="1"/>
  <c r="Q510" i="2" a="1"/>
  <c r="Q510" i="2" s="1"/>
  <c r="P510" i="2" a="1"/>
  <c r="P510" i="2" s="1"/>
  <c r="O510" i="2" a="1"/>
  <c r="O510" i="2" s="1"/>
  <c r="N510" i="2" a="1"/>
  <c r="N510" i="2" s="1"/>
  <c r="M510" i="2" a="1"/>
  <c r="M510" i="2" s="1"/>
  <c r="L510" i="2" a="1"/>
  <c r="L510" i="2" s="1"/>
  <c r="K510" i="2" a="1"/>
  <c r="K510" i="2" s="1"/>
  <c r="J510" i="2" a="1"/>
  <c r="J510" i="2" s="1"/>
  <c r="I510" i="2" a="1"/>
  <c r="I510" i="2" s="1"/>
  <c r="H510" i="2" a="1"/>
  <c r="H510" i="2" s="1"/>
  <c r="F510" i="2" a="1"/>
  <c r="F510" i="2" s="1"/>
  <c r="D510" i="2" a="1"/>
  <c r="D510" i="2" s="1"/>
  <c r="B510" i="2" a="1"/>
  <c r="B510" i="2" s="1"/>
  <c r="BD509" i="2" a="1"/>
  <c r="BD509" i="2" s="1"/>
  <c r="BC509" i="2" a="1"/>
  <c r="BC509" i="2" s="1"/>
  <c r="BA509" i="2" a="1"/>
  <c r="BA509" i="2" s="1"/>
  <c r="AZ509" i="2" a="1"/>
  <c r="AZ509" i="2" s="1"/>
  <c r="AY509" i="2" a="1"/>
  <c r="AY509" i="2" s="1"/>
  <c r="AX509" i="2" a="1"/>
  <c r="AX509" i="2" s="1"/>
  <c r="AW509" i="2" a="1"/>
  <c r="AW509" i="2" s="1"/>
  <c r="AV509" i="2" a="1"/>
  <c r="AV509" i="2" s="1"/>
  <c r="AU509" i="2" a="1"/>
  <c r="AU509" i="2" s="1"/>
  <c r="AT509" i="2" a="1"/>
  <c r="AT509" i="2" s="1"/>
  <c r="AS509" i="2" a="1"/>
  <c r="AS509" i="2" s="1"/>
  <c r="AR509" i="2" a="1"/>
  <c r="AR509" i="2" s="1"/>
  <c r="AQ509" i="2" a="1"/>
  <c r="AQ509" i="2" s="1"/>
  <c r="AP509" i="2" a="1"/>
  <c r="AP509" i="2" s="1"/>
  <c r="AO509" i="2" a="1"/>
  <c r="AO509" i="2" s="1"/>
  <c r="AN509" i="2" a="1"/>
  <c r="AN509" i="2" s="1"/>
  <c r="AM509" i="2" a="1"/>
  <c r="AM509" i="2" s="1"/>
  <c r="AL509" i="2" a="1"/>
  <c r="AL509" i="2" s="1"/>
  <c r="AK509" i="2" a="1"/>
  <c r="AK509" i="2" s="1"/>
  <c r="AJ509" i="2" a="1"/>
  <c r="AJ509" i="2" s="1"/>
  <c r="AI509" i="2" a="1"/>
  <c r="AI509" i="2" s="1"/>
  <c r="AH509" i="2" a="1"/>
  <c r="AH509" i="2" s="1"/>
  <c r="AG509" i="2" a="1"/>
  <c r="AG509" i="2" s="1"/>
  <c r="AF509" i="2" a="1"/>
  <c r="AF509" i="2" s="1"/>
  <c r="AE509" i="2" a="1"/>
  <c r="AE509" i="2" s="1"/>
  <c r="AD509" i="2" a="1"/>
  <c r="AD509" i="2" s="1"/>
  <c r="AC509" i="2" a="1"/>
  <c r="AC509" i="2" s="1"/>
  <c r="AB509" i="2"/>
  <c r="AA509" i="2" a="1"/>
  <c r="AA509" i="2" s="1"/>
  <c r="Z509" i="2" a="1"/>
  <c r="Z509" i="2" s="1"/>
  <c r="Y509" i="2" a="1"/>
  <c r="Y509" i="2" s="1"/>
  <c r="X509" i="2" a="1"/>
  <c r="X509" i="2" s="1"/>
  <c r="W509" i="2" a="1"/>
  <c r="W509" i="2" s="1"/>
  <c r="BB509" i="2" s="1" a="1"/>
  <c r="BB509" i="2" s="1"/>
  <c r="V509" i="2" a="1"/>
  <c r="V509" i="2" s="1"/>
  <c r="E509" i="2" s="1" a="1"/>
  <c r="E509" i="2" s="1"/>
  <c r="U509" i="2" a="1"/>
  <c r="U509" i="2" s="1"/>
  <c r="T509" i="2" a="1"/>
  <c r="T509" i="2" s="1"/>
  <c r="S509" i="2" a="1"/>
  <c r="S509" i="2" s="1"/>
  <c r="R509" i="2" a="1"/>
  <c r="R509" i="2" s="1"/>
  <c r="Q509" i="2" a="1"/>
  <c r="Q509" i="2" s="1"/>
  <c r="P509" i="2" a="1"/>
  <c r="P509" i="2" s="1"/>
  <c r="O509" i="2" a="1"/>
  <c r="O509" i="2" s="1"/>
  <c r="N509" i="2" a="1"/>
  <c r="N509" i="2" s="1"/>
  <c r="M509" i="2" a="1"/>
  <c r="M509" i="2" s="1"/>
  <c r="L509" i="2" a="1"/>
  <c r="L509" i="2" s="1"/>
  <c r="K509" i="2" a="1"/>
  <c r="K509" i="2" s="1"/>
  <c r="J509" i="2" a="1"/>
  <c r="J509" i="2" s="1"/>
  <c r="I509" i="2" a="1"/>
  <c r="I509" i="2" s="1"/>
  <c r="H509" i="2" a="1"/>
  <c r="H509" i="2" s="1"/>
  <c r="F509" i="2" a="1"/>
  <c r="F509" i="2" s="1"/>
  <c r="D509" i="2" a="1"/>
  <c r="D509" i="2" s="1"/>
  <c r="B509" i="2" a="1"/>
  <c r="B509" i="2" s="1"/>
  <c r="BD508" i="2" a="1"/>
  <c r="BD508" i="2" s="1"/>
  <c r="BC508" i="2" a="1"/>
  <c r="BC508" i="2" s="1"/>
  <c r="BA508" i="2" a="1"/>
  <c r="BA508" i="2" s="1"/>
  <c r="AZ508" i="2" a="1"/>
  <c r="AZ508" i="2" s="1"/>
  <c r="AY508" i="2" a="1"/>
  <c r="AY508" i="2" s="1"/>
  <c r="AX508" i="2" a="1"/>
  <c r="AX508" i="2" s="1"/>
  <c r="AW508" i="2" a="1"/>
  <c r="AW508" i="2" s="1"/>
  <c r="AV508" i="2" a="1"/>
  <c r="AV508" i="2" s="1"/>
  <c r="AU508" i="2" a="1"/>
  <c r="AU508" i="2" s="1"/>
  <c r="AT508" i="2" a="1"/>
  <c r="AT508" i="2" s="1"/>
  <c r="AS508" i="2" a="1"/>
  <c r="AS508" i="2" s="1"/>
  <c r="AR508" i="2" a="1"/>
  <c r="AR508" i="2" s="1"/>
  <c r="AQ508" i="2" a="1"/>
  <c r="AQ508" i="2" s="1"/>
  <c r="AP508" i="2" a="1"/>
  <c r="AP508" i="2" s="1"/>
  <c r="AO508" i="2" a="1"/>
  <c r="AO508" i="2" s="1"/>
  <c r="AN508" i="2" a="1"/>
  <c r="AN508" i="2" s="1"/>
  <c r="AM508" i="2" a="1"/>
  <c r="AM508" i="2" s="1"/>
  <c r="AL508" i="2" a="1"/>
  <c r="AL508" i="2" s="1"/>
  <c r="AK508" i="2" a="1"/>
  <c r="AK508" i="2" s="1"/>
  <c r="AJ508" i="2" a="1"/>
  <c r="AJ508" i="2" s="1"/>
  <c r="AI508" i="2" a="1"/>
  <c r="AI508" i="2" s="1"/>
  <c r="AH508" i="2" a="1"/>
  <c r="AH508" i="2" s="1"/>
  <c r="AG508" i="2" a="1"/>
  <c r="AG508" i="2" s="1"/>
  <c r="AF508" i="2" a="1"/>
  <c r="AF508" i="2" s="1"/>
  <c r="AE508" i="2" a="1"/>
  <c r="AE508" i="2" s="1"/>
  <c r="AD508" i="2" a="1"/>
  <c r="AD508" i="2" s="1"/>
  <c r="AC508" i="2" a="1"/>
  <c r="AC508" i="2" s="1"/>
  <c r="AB508" i="2"/>
  <c r="AA508" i="2" a="1"/>
  <c r="AA508" i="2" s="1"/>
  <c r="Z508" i="2" a="1"/>
  <c r="Z508" i="2" s="1"/>
  <c r="Y508" i="2" a="1"/>
  <c r="Y508" i="2" s="1"/>
  <c r="X508" i="2" a="1"/>
  <c r="X508" i="2" s="1"/>
  <c r="W508" i="2" a="1"/>
  <c r="W508" i="2" s="1"/>
  <c r="BB508" i="2" s="1" a="1"/>
  <c r="BB508" i="2" s="1"/>
  <c r="V508" i="2" a="1"/>
  <c r="V508" i="2" s="1"/>
  <c r="E508" i="2" s="1" a="1"/>
  <c r="E508" i="2" s="1"/>
  <c r="U508" i="2" a="1"/>
  <c r="U508" i="2" s="1"/>
  <c r="T508" i="2" a="1"/>
  <c r="T508" i="2" s="1"/>
  <c r="S508" i="2" a="1"/>
  <c r="S508" i="2" s="1"/>
  <c r="R508" i="2" a="1"/>
  <c r="R508" i="2" s="1"/>
  <c r="Q508" i="2" a="1"/>
  <c r="Q508" i="2" s="1"/>
  <c r="P508" i="2" a="1"/>
  <c r="P508" i="2" s="1"/>
  <c r="O508" i="2" a="1"/>
  <c r="O508" i="2" s="1"/>
  <c r="N508" i="2" a="1"/>
  <c r="N508" i="2" s="1"/>
  <c r="M508" i="2" a="1"/>
  <c r="M508" i="2" s="1"/>
  <c r="L508" i="2" a="1"/>
  <c r="L508" i="2" s="1"/>
  <c r="K508" i="2" a="1"/>
  <c r="K508" i="2" s="1"/>
  <c r="J508" i="2" a="1"/>
  <c r="J508" i="2" s="1"/>
  <c r="I508" i="2" a="1"/>
  <c r="I508" i="2" s="1"/>
  <c r="H508" i="2" a="1"/>
  <c r="H508" i="2" s="1"/>
  <c r="F508" i="2" a="1"/>
  <c r="F508" i="2" s="1"/>
  <c r="D508" i="2" a="1"/>
  <c r="D508" i="2" s="1"/>
  <c r="B508" i="2" a="1"/>
  <c r="B508" i="2" s="1"/>
  <c r="BD507" i="2" a="1"/>
  <c r="BD507" i="2" s="1"/>
  <c r="BC507" i="2" a="1"/>
  <c r="BC507" i="2" s="1"/>
  <c r="BA507" i="2" a="1"/>
  <c r="BA507" i="2" s="1"/>
  <c r="AZ507" i="2" a="1"/>
  <c r="AZ507" i="2" s="1"/>
  <c r="AY507" i="2" a="1"/>
  <c r="AY507" i="2" s="1"/>
  <c r="AX507" i="2" a="1"/>
  <c r="AX507" i="2" s="1"/>
  <c r="AW507" i="2" a="1"/>
  <c r="AW507" i="2" s="1"/>
  <c r="AV507" i="2" a="1"/>
  <c r="AV507" i="2" s="1"/>
  <c r="AU507" i="2" a="1"/>
  <c r="AU507" i="2" s="1"/>
  <c r="AT507" i="2" a="1"/>
  <c r="AT507" i="2" s="1"/>
  <c r="AS507" i="2" a="1"/>
  <c r="AS507" i="2" s="1"/>
  <c r="AR507" i="2" a="1"/>
  <c r="AR507" i="2" s="1"/>
  <c r="AQ507" i="2" a="1"/>
  <c r="AQ507" i="2" s="1"/>
  <c r="AP507" i="2" a="1"/>
  <c r="AP507" i="2" s="1"/>
  <c r="AO507" i="2" a="1"/>
  <c r="AO507" i="2" s="1"/>
  <c r="AN507" i="2" a="1"/>
  <c r="AN507" i="2" s="1"/>
  <c r="AM507" i="2" a="1"/>
  <c r="AM507" i="2" s="1"/>
  <c r="AL507" i="2" a="1"/>
  <c r="AL507" i="2" s="1"/>
  <c r="AK507" i="2" a="1"/>
  <c r="AK507" i="2" s="1"/>
  <c r="AJ507" i="2" a="1"/>
  <c r="AJ507" i="2" s="1"/>
  <c r="AI507" i="2" a="1"/>
  <c r="AI507" i="2" s="1"/>
  <c r="AH507" i="2" a="1"/>
  <c r="AH507" i="2" s="1"/>
  <c r="AG507" i="2" a="1"/>
  <c r="AG507" i="2" s="1"/>
  <c r="AF507" i="2" a="1"/>
  <c r="AF507" i="2" s="1"/>
  <c r="AE507" i="2" a="1"/>
  <c r="AE507" i="2" s="1"/>
  <c r="AD507" i="2" a="1"/>
  <c r="AD507" i="2" s="1"/>
  <c r="AC507" i="2" a="1"/>
  <c r="AC507" i="2" s="1"/>
  <c r="AB507" i="2"/>
  <c r="AA507" i="2" a="1"/>
  <c r="AA507" i="2" s="1"/>
  <c r="Z507" i="2" a="1"/>
  <c r="Z507" i="2" s="1"/>
  <c r="Y507" i="2" a="1"/>
  <c r="Y507" i="2" s="1"/>
  <c r="X507" i="2" a="1"/>
  <c r="X507" i="2" s="1"/>
  <c r="W507" i="2" a="1"/>
  <c r="W507" i="2" s="1"/>
  <c r="BB507" i="2" s="1" a="1"/>
  <c r="BB507" i="2" s="1"/>
  <c r="V507" i="2" a="1"/>
  <c r="V507" i="2" s="1"/>
  <c r="E507" i="2" s="1" a="1"/>
  <c r="E507" i="2" s="1"/>
  <c r="U507" i="2" a="1"/>
  <c r="U507" i="2" s="1"/>
  <c r="T507" i="2" a="1"/>
  <c r="T507" i="2" s="1"/>
  <c r="S507" i="2" a="1"/>
  <c r="S507" i="2" s="1"/>
  <c r="R507" i="2" a="1"/>
  <c r="R507" i="2" s="1"/>
  <c r="Q507" i="2" a="1"/>
  <c r="Q507" i="2" s="1"/>
  <c r="P507" i="2" a="1"/>
  <c r="P507" i="2" s="1"/>
  <c r="O507" i="2" a="1"/>
  <c r="O507" i="2" s="1"/>
  <c r="N507" i="2" a="1"/>
  <c r="N507" i="2" s="1"/>
  <c r="M507" i="2" a="1"/>
  <c r="M507" i="2" s="1"/>
  <c r="L507" i="2" a="1"/>
  <c r="L507" i="2" s="1"/>
  <c r="K507" i="2" a="1"/>
  <c r="K507" i="2" s="1"/>
  <c r="J507" i="2" a="1"/>
  <c r="J507" i="2" s="1"/>
  <c r="I507" i="2" a="1"/>
  <c r="I507" i="2" s="1"/>
  <c r="H507" i="2" a="1"/>
  <c r="H507" i="2" s="1"/>
  <c r="F507" i="2" a="1"/>
  <c r="F507" i="2" s="1"/>
  <c r="D507" i="2" a="1"/>
  <c r="D507" i="2" s="1"/>
  <c r="B507" i="2" a="1"/>
  <c r="B507" i="2" s="1"/>
  <c r="BD506" i="2" a="1"/>
  <c r="BD506" i="2" s="1"/>
  <c r="BC506" i="2" a="1"/>
  <c r="BC506" i="2" s="1"/>
  <c r="BA506" i="2" a="1"/>
  <c r="BA506" i="2" s="1"/>
  <c r="AZ506" i="2" a="1"/>
  <c r="AZ506" i="2" s="1"/>
  <c r="AY506" i="2" a="1"/>
  <c r="AY506" i="2" s="1"/>
  <c r="AX506" i="2" a="1"/>
  <c r="AX506" i="2" s="1"/>
  <c r="AW506" i="2" a="1"/>
  <c r="AW506" i="2" s="1"/>
  <c r="AV506" i="2" a="1"/>
  <c r="AV506" i="2" s="1"/>
  <c r="AU506" i="2" a="1"/>
  <c r="AU506" i="2" s="1"/>
  <c r="AT506" i="2" a="1"/>
  <c r="AT506" i="2" s="1"/>
  <c r="AS506" i="2" a="1"/>
  <c r="AS506" i="2" s="1"/>
  <c r="AR506" i="2" a="1"/>
  <c r="AR506" i="2" s="1"/>
  <c r="AQ506" i="2" a="1"/>
  <c r="AQ506" i="2" s="1"/>
  <c r="AP506" i="2" a="1"/>
  <c r="AP506" i="2" s="1"/>
  <c r="AO506" i="2" a="1"/>
  <c r="AO506" i="2" s="1"/>
  <c r="AN506" i="2" a="1"/>
  <c r="AN506" i="2" s="1"/>
  <c r="AM506" i="2" a="1"/>
  <c r="AM506" i="2" s="1"/>
  <c r="AL506" i="2" a="1"/>
  <c r="AL506" i="2" s="1"/>
  <c r="AK506" i="2" a="1"/>
  <c r="AK506" i="2" s="1"/>
  <c r="AJ506" i="2" a="1"/>
  <c r="AJ506" i="2" s="1"/>
  <c r="AI506" i="2" a="1"/>
  <c r="AI506" i="2" s="1"/>
  <c r="AH506" i="2" a="1"/>
  <c r="AH506" i="2" s="1"/>
  <c r="AG506" i="2" a="1"/>
  <c r="AG506" i="2" s="1"/>
  <c r="AF506" i="2" a="1"/>
  <c r="AF506" i="2" s="1"/>
  <c r="AE506" i="2" a="1"/>
  <c r="AE506" i="2" s="1"/>
  <c r="AD506" i="2" a="1"/>
  <c r="AD506" i="2" s="1"/>
  <c r="AC506" i="2" a="1"/>
  <c r="AC506" i="2" s="1"/>
  <c r="AB506" i="2"/>
  <c r="AA506" i="2" a="1"/>
  <c r="AA506" i="2" s="1"/>
  <c r="Z506" i="2" a="1"/>
  <c r="Z506" i="2" s="1"/>
  <c r="Y506" i="2" a="1"/>
  <c r="Y506" i="2" s="1"/>
  <c r="X506" i="2" a="1"/>
  <c r="X506" i="2" s="1"/>
  <c r="W506" i="2" a="1"/>
  <c r="W506" i="2" s="1"/>
  <c r="BB506" i="2" s="1" a="1"/>
  <c r="BB506" i="2" s="1"/>
  <c r="V506" i="2" a="1"/>
  <c r="V506" i="2" s="1"/>
  <c r="E506" i="2" s="1" a="1"/>
  <c r="E506" i="2" s="1"/>
  <c r="U506" i="2" a="1"/>
  <c r="U506" i="2" s="1"/>
  <c r="T506" i="2" a="1"/>
  <c r="T506" i="2" s="1"/>
  <c r="S506" i="2" a="1"/>
  <c r="S506" i="2" s="1"/>
  <c r="R506" i="2" a="1"/>
  <c r="R506" i="2" s="1"/>
  <c r="Q506" i="2" a="1"/>
  <c r="Q506" i="2" s="1"/>
  <c r="P506" i="2" a="1"/>
  <c r="P506" i="2" s="1"/>
  <c r="O506" i="2" a="1"/>
  <c r="O506" i="2" s="1"/>
  <c r="N506" i="2" a="1"/>
  <c r="N506" i="2" s="1"/>
  <c r="M506" i="2" a="1"/>
  <c r="M506" i="2" s="1"/>
  <c r="L506" i="2" a="1"/>
  <c r="L506" i="2" s="1"/>
  <c r="K506" i="2" a="1"/>
  <c r="K506" i="2" s="1"/>
  <c r="J506" i="2" a="1"/>
  <c r="J506" i="2" s="1"/>
  <c r="I506" i="2" a="1"/>
  <c r="I506" i="2" s="1"/>
  <c r="H506" i="2" a="1"/>
  <c r="H506" i="2" s="1"/>
  <c r="F506" i="2" a="1"/>
  <c r="F506" i="2" s="1"/>
  <c r="D506" i="2" a="1"/>
  <c r="D506" i="2" s="1"/>
  <c r="B506" i="2" a="1"/>
  <c r="B506" i="2" s="1"/>
  <c r="BD505" i="2" a="1"/>
  <c r="BD505" i="2" s="1"/>
  <c r="BC505" i="2" a="1"/>
  <c r="BC505" i="2" s="1"/>
  <c r="BA505" i="2" a="1"/>
  <c r="BA505" i="2" s="1"/>
  <c r="AZ505" i="2" a="1"/>
  <c r="AZ505" i="2" s="1"/>
  <c r="AY505" i="2" a="1"/>
  <c r="AY505" i="2" s="1"/>
  <c r="AX505" i="2" a="1"/>
  <c r="AX505" i="2" s="1"/>
  <c r="AW505" i="2" a="1"/>
  <c r="AW505" i="2" s="1"/>
  <c r="AV505" i="2" a="1"/>
  <c r="AV505" i="2" s="1"/>
  <c r="AU505" i="2" a="1"/>
  <c r="AU505" i="2" s="1"/>
  <c r="AT505" i="2" a="1"/>
  <c r="AT505" i="2" s="1"/>
  <c r="AS505" i="2" a="1"/>
  <c r="AS505" i="2" s="1"/>
  <c r="AR505" i="2" a="1"/>
  <c r="AR505" i="2" s="1"/>
  <c r="AQ505" i="2" a="1"/>
  <c r="AQ505" i="2" s="1"/>
  <c r="AP505" i="2" a="1"/>
  <c r="AP505" i="2" s="1"/>
  <c r="AO505" i="2" a="1"/>
  <c r="AO505" i="2" s="1"/>
  <c r="AN505" i="2" a="1"/>
  <c r="AN505" i="2" s="1"/>
  <c r="AM505" i="2" a="1"/>
  <c r="AM505" i="2" s="1"/>
  <c r="AL505" i="2" a="1"/>
  <c r="AL505" i="2" s="1"/>
  <c r="AK505" i="2" a="1"/>
  <c r="AK505" i="2" s="1"/>
  <c r="AJ505" i="2" a="1"/>
  <c r="AJ505" i="2" s="1"/>
  <c r="AI505" i="2" a="1"/>
  <c r="AI505" i="2" s="1"/>
  <c r="AH505" i="2" a="1"/>
  <c r="AH505" i="2" s="1"/>
  <c r="AG505" i="2" a="1"/>
  <c r="AG505" i="2" s="1"/>
  <c r="AF505" i="2" a="1"/>
  <c r="AF505" i="2" s="1"/>
  <c r="AE505" i="2" a="1"/>
  <c r="AE505" i="2" s="1"/>
  <c r="AD505" i="2" a="1"/>
  <c r="AD505" i="2" s="1"/>
  <c r="AC505" i="2" a="1"/>
  <c r="AC505" i="2" s="1"/>
  <c r="AB505" i="2"/>
  <c r="AA505" i="2" a="1"/>
  <c r="AA505" i="2" s="1"/>
  <c r="Z505" i="2" a="1"/>
  <c r="Z505" i="2" s="1"/>
  <c r="Y505" i="2" a="1"/>
  <c r="Y505" i="2" s="1"/>
  <c r="X505" i="2" a="1"/>
  <c r="X505" i="2" s="1"/>
  <c r="W505" i="2" a="1"/>
  <c r="W505" i="2" s="1"/>
  <c r="BB505" i="2" s="1" a="1"/>
  <c r="BB505" i="2" s="1"/>
  <c r="V505" i="2" a="1"/>
  <c r="V505" i="2" s="1"/>
  <c r="E505" i="2" s="1" a="1"/>
  <c r="E505" i="2" s="1"/>
  <c r="U505" i="2" a="1"/>
  <c r="U505" i="2" s="1"/>
  <c r="T505" i="2" a="1"/>
  <c r="T505" i="2" s="1"/>
  <c r="S505" i="2" a="1"/>
  <c r="S505" i="2" s="1"/>
  <c r="R505" i="2" a="1"/>
  <c r="R505" i="2" s="1"/>
  <c r="Q505" i="2" a="1"/>
  <c r="Q505" i="2" s="1"/>
  <c r="P505" i="2" a="1"/>
  <c r="P505" i="2" s="1"/>
  <c r="O505" i="2" a="1"/>
  <c r="O505" i="2" s="1"/>
  <c r="N505" i="2" a="1"/>
  <c r="N505" i="2" s="1"/>
  <c r="M505" i="2" a="1"/>
  <c r="M505" i="2" s="1"/>
  <c r="L505" i="2" a="1"/>
  <c r="L505" i="2" s="1"/>
  <c r="K505" i="2" a="1"/>
  <c r="K505" i="2" s="1"/>
  <c r="J505" i="2" a="1"/>
  <c r="J505" i="2" s="1"/>
  <c r="I505" i="2" a="1"/>
  <c r="I505" i="2" s="1"/>
  <c r="H505" i="2" a="1"/>
  <c r="H505" i="2" s="1"/>
  <c r="F505" i="2" a="1"/>
  <c r="F505" i="2" s="1"/>
  <c r="D505" i="2" a="1"/>
  <c r="D505" i="2" s="1"/>
  <c r="B505" i="2" a="1"/>
  <c r="B505" i="2" s="1"/>
  <c r="BD504" i="2" a="1"/>
  <c r="BD504" i="2" s="1"/>
  <c r="BC504" i="2" a="1"/>
  <c r="BC504" i="2" s="1"/>
  <c r="BA504" i="2" a="1"/>
  <c r="BA504" i="2" s="1"/>
  <c r="AZ504" i="2" a="1"/>
  <c r="AZ504" i="2" s="1"/>
  <c r="AY504" i="2" a="1"/>
  <c r="AY504" i="2" s="1"/>
  <c r="AX504" i="2" a="1"/>
  <c r="AX504" i="2" s="1"/>
  <c r="AW504" i="2" a="1"/>
  <c r="AW504" i="2" s="1"/>
  <c r="AV504" i="2" a="1"/>
  <c r="AV504" i="2" s="1"/>
  <c r="AU504" i="2" a="1"/>
  <c r="AU504" i="2" s="1"/>
  <c r="AT504" i="2" a="1"/>
  <c r="AT504" i="2" s="1"/>
  <c r="AS504" i="2" a="1"/>
  <c r="AS504" i="2" s="1"/>
  <c r="AR504" i="2" a="1"/>
  <c r="AR504" i="2" s="1"/>
  <c r="AQ504" i="2" a="1"/>
  <c r="AQ504" i="2" s="1"/>
  <c r="AP504" i="2" a="1"/>
  <c r="AP504" i="2" s="1"/>
  <c r="AO504" i="2" a="1"/>
  <c r="AO504" i="2" s="1"/>
  <c r="AN504" i="2" a="1"/>
  <c r="AN504" i="2" s="1"/>
  <c r="AM504" i="2" a="1"/>
  <c r="AM504" i="2" s="1"/>
  <c r="AL504" i="2" a="1"/>
  <c r="AL504" i="2" s="1"/>
  <c r="AK504" i="2" a="1"/>
  <c r="AK504" i="2" s="1"/>
  <c r="AJ504" i="2" a="1"/>
  <c r="AJ504" i="2" s="1"/>
  <c r="AI504" i="2" a="1"/>
  <c r="AI504" i="2" s="1"/>
  <c r="AH504" i="2" a="1"/>
  <c r="AH504" i="2" s="1"/>
  <c r="AG504" i="2" a="1"/>
  <c r="AG504" i="2" s="1"/>
  <c r="AF504" i="2" a="1"/>
  <c r="AF504" i="2" s="1"/>
  <c r="AE504" i="2" a="1"/>
  <c r="AE504" i="2" s="1"/>
  <c r="AD504" i="2" a="1"/>
  <c r="AD504" i="2" s="1"/>
  <c r="AC504" i="2" a="1"/>
  <c r="AC504" i="2" s="1"/>
  <c r="AB504" i="2"/>
  <c r="AA504" i="2" a="1"/>
  <c r="AA504" i="2" s="1"/>
  <c r="Z504" i="2" a="1"/>
  <c r="Z504" i="2" s="1"/>
  <c r="Y504" i="2" a="1"/>
  <c r="Y504" i="2" s="1"/>
  <c r="X504" i="2" a="1"/>
  <c r="X504" i="2" s="1"/>
  <c r="W504" i="2" a="1"/>
  <c r="W504" i="2" s="1"/>
  <c r="BB504" i="2" s="1" a="1"/>
  <c r="BB504" i="2" s="1"/>
  <c r="V504" i="2" a="1"/>
  <c r="V504" i="2" s="1"/>
  <c r="E504" i="2" s="1" a="1"/>
  <c r="E504" i="2" s="1"/>
  <c r="U504" i="2" a="1"/>
  <c r="U504" i="2" s="1"/>
  <c r="T504" i="2" a="1"/>
  <c r="T504" i="2" s="1"/>
  <c r="S504" i="2" a="1"/>
  <c r="S504" i="2" s="1"/>
  <c r="R504" i="2" a="1"/>
  <c r="R504" i="2" s="1"/>
  <c r="Q504" i="2" a="1"/>
  <c r="Q504" i="2" s="1"/>
  <c r="P504" i="2" a="1"/>
  <c r="P504" i="2" s="1"/>
  <c r="O504" i="2" a="1"/>
  <c r="O504" i="2" s="1"/>
  <c r="N504" i="2" a="1"/>
  <c r="N504" i="2" s="1"/>
  <c r="M504" i="2" a="1"/>
  <c r="M504" i="2" s="1"/>
  <c r="L504" i="2" a="1"/>
  <c r="L504" i="2" s="1"/>
  <c r="K504" i="2" a="1"/>
  <c r="K504" i="2" s="1"/>
  <c r="J504" i="2" a="1"/>
  <c r="J504" i="2" s="1"/>
  <c r="I504" i="2" a="1"/>
  <c r="I504" i="2" s="1"/>
  <c r="H504" i="2" a="1"/>
  <c r="H504" i="2" s="1"/>
  <c r="F504" i="2" a="1"/>
  <c r="F504" i="2" s="1"/>
  <c r="D504" i="2" a="1"/>
  <c r="D504" i="2" s="1"/>
  <c r="B504" i="2" a="1"/>
  <c r="B504" i="2" s="1"/>
  <c r="BD503" i="2" a="1"/>
  <c r="BD503" i="2" s="1"/>
  <c r="BC503" i="2" a="1"/>
  <c r="BC503" i="2" s="1"/>
  <c r="BA503" i="2" a="1"/>
  <c r="BA503" i="2" s="1"/>
  <c r="AZ503" i="2" a="1"/>
  <c r="AZ503" i="2" s="1"/>
  <c r="AY503" i="2" a="1"/>
  <c r="AY503" i="2" s="1"/>
  <c r="AX503" i="2" a="1"/>
  <c r="AX503" i="2" s="1"/>
  <c r="AW503" i="2" a="1"/>
  <c r="AW503" i="2" s="1"/>
  <c r="AV503" i="2" a="1"/>
  <c r="AV503" i="2" s="1"/>
  <c r="AU503" i="2" a="1"/>
  <c r="AU503" i="2" s="1"/>
  <c r="AT503" i="2" a="1"/>
  <c r="AT503" i="2" s="1"/>
  <c r="AS503" i="2" a="1"/>
  <c r="AS503" i="2" s="1"/>
  <c r="AR503" i="2" a="1"/>
  <c r="AR503" i="2" s="1"/>
  <c r="AQ503" i="2" a="1"/>
  <c r="AQ503" i="2" s="1"/>
  <c r="AP503" i="2" a="1"/>
  <c r="AP503" i="2" s="1"/>
  <c r="AO503" i="2" a="1"/>
  <c r="AO503" i="2" s="1"/>
  <c r="AN503" i="2" a="1"/>
  <c r="AN503" i="2" s="1"/>
  <c r="AM503" i="2" a="1"/>
  <c r="AM503" i="2" s="1"/>
  <c r="AL503" i="2" a="1"/>
  <c r="AL503" i="2" s="1"/>
  <c r="AK503" i="2" a="1"/>
  <c r="AK503" i="2" s="1"/>
  <c r="AJ503" i="2" a="1"/>
  <c r="AJ503" i="2" s="1"/>
  <c r="AI503" i="2" a="1"/>
  <c r="AI503" i="2" s="1"/>
  <c r="AH503" i="2" a="1"/>
  <c r="AH503" i="2" s="1"/>
  <c r="AG503" i="2" a="1"/>
  <c r="AG503" i="2" s="1"/>
  <c r="AF503" i="2" a="1"/>
  <c r="AF503" i="2" s="1"/>
  <c r="AE503" i="2" a="1"/>
  <c r="AE503" i="2" s="1"/>
  <c r="AD503" i="2" a="1"/>
  <c r="AD503" i="2" s="1"/>
  <c r="AC503" i="2" a="1"/>
  <c r="AC503" i="2" s="1"/>
  <c r="AB503" i="2"/>
  <c r="AA503" i="2" a="1"/>
  <c r="AA503" i="2" s="1"/>
  <c r="Z503" i="2" a="1"/>
  <c r="Z503" i="2" s="1"/>
  <c r="Y503" i="2" a="1"/>
  <c r="Y503" i="2" s="1"/>
  <c r="X503" i="2" a="1"/>
  <c r="X503" i="2" s="1"/>
  <c r="W503" i="2" a="1"/>
  <c r="W503" i="2" s="1"/>
  <c r="BB503" i="2" s="1" a="1"/>
  <c r="BB503" i="2" s="1"/>
  <c r="V503" i="2" a="1"/>
  <c r="V503" i="2" s="1"/>
  <c r="E503" i="2" s="1" a="1"/>
  <c r="E503" i="2" s="1"/>
  <c r="U503" i="2" a="1"/>
  <c r="U503" i="2" s="1"/>
  <c r="T503" i="2" a="1"/>
  <c r="T503" i="2" s="1"/>
  <c r="S503" i="2" a="1"/>
  <c r="S503" i="2" s="1"/>
  <c r="R503" i="2" a="1"/>
  <c r="R503" i="2" s="1"/>
  <c r="Q503" i="2" a="1"/>
  <c r="Q503" i="2" s="1"/>
  <c r="P503" i="2" a="1"/>
  <c r="P503" i="2" s="1"/>
  <c r="O503" i="2" a="1"/>
  <c r="O503" i="2" s="1"/>
  <c r="N503" i="2" a="1"/>
  <c r="N503" i="2" s="1"/>
  <c r="M503" i="2" a="1"/>
  <c r="M503" i="2" s="1"/>
  <c r="L503" i="2" a="1"/>
  <c r="L503" i="2" s="1"/>
  <c r="K503" i="2" a="1"/>
  <c r="K503" i="2" s="1"/>
  <c r="J503" i="2" a="1"/>
  <c r="J503" i="2" s="1"/>
  <c r="I503" i="2" a="1"/>
  <c r="I503" i="2" s="1"/>
  <c r="H503" i="2" a="1"/>
  <c r="H503" i="2" s="1"/>
  <c r="F503" i="2" a="1"/>
  <c r="F503" i="2" s="1"/>
  <c r="D503" i="2" a="1"/>
  <c r="D503" i="2" s="1"/>
  <c r="B503" i="2" a="1"/>
  <c r="B503" i="2" s="1"/>
  <c r="BD502" i="2" a="1"/>
  <c r="BD502" i="2" s="1"/>
  <c r="BC502" i="2" a="1"/>
  <c r="BC502" i="2" s="1"/>
  <c r="BA502" i="2" a="1"/>
  <c r="BA502" i="2" s="1"/>
  <c r="AZ502" i="2" a="1"/>
  <c r="AZ502" i="2" s="1"/>
  <c r="AY502" i="2" a="1"/>
  <c r="AY502" i="2" s="1"/>
  <c r="AX502" i="2" a="1"/>
  <c r="AX502" i="2" s="1"/>
  <c r="AW502" i="2" a="1"/>
  <c r="AW502" i="2" s="1"/>
  <c r="AV502" i="2" a="1"/>
  <c r="AV502" i="2" s="1"/>
  <c r="AU502" i="2" a="1"/>
  <c r="AU502" i="2" s="1"/>
  <c r="AT502" i="2" a="1"/>
  <c r="AT502" i="2" s="1"/>
  <c r="AS502" i="2" a="1"/>
  <c r="AS502" i="2" s="1"/>
  <c r="AR502" i="2" a="1"/>
  <c r="AR502" i="2" s="1"/>
  <c r="AQ502" i="2" a="1"/>
  <c r="AQ502" i="2" s="1"/>
  <c r="AP502" i="2" a="1"/>
  <c r="AP502" i="2" s="1"/>
  <c r="AO502" i="2" a="1"/>
  <c r="AO502" i="2" s="1"/>
  <c r="AN502" i="2" a="1"/>
  <c r="AN502" i="2" s="1"/>
  <c r="AM502" i="2" a="1"/>
  <c r="AM502" i="2" s="1"/>
  <c r="AL502" i="2" a="1"/>
  <c r="AL502" i="2" s="1"/>
  <c r="AK502" i="2" a="1"/>
  <c r="AK502" i="2" s="1"/>
  <c r="AJ502" i="2" a="1"/>
  <c r="AJ502" i="2" s="1"/>
  <c r="AI502" i="2" a="1"/>
  <c r="AI502" i="2" s="1"/>
  <c r="AH502" i="2" a="1"/>
  <c r="AH502" i="2" s="1"/>
  <c r="AG502" i="2" a="1"/>
  <c r="AG502" i="2" s="1"/>
  <c r="AF502" i="2" a="1"/>
  <c r="AF502" i="2" s="1"/>
  <c r="AE502" i="2" a="1"/>
  <c r="AE502" i="2" s="1"/>
  <c r="AD502" i="2" a="1"/>
  <c r="AD502" i="2" s="1"/>
  <c r="AC502" i="2" a="1"/>
  <c r="AC502" i="2" s="1"/>
  <c r="AB502" i="2"/>
  <c r="AA502" i="2" a="1"/>
  <c r="AA502" i="2" s="1"/>
  <c r="Z502" i="2" a="1"/>
  <c r="Z502" i="2" s="1"/>
  <c r="Y502" i="2" a="1"/>
  <c r="Y502" i="2" s="1"/>
  <c r="X502" i="2" a="1"/>
  <c r="X502" i="2" s="1"/>
  <c r="W502" i="2" a="1"/>
  <c r="W502" i="2" s="1"/>
  <c r="BB502" i="2" s="1" a="1"/>
  <c r="BB502" i="2" s="1"/>
  <c r="V502" i="2" a="1"/>
  <c r="V502" i="2" s="1"/>
  <c r="E502" i="2" s="1" a="1"/>
  <c r="E502" i="2" s="1"/>
  <c r="U502" i="2" a="1"/>
  <c r="U502" i="2" s="1"/>
  <c r="T502" i="2" a="1"/>
  <c r="T502" i="2" s="1"/>
  <c r="S502" i="2" a="1"/>
  <c r="S502" i="2" s="1"/>
  <c r="R502" i="2" a="1"/>
  <c r="R502" i="2" s="1"/>
  <c r="Q502" i="2" a="1"/>
  <c r="Q502" i="2" s="1"/>
  <c r="P502" i="2" a="1"/>
  <c r="P502" i="2" s="1"/>
  <c r="O502" i="2" a="1"/>
  <c r="O502" i="2" s="1"/>
  <c r="N502" i="2" a="1"/>
  <c r="N502" i="2" s="1"/>
  <c r="M502" i="2" a="1"/>
  <c r="M502" i="2" s="1"/>
  <c r="L502" i="2" a="1"/>
  <c r="L502" i="2" s="1"/>
  <c r="K502" i="2" a="1"/>
  <c r="K502" i="2" s="1"/>
  <c r="J502" i="2" a="1"/>
  <c r="J502" i="2" s="1"/>
  <c r="I502" i="2" a="1"/>
  <c r="I502" i="2" s="1"/>
  <c r="H502" i="2" a="1"/>
  <c r="H502" i="2" s="1"/>
  <c r="F502" i="2" a="1"/>
  <c r="F502" i="2" s="1"/>
  <c r="D502" i="2" a="1"/>
  <c r="D502" i="2" s="1"/>
  <c r="B502" i="2" a="1"/>
  <c r="B502" i="2" s="1"/>
  <c r="BD500" i="2" a="1"/>
  <c r="BD500" i="2" s="1"/>
  <c r="BC500" i="2" a="1"/>
  <c r="BC500" i="2" s="1"/>
  <c r="BA500" i="2" a="1"/>
  <c r="BA500" i="2" s="1"/>
  <c r="AZ500" i="2" a="1"/>
  <c r="AZ500" i="2" s="1"/>
  <c r="AY500" i="2" a="1"/>
  <c r="AY500" i="2" s="1"/>
  <c r="AX500" i="2" a="1"/>
  <c r="AX500" i="2" s="1"/>
  <c r="AW500" i="2" a="1"/>
  <c r="AW500" i="2" s="1"/>
  <c r="AV500" i="2" a="1"/>
  <c r="AV500" i="2" s="1"/>
  <c r="AU500" i="2" a="1"/>
  <c r="AU500" i="2" s="1"/>
  <c r="AT500" i="2" a="1"/>
  <c r="AT500" i="2" s="1"/>
  <c r="AS500" i="2" a="1"/>
  <c r="AS500" i="2" s="1"/>
  <c r="AR500" i="2" a="1"/>
  <c r="AR500" i="2" s="1"/>
  <c r="AQ500" i="2" a="1"/>
  <c r="AQ500" i="2" s="1"/>
  <c r="AP500" i="2" a="1"/>
  <c r="AP500" i="2" s="1"/>
  <c r="AO500" i="2" a="1"/>
  <c r="AO500" i="2" s="1"/>
  <c r="AN500" i="2" a="1"/>
  <c r="AN500" i="2" s="1"/>
  <c r="AM500" i="2" a="1"/>
  <c r="AM500" i="2" s="1"/>
  <c r="AL500" i="2" a="1"/>
  <c r="AL500" i="2" s="1"/>
  <c r="AK500" i="2" a="1"/>
  <c r="AK500" i="2" s="1"/>
  <c r="AJ500" i="2" a="1"/>
  <c r="AJ500" i="2" s="1"/>
  <c r="AI500" i="2" a="1"/>
  <c r="AI500" i="2" s="1"/>
  <c r="AH500" i="2" a="1"/>
  <c r="AH500" i="2" s="1"/>
  <c r="AG500" i="2" a="1"/>
  <c r="AG500" i="2" s="1"/>
  <c r="AF500" i="2" a="1"/>
  <c r="AF500" i="2" s="1"/>
  <c r="AE500" i="2" a="1"/>
  <c r="AE500" i="2" s="1"/>
  <c r="AD500" i="2" a="1"/>
  <c r="AD500" i="2" s="1"/>
  <c r="AC500" i="2" a="1"/>
  <c r="AC500" i="2" s="1"/>
  <c r="AB500" i="2"/>
  <c r="AA500" i="2" a="1"/>
  <c r="AA500" i="2" s="1"/>
  <c r="Z500" i="2" a="1"/>
  <c r="Z500" i="2" s="1"/>
  <c r="Y500" i="2" a="1"/>
  <c r="Y500" i="2" s="1"/>
  <c r="X500" i="2" a="1"/>
  <c r="X500" i="2" s="1"/>
  <c r="G500" i="2" s="1" a="1"/>
  <c r="G500" i="2" s="1"/>
  <c r="W500" i="2" a="1"/>
  <c r="W500" i="2" s="1"/>
  <c r="BB500" i="2" s="1" a="1"/>
  <c r="BB500" i="2" s="1"/>
  <c r="V500" i="2" a="1"/>
  <c r="V500" i="2" s="1"/>
  <c r="E500" i="2" s="1" a="1"/>
  <c r="E500" i="2" s="1"/>
  <c r="U500" i="2" a="1"/>
  <c r="U500" i="2" s="1"/>
  <c r="T500" i="2" a="1"/>
  <c r="T500" i="2" s="1"/>
  <c r="S500" i="2" a="1"/>
  <c r="S500" i="2" s="1"/>
  <c r="R500" i="2" a="1"/>
  <c r="R500" i="2" s="1"/>
  <c r="Q500" i="2" a="1"/>
  <c r="Q500" i="2" s="1"/>
  <c r="P500" i="2" a="1"/>
  <c r="P500" i="2" s="1"/>
  <c r="O500" i="2" a="1"/>
  <c r="O500" i="2" s="1"/>
  <c r="N500" i="2" a="1"/>
  <c r="N500" i="2" s="1"/>
  <c r="M500" i="2" a="1"/>
  <c r="M500" i="2" s="1"/>
  <c r="L500" i="2" a="1"/>
  <c r="L500" i="2" s="1"/>
  <c r="K500" i="2" a="1"/>
  <c r="K500" i="2" s="1"/>
  <c r="J500" i="2" a="1"/>
  <c r="J500" i="2" s="1"/>
  <c r="I500" i="2" a="1"/>
  <c r="I500" i="2" s="1"/>
  <c r="H500" i="2" a="1"/>
  <c r="H500" i="2" s="1"/>
  <c r="F500" i="2" a="1"/>
  <c r="F500" i="2" s="1"/>
  <c r="D500" i="2" a="1"/>
  <c r="D500" i="2" s="1"/>
  <c r="B500" i="2" a="1"/>
  <c r="B500" i="2" s="1"/>
  <c r="BD499" i="2" a="1"/>
  <c r="BD499" i="2" s="1"/>
  <c r="BC499" i="2" a="1"/>
  <c r="BC499" i="2" s="1"/>
  <c r="BA499" i="2" a="1"/>
  <c r="BA499" i="2" s="1"/>
  <c r="AZ499" i="2" a="1"/>
  <c r="AZ499" i="2" s="1"/>
  <c r="AY499" i="2" a="1"/>
  <c r="AY499" i="2" s="1"/>
  <c r="AX499" i="2" a="1"/>
  <c r="AX499" i="2" s="1"/>
  <c r="AW499" i="2" a="1"/>
  <c r="AW499" i="2" s="1"/>
  <c r="AV499" i="2" a="1"/>
  <c r="AV499" i="2" s="1"/>
  <c r="AU499" i="2" a="1"/>
  <c r="AU499" i="2" s="1"/>
  <c r="AT499" i="2" a="1"/>
  <c r="AT499" i="2" s="1"/>
  <c r="AS499" i="2" a="1"/>
  <c r="AS499" i="2" s="1"/>
  <c r="AR499" i="2" a="1"/>
  <c r="AR499" i="2" s="1"/>
  <c r="AQ499" i="2" a="1"/>
  <c r="AQ499" i="2" s="1"/>
  <c r="AP499" i="2" a="1"/>
  <c r="AP499" i="2" s="1"/>
  <c r="AO499" i="2" a="1"/>
  <c r="AO499" i="2" s="1"/>
  <c r="AN499" i="2" a="1"/>
  <c r="AN499" i="2" s="1"/>
  <c r="AM499" i="2" a="1"/>
  <c r="AM499" i="2" s="1"/>
  <c r="AL499" i="2" a="1"/>
  <c r="AL499" i="2" s="1"/>
  <c r="AK499" i="2" a="1"/>
  <c r="AK499" i="2" s="1"/>
  <c r="AJ499" i="2" a="1"/>
  <c r="AJ499" i="2" s="1"/>
  <c r="AI499" i="2" a="1"/>
  <c r="AI499" i="2" s="1"/>
  <c r="AH499" i="2" a="1"/>
  <c r="AH499" i="2" s="1"/>
  <c r="AG499" i="2" a="1"/>
  <c r="AG499" i="2" s="1"/>
  <c r="AF499" i="2" a="1"/>
  <c r="AF499" i="2" s="1"/>
  <c r="AE499" i="2" a="1"/>
  <c r="AE499" i="2" s="1"/>
  <c r="AD499" i="2" a="1"/>
  <c r="AD499" i="2" s="1"/>
  <c r="AC499" i="2" a="1"/>
  <c r="AC499" i="2" s="1"/>
  <c r="AB499" i="2"/>
  <c r="AA499" i="2" a="1"/>
  <c r="AA499" i="2" s="1"/>
  <c r="Z499" i="2" a="1"/>
  <c r="Z499" i="2" s="1"/>
  <c r="Y499" i="2" a="1"/>
  <c r="Y499" i="2" s="1"/>
  <c r="X499" i="2" a="1"/>
  <c r="X499" i="2" s="1"/>
  <c r="W499" i="2" a="1"/>
  <c r="W499" i="2" s="1"/>
  <c r="BB499" i="2" s="1" a="1"/>
  <c r="BB499" i="2" s="1"/>
  <c r="V499" i="2" a="1"/>
  <c r="V499" i="2" s="1"/>
  <c r="E499" i="2" s="1" a="1"/>
  <c r="E499" i="2" s="1"/>
  <c r="U499" i="2" a="1"/>
  <c r="U499" i="2" s="1"/>
  <c r="T499" i="2" a="1"/>
  <c r="T499" i="2" s="1"/>
  <c r="S499" i="2" a="1"/>
  <c r="S499" i="2" s="1"/>
  <c r="R499" i="2" a="1"/>
  <c r="R499" i="2" s="1"/>
  <c r="Q499" i="2" a="1"/>
  <c r="Q499" i="2" s="1"/>
  <c r="P499" i="2" a="1"/>
  <c r="P499" i="2" s="1"/>
  <c r="O499" i="2" a="1"/>
  <c r="O499" i="2" s="1"/>
  <c r="N499" i="2" a="1"/>
  <c r="N499" i="2" s="1"/>
  <c r="M499" i="2" a="1"/>
  <c r="M499" i="2" s="1"/>
  <c r="L499" i="2" a="1"/>
  <c r="L499" i="2" s="1"/>
  <c r="K499" i="2" a="1"/>
  <c r="K499" i="2" s="1"/>
  <c r="J499" i="2" a="1"/>
  <c r="J499" i="2" s="1"/>
  <c r="I499" i="2" a="1"/>
  <c r="I499" i="2" s="1"/>
  <c r="H499" i="2" a="1"/>
  <c r="H499" i="2" s="1"/>
  <c r="F499" i="2" a="1"/>
  <c r="F499" i="2" s="1"/>
  <c r="D499" i="2" a="1"/>
  <c r="D499" i="2" s="1"/>
  <c r="B499" i="2" a="1"/>
  <c r="B499" i="2" s="1"/>
  <c r="BD498" i="2" a="1"/>
  <c r="BD498" i="2" s="1"/>
  <c r="BC498" i="2" a="1"/>
  <c r="BC498" i="2" s="1"/>
  <c r="BA498" i="2" a="1"/>
  <c r="BA498" i="2" s="1"/>
  <c r="AZ498" i="2" a="1"/>
  <c r="AZ498" i="2" s="1"/>
  <c r="AY498" i="2" a="1"/>
  <c r="AY498" i="2" s="1"/>
  <c r="AX498" i="2" a="1"/>
  <c r="AX498" i="2" s="1"/>
  <c r="AW498" i="2" a="1"/>
  <c r="AW498" i="2" s="1"/>
  <c r="AV498" i="2" a="1"/>
  <c r="AV498" i="2" s="1"/>
  <c r="AU498" i="2" a="1"/>
  <c r="AU498" i="2" s="1"/>
  <c r="AT498" i="2" a="1"/>
  <c r="AT498" i="2" s="1"/>
  <c r="AS498" i="2" a="1"/>
  <c r="AS498" i="2" s="1"/>
  <c r="AR498" i="2" a="1"/>
  <c r="AR498" i="2" s="1"/>
  <c r="AQ498" i="2" a="1"/>
  <c r="AQ498" i="2" s="1"/>
  <c r="AP498" i="2" a="1"/>
  <c r="AP498" i="2" s="1"/>
  <c r="AO498" i="2" a="1"/>
  <c r="AO498" i="2" s="1"/>
  <c r="AN498" i="2" a="1"/>
  <c r="AN498" i="2" s="1"/>
  <c r="AM498" i="2" a="1"/>
  <c r="AM498" i="2" s="1"/>
  <c r="AL498" i="2" a="1"/>
  <c r="AL498" i="2" s="1"/>
  <c r="AK498" i="2" a="1"/>
  <c r="AK498" i="2" s="1"/>
  <c r="AJ498" i="2" a="1"/>
  <c r="AJ498" i="2" s="1"/>
  <c r="AI498" i="2" a="1"/>
  <c r="AI498" i="2" s="1"/>
  <c r="AH498" i="2" a="1"/>
  <c r="AH498" i="2" s="1"/>
  <c r="AG498" i="2" a="1"/>
  <c r="AG498" i="2" s="1"/>
  <c r="AF498" i="2" a="1"/>
  <c r="AF498" i="2" s="1"/>
  <c r="AE498" i="2" a="1"/>
  <c r="AE498" i="2" s="1"/>
  <c r="AD498" i="2" a="1"/>
  <c r="AD498" i="2" s="1"/>
  <c r="AC498" i="2" a="1"/>
  <c r="AC498" i="2" s="1"/>
  <c r="AB498" i="2"/>
  <c r="AA498" i="2" a="1"/>
  <c r="AA498" i="2" s="1"/>
  <c r="Z498" i="2" a="1"/>
  <c r="Z498" i="2" s="1"/>
  <c r="Y498" i="2" a="1"/>
  <c r="Y498" i="2" s="1"/>
  <c r="X498" i="2" a="1"/>
  <c r="X498" i="2" s="1"/>
  <c r="W498" i="2" a="1"/>
  <c r="W498" i="2" s="1"/>
  <c r="BB498" i="2" s="1" a="1"/>
  <c r="BB498" i="2" s="1"/>
  <c r="V498" i="2" a="1"/>
  <c r="V498" i="2" s="1"/>
  <c r="E498" i="2" s="1" a="1"/>
  <c r="E498" i="2" s="1"/>
  <c r="U498" i="2" a="1"/>
  <c r="U498" i="2" s="1"/>
  <c r="T498" i="2" a="1"/>
  <c r="T498" i="2" s="1"/>
  <c r="S498" i="2" a="1"/>
  <c r="S498" i="2" s="1"/>
  <c r="R498" i="2" a="1"/>
  <c r="R498" i="2" s="1"/>
  <c r="Q498" i="2" a="1"/>
  <c r="Q498" i="2" s="1"/>
  <c r="P498" i="2" a="1"/>
  <c r="P498" i="2" s="1"/>
  <c r="O498" i="2" a="1"/>
  <c r="O498" i="2" s="1"/>
  <c r="N498" i="2" a="1"/>
  <c r="N498" i="2" s="1"/>
  <c r="M498" i="2" a="1"/>
  <c r="M498" i="2" s="1"/>
  <c r="L498" i="2" a="1"/>
  <c r="L498" i="2" s="1"/>
  <c r="K498" i="2" a="1"/>
  <c r="K498" i="2" s="1"/>
  <c r="J498" i="2" a="1"/>
  <c r="J498" i="2" s="1"/>
  <c r="I498" i="2" a="1"/>
  <c r="I498" i="2" s="1"/>
  <c r="H498" i="2" a="1"/>
  <c r="H498" i="2" s="1"/>
  <c r="F498" i="2" a="1"/>
  <c r="F498" i="2" s="1"/>
  <c r="D498" i="2" a="1"/>
  <c r="D498" i="2" s="1"/>
  <c r="B498" i="2" a="1"/>
  <c r="B498" i="2" s="1"/>
  <c r="BD497" i="2" a="1"/>
  <c r="BD497" i="2" s="1"/>
  <c r="BC497" i="2" a="1"/>
  <c r="BC497" i="2" s="1"/>
  <c r="BA497" i="2" a="1"/>
  <c r="BA497" i="2" s="1"/>
  <c r="AZ497" i="2" a="1"/>
  <c r="AZ497" i="2" s="1"/>
  <c r="AY497" i="2" a="1"/>
  <c r="AY497" i="2" s="1"/>
  <c r="AX497" i="2" a="1"/>
  <c r="AX497" i="2" s="1"/>
  <c r="AW497" i="2" a="1"/>
  <c r="AW497" i="2" s="1"/>
  <c r="AV497" i="2" a="1"/>
  <c r="AV497" i="2" s="1"/>
  <c r="AU497" i="2" a="1"/>
  <c r="AU497" i="2" s="1"/>
  <c r="AT497" i="2" a="1"/>
  <c r="AT497" i="2" s="1"/>
  <c r="AS497" i="2" a="1"/>
  <c r="AS497" i="2" s="1"/>
  <c r="AR497" i="2" a="1"/>
  <c r="AR497" i="2" s="1"/>
  <c r="AQ497" i="2" a="1"/>
  <c r="AQ497" i="2" s="1"/>
  <c r="AP497" i="2" a="1"/>
  <c r="AP497" i="2" s="1"/>
  <c r="AO497" i="2" a="1"/>
  <c r="AO497" i="2" s="1"/>
  <c r="AN497" i="2" a="1"/>
  <c r="AN497" i="2" s="1"/>
  <c r="AM497" i="2" a="1"/>
  <c r="AM497" i="2" s="1"/>
  <c r="AL497" i="2" a="1"/>
  <c r="AL497" i="2" s="1"/>
  <c r="AK497" i="2" a="1"/>
  <c r="AK497" i="2" s="1"/>
  <c r="AJ497" i="2" a="1"/>
  <c r="AJ497" i="2" s="1"/>
  <c r="AI497" i="2" a="1"/>
  <c r="AI497" i="2" s="1"/>
  <c r="AH497" i="2" a="1"/>
  <c r="AH497" i="2" s="1"/>
  <c r="AG497" i="2" a="1"/>
  <c r="AG497" i="2" s="1"/>
  <c r="AF497" i="2" a="1"/>
  <c r="AF497" i="2" s="1"/>
  <c r="AE497" i="2" a="1"/>
  <c r="AE497" i="2" s="1"/>
  <c r="AD497" i="2" a="1"/>
  <c r="AD497" i="2" s="1"/>
  <c r="AC497" i="2" a="1"/>
  <c r="AC497" i="2" s="1"/>
  <c r="AB497" i="2"/>
  <c r="AA497" i="2" a="1"/>
  <c r="AA497" i="2" s="1"/>
  <c r="Z497" i="2" a="1"/>
  <c r="Z497" i="2" s="1"/>
  <c r="Y497" i="2" a="1"/>
  <c r="Y497" i="2" s="1"/>
  <c r="X497" i="2" a="1"/>
  <c r="X497" i="2" s="1"/>
  <c r="W497" i="2" a="1"/>
  <c r="W497" i="2" s="1"/>
  <c r="BB497" i="2" s="1" a="1"/>
  <c r="BB497" i="2" s="1"/>
  <c r="V497" i="2" a="1"/>
  <c r="V497" i="2" s="1"/>
  <c r="E497" i="2" s="1" a="1"/>
  <c r="E497" i="2" s="1"/>
  <c r="U497" i="2" a="1"/>
  <c r="U497" i="2" s="1"/>
  <c r="T497" i="2" a="1"/>
  <c r="T497" i="2" s="1"/>
  <c r="S497" i="2" a="1"/>
  <c r="S497" i="2" s="1"/>
  <c r="R497" i="2" a="1"/>
  <c r="R497" i="2" s="1"/>
  <c r="Q497" i="2" a="1"/>
  <c r="Q497" i="2" s="1"/>
  <c r="P497" i="2" a="1"/>
  <c r="P497" i="2" s="1"/>
  <c r="O497" i="2" a="1"/>
  <c r="O497" i="2" s="1"/>
  <c r="N497" i="2" a="1"/>
  <c r="N497" i="2" s="1"/>
  <c r="M497" i="2" a="1"/>
  <c r="M497" i="2" s="1"/>
  <c r="L497" i="2" a="1"/>
  <c r="L497" i="2" s="1"/>
  <c r="K497" i="2" a="1"/>
  <c r="K497" i="2" s="1"/>
  <c r="J497" i="2" a="1"/>
  <c r="J497" i="2" s="1"/>
  <c r="I497" i="2" a="1"/>
  <c r="I497" i="2" s="1"/>
  <c r="H497" i="2" a="1"/>
  <c r="H497" i="2" s="1"/>
  <c r="F497" i="2" a="1"/>
  <c r="F497" i="2" s="1"/>
  <c r="D497" i="2" a="1"/>
  <c r="D497" i="2" s="1"/>
  <c r="B497" i="2" a="1"/>
  <c r="B497" i="2" s="1"/>
  <c r="BD496" i="2" a="1"/>
  <c r="BD496" i="2" s="1"/>
  <c r="BC496" i="2" a="1"/>
  <c r="BC496" i="2" s="1"/>
  <c r="BA496" i="2" a="1"/>
  <c r="BA496" i="2" s="1"/>
  <c r="AZ496" i="2" a="1"/>
  <c r="AZ496" i="2" s="1"/>
  <c r="AY496" i="2" a="1"/>
  <c r="AY496" i="2" s="1"/>
  <c r="AX496" i="2" a="1"/>
  <c r="AX496" i="2" s="1"/>
  <c r="AW496" i="2" a="1"/>
  <c r="AW496" i="2" s="1"/>
  <c r="AV496" i="2" a="1"/>
  <c r="AV496" i="2" s="1"/>
  <c r="AU496" i="2" a="1"/>
  <c r="AU496" i="2" s="1"/>
  <c r="AT496" i="2" a="1"/>
  <c r="AT496" i="2" s="1"/>
  <c r="AS496" i="2" a="1"/>
  <c r="AS496" i="2" s="1"/>
  <c r="AR496" i="2" a="1"/>
  <c r="AR496" i="2" s="1"/>
  <c r="AQ496" i="2" a="1"/>
  <c r="AQ496" i="2" s="1"/>
  <c r="AP496" i="2" a="1"/>
  <c r="AP496" i="2" s="1"/>
  <c r="AO496" i="2" a="1"/>
  <c r="AO496" i="2" s="1"/>
  <c r="AN496" i="2" a="1"/>
  <c r="AN496" i="2" s="1"/>
  <c r="AM496" i="2" a="1"/>
  <c r="AM496" i="2" s="1"/>
  <c r="AL496" i="2" a="1"/>
  <c r="AL496" i="2" s="1"/>
  <c r="AK496" i="2" a="1"/>
  <c r="AK496" i="2" s="1"/>
  <c r="AJ496" i="2" a="1"/>
  <c r="AJ496" i="2" s="1"/>
  <c r="AI496" i="2" a="1"/>
  <c r="AI496" i="2" s="1"/>
  <c r="AH496" i="2" a="1"/>
  <c r="AH496" i="2" s="1"/>
  <c r="AG496" i="2" a="1"/>
  <c r="AG496" i="2" s="1"/>
  <c r="AF496" i="2" a="1"/>
  <c r="AF496" i="2" s="1"/>
  <c r="AE496" i="2" a="1"/>
  <c r="AE496" i="2" s="1"/>
  <c r="AD496" i="2" a="1"/>
  <c r="AD496" i="2" s="1"/>
  <c r="AC496" i="2" a="1"/>
  <c r="AC496" i="2" s="1"/>
  <c r="AB496" i="2"/>
  <c r="AA496" i="2" a="1"/>
  <c r="AA496" i="2" s="1"/>
  <c r="Z496" i="2" a="1"/>
  <c r="Z496" i="2" s="1"/>
  <c r="Y496" i="2" a="1"/>
  <c r="Y496" i="2" s="1"/>
  <c r="X496" i="2" a="1"/>
  <c r="X496" i="2" s="1"/>
  <c r="W496" i="2" a="1"/>
  <c r="W496" i="2" s="1"/>
  <c r="BB496" i="2" s="1" a="1"/>
  <c r="BB496" i="2" s="1"/>
  <c r="V496" i="2" a="1"/>
  <c r="V496" i="2" s="1"/>
  <c r="E496" i="2" s="1" a="1"/>
  <c r="E496" i="2" s="1"/>
  <c r="U496" i="2" a="1"/>
  <c r="U496" i="2" s="1"/>
  <c r="T496" i="2" a="1"/>
  <c r="T496" i="2" s="1"/>
  <c r="S496" i="2" a="1"/>
  <c r="S496" i="2" s="1"/>
  <c r="R496" i="2" a="1"/>
  <c r="R496" i="2" s="1"/>
  <c r="Q496" i="2" a="1"/>
  <c r="Q496" i="2" s="1"/>
  <c r="P496" i="2" a="1"/>
  <c r="P496" i="2" s="1"/>
  <c r="O496" i="2" a="1"/>
  <c r="O496" i="2" s="1"/>
  <c r="N496" i="2" a="1"/>
  <c r="N496" i="2" s="1"/>
  <c r="M496" i="2" a="1"/>
  <c r="M496" i="2" s="1"/>
  <c r="L496" i="2" a="1"/>
  <c r="L496" i="2" s="1"/>
  <c r="K496" i="2" a="1"/>
  <c r="K496" i="2" s="1"/>
  <c r="J496" i="2" a="1"/>
  <c r="J496" i="2" s="1"/>
  <c r="I496" i="2" a="1"/>
  <c r="I496" i="2" s="1"/>
  <c r="H496" i="2" a="1"/>
  <c r="H496" i="2" s="1"/>
  <c r="F496" i="2" a="1"/>
  <c r="F496" i="2" s="1"/>
  <c r="D496" i="2" a="1"/>
  <c r="D496" i="2" s="1"/>
  <c r="B496" i="2" a="1"/>
  <c r="B496" i="2" s="1"/>
  <c r="BD495" i="2" a="1"/>
  <c r="BD495" i="2" s="1"/>
  <c r="BC495" i="2" a="1"/>
  <c r="BC495" i="2" s="1"/>
  <c r="BA495" i="2" a="1"/>
  <c r="BA495" i="2" s="1"/>
  <c r="AZ495" i="2" a="1"/>
  <c r="AZ495" i="2" s="1"/>
  <c r="AY495" i="2" a="1"/>
  <c r="AY495" i="2" s="1"/>
  <c r="AX495" i="2" a="1"/>
  <c r="AX495" i="2" s="1"/>
  <c r="AW495" i="2" a="1"/>
  <c r="AW495" i="2" s="1"/>
  <c r="AV495" i="2" a="1"/>
  <c r="AV495" i="2" s="1"/>
  <c r="AU495" i="2" a="1"/>
  <c r="AU495" i="2" s="1"/>
  <c r="AT495" i="2" a="1"/>
  <c r="AT495" i="2" s="1"/>
  <c r="AS495" i="2" a="1"/>
  <c r="AS495" i="2" s="1"/>
  <c r="AR495" i="2" a="1"/>
  <c r="AR495" i="2" s="1"/>
  <c r="AQ495" i="2" a="1"/>
  <c r="AQ495" i="2" s="1"/>
  <c r="AP495" i="2" a="1"/>
  <c r="AP495" i="2" s="1"/>
  <c r="AO495" i="2" a="1"/>
  <c r="AO495" i="2" s="1"/>
  <c r="AN495" i="2" a="1"/>
  <c r="AN495" i="2" s="1"/>
  <c r="AM495" i="2" a="1"/>
  <c r="AM495" i="2" s="1"/>
  <c r="AL495" i="2" a="1"/>
  <c r="AL495" i="2" s="1"/>
  <c r="AK495" i="2" a="1"/>
  <c r="AK495" i="2" s="1"/>
  <c r="AJ495" i="2" a="1"/>
  <c r="AJ495" i="2" s="1"/>
  <c r="AI495" i="2" a="1"/>
  <c r="AI495" i="2" s="1"/>
  <c r="AH495" i="2" a="1"/>
  <c r="AH495" i="2" s="1"/>
  <c r="AG495" i="2" a="1"/>
  <c r="AG495" i="2" s="1"/>
  <c r="AF495" i="2" a="1"/>
  <c r="AF495" i="2" s="1"/>
  <c r="AE495" i="2" a="1"/>
  <c r="AE495" i="2" s="1"/>
  <c r="AD495" i="2" a="1"/>
  <c r="AD495" i="2" s="1"/>
  <c r="AC495" i="2" a="1"/>
  <c r="AC495" i="2" s="1"/>
  <c r="AB495" i="2"/>
  <c r="AA495" i="2" a="1"/>
  <c r="AA495" i="2" s="1"/>
  <c r="Z495" i="2" a="1"/>
  <c r="Z495" i="2" s="1"/>
  <c r="Y495" i="2" a="1"/>
  <c r="Y495" i="2" s="1"/>
  <c r="X495" i="2" a="1"/>
  <c r="X495" i="2" s="1"/>
  <c r="W495" i="2" a="1"/>
  <c r="W495" i="2" s="1"/>
  <c r="BB495" i="2" s="1" a="1"/>
  <c r="BB495" i="2" s="1"/>
  <c r="V495" i="2" a="1"/>
  <c r="V495" i="2" s="1"/>
  <c r="E495" i="2" s="1" a="1"/>
  <c r="E495" i="2" s="1"/>
  <c r="U495" i="2" a="1"/>
  <c r="U495" i="2" s="1"/>
  <c r="T495" i="2" a="1"/>
  <c r="T495" i="2" s="1"/>
  <c r="S495" i="2" a="1"/>
  <c r="S495" i="2" s="1"/>
  <c r="R495" i="2" a="1"/>
  <c r="R495" i="2" s="1"/>
  <c r="Q495" i="2" a="1"/>
  <c r="Q495" i="2" s="1"/>
  <c r="P495" i="2" a="1"/>
  <c r="P495" i="2" s="1"/>
  <c r="O495" i="2" a="1"/>
  <c r="O495" i="2" s="1"/>
  <c r="N495" i="2" a="1"/>
  <c r="N495" i="2" s="1"/>
  <c r="M495" i="2" a="1"/>
  <c r="M495" i="2" s="1"/>
  <c r="L495" i="2" a="1"/>
  <c r="L495" i="2" s="1"/>
  <c r="K495" i="2" a="1"/>
  <c r="K495" i="2" s="1"/>
  <c r="J495" i="2" a="1"/>
  <c r="J495" i="2" s="1"/>
  <c r="I495" i="2" a="1"/>
  <c r="I495" i="2" s="1"/>
  <c r="H495" i="2" a="1"/>
  <c r="H495" i="2" s="1"/>
  <c r="F495" i="2" a="1"/>
  <c r="F495" i="2" s="1"/>
  <c r="D495" i="2" a="1"/>
  <c r="D495" i="2" s="1"/>
  <c r="B495" i="2" a="1"/>
  <c r="B495" i="2" s="1"/>
  <c r="BD491" i="2" a="1"/>
  <c r="BD491" i="2" s="1"/>
  <c r="BC491" i="2" a="1"/>
  <c r="BC491" i="2" s="1"/>
  <c r="BA491" i="2" a="1"/>
  <c r="BA491" i="2" s="1"/>
  <c r="AZ491" i="2" a="1"/>
  <c r="AZ491" i="2" s="1"/>
  <c r="AY491" i="2" a="1"/>
  <c r="AY491" i="2" s="1"/>
  <c r="AX491" i="2" a="1"/>
  <c r="AX491" i="2" s="1"/>
  <c r="AW491" i="2" a="1"/>
  <c r="AW491" i="2" s="1"/>
  <c r="AV491" i="2" a="1"/>
  <c r="AV491" i="2" s="1"/>
  <c r="AU491" i="2" a="1"/>
  <c r="AU491" i="2" s="1"/>
  <c r="AT491" i="2" a="1"/>
  <c r="AT491" i="2" s="1"/>
  <c r="AS491" i="2" a="1"/>
  <c r="AS491" i="2" s="1"/>
  <c r="AR491" i="2" a="1"/>
  <c r="AR491" i="2" s="1"/>
  <c r="AQ491" i="2" a="1"/>
  <c r="AQ491" i="2" s="1"/>
  <c r="AP491" i="2" a="1"/>
  <c r="AP491" i="2" s="1"/>
  <c r="AO491" i="2" a="1"/>
  <c r="AO491" i="2" s="1"/>
  <c r="AN491" i="2" a="1"/>
  <c r="AN491" i="2" s="1"/>
  <c r="AM491" i="2" a="1"/>
  <c r="AM491" i="2" s="1"/>
  <c r="AL491" i="2" a="1"/>
  <c r="AL491" i="2" s="1"/>
  <c r="AK491" i="2" a="1"/>
  <c r="AK491" i="2" s="1"/>
  <c r="AJ491" i="2" a="1"/>
  <c r="AJ491" i="2" s="1"/>
  <c r="AI491" i="2" a="1"/>
  <c r="AI491" i="2" s="1"/>
  <c r="AH491" i="2" a="1"/>
  <c r="AH491" i="2" s="1"/>
  <c r="AG491" i="2" a="1"/>
  <c r="AG491" i="2" s="1"/>
  <c r="AF491" i="2" a="1"/>
  <c r="AF491" i="2" s="1"/>
  <c r="AE491" i="2" a="1"/>
  <c r="AE491" i="2" s="1"/>
  <c r="AD491" i="2" a="1"/>
  <c r="AD491" i="2" s="1"/>
  <c r="AC491" i="2" a="1"/>
  <c r="AC491" i="2" s="1"/>
  <c r="AB491" i="2" a="1"/>
  <c r="AB491" i="2" s="1"/>
  <c r="AA491" i="2" a="1"/>
  <c r="AA491" i="2" s="1"/>
  <c r="Z491" i="2" a="1"/>
  <c r="Z491" i="2" s="1"/>
  <c r="Y491" i="2" a="1"/>
  <c r="Y491" i="2" s="1"/>
  <c r="X491" i="2" a="1"/>
  <c r="X491" i="2" s="1"/>
  <c r="G491" i="2" s="1" a="1"/>
  <c r="G491" i="2" s="1"/>
  <c r="W491" i="2" a="1"/>
  <c r="W491" i="2" s="1"/>
  <c r="BB491" i="2" s="1" a="1"/>
  <c r="BB491" i="2" s="1"/>
  <c r="V491" i="2" a="1"/>
  <c r="V491" i="2" s="1"/>
  <c r="E491" i="2" s="1" a="1"/>
  <c r="E491" i="2" s="1"/>
  <c r="U491" i="2" a="1"/>
  <c r="U491" i="2" s="1"/>
  <c r="T491" i="2" a="1"/>
  <c r="T491" i="2" s="1"/>
  <c r="S491" i="2" a="1"/>
  <c r="S491" i="2" s="1"/>
  <c r="R491" i="2" a="1"/>
  <c r="R491" i="2" s="1"/>
  <c r="Q491" i="2" a="1"/>
  <c r="Q491" i="2" s="1"/>
  <c r="P491" i="2" a="1"/>
  <c r="P491" i="2" s="1"/>
  <c r="O491" i="2" a="1"/>
  <c r="O491" i="2" s="1"/>
  <c r="N491" i="2" a="1"/>
  <c r="N491" i="2" s="1"/>
  <c r="M491" i="2" a="1"/>
  <c r="M491" i="2" s="1"/>
  <c r="L491" i="2" a="1"/>
  <c r="L491" i="2" s="1"/>
  <c r="K491" i="2" a="1"/>
  <c r="K491" i="2" s="1"/>
  <c r="J491" i="2" a="1"/>
  <c r="J491" i="2" s="1"/>
  <c r="I491" i="2" a="1"/>
  <c r="I491" i="2" s="1"/>
  <c r="H491" i="2" a="1"/>
  <c r="H491" i="2" s="1"/>
  <c r="F491" i="2" a="1"/>
  <c r="F491" i="2" s="1"/>
  <c r="D491" i="2" a="1"/>
  <c r="D491" i="2" s="1"/>
  <c r="B491" i="2" a="1"/>
  <c r="B491" i="2" s="1"/>
  <c r="E22" i="2"/>
  <c r="G22" i="2"/>
  <c r="BB22" i="2"/>
  <c r="E23" i="2"/>
  <c r="G23" i="2"/>
  <c r="BB23" i="2"/>
  <c r="E21" i="2"/>
  <c r="G21" i="2"/>
  <c r="BB21" i="2"/>
  <c r="BA203" i="2"/>
  <c r="BB203" i="2" s="1"/>
  <c r="BA204" i="2"/>
  <c r="BB204" i="2" s="1"/>
  <c r="BA205" i="2"/>
  <c r="BB205" i="2" s="1"/>
  <c r="BA206" i="2"/>
  <c r="BB206" i="2" s="1"/>
  <c r="BA207" i="2"/>
  <c r="BB207" i="2" s="1"/>
  <c r="E207" i="2"/>
  <c r="G207" i="2"/>
  <c r="E203" i="2"/>
  <c r="G203" i="2"/>
  <c r="E204" i="2"/>
  <c r="G204" i="2"/>
  <c r="E205" i="2"/>
  <c r="G205" i="2"/>
  <c r="E206" i="2"/>
  <c r="G206" i="2"/>
  <c r="B481" i="2" a="1"/>
  <c r="B481" i="2" s="1"/>
  <c r="B480" i="2" a="1"/>
  <c r="B480" i="2" s="1"/>
  <c r="B475" i="2" a="1"/>
  <c r="B475" i="2" s="1"/>
  <c r="B474" i="2" a="1"/>
  <c r="B474" i="2" s="1"/>
  <c r="B473" i="2" a="1"/>
  <c r="B473" i="2" s="1"/>
  <c r="B472" i="2" a="1"/>
  <c r="B472" i="2" s="1"/>
  <c r="B466" i="2" a="1"/>
  <c r="B466" i="2" s="1"/>
  <c r="B463" i="2" a="1"/>
  <c r="B463" i="2" s="1"/>
  <c r="BA220" i="2"/>
  <c r="BB220" i="2" s="1"/>
  <c r="BA208" i="2"/>
  <c r="BB208" i="2" s="1"/>
  <c r="BA209" i="2"/>
  <c r="BB209" i="2" s="1"/>
  <c r="BA210" i="2"/>
  <c r="BB210" i="2" s="1"/>
  <c r="BA211" i="2"/>
  <c r="BB211" i="2" s="1"/>
  <c r="BA212" i="2"/>
  <c r="BB212" i="2" s="1"/>
  <c r="E209" i="2"/>
  <c r="G209" i="2"/>
  <c r="E208" i="2"/>
  <c r="G208" i="2"/>
  <c r="E210" i="2"/>
  <c r="G210" i="2"/>
  <c r="E211" i="2"/>
  <c r="G211" i="2"/>
  <c r="E212" i="2"/>
  <c r="G212" i="2"/>
  <c r="BA695" i="2" l="1" a="1"/>
  <c r="BA695" i="2" s="1"/>
  <c r="BA726" i="2" s="1"/>
  <c r="G525" i="2" a="1"/>
  <c r="G525" i="2" s="1"/>
  <c r="G536" i="2" a="1"/>
  <c r="G536" i="2" s="1"/>
  <c r="BB695" i="2" a="1"/>
  <c r="BB695" i="2" s="1"/>
  <c r="BB726" i="2" s="1"/>
  <c r="B727" i="2" s="1"/>
  <c r="BA627" i="2" a="1"/>
  <c r="BA627" i="2" s="1"/>
  <c r="BA658" i="2" s="1"/>
  <c r="BB661" i="2" a="1"/>
  <c r="BB661" i="2" s="1"/>
  <c r="BB692" i="2" s="1"/>
  <c r="B693" i="2" s="1"/>
  <c r="G695" i="2" a="1"/>
  <c r="G695" i="2" s="1"/>
  <c r="G661" i="2" a="1"/>
  <c r="G661" i="2" s="1"/>
  <c r="G537" i="2" a="1"/>
  <c r="G537" i="2" s="1"/>
  <c r="G577" i="2" a="1"/>
  <c r="G577" i="2" s="1"/>
  <c r="BB627" i="2" a="1"/>
  <c r="BB627" i="2" s="1"/>
  <c r="BB658" i="2" s="1"/>
  <c r="B659" i="2" s="1"/>
  <c r="G627" i="2" a="1"/>
  <c r="G627" i="2" s="1"/>
  <c r="AB726" i="2"/>
  <c r="BA559" i="2" a="1"/>
  <c r="BA559" i="2" s="1"/>
  <c r="BA590" i="2" s="1"/>
  <c r="G593" i="2" a="1"/>
  <c r="G593" i="2" s="1"/>
  <c r="G631" i="2" a="1"/>
  <c r="G631" i="2" s="1"/>
  <c r="BB559" i="2" a="1"/>
  <c r="BB559" i="2" s="1"/>
  <c r="BB590" i="2" s="1"/>
  <c r="B591" i="2" s="1"/>
  <c r="BA661" i="2" a="1"/>
  <c r="BA661" i="2" s="1"/>
  <c r="G559" i="2" a="1"/>
  <c r="G559" i="2" s="1"/>
  <c r="G684" i="2" a="1"/>
  <c r="G684" i="2" s="1"/>
  <c r="G701" i="2" a="1"/>
  <c r="G701" i="2" s="1"/>
  <c r="AP726" i="2"/>
  <c r="AQ726" i="2"/>
  <c r="AD726" i="2"/>
  <c r="AO726" i="2"/>
  <c r="AE726" i="2"/>
  <c r="AF726" i="2"/>
  <c r="AT726" i="2"/>
  <c r="AN726" i="2"/>
  <c r="AU726" i="2"/>
  <c r="Z726" i="2"/>
  <c r="H726" i="2"/>
  <c r="I726" i="2"/>
  <c r="L726" i="2"/>
  <c r="K726" i="2"/>
  <c r="Y726" i="2"/>
  <c r="AM726" i="2"/>
  <c r="AA726" i="2"/>
  <c r="AR726" i="2"/>
  <c r="AG726" i="2"/>
  <c r="AH726" i="2"/>
  <c r="AV726" i="2"/>
  <c r="AI726" i="2"/>
  <c r="AW726" i="2"/>
  <c r="AJ726" i="2"/>
  <c r="AX726" i="2"/>
  <c r="E726" i="2"/>
  <c r="AY726" i="2"/>
  <c r="J726" i="2"/>
  <c r="AL726" i="2"/>
  <c r="AS726" i="2"/>
  <c r="AC726" i="2"/>
  <c r="AK726" i="2"/>
  <c r="AB692" i="2"/>
  <c r="AH692" i="2"/>
  <c r="E692" i="2"/>
  <c r="AV692" i="2"/>
  <c r="AI692" i="2"/>
  <c r="K692" i="2"/>
  <c r="AK692" i="2"/>
  <c r="L692" i="2"/>
  <c r="AM692" i="2"/>
  <c r="AN692" i="2"/>
  <c r="AC692" i="2"/>
  <c r="AP692" i="2"/>
  <c r="AJ692" i="2"/>
  <c r="AQ692" i="2"/>
  <c r="AF692" i="2"/>
  <c r="AR692" i="2"/>
  <c r="AU692" i="2"/>
  <c r="AS692" i="2"/>
  <c r="AT692" i="2"/>
  <c r="AL692" i="2"/>
  <c r="AY692" i="2"/>
  <c r="AA692" i="2"/>
  <c r="BA692" i="2"/>
  <c r="AD692" i="2"/>
  <c r="AE692" i="2"/>
  <c r="H692" i="2"/>
  <c r="J692" i="2"/>
  <c r="Z692" i="2"/>
  <c r="AX692" i="2"/>
  <c r="I692" i="2"/>
  <c r="Y692" i="2"/>
  <c r="AG692" i="2"/>
  <c r="AO692" i="2"/>
  <c r="AW692" i="2"/>
  <c r="AB658" i="2"/>
  <c r="AC658" i="2"/>
  <c r="AO658" i="2"/>
  <c r="AF658" i="2"/>
  <c r="AG658" i="2"/>
  <c r="AA658" i="2"/>
  <c r="AI658" i="2"/>
  <c r="AK658" i="2"/>
  <c r="Y658" i="2"/>
  <c r="L658" i="2"/>
  <c r="AP658" i="2"/>
  <c r="AD658" i="2"/>
  <c r="AQ658" i="2"/>
  <c r="AE658" i="2"/>
  <c r="AR658" i="2"/>
  <c r="AS658" i="2"/>
  <c r="AU658" i="2"/>
  <c r="H658" i="2"/>
  <c r="E658" i="2"/>
  <c r="AJ658" i="2"/>
  <c r="I658" i="2"/>
  <c r="AW658" i="2"/>
  <c r="AL658" i="2"/>
  <c r="AM658" i="2"/>
  <c r="K658" i="2"/>
  <c r="AY658" i="2"/>
  <c r="Z658" i="2"/>
  <c r="AN658" i="2"/>
  <c r="J658" i="2"/>
  <c r="AH658" i="2"/>
  <c r="AX658" i="2"/>
  <c r="AT658" i="2"/>
  <c r="AV658" i="2"/>
  <c r="BA593" i="2" a="1"/>
  <c r="BA593" i="2" s="1"/>
  <c r="BA624" i="2" s="1"/>
  <c r="BB593" i="2" a="1"/>
  <c r="BB593" i="2" s="1"/>
  <c r="BB624" i="2" s="1"/>
  <c r="B625" i="2" s="1"/>
  <c r="AB624" i="2"/>
  <c r="J624" i="2"/>
  <c r="Z624" i="2"/>
  <c r="K624" i="2"/>
  <c r="AP624" i="2"/>
  <c r="L624" i="2"/>
  <c r="AQ624" i="2"/>
  <c r="AC624" i="2"/>
  <c r="AD624" i="2"/>
  <c r="AE624" i="2"/>
  <c r="I624" i="2"/>
  <c r="Y624" i="2"/>
  <c r="AK624" i="2"/>
  <c r="AL624" i="2"/>
  <c r="AA624" i="2"/>
  <c r="AR624" i="2"/>
  <c r="AS624" i="2"/>
  <c r="AT624" i="2"/>
  <c r="AF624" i="2"/>
  <c r="AU624" i="2"/>
  <c r="AG624" i="2"/>
  <c r="AV624" i="2"/>
  <c r="AH624" i="2"/>
  <c r="AI624" i="2"/>
  <c r="AJ624" i="2"/>
  <c r="AX624" i="2"/>
  <c r="AY624" i="2"/>
  <c r="E624" i="2"/>
  <c r="AM624" i="2"/>
  <c r="H624" i="2"/>
  <c r="AN624" i="2"/>
  <c r="AO624" i="2"/>
  <c r="AW624" i="2"/>
  <c r="AB590" i="2"/>
  <c r="Z590" i="2"/>
  <c r="AL590" i="2"/>
  <c r="AM590" i="2"/>
  <c r="AD590" i="2"/>
  <c r="AU590" i="2"/>
  <c r="I590" i="2"/>
  <c r="E590" i="2"/>
  <c r="AT590" i="2"/>
  <c r="AH590" i="2"/>
  <c r="AJ590" i="2"/>
  <c r="AS590" i="2"/>
  <c r="AX590" i="2"/>
  <c r="AN590" i="2"/>
  <c r="AE590" i="2"/>
  <c r="AP590" i="2"/>
  <c r="J590" i="2"/>
  <c r="AR590" i="2"/>
  <c r="K590" i="2"/>
  <c r="L590" i="2"/>
  <c r="H590" i="2"/>
  <c r="AF590" i="2"/>
  <c r="Y590" i="2"/>
  <c r="AG590" i="2"/>
  <c r="AO590" i="2"/>
  <c r="AW590" i="2"/>
  <c r="AV590" i="2"/>
  <c r="AA590" i="2"/>
  <c r="AI590" i="2"/>
  <c r="AQ590" i="2"/>
  <c r="AY590" i="2"/>
  <c r="AC590" i="2"/>
  <c r="AK590" i="2"/>
  <c r="BA525" i="2" a="1"/>
  <c r="BA525" i="2" s="1"/>
  <c r="BA556" i="2" s="1"/>
  <c r="BB525" i="2" a="1"/>
  <c r="BB525" i="2" s="1"/>
  <c r="BB556" i="2" s="1"/>
  <c r="B557" i="2" s="1"/>
  <c r="AB556" i="2"/>
  <c r="AN556" i="2"/>
  <c r="AU556" i="2"/>
  <c r="AE556" i="2"/>
  <c r="AO556" i="2"/>
  <c r="H556" i="2"/>
  <c r="AG556" i="2"/>
  <c r="J556" i="2"/>
  <c r="AR556" i="2"/>
  <c r="K556" i="2"/>
  <c r="L556" i="2"/>
  <c r="AJ556" i="2"/>
  <c r="AM556" i="2"/>
  <c r="AA556" i="2"/>
  <c r="AW556" i="2"/>
  <c r="E556" i="2"/>
  <c r="I556" i="2"/>
  <c r="Y556" i="2"/>
  <c r="AC556" i="2"/>
  <c r="AK556" i="2"/>
  <c r="AS556" i="2"/>
  <c r="AD556" i="2"/>
  <c r="AL556" i="2"/>
  <c r="AT556" i="2"/>
  <c r="AF556" i="2"/>
  <c r="AV556" i="2"/>
  <c r="Z556" i="2"/>
  <c r="AH556" i="2"/>
  <c r="AP556" i="2"/>
  <c r="AX556" i="2"/>
  <c r="AI556" i="2"/>
  <c r="AQ556" i="2"/>
  <c r="AY556" i="2"/>
  <c r="AB522" i="2"/>
  <c r="AN522" i="2"/>
  <c r="AM522" i="2"/>
  <c r="AK522" i="2"/>
  <c r="J522" i="2"/>
  <c r="K522" i="2"/>
  <c r="Y522" i="2"/>
  <c r="L522" i="2"/>
  <c r="Z522" i="2"/>
  <c r="BA522" i="2"/>
  <c r="AO522" i="2"/>
  <c r="AC522" i="2"/>
  <c r="AQ522" i="2"/>
  <c r="BB522" i="2"/>
  <c r="B523" i="2" s="1"/>
  <c r="AT522" i="2"/>
  <c r="I522" i="2"/>
  <c r="AW522" i="2"/>
  <c r="AL522" i="2"/>
  <c r="AX522" i="2"/>
  <c r="AP522" i="2"/>
  <c r="AE522" i="2"/>
  <c r="AR522" i="2"/>
  <c r="AS522" i="2"/>
  <c r="AA522" i="2"/>
  <c r="AD522" i="2"/>
  <c r="AG522" i="2"/>
  <c r="AH522" i="2"/>
  <c r="AI522" i="2"/>
  <c r="E522" i="2"/>
  <c r="AJ522" i="2"/>
  <c r="AF522" i="2"/>
  <c r="AY522" i="2"/>
  <c r="H522" i="2"/>
  <c r="AV522" i="2"/>
  <c r="AU522" i="2"/>
  <c r="E4" i="2"/>
  <c r="G4" i="2"/>
  <c r="BB4" i="2"/>
  <c r="BD487" i="2" a="1"/>
  <c r="BD487" i="2" s="1"/>
  <c r="BC487" i="2" a="1"/>
  <c r="BC487" i="2" s="1"/>
  <c r="BA487" i="2" a="1"/>
  <c r="BA487" i="2" s="1"/>
  <c r="AZ487" i="2" a="1"/>
  <c r="AZ487" i="2" s="1"/>
  <c r="AY487" i="2" a="1"/>
  <c r="AY487" i="2" s="1"/>
  <c r="AX487" i="2" a="1"/>
  <c r="AX487" i="2" s="1"/>
  <c r="AW487" i="2" a="1"/>
  <c r="AW487" i="2" s="1"/>
  <c r="AV487" i="2" a="1"/>
  <c r="AV487" i="2" s="1"/>
  <c r="AU487" i="2" a="1"/>
  <c r="AU487" i="2" s="1"/>
  <c r="AT487" i="2" a="1"/>
  <c r="AT487" i="2" s="1"/>
  <c r="AS487" i="2" a="1"/>
  <c r="AS487" i="2" s="1"/>
  <c r="AR487" i="2" a="1"/>
  <c r="AR487" i="2" s="1"/>
  <c r="AQ487" i="2" a="1"/>
  <c r="AQ487" i="2" s="1"/>
  <c r="AP487" i="2" a="1"/>
  <c r="AP487" i="2" s="1"/>
  <c r="AO487" i="2" a="1"/>
  <c r="AO487" i="2" s="1"/>
  <c r="AN487" i="2" a="1"/>
  <c r="AN487" i="2" s="1"/>
  <c r="AM487" i="2" a="1"/>
  <c r="AM487" i="2" s="1"/>
  <c r="AL487" i="2" a="1"/>
  <c r="AL487" i="2" s="1"/>
  <c r="AK487" i="2" a="1"/>
  <c r="AK487" i="2" s="1"/>
  <c r="AJ487" i="2" a="1"/>
  <c r="AJ487" i="2" s="1"/>
  <c r="AI487" i="2" a="1"/>
  <c r="AI487" i="2" s="1"/>
  <c r="AH487" i="2" a="1"/>
  <c r="AH487" i="2" s="1"/>
  <c r="AG487" i="2" a="1"/>
  <c r="AG487" i="2" s="1"/>
  <c r="AF487" i="2" a="1"/>
  <c r="AF487" i="2" s="1"/>
  <c r="AE487" i="2" a="1"/>
  <c r="AE487" i="2" s="1"/>
  <c r="AD487" i="2" a="1"/>
  <c r="AD487" i="2" s="1"/>
  <c r="AC487" i="2" a="1"/>
  <c r="AC487" i="2" s="1"/>
  <c r="AB487" i="2"/>
  <c r="AA487" i="2" a="1"/>
  <c r="AA487" i="2" s="1"/>
  <c r="Z487" i="2" a="1"/>
  <c r="Z487" i="2" s="1"/>
  <c r="Y487" i="2" a="1"/>
  <c r="Y487" i="2" s="1"/>
  <c r="X487" i="2" a="1"/>
  <c r="X487" i="2" s="1"/>
  <c r="W487" i="2" a="1"/>
  <c r="W487" i="2" s="1"/>
  <c r="BB487" i="2" s="1" a="1"/>
  <c r="BB487" i="2" s="1"/>
  <c r="V487" i="2" a="1"/>
  <c r="V487" i="2" s="1"/>
  <c r="E487" i="2" s="1" a="1"/>
  <c r="E487" i="2" s="1"/>
  <c r="U487" i="2" a="1"/>
  <c r="U487" i="2" s="1"/>
  <c r="T487" i="2" a="1"/>
  <c r="T487" i="2" s="1"/>
  <c r="S487" i="2" a="1"/>
  <c r="S487" i="2" s="1"/>
  <c r="R487" i="2" a="1"/>
  <c r="R487" i="2" s="1"/>
  <c r="Q487" i="2" a="1"/>
  <c r="Q487" i="2" s="1"/>
  <c r="P487" i="2" a="1"/>
  <c r="P487" i="2" s="1"/>
  <c r="O487" i="2" a="1"/>
  <c r="O487" i="2" s="1"/>
  <c r="N487" i="2" a="1"/>
  <c r="N487" i="2" s="1"/>
  <c r="M487" i="2" a="1"/>
  <c r="M487" i="2" s="1"/>
  <c r="L487" i="2" a="1"/>
  <c r="L487" i="2" s="1"/>
  <c r="K487" i="2" a="1"/>
  <c r="K487" i="2" s="1"/>
  <c r="J487" i="2" a="1"/>
  <c r="J487" i="2" s="1"/>
  <c r="I487" i="2" a="1"/>
  <c r="I487" i="2" s="1"/>
  <c r="H487" i="2" a="1"/>
  <c r="H487" i="2" s="1"/>
  <c r="F487" i="2" a="1"/>
  <c r="F487" i="2" s="1"/>
  <c r="D487" i="2" a="1"/>
  <c r="D487" i="2" s="1"/>
  <c r="B487" i="2" a="1"/>
  <c r="B487" i="2" s="1"/>
  <c r="BD486" i="2" a="1"/>
  <c r="BD486" i="2" s="1"/>
  <c r="BC486" i="2" a="1"/>
  <c r="BC486" i="2" s="1"/>
  <c r="BA486" i="2" a="1"/>
  <c r="BA486" i="2" s="1"/>
  <c r="AZ486" i="2" a="1"/>
  <c r="AZ486" i="2" s="1"/>
  <c r="AY486" i="2" a="1"/>
  <c r="AY486" i="2" s="1"/>
  <c r="AX486" i="2" a="1"/>
  <c r="AX486" i="2" s="1"/>
  <c r="AW486" i="2" a="1"/>
  <c r="AW486" i="2" s="1"/>
  <c r="AV486" i="2" a="1"/>
  <c r="AV486" i="2" s="1"/>
  <c r="AU486" i="2" a="1"/>
  <c r="AU486" i="2" s="1"/>
  <c r="AT486" i="2" a="1"/>
  <c r="AT486" i="2" s="1"/>
  <c r="AS486" i="2" a="1"/>
  <c r="AS486" i="2" s="1"/>
  <c r="AR486" i="2" a="1"/>
  <c r="AR486" i="2" s="1"/>
  <c r="AQ486" i="2" a="1"/>
  <c r="AQ486" i="2" s="1"/>
  <c r="AP486" i="2" a="1"/>
  <c r="AP486" i="2" s="1"/>
  <c r="AO486" i="2" a="1"/>
  <c r="AO486" i="2" s="1"/>
  <c r="AN486" i="2" a="1"/>
  <c r="AN486" i="2" s="1"/>
  <c r="AM486" i="2" a="1"/>
  <c r="AM486" i="2" s="1"/>
  <c r="AL486" i="2" a="1"/>
  <c r="AL486" i="2" s="1"/>
  <c r="AK486" i="2" a="1"/>
  <c r="AK486" i="2" s="1"/>
  <c r="AJ486" i="2" a="1"/>
  <c r="AJ486" i="2" s="1"/>
  <c r="AI486" i="2" a="1"/>
  <c r="AI486" i="2" s="1"/>
  <c r="AH486" i="2" a="1"/>
  <c r="AH486" i="2" s="1"/>
  <c r="AG486" i="2" a="1"/>
  <c r="AG486" i="2" s="1"/>
  <c r="AF486" i="2" a="1"/>
  <c r="AF486" i="2" s="1"/>
  <c r="AE486" i="2" a="1"/>
  <c r="AE486" i="2" s="1"/>
  <c r="AD486" i="2" a="1"/>
  <c r="AD486" i="2" s="1"/>
  <c r="AC486" i="2" a="1"/>
  <c r="AC486" i="2" s="1"/>
  <c r="AB486" i="2"/>
  <c r="AA486" i="2" a="1"/>
  <c r="AA486" i="2" s="1"/>
  <c r="Z486" i="2" a="1"/>
  <c r="Z486" i="2" s="1"/>
  <c r="Y486" i="2" a="1"/>
  <c r="Y486" i="2" s="1"/>
  <c r="X486" i="2" a="1"/>
  <c r="X486" i="2" s="1"/>
  <c r="W486" i="2" a="1"/>
  <c r="W486" i="2" s="1"/>
  <c r="BB486" i="2" s="1" a="1"/>
  <c r="BB486" i="2" s="1"/>
  <c r="V486" i="2" a="1"/>
  <c r="V486" i="2" s="1"/>
  <c r="E486" i="2" s="1" a="1"/>
  <c r="E486" i="2" s="1"/>
  <c r="U486" i="2" a="1"/>
  <c r="U486" i="2" s="1"/>
  <c r="T486" i="2" a="1"/>
  <c r="T486" i="2" s="1"/>
  <c r="S486" i="2" a="1"/>
  <c r="S486" i="2" s="1"/>
  <c r="R486" i="2" a="1"/>
  <c r="R486" i="2" s="1"/>
  <c r="Q486" i="2" a="1"/>
  <c r="Q486" i="2" s="1"/>
  <c r="P486" i="2" a="1"/>
  <c r="P486" i="2" s="1"/>
  <c r="O486" i="2" a="1"/>
  <c r="O486" i="2" s="1"/>
  <c r="N486" i="2" a="1"/>
  <c r="N486" i="2" s="1"/>
  <c r="M486" i="2" a="1"/>
  <c r="M486" i="2" s="1"/>
  <c r="L486" i="2" a="1"/>
  <c r="L486" i="2" s="1"/>
  <c r="K486" i="2" a="1"/>
  <c r="K486" i="2" s="1"/>
  <c r="J486" i="2" a="1"/>
  <c r="J486" i="2" s="1"/>
  <c r="I486" i="2" a="1"/>
  <c r="I486" i="2" s="1"/>
  <c r="H486" i="2" a="1"/>
  <c r="H486" i="2" s="1"/>
  <c r="F486" i="2" a="1"/>
  <c r="F486" i="2" s="1"/>
  <c r="D486" i="2" a="1"/>
  <c r="D486" i="2" s="1"/>
  <c r="B486" i="2" a="1"/>
  <c r="B486" i="2" s="1"/>
  <c r="BD485" i="2" a="1"/>
  <c r="BD485" i="2" s="1"/>
  <c r="BC485" i="2" a="1"/>
  <c r="BC485" i="2" s="1"/>
  <c r="BA485" i="2" a="1"/>
  <c r="BA485" i="2" s="1"/>
  <c r="AZ485" i="2" a="1"/>
  <c r="AZ485" i="2" s="1"/>
  <c r="AY485" i="2" a="1"/>
  <c r="AY485" i="2" s="1"/>
  <c r="AX485" i="2" a="1"/>
  <c r="AX485" i="2" s="1"/>
  <c r="AW485" i="2" a="1"/>
  <c r="AW485" i="2" s="1"/>
  <c r="AV485" i="2" a="1"/>
  <c r="AV485" i="2" s="1"/>
  <c r="AU485" i="2" a="1"/>
  <c r="AU485" i="2" s="1"/>
  <c r="AT485" i="2" a="1"/>
  <c r="AT485" i="2" s="1"/>
  <c r="AS485" i="2" a="1"/>
  <c r="AS485" i="2" s="1"/>
  <c r="AR485" i="2" a="1"/>
  <c r="AR485" i="2" s="1"/>
  <c r="AQ485" i="2" a="1"/>
  <c r="AQ485" i="2" s="1"/>
  <c r="AP485" i="2" a="1"/>
  <c r="AP485" i="2" s="1"/>
  <c r="AO485" i="2" a="1"/>
  <c r="AO485" i="2" s="1"/>
  <c r="AN485" i="2" a="1"/>
  <c r="AN485" i="2" s="1"/>
  <c r="AM485" i="2" a="1"/>
  <c r="AM485" i="2" s="1"/>
  <c r="AL485" i="2" a="1"/>
  <c r="AL485" i="2" s="1"/>
  <c r="AK485" i="2" a="1"/>
  <c r="AK485" i="2" s="1"/>
  <c r="AJ485" i="2" a="1"/>
  <c r="AJ485" i="2" s="1"/>
  <c r="AI485" i="2" a="1"/>
  <c r="AI485" i="2" s="1"/>
  <c r="AH485" i="2" a="1"/>
  <c r="AH485" i="2" s="1"/>
  <c r="AG485" i="2" a="1"/>
  <c r="AG485" i="2" s="1"/>
  <c r="AF485" i="2" a="1"/>
  <c r="AF485" i="2" s="1"/>
  <c r="AE485" i="2" a="1"/>
  <c r="AE485" i="2" s="1"/>
  <c r="AD485" i="2" a="1"/>
  <c r="AD485" i="2" s="1"/>
  <c r="AC485" i="2" a="1"/>
  <c r="AC485" i="2" s="1"/>
  <c r="AB485" i="2"/>
  <c r="AA485" i="2" a="1"/>
  <c r="AA485" i="2" s="1"/>
  <c r="Z485" i="2" a="1"/>
  <c r="Z485" i="2" s="1"/>
  <c r="Y485" i="2" a="1"/>
  <c r="Y485" i="2" s="1"/>
  <c r="X485" i="2" a="1"/>
  <c r="X485" i="2" s="1"/>
  <c r="W485" i="2" a="1"/>
  <c r="W485" i="2" s="1"/>
  <c r="BB485" i="2" s="1" a="1"/>
  <c r="BB485" i="2" s="1"/>
  <c r="V485" i="2" a="1"/>
  <c r="V485" i="2" s="1"/>
  <c r="E485" i="2" s="1" a="1"/>
  <c r="E485" i="2" s="1"/>
  <c r="U485" i="2" a="1"/>
  <c r="U485" i="2" s="1"/>
  <c r="T485" i="2" a="1"/>
  <c r="T485" i="2" s="1"/>
  <c r="S485" i="2" a="1"/>
  <c r="S485" i="2" s="1"/>
  <c r="R485" i="2" a="1"/>
  <c r="R485" i="2" s="1"/>
  <c r="Q485" i="2" a="1"/>
  <c r="Q485" i="2" s="1"/>
  <c r="P485" i="2" a="1"/>
  <c r="P485" i="2" s="1"/>
  <c r="O485" i="2" a="1"/>
  <c r="O485" i="2" s="1"/>
  <c r="N485" i="2" a="1"/>
  <c r="N485" i="2" s="1"/>
  <c r="M485" i="2" a="1"/>
  <c r="M485" i="2" s="1"/>
  <c r="L485" i="2" a="1"/>
  <c r="L485" i="2" s="1"/>
  <c r="K485" i="2" a="1"/>
  <c r="K485" i="2" s="1"/>
  <c r="J485" i="2" a="1"/>
  <c r="J485" i="2" s="1"/>
  <c r="I485" i="2" a="1"/>
  <c r="I485" i="2" s="1"/>
  <c r="H485" i="2" a="1"/>
  <c r="H485" i="2" s="1"/>
  <c r="F485" i="2" a="1"/>
  <c r="F485" i="2" s="1"/>
  <c r="D485" i="2" a="1"/>
  <c r="D485" i="2" s="1"/>
  <c r="B485" i="2" a="1"/>
  <c r="B485" i="2" s="1"/>
  <c r="BD484" i="2" a="1"/>
  <c r="BD484" i="2" s="1"/>
  <c r="BC484" i="2" a="1"/>
  <c r="BC484" i="2" s="1"/>
  <c r="BA484" i="2" a="1"/>
  <c r="BA484" i="2" s="1"/>
  <c r="AZ484" i="2" a="1"/>
  <c r="AZ484" i="2" s="1"/>
  <c r="AY484" i="2" a="1"/>
  <c r="AY484" i="2" s="1"/>
  <c r="AX484" i="2" a="1"/>
  <c r="AX484" i="2" s="1"/>
  <c r="AW484" i="2" a="1"/>
  <c r="AW484" i="2" s="1"/>
  <c r="AV484" i="2" a="1"/>
  <c r="AV484" i="2" s="1"/>
  <c r="AU484" i="2" a="1"/>
  <c r="AU484" i="2" s="1"/>
  <c r="AT484" i="2" a="1"/>
  <c r="AT484" i="2" s="1"/>
  <c r="AS484" i="2" a="1"/>
  <c r="AS484" i="2" s="1"/>
  <c r="AR484" i="2" a="1"/>
  <c r="AR484" i="2" s="1"/>
  <c r="AQ484" i="2" a="1"/>
  <c r="AQ484" i="2" s="1"/>
  <c r="AP484" i="2" a="1"/>
  <c r="AP484" i="2" s="1"/>
  <c r="AO484" i="2" a="1"/>
  <c r="AO484" i="2" s="1"/>
  <c r="AN484" i="2" a="1"/>
  <c r="AN484" i="2" s="1"/>
  <c r="AM484" i="2" a="1"/>
  <c r="AM484" i="2" s="1"/>
  <c r="AL484" i="2" a="1"/>
  <c r="AL484" i="2" s="1"/>
  <c r="AK484" i="2" a="1"/>
  <c r="AK484" i="2" s="1"/>
  <c r="AJ484" i="2" a="1"/>
  <c r="AJ484" i="2" s="1"/>
  <c r="AI484" i="2" a="1"/>
  <c r="AI484" i="2" s="1"/>
  <c r="AH484" i="2" a="1"/>
  <c r="AH484" i="2" s="1"/>
  <c r="AG484" i="2" a="1"/>
  <c r="AG484" i="2" s="1"/>
  <c r="AF484" i="2" a="1"/>
  <c r="AF484" i="2" s="1"/>
  <c r="AE484" i="2" a="1"/>
  <c r="AE484" i="2" s="1"/>
  <c r="AD484" i="2" a="1"/>
  <c r="AD484" i="2" s="1"/>
  <c r="AC484" i="2" a="1"/>
  <c r="AC484" i="2" s="1"/>
  <c r="AB484" i="2"/>
  <c r="AA484" i="2" a="1"/>
  <c r="AA484" i="2" s="1"/>
  <c r="Z484" i="2" a="1"/>
  <c r="Z484" i="2" s="1"/>
  <c r="Y484" i="2" a="1"/>
  <c r="Y484" i="2" s="1"/>
  <c r="X484" i="2" a="1"/>
  <c r="X484" i="2" s="1"/>
  <c r="W484" i="2" a="1"/>
  <c r="W484" i="2" s="1"/>
  <c r="BB484" i="2" s="1" a="1"/>
  <c r="BB484" i="2" s="1"/>
  <c r="V484" i="2" a="1"/>
  <c r="V484" i="2" s="1"/>
  <c r="E484" i="2" s="1" a="1"/>
  <c r="E484" i="2" s="1"/>
  <c r="U484" i="2" a="1"/>
  <c r="U484" i="2" s="1"/>
  <c r="T484" i="2" a="1"/>
  <c r="T484" i="2" s="1"/>
  <c r="S484" i="2" a="1"/>
  <c r="S484" i="2" s="1"/>
  <c r="R484" i="2" a="1"/>
  <c r="R484" i="2" s="1"/>
  <c r="Q484" i="2" a="1"/>
  <c r="Q484" i="2" s="1"/>
  <c r="P484" i="2" a="1"/>
  <c r="P484" i="2" s="1"/>
  <c r="O484" i="2" a="1"/>
  <c r="O484" i="2" s="1"/>
  <c r="N484" i="2" a="1"/>
  <c r="N484" i="2" s="1"/>
  <c r="M484" i="2" a="1"/>
  <c r="M484" i="2" s="1"/>
  <c r="L484" i="2" a="1"/>
  <c r="L484" i="2" s="1"/>
  <c r="K484" i="2" a="1"/>
  <c r="K484" i="2" s="1"/>
  <c r="J484" i="2" a="1"/>
  <c r="J484" i="2" s="1"/>
  <c r="I484" i="2" a="1"/>
  <c r="I484" i="2" s="1"/>
  <c r="H484" i="2" a="1"/>
  <c r="H484" i="2" s="1"/>
  <c r="F484" i="2" a="1"/>
  <c r="F484" i="2" s="1"/>
  <c r="D484" i="2" a="1"/>
  <c r="D484" i="2" s="1"/>
  <c r="B484" i="2" a="1"/>
  <c r="B484" i="2" s="1"/>
  <c r="BD483" i="2" a="1"/>
  <c r="BD483" i="2" s="1"/>
  <c r="BC483" i="2" a="1"/>
  <c r="BC483" i="2" s="1"/>
  <c r="BA483" i="2" a="1"/>
  <c r="BA483" i="2" s="1"/>
  <c r="AZ483" i="2" a="1"/>
  <c r="AZ483" i="2" s="1"/>
  <c r="AY483" i="2" a="1"/>
  <c r="AY483" i="2" s="1"/>
  <c r="AX483" i="2" a="1"/>
  <c r="AX483" i="2" s="1"/>
  <c r="AW483" i="2" a="1"/>
  <c r="AW483" i="2" s="1"/>
  <c r="AV483" i="2" a="1"/>
  <c r="AV483" i="2" s="1"/>
  <c r="AU483" i="2" a="1"/>
  <c r="AU483" i="2" s="1"/>
  <c r="AT483" i="2" a="1"/>
  <c r="AT483" i="2" s="1"/>
  <c r="AS483" i="2" a="1"/>
  <c r="AS483" i="2" s="1"/>
  <c r="AR483" i="2" a="1"/>
  <c r="AR483" i="2" s="1"/>
  <c r="AQ483" i="2" a="1"/>
  <c r="AQ483" i="2" s="1"/>
  <c r="AP483" i="2" a="1"/>
  <c r="AP483" i="2" s="1"/>
  <c r="AO483" i="2" a="1"/>
  <c r="AO483" i="2" s="1"/>
  <c r="AN483" i="2" a="1"/>
  <c r="AN483" i="2" s="1"/>
  <c r="AM483" i="2" a="1"/>
  <c r="AM483" i="2" s="1"/>
  <c r="AL483" i="2" a="1"/>
  <c r="AL483" i="2" s="1"/>
  <c r="AK483" i="2" a="1"/>
  <c r="AK483" i="2" s="1"/>
  <c r="AJ483" i="2" a="1"/>
  <c r="AJ483" i="2" s="1"/>
  <c r="AI483" i="2" a="1"/>
  <c r="AI483" i="2" s="1"/>
  <c r="AH483" i="2" a="1"/>
  <c r="AH483" i="2" s="1"/>
  <c r="AG483" i="2" a="1"/>
  <c r="AG483" i="2" s="1"/>
  <c r="AF483" i="2" a="1"/>
  <c r="AF483" i="2" s="1"/>
  <c r="AE483" i="2" a="1"/>
  <c r="AE483" i="2" s="1"/>
  <c r="AD483" i="2" a="1"/>
  <c r="AD483" i="2" s="1"/>
  <c r="AC483" i="2" a="1"/>
  <c r="AC483" i="2" s="1"/>
  <c r="AB483" i="2"/>
  <c r="AA483" i="2" a="1"/>
  <c r="AA483" i="2" s="1"/>
  <c r="Z483" i="2" a="1"/>
  <c r="Z483" i="2" s="1"/>
  <c r="Y483" i="2" a="1"/>
  <c r="Y483" i="2" s="1"/>
  <c r="X483" i="2" a="1"/>
  <c r="X483" i="2" s="1"/>
  <c r="W483" i="2" a="1"/>
  <c r="W483" i="2" s="1"/>
  <c r="BB483" i="2" s="1" a="1"/>
  <c r="BB483" i="2" s="1"/>
  <c r="V483" i="2" a="1"/>
  <c r="V483" i="2" s="1"/>
  <c r="E483" i="2" s="1" a="1"/>
  <c r="E483" i="2" s="1"/>
  <c r="U483" i="2" a="1"/>
  <c r="U483" i="2" s="1"/>
  <c r="T483" i="2" a="1"/>
  <c r="T483" i="2" s="1"/>
  <c r="S483" i="2" a="1"/>
  <c r="S483" i="2" s="1"/>
  <c r="R483" i="2" a="1"/>
  <c r="R483" i="2" s="1"/>
  <c r="Q483" i="2" a="1"/>
  <c r="Q483" i="2" s="1"/>
  <c r="P483" i="2" a="1"/>
  <c r="P483" i="2" s="1"/>
  <c r="O483" i="2" a="1"/>
  <c r="O483" i="2" s="1"/>
  <c r="N483" i="2" a="1"/>
  <c r="N483" i="2" s="1"/>
  <c r="M483" i="2" a="1"/>
  <c r="M483" i="2" s="1"/>
  <c r="L483" i="2" a="1"/>
  <c r="L483" i="2" s="1"/>
  <c r="K483" i="2" a="1"/>
  <c r="K483" i="2" s="1"/>
  <c r="J483" i="2" a="1"/>
  <c r="J483" i="2" s="1"/>
  <c r="I483" i="2" a="1"/>
  <c r="I483" i="2" s="1"/>
  <c r="H483" i="2" a="1"/>
  <c r="H483" i="2" s="1"/>
  <c r="F483" i="2" a="1"/>
  <c r="F483" i="2" s="1"/>
  <c r="D483" i="2" a="1"/>
  <c r="D483" i="2" s="1"/>
  <c r="B483" i="2" a="1"/>
  <c r="B483" i="2" s="1"/>
  <c r="BD482" i="2" a="1"/>
  <c r="BD482" i="2" s="1"/>
  <c r="BC482" i="2" a="1"/>
  <c r="BC482" i="2" s="1"/>
  <c r="BA482" i="2" a="1"/>
  <c r="BA482" i="2" s="1"/>
  <c r="AZ482" i="2" a="1"/>
  <c r="AZ482" i="2" s="1"/>
  <c r="AY482" i="2" a="1"/>
  <c r="AY482" i="2" s="1"/>
  <c r="AX482" i="2" a="1"/>
  <c r="AX482" i="2" s="1"/>
  <c r="AW482" i="2" a="1"/>
  <c r="AW482" i="2" s="1"/>
  <c r="AV482" i="2" a="1"/>
  <c r="AV482" i="2" s="1"/>
  <c r="AU482" i="2" a="1"/>
  <c r="AU482" i="2" s="1"/>
  <c r="AT482" i="2" a="1"/>
  <c r="AT482" i="2" s="1"/>
  <c r="AS482" i="2" a="1"/>
  <c r="AS482" i="2" s="1"/>
  <c r="AR482" i="2" a="1"/>
  <c r="AR482" i="2" s="1"/>
  <c r="AQ482" i="2" a="1"/>
  <c r="AQ482" i="2" s="1"/>
  <c r="AP482" i="2" a="1"/>
  <c r="AP482" i="2" s="1"/>
  <c r="AO482" i="2" a="1"/>
  <c r="AO482" i="2" s="1"/>
  <c r="AN482" i="2" a="1"/>
  <c r="AN482" i="2" s="1"/>
  <c r="AM482" i="2" a="1"/>
  <c r="AM482" i="2" s="1"/>
  <c r="AL482" i="2" a="1"/>
  <c r="AL482" i="2" s="1"/>
  <c r="AK482" i="2" a="1"/>
  <c r="AK482" i="2" s="1"/>
  <c r="AJ482" i="2" a="1"/>
  <c r="AJ482" i="2" s="1"/>
  <c r="AI482" i="2" a="1"/>
  <c r="AI482" i="2" s="1"/>
  <c r="AH482" i="2" a="1"/>
  <c r="AH482" i="2" s="1"/>
  <c r="AG482" i="2" a="1"/>
  <c r="AG482" i="2" s="1"/>
  <c r="AF482" i="2" a="1"/>
  <c r="AF482" i="2" s="1"/>
  <c r="AE482" i="2" a="1"/>
  <c r="AE482" i="2" s="1"/>
  <c r="AD482" i="2" a="1"/>
  <c r="AD482" i="2" s="1"/>
  <c r="AC482" i="2" a="1"/>
  <c r="AC482" i="2" s="1"/>
  <c r="AB482" i="2"/>
  <c r="AA482" i="2" a="1"/>
  <c r="AA482" i="2" s="1"/>
  <c r="Z482" i="2" a="1"/>
  <c r="Z482" i="2" s="1"/>
  <c r="Y482" i="2" a="1"/>
  <c r="Y482" i="2" s="1"/>
  <c r="X482" i="2" a="1"/>
  <c r="X482" i="2" s="1"/>
  <c r="W482" i="2" a="1"/>
  <c r="W482" i="2" s="1"/>
  <c r="BB482" i="2" s="1" a="1"/>
  <c r="BB482" i="2" s="1"/>
  <c r="V482" i="2" a="1"/>
  <c r="V482" i="2" s="1"/>
  <c r="E482" i="2" s="1" a="1"/>
  <c r="E482" i="2" s="1"/>
  <c r="U482" i="2" a="1"/>
  <c r="U482" i="2" s="1"/>
  <c r="T482" i="2" a="1"/>
  <c r="T482" i="2" s="1"/>
  <c r="S482" i="2" a="1"/>
  <c r="S482" i="2" s="1"/>
  <c r="R482" i="2" a="1"/>
  <c r="R482" i="2" s="1"/>
  <c r="Q482" i="2" a="1"/>
  <c r="Q482" i="2" s="1"/>
  <c r="P482" i="2" a="1"/>
  <c r="P482" i="2" s="1"/>
  <c r="O482" i="2" a="1"/>
  <c r="O482" i="2" s="1"/>
  <c r="N482" i="2" a="1"/>
  <c r="N482" i="2" s="1"/>
  <c r="M482" i="2" a="1"/>
  <c r="M482" i="2" s="1"/>
  <c r="L482" i="2" a="1"/>
  <c r="L482" i="2" s="1"/>
  <c r="K482" i="2" a="1"/>
  <c r="K482" i="2" s="1"/>
  <c r="J482" i="2" a="1"/>
  <c r="J482" i="2" s="1"/>
  <c r="I482" i="2" a="1"/>
  <c r="I482" i="2" s="1"/>
  <c r="H482" i="2" a="1"/>
  <c r="H482" i="2" s="1"/>
  <c r="F482" i="2" a="1"/>
  <c r="F482" i="2" s="1"/>
  <c r="D482" i="2" a="1"/>
  <c r="D482" i="2" s="1"/>
  <c r="B482" i="2" a="1"/>
  <c r="B482" i="2" s="1"/>
  <c r="BD481" i="2" a="1"/>
  <c r="BD481" i="2" s="1"/>
  <c r="BC481" i="2" a="1"/>
  <c r="BC481" i="2" s="1"/>
  <c r="BA481" i="2" a="1"/>
  <c r="BA481" i="2" s="1"/>
  <c r="AZ481" i="2" a="1"/>
  <c r="AZ481" i="2" s="1"/>
  <c r="AY481" i="2" a="1"/>
  <c r="AY481" i="2" s="1"/>
  <c r="AX481" i="2" a="1"/>
  <c r="AX481" i="2" s="1"/>
  <c r="AW481" i="2" a="1"/>
  <c r="AW481" i="2" s="1"/>
  <c r="AV481" i="2" a="1"/>
  <c r="AV481" i="2" s="1"/>
  <c r="AU481" i="2" a="1"/>
  <c r="AU481" i="2" s="1"/>
  <c r="AT481" i="2" a="1"/>
  <c r="AT481" i="2" s="1"/>
  <c r="AS481" i="2" a="1"/>
  <c r="AS481" i="2" s="1"/>
  <c r="AR481" i="2" a="1"/>
  <c r="AR481" i="2" s="1"/>
  <c r="AQ481" i="2" a="1"/>
  <c r="AQ481" i="2" s="1"/>
  <c r="AP481" i="2" a="1"/>
  <c r="AP481" i="2" s="1"/>
  <c r="AO481" i="2" a="1"/>
  <c r="AO481" i="2" s="1"/>
  <c r="AN481" i="2" a="1"/>
  <c r="AN481" i="2" s="1"/>
  <c r="AM481" i="2" a="1"/>
  <c r="AM481" i="2" s="1"/>
  <c r="AL481" i="2" a="1"/>
  <c r="AL481" i="2" s="1"/>
  <c r="AK481" i="2" a="1"/>
  <c r="AK481" i="2" s="1"/>
  <c r="AJ481" i="2" a="1"/>
  <c r="AJ481" i="2" s="1"/>
  <c r="AI481" i="2" a="1"/>
  <c r="AI481" i="2" s="1"/>
  <c r="AH481" i="2" a="1"/>
  <c r="AH481" i="2" s="1"/>
  <c r="AG481" i="2" a="1"/>
  <c r="AG481" i="2" s="1"/>
  <c r="AF481" i="2" a="1"/>
  <c r="AF481" i="2" s="1"/>
  <c r="AE481" i="2" a="1"/>
  <c r="AE481" i="2" s="1"/>
  <c r="AD481" i="2" a="1"/>
  <c r="AD481" i="2" s="1"/>
  <c r="AC481" i="2" a="1"/>
  <c r="AC481" i="2" s="1"/>
  <c r="AB481" i="2"/>
  <c r="AA481" i="2" a="1"/>
  <c r="AA481" i="2" s="1"/>
  <c r="Z481" i="2" a="1"/>
  <c r="Z481" i="2" s="1"/>
  <c r="Y481" i="2" a="1"/>
  <c r="Y481" i="2" s="1"/>
  <c r="X481" i="2" a="1"/>
  <c r="X481" i="2" s="1"/>
  <c r="W481" i="2" a="1"/>
  <c r="W481" i="2" s="1"/>
  <c r="BB481" i="2" s="1" a="1"/>
  <c r="BB481" i="2" s="1"/>
  <c r="V481" i="2" a="1"/>
  <c r="V481" i="2" s="1"/>
  <c r="E481" i="2" s="1" a="1"/>
  <c r="E481" i="2" s="1"/>
  <c r="U481" i="2" a="1"/>
  <c r="U481" i="2" s="1"/>
  <c r="T481" i="2" a="1"/>
  <c r="T481" i="2" s="1"/>
  <c r="S481" i="2" a="1"/>
  <c r="S481" i="2" s="1"/>
  <c r="R481" i="2" a="1"/>
  <c r="R481" i="2" s="1"/>
  <c r="Q481" i="2" a="1"/>
  <c r="Q481" i="2" s="1"/>
  <c r="P481" i="2" a="1"/>
  <c r="P481" i="2" s="1"/>
  <c r="O481" i="2" a="1"/>
  <c r="O481" i="2" s="1"/>
  <c r="N481" i="2" a="1"/>
  <c r="N481" i="2" s="1"/>
  <c r="M481" i="2" a="1"/>
  <c r="M481" i="2" s="1"/>
  <c r="L481" i="2" a="1"/>
  <c r="L481" i="2" s="1"/>
  <c r="K481" i="2" a="1"/>
  <c r="K481" i="2" s="1"/>
  <c r="J481" i="2" a="1"/>
  <c r="J481" i="2" s="1"/>
  <c r="I481" i="2" a="1"/>
  <c r="I481" i="2" s="1"/>
  <c r="H481" i="2" a="1"/>
  <c r="H481" i="2" s="1"/>
  <c r="F481" i="2" a="1"/>
  <c r="F481" i="2" s="1"/>
  <c r="D481" i="2" a="1"/>
  <c r="D481" i="2" s="1"/>
  <c r="BD480" i="2" a="1"/>
  <c r="BD480" i="2" s="1"/>
  <c r="BC480" i="2" a="1"/>
  <c r="BC480" i="2" s="1"/>
  <c r="BA480" i="2" a="1"/>
  <c r="BA480" i="2" s="1"/>
  <c r="AZ480" i="2" a="1"/>
  <c r="AZ480" i="2" s="1"/>
  <c r="AY480" i="2" a="1"/>
  <c r="AY480" i="2" s="1"/>
  <c r="AX480" i="2" a="1"/>
  <c r="AX480" i="2" s="1"/>
  <c r="AW480" i="2" a="1"/>
  <c r="AW480" i="2" s="1"/>
  <c r="AV480" i="2" a="1"/>
  <c r="AV480" i="2" s="1"/>
  <c r="AU480" i="2" a="1"/>
  <c r="AU480" i="2" s="1"/>
  <c r="AT480" i="2" a="1"/>
  <c r="AT480" i="2" s="1"/>
  <c r="AS480" i="2" a="1"/>
  <c r="AS480" i="2" s="1"/>
  <c r="AR480" i="2" a="1"/>
  <c r="AR480" i="2" s="1"/>
  <c r="AQ480" i="2" a="1"/>
  <c r="AQ480" i="2" s="1"/>
  <c r="AP480" i="2" a="1"/>
  <c r="AP480" i="2" s="1"/>
  <c r="AO480" i="2" a="1"/>
  <c r="AO480" i="2" s="1"/>
  <c r="AN480" i="2" a="1"/>
  <c r="AN480" i="2" s="1"/>
  <c r="AM480" i="2" a="1"/>
  <c r="AM480" i="2" s="1"/>
  <c r="AL480" i="2" a="1"/>
  <c r="AL480" i="2" s="1"/>
  <c r="AK480" i="2" a="1"/>
  <c r="AK480" i="2" s="1"/>
  <c r="AJ480" i="2" a="1"/>
  <c r="AJ480" i="2" s="1"/>
  <c r="AI480" i="2" a="1"/>
  <c r="AI480" i="2" s="1"/>
  <c r="AH480" i="2" a="1"/>
  <c r="AH480" i="2" s="1"/>
  <c r="AG480" i="2" a="1"/>
  <c r="AG480" i="2" s="1"/>
  <c r="AF480" i="2" a="1"/>
  <c r="AF480" i="2" s="1"/>
  <c r="AE480" i="2" a="1"/>
  <c r="AE480" i="2" s="1"/>
  <c r="AD480" i="2" a="1"/>
  <c r="AD480" i="2" s="1"/>
  <c r="AC480" i="2" a="1"/>
  <c r="AC480" i="2" s="1"/>
  <c r="AB480" i="2"/>
  <c r="AA480" i="2" a="1"/>
  <c r="AA480" i="2" s="1"/>
  <c r="Z480" i="2" a="1"/>
  <c r="Z480" i="2" s="1"/>
  <c r="Y480" i="2" a="1"/>
  <c r="Y480" i="2" s="1"/>
  <c r="X480" i="2" a="1"/>
  <c r="X480" i="2" s="1"/>
  <c r="W480" i="2" a="1"/>
  <c r="W480" i="2" s="1"/>
  <c r="BB480" i="2" s="1" a="1"/>
  <c r="BB480" i="2" s="1"/>
  <c r="V480" i="2" a="1"/>
  <c r="V480" i="2" s="1"/>
  <c r="E480" i="2" s="1" a="1"/>
  <c r="E480" i="2" s="1"/>
  <c r="U480" i="2" a="1"/>
  <c r="U480" i="2" s="1"/>
  <c r="T480" i="2" a="1"/>
  <c r="T480" i="2" s="1"/>
  <c r="S480" i="2" a="1"/>
  <c r="S480" i="2" s="1"/>
  <c r="R480" i="2" a="1"/>
  <c r="R480" i="2" s="1"/>
  <c r="Q480" i="2" a="1"/>
  <c r="Q480" i="2" s="1"/>
  <c r="P480" i="2" a="1"/>
  <c r="P480" i="2" s="1"/>
  <c r="O480" i="2" a="1"/>
  <c r="O480" i="2" s="1"/>
  <c r="N480" i="2" a="1"/>
  <c r="N480" i="2" s="1"/>
  <c r="M480" i="2" a="1"/>
  <c r="M480" i="2" s="1"/>
  <c r="L480" i="2" a="1"/>
  <c r="L480" i="2" s="1"/>
  <c r="K480" i="2" a="1"/>
  <c r="K480" i="2" s="1"/>
  <c r="J480" i="2" a="1"/>
  <c r="J480" i="2" s="1"/>
  <c r="I480" i="2" a="1"/>
  <c r="I480" i="2" s="1"/>
  <c r="H480" i="2" a="1"/>
  <c r="H480" i="2" s="1"/>
  <c r="F480" i="2" a="1"/>
  <c r="F480" i="2" s="1"/>
  <c r="D480" i="2" a="1"/>
  <c r="D480" i="2" s="1"/>
  <c r="BD478" i="2" a="1"/>
  <c r="BD478" i="2" s="1"/>
  <c r="BC478" i="2" a="1"/>
  <c r="BC478" i="2" s="1"/>
  <c r="BA478" i="2" a="1"/>
  <c r="BA478" i="2" s="1"/>
  <c r="AZ478" i="2" a="1"/>
  <c r="AZ478" i="2" s="1"/>
  <c r="AY478" i="2" a="1"/>
  <c r="AY478" i="2" s="1"/>
  <c r="AX478" i="2" a="1"/>
  <c r="AX478" i="2" s="1"/>
  <c r="AW478" i="2" a="1"/>
  <c r="AW478" i="2" s="1"/>
  <c r="AV478" i="2" a="1"/>
  <c r="AV478" i="2" s="1"/>
  <c r="AU478" i="2" a="1"/>
  <c r="AU478" i="2" s="1"/>
  <c r="AT478" i="2" a="1"/>
  <c r="AT478" i="2" s="1"/>
  <c r="AS478" i="2" a="1"/>
  <c r="AS478" i="2" s="1"/>
  <c r="AR478" i="2" a="1"/>
  <c r="AR478" i="2" s="1"/>
  <c r="AQ478" i="2" a="1"/>
  <c r="AQ478" i="2" s="1"/>
  <c r="AP478" i="2" a="1"/>
  <c r="AP478" i="2" s="1"/>
  <c r="AO478" i="2" a="1"/>
  <c r="AO478" i="2" s="1"/>
  <c r="AN478" i="2" a="1"/>
  <c r="AN478" i="2" s="1"/>
  <c r="AM478" i="2" a="1"/>
  <c r="AM478" i="2" s="1"/>
  <c r="AL478" i="2" a="1"/>
  <c r="AL478" i="2" s="1"/>
  <c r="AK478" i="2" a="1"/>
  <c r="AK478" i="2" s="1"/>
  <c r="AJ478" i="2" a="1"/>
  <c r="AJ478" i="2" s="1"/>
  <c r="AI478" i="2" a="1"/>
  <c r="AI478" i="2" s="1"/>
  <c r="AH478" i="2" a="1"/>
  <c r="AH478" i="2" s="1"/>
  <c r="AG478" i="2" a="1"/>
  <c r="AG478" i="2" s="1"/>
  <c r="AF478" i="2" a="1"/>
  <c r="AF478" i="2" s="1"/>
  <c r="AE478" i="2" a="1"/>
  <c r="AE478" i="2" s="1"/>
  <c r="AD478" i="2" a="1"/>
  <c r="AD478" i="2" s="1"/>
  <c r="AC478" i="2" a="1"/>
  <c r="AC478" i="2" s="1"/>
  <c r="AB478" i="2"/>
  <c r="AA478" i="2" a="1"/>
  <c r="AA478" i="2" s="1"/>
  <c r="Z478" i="2" a="1"/>
  <c r="Z478" i="2" s="1"/>
  <c r="Y478" i="2" a="1"/>
  <c r="Y478" i="2" s="1"/>
  <c r="X478" i="2" a="1"/>
  <c r="X478" i="2" s="1"/>
  <c r="W478" i="2" a="1"/>
  <c r="W478" i="2" s="1"/>
  <c r="BB478" i="2" s="1" a="1"/>
  <c r="BB478" i="2" s="1"/>
  <c r="V478" i="2" a="1"/>
  <c r="V478" i="2" s="1"/>
  <c r="E478" i="2" s="1" a="1"/>
  <c r="E478" i="2" s="1"/>
  <c r="U478" i="2" a="1"/>
  <c r="U478" i="2" s="1"/>
  <c r="T478" i="2" a="1"/>
  <c r="T478" i="2" s="1"/>
  <c r="S478" i="2" a="1"/>
  <c r="S478" i="2" s="1"/>
  <c r="R478" i="2" a="1"/>
  <c r="R478" i="2" s="1"/>
  <c r="Q478" i="2" a="1"/>
  <c r="Q478" i="2" s="1"/>
  <c r="P478" i="2" a="1"/>
  <c r="P478" i="2" s="1"/>
  <c r="O478" i="2" a="1"/>
  <c r="O478" i="2" s="1"/>
  <c r="N478" i="2" a="1"/>
  <c r="N478" i="2" s="1"/>
  <c r="M478" i="2" a="1"/>
  <c r="M478" i="2" s="1"/>
  <c r="L478" i="2" a="1"/>
  <c r="L478" i="2" s="1"/>
  <c r="K478" i="2" a="1"/>
  <c r="K478" i="2" s="1"/>
  <c r="J478" i="2" a="1"/>
  <c r="J478" i="2" s="1"/>
  <c r="I478" i="2" a="1"/>
  <c r="I478" i="2" s="1"/>
  <c r="H478" i="2" a="1"/>
  <c r="H478" i="2" s="1"/>
  <c r="F478" i="2" a="1"/>
  <c r="F478" i="2" s="1"/>
  <c r="D478" i="2" a="1"/>
  <c r="D478" i="2" s="1"/>
  <c r="B478" i="2" a="1"/>
  <c r="B478" i="2" s="1"/>
  <c r="BD477" i="2" a="1"/>
  <c r="BD477" i="2" s="1"/>
  <c r="BC477" i="2" a="1"/>
  <c r="BC477" i="2" s="1"/>
  <c r="BA477" i="2" a="1"/>
  <c r="BA477" i="2" s="1"/>
  <c r="AZ477" i="2" a="1"/>
  <c r="AZ477" i="2" s="1"/>
  <c r="AY477" i="2" a="1"/>
  <c r="AY477" i="2" s="1"/>
  <c r="AX477" i="2" a="1"/>
  <c r="AX477" i="2" s="1"/>
  <c r="AW477" i="2" a="1"/>
  <c r="AW477" i="2" s="1"/>
  <c r="AV477" i="2" a="1"/>
  <c r="AV477" i="2" s="1"/>
  <c r="AU477" i="2" a="1"/>
  <c r="AU477" i="2" s="1"/>
  <c r="AT477" i="2" a="1"/>
  <c r="AT477" i="2" s="1"/>
  <c r="AS477" i="2" a="1"/>
  <c r="AS477" i="2" s="1"/>
  <c r="AR477" i="2" a="1"/>
  <c r="AR477" i="2" s="1"/>
  <c r="AQ477" i="2" a="1"/>
  <c r="AQ477" i="2" s="1"/>
  <c r="AP477" i="2" a="1"/>
  <c r="AP477" i="2" s="1"/>
  <c r="AO477" i="2" a="1"/>
  <c r="AO477" i="2" s="1"/>
  <c r="AN477" i="2" a="1"/>
  <c r="AN477" i="2" s="1"/>
  <c r="AM477" i="2" a="1"/>
  <c r="AM477" i="2" s="1"/>
  <c r="AL477" i="2" a="1"/>
  <c r="AL477" i="2" s="1"/>
  <c r="AK477" i="2" a="1"/>
  <c r="AK477" i="2" s="1"/>
  <c r="AJ477" i="2" a="1"/>
  <c r="AJ477" i="2" s="1"/>
  <c r="AI477" i="2" a="1"/>
  <c r="AI477" i="2" s="1"/>
  <c r="AH477" i="2" a="1"/>
  <c r="AH477" i="2" s="1"/>
  <c r="AG477" i="2" a="1"/>
  <c r="AG477" i="2" s="1"/>
  <c r="AF477" i="2" a="1"/>
  <c r="AF477" i="2" s="1"/>
  <c r="AE477" i="2" a="1"/>
  <c r="AE477" i="2" s="1"/>
  <c r="AD477" i="2" a="1"/>
  <c r="AD477" i="2" s="1"/>
  <c r="AC477" i="2" a="1"/>
  <c r="AC477" i="2" s="1"/>
  <c r="AB477" i="2"/>
  <c r="AA477" i="2" a="1"/>
  <c r="AA477" i="2" s="1"/>
  <c r="Z477" i="2" a="1"/>
  <c r="Z477" i="2" s="1"/>
  <c r="Y477" i="2" a="1"/>
  <c r="Y477" i="2" s="1"/>
  <c r="X477" i="2" a="1"/>
  <c r="X477" i="2" s="1"/>
  <c r="W477" i="2" a="1"/>
  <c r="W477" i="2" s="1"/>
  <c r="BB477" i="2" s="1" a="1"/>
  <c r="BB477" i="2" s="1"/>
  <c r="V477" i="2" a="1"/>
  <c r="V477" i="2" s="1"/>
  <c r="E477" i="2" s="1" a="1"/>
  <c r="E477" i="2" s="1"/>
  <c r="U477" i="2" a="1"/>
  <c r="U477" i="2" s="1"/>
  <c r="T477" i="2" a="1"/>
  <c r="T477" i="2" s="1"/>
  <c r="S477" i="2" a="1"/>
  <c r="S477" i="2" s="1"/>
  <c r="R477" i="2" a="1"/>
  <c r="R477" i="2" s="1"/>
  <c r="Q477" i="2" a="1"/>
  <c r="Q477" i="2" s="1"/>
  <c r="P477" i="2" a="1"/>
  <c r="P477" i="2" s="1"/>
  <c r="O477" i="2" a="1"/>
  <c r="O477" i="2" s="1"/>
  <c r="N477" i="2" a="1"/>
  <c r="N477" i="2" s="1"/>
  <c r="M477" i="2" a="1"/>
  <c r="M477" i="2" s="1"/>
  <c r="L477" i="2" a="1"/>
  <c r="L477" i="2" s="1"/>
  <c r="K477" i="2" a="1"/>
  <c r="K477" i="2" s="1"/>
  <c r="J477" i="2" a="1"/>
  <c r="J477" i="2" s="1"/>
  <c r="I477" i="2" a="1"/>
  <c r="I477" i="2" s="1"/>
  <c r="H477" i="2" a="1"/>
  <c r="H477" i="2" s="1"/>
  <c r="F477" i="2" a="1"/>
  <c r="F477" i="2" s="1"/>
  <c r="D477" i="2" a="1"/>
  <c r="D477" i="2" s="1"/>
  <c r="B477" i="2" a="1"/>
  <c r="B477" i="2" s="1"/>
  <c r="BD476" i="2" a="1"/>
  <c r="BD476" i="2" s="1"/>
  <c r="BC476" i="2" a="1"/>
  <c r="BC476" i="2" s="1"/>
  <c r="BA476" i="2" a="1"/>
  <c r="BA476" i="2" s="1"/>
  <c r="AZ476" i="2" a="1"/>
  <c r="AZ476" i="2" s="1"/>
  <c r="AY476" i="2" a="1"/>
  <c r="AY476" i="2" s="1"/>
  <c r="AX476" i="2" a="1"/>
  <c r="AX476" i="2" s="1"/>
  <c r="AW476" i="2" a="1"/>
  <c r="AW476" i="2" s="1"/>
  <c r="AV476" i="2" a="1"/>
  <c r="AV476" i="2" s="1"/>
  <c r="AU476" i="2" a="1"/>
  <c r="AU476" i="2" s="1"/>
  <c r="AT476" i="2" a="1"/>
  <c r="AT476" i="2" s="1"/>
  <c r="AS476" i="2" a="1"/>
  <c r="AS476" i="2" s="1"/>
  <c r="AR476" i="2" a="1"/>
  <c r="AR476" i="2" s="1"/>
  <c r="AQ476" i="2" a="1"/>
  <c r="AQ476" i="2" s="1"/>
  <c r="AP476" i="2" a="1"/>
  <c r="AP476" i="2" s="1"/>
  <c r="AO476" i="2" a="1"/>
  <c r="AO476" i="2" s="1"/>
  <c r="AN476" i="2" a="1"/>
  <c r="AN476" i="2" s="1"/>
  <c r="AM476" i="2" a="1"/>
  <c r="AM476" i="2" s="1"/>
  <c r="AL476" i="2" a="1"/>
  <c r="AL476" i="2" s="1"/>
  <c r="AK476" i="2" a="1"/>
  <c r="AK476" i="2" s="1"/>
  <c r="AJ476" i="2" a="1"/>
  <c r="AJ476" i="2" s="1"/>
  <c r="AI476" i="2" a="1"/>
  <c r="AI476" i="2" s="1"/>
  <c r="AH476" i="2" a="1"/>
  <c r="AH476" i="2" s="1"/>
  <c r="AG476" i="2" a="1"/>
  <c r="AG476" i="2" s="1"/>
  <c r="AF476" i="2" a="1"/>
  <c r="AF476" i="2" s="1"/>
  <c r="AE476" i="2" a="1"/>
  <c r="AE476" i="2" s="1"/>
  <c r="AD476" i="2" a="1"/>
  <c r="AD476" i="2" s="1"/>
  <c r="AC476" i="2" a="1"/>
  <c r="AC476" i="2" s="1"/>
  <c r="AB476" i="2"/>
  <c r="AA476" i="2" a="1"/>
  <c r="AA476" i="2" s="1"/>
  <c r="Z476" i="2" a="1"/>
  <c r="Z476" i="2" s="1"/>
  <c r="Y476" i="2" a="1"/>
  <c r="Y476" i="2" s="1"/>
  <c r="X476" i="2" a="1"/>
  <c r="X476" i="2" s="1"/>
  <c r="W476" i="2" a="1"/>
  <c r="W476" i="2" s="1"/>
  <c r="BB476" i="2" s="1" a="1"/>
  <c r="BB476" i="2" s="1"/>
  <c r="V476" i="2" a="1"/>
  <c r="V476" i="2" s="1"/>
  <c r="E476" i="2" s="1" a="1"/>
  <c r="E476" i="2" s="1"/>
  <c r="U476" i="2" a="1"/>
  <c r="U476" i="2" s="1"/>
  <c r="T476" i="2" a="1"/>
  <c r="T476" i="2" s="1"/>
  <c r="S476" i="2" a="1"/>
  <c r="S476" i="2" s="1"/>
  <c r="R476" i="2" a="1"/>
  <c r="R476" i="2" s="1"/>
  <c r="Q476" i="2" a="1"/>
  <c r="Q476" i="2" s="1"/>
  <c r="P476" i="2" a="1"/>
  <c r="P476" i="2" s="1"/>
  <c r="O476" i="2" a="1"/>
  <c r="O476" i="2" s="1"/>
  <c r="N476" i="2" a="1"/>
  <c r="N476" i="2" s="1"/>
  <c r="M476" i="2" a="1"/>
  <c r="M476" i="2" s="1"/>
  <c r="L476" i="2" a="1"/>
  <c r="L476" i="2" s="1"/>
  <c r="K476" i="2" a="1"/>
  <c r="K476" i="2" s="1"/>
  <c r="J476" i="2" a="1"/>
  <c r="J476" i="2" s="1"/>
  <c r="I476" i="2" a="1"/>
  <c r="I476" i="2" s="1"/>
  <c r="H476" i="2" a="1"/>
  <c r="H476" i="2" s="1"/>
  <c r="F476" i="2" a="1"/>
  <c r="F476" i="2" s="1"/>
  <c r="D476" i="2" a="1"/>
  <c r="D476" i="2" s="1"/>
  <c r="B476" i="2" a="1"/>
  <c r="B476" i="2" s="1"/>
  <c r="BD475" i="2" a="1"/>
  <c r="BD475" i="2" s="1"/>
  <c r="BC475" i="2" a="1"/>
  <c r="BC475" i="2" s="1"/>
  <c r="BA475" i="2" a="1"/>
  <c r="BA475" i="2" s="1"/>
  <c r="AZ475" i="2" a="1"/>
  <c r="AZ475" i="2" s="1"/>
  <c r="AY475" i="2" a="1"/>
  <c r="AY475" i="2" s="1"/>
  <c r="AX475" i="2" a="1"/>
  <c r="AX475" i="2" s="1"/>
  <c r="AW475" i="2" a="1"/>
  <c r="AW475" i="2" s="1"/>
  <c r="AV475" i="2" a="1"/>
  <c r="AV475" i="2" s="1"/>
  <c r="AU475" i="2" a="1"/>
  <c r="AU475" i="2" s="1"/>
  <c r="AT475" i="2" a="1"/>
  <c r="AT475" i="2" s="1"/>
  <c r="AS475" i="2" a="1"/>
  <c r="AS475" i="2" s="1"/>
  <c r="AR475" i="2" a="1"/>
  <c r="AR475" i="2" s="1"/>
  <c r="AQ475" i="2" a="1"/>
  <c r="AQ475" i="2" s="1"/>
  <c r="AP475" i="2" a="1"/>
  <c r="AP475" i="2" s="1"/>
  <c r="AO475" i="2" a="1"/>
  <c r="AO475" i="2" s="1"/>
  <c r="AN475" i="2" a="1"/>
  <c r="AN475" i="2" s="1"/>
  <c r="AM475" i="2" a="1"/>
  <c r="AM475" i="2" s="1"/>
  <c r="AL475" i="2" a="1"/>
  <c r="AL475" i="2" s="1"/>
  <c r="AK475" i="2" a="1"/>
  <c r="AK475" i="2" s="1"/>
  <c r="AJ475" i="2" a="1"/>
  <c r="AJ475" i="2" s="1"/>
  <c r="AI475" i="2" a="1"/>
  <c r="AI475" i="2" s="1"/>
  <c r="AH475" i="2" a="1"/>
  <c r="AH475" i="2" s="1"/>
  <c r="AG475" i="2" a="1"/>
  <c r="AG475" i="2" s="1"/>
  <c r="AF475" i="2" a="1"/>
  <c r="AF475" i="2" s="1"/>
  <c r="AE475" i="2" a="1"/>
  <c r="AE475" i="2" s="1"/>
  <c r="AD475" i="2" a="1"/>
  <c r="AD475" i="2" s="1"/>
  <c r="AC475" i="2" a="1"/>
  <c r="AC475" i="2" s="1"/>
  <c r="AB475" i="2"/>
  <c r="AA475" i="2" a="1"/>
  <c r="AA475" i="2" s="1"/>
  <c r="Z475" i="2" a="1"/>
  <c r="Z475" i="2" s="1"/>
  <c r="Y475" i="2" a="1"/>
  <c r="Y475" i="2" s="1"/>
  <c r="X475" i="2" a="1"/>
  <c r="X475" i="2" s="1"/>
  <c r="W475" i="2" a="1"/>
  <c r="W475" i="2" s="1"/>
  <c r="BB475" i="2" s="1" a="1"/>
  <c r="BB475" i="2" s="1"/>
  <c r="V475" i="2" a="1"/>
  <c r="V475" i="2" s="1"/>
  <c r="E475" i="2" s="1" a="1"/>
  <c r="E475" i="2" s="1"/>
  <c r="U475" i="2" a="1"/>
  <c r="U475" i="2" s="1"/>
  <c r="T475" i="2" a="1"/>
  <c r="T475" i="2" s="1"/>
  <c r="S475" i="2" a="1"/>
  <c r="S475" i="2" s="1"/>
  <c r="R475" i="2" a="1"/>
  <c r="R475" i="2" s="1"/>
  <c r="Q475" i="2" a="1"/>
  <c r="Q475" i="2" s="1"/>
  <c r="P475" i="2" a="1"/>
  <c r="P475" i="2" s="1"/>
  <c r="O475" i="2" a="1"/>
  <c r="O475" i="2" s="1"/>
  <c r="N475" i="2" a="1"/>
  <c r="N475" i="2" s="1"/>
  <c r="M475" i="2" a="1"/>
  <c r="M475" i="2" s="1"/>
  <c r="L475" i="2" a="1"/>
  <c r="L475" i="2" s="1"/>
  <c r="K475" i="2" a="1"/>
  <c r="K475" i="2" s="1"/>
  <c r="J475" i="2" a="1"/>
  <c r="J475" i="2" s="1"/>
  <c r="I475" i="2" a="1"/>
  <c r="I475" i="2" s="1"/>
  <c r="H475" i="2" a="1"/>
  <c r="H475" i="2" s="1"/>
  <c r="F475" i="2" a="1"/>
  <c r="F475" i="2" s="1"/>
  <c r="D475" i="2" a="1"/>
  <c r="D475" i="2" s="1"/>
  <c r="BD474" i="2" a="1"/>
  <c r="BD474" i="2" s="1"/>
  <c r="BC474" i="2" a="1"/>
  <c r="BC474" i="2" s="1"/>
  <c r="BA474" i="2" a="1"/>
  <c r="BA474" i="2" s="1"/>
  <c r="AZ474" i="2" a="1"/>
  <c r="AZ474" i="2" s="1"/>
  <c r="AY474" i="2" a="1"/>
  <c r="AY474" i="2" s="1"/>
  <c r="AX474" i="2" a="1"/>
  <c r="AX474" i="2" s="1"/>
  <c r="AW474" i="2" a="1"/>
  <c r="AW474" i="2" s="1"/>
  <c r="AV474" i="2" a="1"/>
  <c r="AV474" i="2" s="1"/>
  <c r="AU474" i="2" a="1"/>
  <c r="AU474" i="2" s="1"/>
  <c r="AT474" i="2" a="1"/>
  <c r="AT474" i="2" s="1"/>
  <c r="AS474" i="2" a="1"/>
  <c r="AS474" i="2" s="1"/>
  <c r="AR474" i="2" a="1"/>
  <c r="AR474" i="2" s="1"/>
  <c r="AQ474" i="2" a="1"/>
  <c r="AQ474" i="2" s="1"/>
  <c r="AP474" i="2" a="1"/>
  <c r="AP474" i="2" s="1"/>
  <c r="AO474" i="2" a="1"/>
  <c r="AO474" i="2" s="1"/>
  <c r="AN474" i="2" a="1"/>
  <c r="AN474" i="2" s="1"/>
  <c r="AM474" i="2" a="1"/>
  <c r="AM474" i="2" s="1"/>
  <c r="AL474" i="2" a="1"/>
  <c r="AL474" i="2" s="1"/>
  <c r="AK474" i="2" a="1"/>
  <c r="AK474" i="2" s="1"/>
  <c r="AJ474" i="2" a="1"/>
  <c r="AJ474" i="2" s="1"/>
  <c r="AI474" i="2" a="1"/>
  <c r="AI474" i="2" s="1"/>
  <c r="AH474" i="2" a="1"/>
  <c r="AH474" i="2" s="1"/>
  <c r="AG474" i="2" a="1"/>
  <c r="AG474" i="2" s="1"/>
  <c r="AF474" i="2" a="1"/>
  <c r="AF474" i="2" s="1"/>
  <c r="AE474" i="2" a="1"/>
  <c r="AE474" i="2" s="1"/>
  <c r="AD474" i="2" a="1"/>
  <c r="AD474" i="2" s="1"/>
  <c r="AC474" i="2" a="1"/>
  <c r="AC474" i="2" s="1"/>
  <c r="AB474" i="2"/>
  <c r="AA474" i="2" a="1"/>
  <c r="AA474" i="2" s="1"/>
  <c r="Z474" i="2" a="1"/>
  <c r="Z474" i="2" s="1"/>
  <c r="Y474" i="2" a="1"/>
  <c r="Y474" i="2" s="1"/>
  <c r="X474" i="2" a="1"/>
  <c r="X474" i="2" s="1"/>
  <c r="W474" i="2" a="1"/>
  <c r="W474" i="2" s="1"/>
  <c r="BB474" i="2" s="1" a="1"/>
  <c r="BB474" i="2" s="1"/>
  <c r="V474" i="2" a="1"/>
  <c r="V474" i="2" s="1"/>
  <c r="E474" i="2" s="1" a="1"/>
  <c r="E474" i="2" s="1"/>
  <c r="U474" i="2" a="1"/>
  <c r="U474" i="2" s="1"/>
  <c r="T474" i="2" a="1"/>
  <c r="T474" i="2" s="1"/>
  <c r="S474" i="2" a="1"/>
  <c r="S474" i="2" s="1"/>
  <c r="R474" i="2" a="1"/>
  <c r="R474" i="2" s="1"/>
  <c r="Q474" i="2" a="1"/>
  <c r="Q474" i="2" s="1"/>
  <c r="P474" i="2" a="1"/>
  <c r="P474" i="2" s="1"/>
  <c r="O474" i="2" a="1"/>
  <c r="O474" i="2" s="1"/>
  <c r="N474" i="2" a="1"/>
  <c r="N474" i="2" s="1"/>
  <c r="M474" i="2" a="1"/>
  <c r="M474" i="2" s="1"/>
  <c r="L474" i="2" a="1"/>
  <c r="L474" i="2" s="1"/>
  <c r="K474" i="2" a="1"/>
  <c r="K474" i="2" s="1"/>
  <c r="J474" i="2" a="1"/>
  <c r="J474" i="2" s="1"/>
  <c r="I474" i="2" a="1"/>
  <c r="I474" i="2" s="1"/>
  <c r="H474" i="2" a="1"/>
  <c r="H474" i="2" s="1"/>
  <c r="F474" i="2" a="1"/>
  <c r="F474" i="2" s="1"/>
  <c r="D474" i="2" a="1"/>
  <c r="D474" i="2" s="1"/>
  <c r="BD473" i="2" a="1"/>
  <c r="BD473" i="2" s="1"/>
  <c r="BC473" i="2" a="1"/>
  <c r="BC473" i="2" s="1"/>
  <c r="BA473" i="2" a="1"/>
  <c r="BA473" i="2" s="1"/>
  <c r="AZ473" i="2" a="1"/>
  <c r="AZ473" i="2" s="1"/>
  <c r="AY473" i="2" a="1"/>
  <c r="AY473" i="2" s="1"/>
  <c r="AX473" i="2" a="1"/>
  <c r="AX473" i="2" s="1"/>
  <c r="AW473" i="2" a="1"/>
  <c r="AW473" i="2" s="1"/>
  <c r="AV473" i="2" a="1"/>
  <c r="AV473" i="2" s="1"/>
  <c r="AU473" i="2" a="1"/>
  <c r="AU473" i="2" s="1"/>
  <c r="AT473" i="2" a="1"/>
  <c r="AT473" i="2" s="1"/>
  <c r="AS473" i="2" a="1"/>
  <c r="AS473" i="2" s="1"/>
  <c r="AR473" i="2" a="1"/>
  <c r="AR473" i="2" s="1"/>
  <c r="AQ473" i="2" a="1"/>
  <c r="AQ473" i="2" s="1"/>
  <c r="AP473" i="2" a="1"/>
  <c r="AP473" i="2" s="1"/>
  <c r="AO473" i="2" a="1"/>
  <c r="AO473" i="2" s="1"/>
  <c r="AN473" i="2" a="1"/>
  <c r="AN473" i="2" s="1"/>
  <c r="AM473" i="2" a="1"/>
  <c r="AM473" i="2" s="1"/>
  <c r="AL473" i="2" a="1"/>
  <c r="AL473" i="2" s="1"/>
  <c r="AK473" i="2" a="1"/>
  <c r="AK473" i="2" s="1"/>
  <c r="AJ473" i="2" a="1"/>
  <c r="AJ473" i="2" s="1"/>
  <c r="AI473" i="2" a="1"/>
  <c r="AI473" i="2" s="1"/>
  <c r="AH473" i="2" a="1"/>
  <c r="AH473" i="2" s="1"/>
  <c r="AG473" i="2" a="1"/>
  <c r="AG473" i="2" s="1"/>
  <c r="AF473" i="2" a="1"/>
  <c r="AF473" i="2" s="1"/>
  <c r="AE473" i="2" a="1"/>
  <c r="AE473" i="2" s="1"/>
  <c r="AD473" i="2" a="1"/>
  <c r="AD473" i="2" s="1"/>
  <c r="AC473" i="2" a="1"/>
  <c r="AC473" i="2" s="1"/>
  <c r="AB473" i="2"/>
  <c r="AA473" i="2" a="1"/>
  <c r="AA473" i="2" s="1"/>
  <c r="Z473" i="2" a="1"/>
  <c r="Z473" i="2" s="1"/>
  <c r="Y473" i="2" a="1"/>
  <c r="Y473" i="2" s="1"/>
  <c r="X473" i="2" a="1"/>
  <c r="X473" i="2" s="1"/>
  <c r="W473" i="2" a="1"/>
  <c r="W473" i="2" s="1"/>
  <c r="BB473" i="2" s="1" a="1"/>
  <c r="BB473" i="2" s="1"/>
  <c r="V473" i="2" a="1"/>
  <c r="V473" i="2" s="1"/>
  <c r="E473" i="2" s="1" a="1"/>
  <c r="E473" i="2" s="1"/>
  <c r="U473" i="2" a="1"/>
  <c r="U473" i="2" s="1"/>
  <c r="T473" i="2" a="1"/>
  <c r="T473" i="2" s="1"/>
  <c r="S473" i="2" a="1"/>
  <c r="S473" i="2" s="1"/>
  <c r="R473" i="2" a="1"/>
  <c r="R473" i="2" s="1"/>
  <c r="Q473" i="2" a="1"/>
  <c r="Q473" i="2" s="1"/>
  <c r="P473" i="2" a="1"/>
  <c r="P473" i="2" s="1"/>
  <c r="O473" i="2" a="1"/>
  <c r="O473" i="2" s="1"/>
  <c r="N473" i="2" a="1"/>
  <c r="N473" i="2" s="1"/>
  <c r="M473" i="2" a="1"/>
  <c r="M473" i="2" s="1"/>
  <c r="L473" i="2" a="1"/>
  <c r="L473" i="2" s="1"/>
  <c r="K473" i="2" a="1"/>
  <c r="K473" i="2" s="1"/>
  <c r="J473" i="2" a="1"/>
  <c r="J473" i="2" s="1"/>
  <c r="I473" i="2" a="1"/>
  <c r="I473" i="2" s="1"/>
  <c r="H473" i="2" a="1"/>
  <c r="H473" i="2" s="1"/>
  <c r="F473" i="2" a="1"/>
  <c r="F473" i="2" s="1"/>
  <c r="D473" i="2" a="1"/>
  <c r="D473" i="2" s="1"/>
  <c r="BD472" i="2" a="1"/>
  <c r="BD472" i="2" s="1"/>
  <c r="BC472" i="2" a="1"/>
  <c r="BC472" i="2" s="1"/>
  <c r="BA472" i="2" a="1"/>
  <c r="BA472" i="2" s="1"/>
  <c r="AZ472" i="2" a="1"/>
  <c r="AZ472" i="2" s="1"/>
  <c r="AY472" i="2" a="1"/>
  <c r="AY472" i="2" s="1"/>
  <c r="AX472" i="2" a="1"/>
  <c r="AX472" i="2" s="1"/>
  <c r="AW472" i="2" a="1"/>
  <c r="AW472" i="2" s="1"/>
  <c r="AV472" i="2" a="1"/>
  <c r="AV472" i="2" s="1"/>
  <c r="AU472" i="2" a="1"/>
  <c r="AU472" i="2" s="1"/>
  <c r="AT472" i="2" a="1"/>
  <c r="AT472" i="2" s="1"/>
  <c r="AS472" i="2" a="1"/>
  <c r="AS472" i="2" s="1"/>
  <c r="AR472" i="2" a="1"/>
  <c r="AR472" i="2" s="1"/>
  <c r="AQ472" i="2" a="1"/>
  <c r="AQ472" i="2" s="1"/>
  <c r="AP472" i="2" a="1"/>
  <c r="AP472" i="2" s="1"/>
  <c r="AO472" i="2" a="1"/>
  <c r="AO472" i="2" s="1"/>
  <c r="AN472" i="2" a="1"/>
  <c r="AN472" i="2" s="1"/>
  <c r="AM472" i="2" a="1"/>
  <c r="AM472" i="2" s="1"/>
  <c r="AL472" i="2" a="1"/>
  <c r="AL472" i="2" s="1"/>
  <c r="AK472" i="2" a="1"/>
  <c r="AK472" i="2" s="1"/>
  <c r="AJ472" i="2" a="1"/>
  <c r="AJ472" i="2" s="1"/>
  <c r="AI472" i="2" a="1"/>
  <c r="AI472" i="2" s="1"/>
  <c r="AH472" i="2" a="1"/>
  <c r="AH472" i="2" s="1"/>
  <c r="AG472" i="2" a="1"/>
  <c r="AG472" i="2" s="1"/>
  <c r="AF472" i="2" a="1"/>
  <c r="AF472" i="2" s="1"/>
  <c r="AE472" i="2" a="1"/>
  <c r="AE472" i="2" s="1"/>
  <c r="AD472" i="2" a="1"/>
  <c r="AD472" i="2" s="1"/>
  <c r="AC472" i="2" a="1"/>
  <c r="AC472" i="2" s="1"/>
  <c r="AB472" i="2"/>
  <c r="AA472" i="2" a="1"/>
  <c r="AA472" i="2" s="1"/>
  <c r="Z472" i="2" a="1"/>
  <c r="Z472" i="2" s="1"/>
  <c r="Y472" i="2" a="1"/>
  <c r="Y472" i="2" s="1"/>
  <c r="X472" i="2" a="1"/>
  <c r="X472" i="2" s="1"/>
  <c r="W472" i="2" a="1"/>
  <c r="W472" i="2" s="1"/>
  <c r="BB472" i="2" s="1" a="1"/>
  <c r="BB472" i="2" s="1"/>
  <c r="V472" i="2" a="1"/>
  <c r="V472" i="2" s="1"/>
  <c r="E472" i="2" s="1" a="1"/>
  <c r="E472" i="2" s="1"/>
  <c r="U472" i="2" a="1"/>
  <c r="U472" i="2" s="1"/>
  <c r="T472" i="2" a="1"/>
  <c r="T472" i="2" s="1"/>
  <c r="S472" i="2" a="1"/>
  <c r="S472" i="2" s="1"/>
  <c r="R472" i="2" a="1"/>
  <c r="R472" i="2" s="1"/>
  <c r="Q472" i="2" a="1"/>
  <c r="Q472" i="2" s="1"/>
  <c r="P472" i="2" a="1"/>
  <c r="P472" i="2" s="1"/>
  <c r="O472" i="2" a="1"/>
  <c r="O472" i="2" s="1"/>
  <c r="N472" i="2" a="1"/>
  <c r="N472" i="2" s="1"/>
  <c r="M472" i="2" a="1"/>
  <c r="M472" i="2" s="1"/>
  <c r="L472" i="2" a="1"/>
  <c r="L472" i="2" s="1"/>
  <c r="K472" i="2" a="1"/>
  <c r="K472" i="2" s="1"/>
  <c r="J472" i="2" a="1"/>
  <c r="J472" i="2" s="1"/>
  <c r="I472" i="2" a="1"/>
  <c r="I472" i="2" s="1"/>
  <c r="H472" i="2" a="1"/>
  <c r="H472" i="2" s="1"/>
  <c r="F472" i="2" a="1"/>
  <c r="F472" i="2" s="1"/>
  <c r="D472" i="2" a="1"/>
  <c r="D472" i="2" s="1"/>
  <c r="BD471" i="2" a="1"/>
  <c r="BD471" i="2" s="1"/>
  <c r="BC471" i="2" a="1"/>
  <c r="BC471" i="2" s="1"/>
  <c r="BA471" i="2" a="1"/>
  <c r="BA471" i="2" s="1"/>
  <c r="AZ471" i="2" a="1"/>
  <c r="AZ471" i="2" s="1"/>
  <c r="AY471" i="2" a="1"/>
  <c r="AY471" i="2" s="1"/>
  <c r="AX471" i="2" a="1"/>
  <c r="AX471" i="2" s="1"/>
  <c r="AW471" i="2" a="1"/>
  <c r="AW471" i="2" s="1"/>
  <c r="AV471" i="2" a="1"/>
  <c r="AV471" i="2" s="1"/>
  <c r="AU471" i="2" a="1"/>
  <c r="AU471" i="2" s="1"/>
  <c r="AT471" i="2" a="1"/>
  <c r="AT471" i="2" s="1"/>
  <c r="AS471" i="2" a="1"/>
  <c r="AS471" i="2" s="1"/>
  <c r="AR471" i="2" a="1"/>
  <c r="AR471" i="2" s="1"/>
  <c r="AQ471" i="2" a="1"/>
  <c r="AQ471" i="2" s="1"/>
  <c r="AP471" i="2" a="1"/>
  <c r="AP471" i="2" s="1"/>
  <c r="AO471" i="2" a="1"/>
  <c r="AO471" i="2" s="1"/>
  <c r="AN471" i="2" a="1"/>
  <c r="AN471" i="2" s="1"/>
  <c r="AM471" i="2" a="1"/>
  <c r="AM471" i="2" s="1"/>
  <c r="AL471" i="2" a="1"/>
  <c r="AL471" i="2" s="1"/>
  <c r="AK471" i="2" a="1"/>
  <c r="AK471" i="2" s="1"/>
  <c r="AJ471" i="2" a="1"/>
  <c r="AJ471" i="2" s="1"/>
  <c r="AI471" i="2" a="1"/>
  <c r="AI471" i="2" s="1"/>
  <c r="AH471" i="2" a="1"/>
  <c r="AH471" i="2" s="1"/>
  <c r="AG471" i="2" a="1"/>
  <c r="AG471" i="2" s="1"/>
  <c r="AF471" i="2" a="1"/>
  <c r="AF471" i="2" s="1"/>
  <c r="AE471" i="2" a="1"/>
  <c r="AE471" i="2" s="1"/>
  <c r="AD471" i="2" a="1"/>
  <c r="AD471" i="2" s="1"/>
  <c r="AC471" i="2" a="1"/>
  <c r="AC471" i="2" s="1"/>
  <c r="AB471" i="2"/>
  <c r="AA471" i="2" a="1"/>
  <c r="AA471" i="2" s="1"/>
  <c r="Z471" i="2" a="1"/>
  <c r="Z471" i="2" s="1"/>
  <c r="Y471" i="2" a="1"/>
  <c r="Y471" i="2" s="1"/>
  <c r="X471" i="2" a="1"/>
  <c r="X471" i="2" s="1"/>
  <c r="W471" i="2" a="1"/>
  <c r="W471" i="2" s="1"/>
  <c r="BB471" i="2" s="1" a="1"/>
  <c r="BB471" i="2" s="1"/>
  <c r="V471" i="2" a="1"/>
  <c r="V471" i="2" s="1"/>
  <c r="E471" i="2" s="1" a="1"/>
  <c r="E471" i="2" s="1"/>
  <c r="U471" i="2" a="1"/>
  <c r="U471" i="2" s="1"/>
  <c r="T471" i="2" a="1"/>
  <c r="T471" i="2" s="1"/>
  <c r="S471" i="2" a="1"/>
  <c r="S471" i="2" s="1"/>
  <c r="R471" i="2" a="1"/>
  <c r="R471" i="2" s="1"/>
  <c r="Q471" i="2" a="1"/>
  <c r="Q471" i="2" s="1"/>
  <c r="P471" i="2" a="1"/>
  <c r="P471" i="2" s="1"/>
  <c r="O471" i="2" a="1"/>
  <c r="O471" i="2" s="1"/>
  <c r="N471" i="2" a="1"/>
  <c r="N471" i="2" s="1"/>
  <c r="M471" i="2" a="1"/>
  <c r="M471" i="2" s="1"/>
  <c r="L471" i="2" a="1"/>
  <c r="L471" i="2" s="1"/>
  <c r="K471" i="2" a="1"/>
  <c r="K471" i="2" s="1"/>
  <c r="J471" i="2" a="1"/>
  <c r="J471" i="2" s="1"/>
  <c r="I471" i="2" a="1"/>
  <c r="I471" i="2" s="1"/>
  <c r="H471" i="2" a="1"/>
  <c r="H471" i="2" s="1"/>
  <c r="F471" i="2" a="1"/>
  <c r="F471" i="2" s="1"/>
  <c r="D471" i="2" a="1"/>
  <c r="D471" i="2" s="1"/>
  <c r="B471" i="2" a="1"/>
  <c r="B471" i="2" s="1"/>
  <c r="BD470" i="2" a="1"/>
  <c r="BD470" i="2" s="1"/>
  <c r="BC470" i="2" a="1"/>
  <c r="BC470" i="2" s="1"/>
  <c r="BA470" i="2" a="1"/>
  <c r="BA470" i="2" s="1"/>
  <c r="AZ470" i="2" a="1"/>
  <c r="AZ470" i="2" s="1"/>
  <c r="AY470" i="2" a="1"/>
  <c r="AY470" i="2" s="1"/>
  <c r="AX470" i="2" a="1"/>
  <c r="AX470" i="2" s="1"/>
  <c r="AW470" i="2" a="1"/>
  <c r="AW470" i="2" s="1"/>
  <c r="AV470" i="2" a="1"/>
  <c r="AV470" i="2" s="1"/>
  <c r="AU470" i="2" a="1"/>
  <c r="AU470" i="2" s="1"/>
  <c r="AT470" i="2" a="1"/>
  <c r="AT470" i="2" s="1"/>
  <c r="AS470" i="2" a="1"/>
  <c r="AS470" i="2" s="1"/>
  <c r="AR470" i="2" a="1"/>
  <c r="AR470" i="2" s="1"/>
  <c r="AQ470" i="2" a="1"/>
  <c r="AQ470" i="2" s="1"/>
  <c r="AP470" i="2" a="1"/>
  <c r="AP470" i="2" s="1"/>
  <c r="AO470" i="2" a="1"/>
  <c r="AO470" i="2" s="1"/>
  <c r="AN470" i="2" a="1"/>
  <c r="AN470" i="2" s="1"/>
  <c r="AM470" i="2" a="1"/>
  <c r="AM470" i="2" s="1"/>
  <c r="AL470" i="2" a="1"/>
  <c r="AL470" i="2" s="1"/>
  <c r="AK470" i="2" a="1"/>
  <c r="AK470" i="2" s="1"/>
  <c r="AJ470" i="2" a="1"/>
  <c r="AJ470" i="2" s="1"/>
  <c r="AI470" i="2" a="1"/>
  <c r="AI470" i="2" s="1"/>
  <c r="AH470" i="2" a="1"/>
  <c r="AH470" i="2" s="1"/>
  <c r="AG470" i="2" a="1"/>
  <c r="AG470" i="2" s="1"/>
  <c r="AF470" i="2" a="1"/>
  <c r="AF470" i="2" s="1"/>
  <c r="AE470" i="2" a="1"/>
  <c r="AE470" i="2" s="1"/>
  <c r="AD470" i="2" a="1"/>
  <c r="AD470" i="2" s="1"/>
  <c r="AC470" i="2" a="1"/>
  <c r="AC470" i="2" s="1"/>
  <c r="AB470" i="2"/>
  <c r="AA470" i="2" a="1"/>
  <c r="AA470" i="2" s="1"/>
  <c r="Z470" i="2" a="1"/>
  <c r="Z470" i="2" s="1"/>
  <c r="Y470" i="2" a="1"/>
  <c r="Y470" i="2" s="1"/>
  <c r="X470" i="2" a="1"/>
  <c r="X470" i="2" s="1"/>
  <c r="W470" i="2" a="1"/>
  <c r="W470" i="2" s="1"/>
  <c r="BB470" i="2" s="1" a="1"/>
  <c r="BB470" i="2" s="1"/>
  <c r="V470" i="2" a="1"/>
  <c r="V470" i="2" s="1"/>
  <c r="E470" i="2" s="1" a="1"/>
  <c r="E470" i="2" s="1"/>
  <c r="U470" i="2" a="1"/>
  <c r="U470" i="2" s="1"/>
  <c r="T470" i="2" a="1"/>
  <c r="T470" i="2" s="1"/>
  <c r="S470" i="2" a="1"/>
  <c r="S470" i="2" s="1"/>
  <c r="R470" i="2" a="1"/>
  <c r="R470" i="2" s="1"/>
  <c r="Q470" i="2" a="1"/>
  <c r="Q470" i="2" s="1"/>
  <c r="P470" i="2" a="1"/>
  <c r="P470" i="2" s="1"/>
  <c r="O470" i="2" a="1"/>
  <c r="O470" i="2" s="1"/>
  <c r="N470" i="2" a="1"/>
  <c r="N470" i="2" s="1"/>
  <c r="M470" i="2" a="1"/>
  <c r="M470" i="2" s="1"/>
  <c r="L470" i="2" a="1"/>
  <c r="L470" i="2" s="1"/>
  <c r="K470" i="2" a="1"/>
  <c r="K470" i="2" s="1"/>
  <c r="J470" i="2" a="1"/>
  <c r="J470" i="2" s="1"/>
  <c r="I470" i="2" a="1"/>
  <c r="I470" i="2" s="1"/>
  <c r="H470" i="2" a="1"/>
  <c r="H470" i="2" s="1"/>
  <c r="F470" i="2" a="1"/>
  <c r="F470" i="2" s="1"/>
  <c r="D470" i="2" a="1"/>
  <c r="D470" i="2" s="1"/>
  <c r="B470" i="2" a="1"/>
  <c r="B470" i="2" s="1"/>
  <c r="BD469" i="2" a="1"/>
  <c r="BD469" i="2" s="1"/>
  <c r="BC469" i="2" a="1"/>
  <c r="BC469" i="2" s="1"/>
  <c r="BA469" i="2" a="1"/>
  <c r="BA469" i="2" s="1"/>
  <c r="AZ469" i="2" a="1"/>
  <c r="AZ469" i="2" s="1"/>
  <c r="AY469" i="2" a="1"/>
  <c r="AY469" i="2" s="1"/>
  <c r="AX469" i="2" a="1"/>
  <c r="AX469" i="2" s="1"/>
  <c r="AW469" i="2" a="1"/>
  <c r="AW469" i="2" s="1"/>
  <c r="AV469" i="2" a="1"/>
  <c r="AV469" i="2" s="1"/>
  <c r="AU469" i="2" a="1"/>
  <c r="AU469" i="2" s="1"/>
  <c r="AT469" i="2" a="1"/>
  <c r="AT469" i="2" s="1"/>
  <c r="AS469" i="2" a="1"/>
  <c r="AS469" i="2" s="1"/>
  <c r="AR469" i="2" a="1"/>
  <c r="AR469" i="2" s="1"/>
  <c r="AQ469" i="2" a="1"/>
  <c r="AQ469" i="2" s="1"/>
  <c r="AP469" i="2" a="1"/>
  <c r="AP469" i="2" s="1"/>
  <c r="AO469" i="2" a="1"/>
  <c r="AO469" i="2" s="1"/>
  <c r="AN469" i="2" a="1"/>
  <c r="AN469" i="2" s="1"/>
  <c r="AM469" i="2" a="1"/>
  <c r="AM469" i="2" s="1"/>
  <c r="AL469" i="2" a="1"/>
  <c r="AL469" i="2" s="1"/>
  <c r="AK469" i="2" a="1"/>
  <c r="AK469" i="2" s="1"/>
  <c r="AI469" i="2" a="1"/>
  <c r="AI469" i="2" s="1"/>
  <c r="AH469" i="2" a="1"/>
  <c r="AH469" i="2" s="1"/>
  <c r="AG469" i="2" a="1"/>
  <c r="AG469" i="2" s="1"/>
  <c r="AF469" i="2" a="1"/>
  <c r="AF469" i="2" s="1"/>
  <c r="AE469" i="2" a="1"/>
  <c r="AE469" i="2" s="1"/>
  <c r="AD469" i="2" a="1"/>
  <c r="AD469" i="2" s="1"/>
  <c r="AC469" i="2" a="1"/>
  <c r="AC469" i="2" s="1"/>
  <c r="AB469" i="2"/>
  <c r="AA469" i="2" a="1"/>
  <c r="AA469" i="2" s="1"/>
  <c r="Z469" i="2" a="1"/>
  <c r="Z469" i="2" s="1"/>
  <c r="Y469" i="2" a="1"/>
  <c r="Y469" i="2" s="1"/>
  <c r="X469" i="2" a="1"/>
  <c r="X469" i="2" s="1"/>
  <c r="W469" i="2" a="1"/>
  <c r="W469" i="2" s="1"/>
  <c r="BB469" i="2" s="1" a="1"/>
  <c r="BB469" i="2" s="1"/>
  <c r="V469" i="2" a="1"/>
  <c r="V469" i="2" s="1"/>
  <c r="E469" i="2" s="1" a="1"/>
  <c r="E469" i="2" s="1"/>
  <c r="U469" i="2" a="1"/>
  <c r="U469" i="2" s="1"/>
  <c r="T469" i="2" a="1"/>
  <c r="T469" i="2" s="1"/>
  <c r="S469" i="2" a="1"/>
  <c r="S469" i="2" s="1"/>
  <c r="R469" i="2" a="1"/>
  <c r="R469" i="2" s="1"/>
  <c r="Q469" i="2" a="1"/>
  <c r="Q469" i="2" s="1"/>
  <c r="P469" i="2" a="1"/>
  <c r="P469" i="2" s="1"/>
  <c r="O469" i="2" a="1"/>
  <c r="O469" i="2" s="1"/>
  <c r="N469" i="2" a="1"/>
  <c r="N469" i="2" s="1"/>
  <c r="M469" i="2" a="1"/>
  <c r="M469" i="2" s="1"/>
  <c r="L469" i="2" a="1"/>
  <c r="L469" i="2" s="1"/>
  <c r="K469" i="2" a="1"/>
  <c r="K469" i="2" s="1"/>
  <c r="J469" i="2" a="1"/>
  <c r="J469" i="2" s="1"/>
  <c r="I469" i="2" a="1"/>
  <c r="I469" i="2" s="1"/>
  <c r="H469" i="2" a="1"/>
  <c r="H469" i="2" s="1"/>
  <c r="F469" i="2" a="1"/>
  <c r="F469" i="2" s="1"/>
  <c r="D469" i="2" a="1"/>
  <c r="D469" i="2" s="1"/>
  <c r="B469" i="2" a="1"/>
  <c r="B469" i="2" s="1"/>
  <c r="BD468" i="2" a="1"/>
  <c r="BD468" i="2" s="1"/>
  <c r="BC468" i="2" a="1"/>
  <c r="BC468" i="2" s="1"/>
  <c r="BA468" i="2" a="1"/>
  <c r="BA468" i="2" s="1"/>
  <c r="AZ468" i="2" a="1"/>
  <c r="AZ468" i="2" s="1"/>
  <c r="AY468" i="2" a="1"/>
  <c r="AY468" i="2" s="1"/>
  <c r="AX468" i="2" a="1"/>
  <c r="AX468" i="2" s="1"/>
  <c r="AW468" i="2" a="1"/>
  <c r="AW468" i="2" s="1"/>
  <c r="AV468" i="2" a="1"/>
  <c r="AV468" i="2" s="1"/>
  <c r="AU468" i="2" a="1"/>
  <c r="AU468" i="2" s="1"/>
  <c r="AT468" i="2" a="1"/>
  <c r="AT468" i="2" s="1"/>
  <c r="AS468" i="2" a="1"/>
  <c r="AS468" i="2" s="1"/>
  <c r="AR468" i="2" a="1"/>
  <c r="AR468" i="2" s="1"/>
  <c r="AQ468" i="2" a="1"/>
  <c r="AQ468" i="2" s="1"/>
  <c r="AP468" i="2" a="1"/>
  <c r="AP468" i="2" s="1"/>
  <c r="AO468" i="2" a="1"/>
  <c r="AO468" i="2" s="1"/>
  <c r="AN468" i="2" a="1"/>
  <c r="AN468" i="2" s="1"/>
  <c r="AM468" i="2" a="1"/>
  <c r="AM468" i="2" s="1"/>
  <c r="AL468" i="2" a="1"/>
  <c r="AL468" i="2" s="1"/>
  <c r="AK468" i="2" a="1"/>
  <c r="AK468" i="2" s="1"/>
  <c r="AJ468" i="2" a="1"/>
  <c r="AJ468" i="2" s="1"/>
  <c r="AI468" i="2" a="1"/>
  <c r="AI468" i="2" s="1"/>
  <c r="AH468" i="2" a="1"/>
  <c r="AH468" i="2" s="1"/>
  <c r="AG468" i="2" a="1"/>
  <c r="AG468" i="2" s="1"/>
  <c r="AF468" i="2" a="1"/>
  <c r="AF468" i="2" s="1"/>
  <c r="AE468" i="2" a="1"/>
  <c r="AE468" i="2" s="1"/>
  <c r="AD468" i="2" a="1"/>
  <c r="AD468" i="2" s="1"/>
  <c r="AC468" i="2" a="1"/>
  <c r="AC468" i="2" s="1"/>
  <c r="AB468" i="2"/>
  <c r="AA468" i="2" a="1"/>
  <c r="AA468" i="2" s="1"/>
  <c r="Z468" i="2" a="1"/>
  <c r="Z468" i="2" s="1"/>
  <c r="Y468" i="2" a="1"/>
  <c r="Y468" i="2" s="1"/>
  <c r="X468" i="2" a="1"/>
  <c r="X468" i="2" s="1"/>
  <c r="W468" i="2" a="1"/>
  <c r="W468" i="2" s="1"/>
  <c r="BB468" i="2" s="1" a="1"/>
  <c r="BB468" i="2" s="1"/>
  <c r="V468" i="2" a="1"/>
  <c r="V468" i="2" s="1"/>
  <c r="E468" i="2" s="1" a="1"/>
  <c r="E468" i="2" s="1"/>
  <c r="U468" i="2" a="1"/>
  <c r="U468" i="2" s="1"/>
  <c r="T468" i="2" a="1"/>
  <c r="T468" i="2" s="1"/>
  <c r="S468" i="2" a="1"/>
  <c r="S468" i="2" s="1"/>
  <c r="R468" i="2" a="1"/>
  <c r="R468" i="2" s="1"/>
  <c r="Q468" i="2" a="1"/>
  <c r="Q468" i="2" s="1"/>
  <c r="P468" i="2" a="1"/>
  <c r="P468" i="2" s="1"/>
  <c r="O468" i="2" a="1"/>
  <c r="O468" i="2" s="1"/>
  <c r="N468" i="2" a="1"/>
  <c r="N468" i="2" s="1"/>
  <c r="M468" i="2" a="1"/>
  <c r="M468" i="2" s="1"/>
  <c r="L468" i="2" a="1"/>
  <c r="L468" i="2" s="1"/>
  <c r="K468" i="2" a="1"/>
  <c r="K468" i="2" s="1"/>
  <c r="J468" i="2" a="1"/>
  <c r="J468" i="2" s="1"/>
  <c r="I468" i="2" a="1"/>
  <c r="I468" i="2" s="1"/>
  <c r="H468" i="2" a="1"/>
  <c r="H468" i="2" s="1"/>
  <c r="F468" i="2" a="1"/>
  <c r="F468" i="2" s="1"/>
  <c r="D468" i="2" a="1"/>
  <c r="D468" i="2" s="1"/>
  <c r="B468" i="2" a="1"/>
  <c r="B468" i="2" s="1"/>
  <c r="BD466" i="2" a="1"/>
  <c r="BD466" i="2" s="1"/>
  <c r="BC466" i="2" a="1"/>
  <c r="BC466" i="2" s="1"/>
  <c r="BA466" i="2" a="1"/>
  <c r="BA466" i="2" s="1"/>
  <c r="AZ466" i="2" a="1"/>
  <c r="AZ466" i="2" s="1"/>
  <c r="AY466" i="2" a="1"/>
  <c r="AY466" i="2" s="1"/>
  <c r="AX466" i="2" a="1"/>
  <c r="AX466" i="2" s="1"/>
  <c r="AW466" i="2" a="1"/>
  <c r="AW466" i="2" s="1"/>
  <c r="AV466" i="2" a="1"/>
  <c r="AV466" i="2" s="1"/>
  <c r="AU466" i="2" a="1"/>
  <c r="AU466" i="2" s="1"/>
  <c r="AT466" i="2" a="1"/>
  <c r="AT466" i="2" s="1"/>
  <c r="AS466" i="2" a="1"/>
  <c r="AS466" i="2" s="1"/>
  <c r="AR466" i="2" a="1"/>
  <c r="AR466" i="2" s="1"/>
  <c r="AQ466" i="2" a="1"/>
  <c r="AQ466" i="2" s="1"/>
  <c r="AP466" i="2" a="1"/>
  <c r="AP466" i="2" s="1"/>
  <c r="AO466" i="2" a="1"/>
  <c r="AO466" i="2" s="1"/>
  <c r="AN466" i="2" a="1"/>
  <c r="AN466" i="2" s="1"/>
  <c r="AM466" i="2" a="1"/>
  <c r="AM466" i="2" s="1"/>
  <c r="AL466" i="2" a="1"/>
  <c r="AL466" i="2" s="1"/>
  <c r="AK466" i="2" a="1"/>
  <c r="AK466" i="2" s="1"/>
  <c r="AJ466" i="2" a="1"/>
  <c r="AJ466" i="2" s="1"/>
  <c r="AI466" i="2" a="1"/>
  <c r="AI466" i="2" s="1"/>
  <c r="AH466" i="2" a="1"/>
  <c r="AH466" i="2" s="1"/>
  <c r="AG466" i="2" a="1"/>
  <c r="AG466" i="2" s="1"/>
  <c r="AF466" i="2" a="1"/>
  <c r="AF466" i="2" s="1"/>
  <c r="AE466" i="2" a="1"/>
  <c r="AE466" i="2" s="1"/>
  <c r="AD466" i="2" a="1"/>
  <c r="AD466" i="2" s="1"/>
  <c r="AC466" i="2" a="1"/>
  <c r="AC466" i="2" s="1"/>
  <c r="AB466" i="2"/>
  <c r="AA466" i="2" a="1"/>
  <c r="AA466" i="2" s="1"/>
  <c r="Z466" i="2" a="1"/>
  <c r="Z466" i="2" s="1"/>
  <c r="Y466" i="2" a="1"/>
  <c r="Y466" i="2" s="1"/>
  <c r="X466" i="2" a="1"/>
  <c r="X466" i="2" s="1"/>
  <c r="G466" i="2" s="1" a="1"/>
  <c r="G466" i="2" s="1"/>
  <c r="W466" i="2" a="1"/>
  <c r="W466" i="2" s="1"/>
  <c r="BB466" i="2" s="1" a="1"/>
  <c r="BB466" i="2" s="1"/>
  <c r="V466" i="2" a="1"/>
  <c r="V466" i="2" s="1"/>
  <c r="E466" i="2" s="1" a="1"/>
  <c r="E466" i="2" s="1"/>
  <c r="U466" i="2" a="1"/>
  <c r="U466" i="2" s="1"/>
  <c r="T466" i="2" a="1"/>
  <c r="T466" i="2" s="1"/>
  <c r="S466" i="2" a="1"/>
  <c r="S466" i="2" s="1"/>
  <c r="R466" i="2" a="1"/>
  <c r="R466" i="2" s="1"/>
  <c r="Q466" i="2" a="1"/>
  <c r="Q466" i="2" s="1"/>
  <c r="P466" i="2" a="1"/>
  <c r="P466" i="2" s="1"/>
  <c r="O466" i="2" a="1"/>
  <c r="O466" i="2" s="1"/>
  <c r="N466" i="2" a="1"/>
  <c r="N466" i="2" s="1"/>
  <c r="M466" i="2" a="1"/>
  <c r="M466" i="2" s="1"/>
  <c r="L466" i="2" a="1"/>
  <c r="L466" i="2" s="1"/>
  <c r="K466" i="2" a="1"/>
  <c r="K466" i="2" s="1"/>
  <c r="J466" i="2" a="1"/>
  <c r="J466" i="2" s="1"/>
  <c r="I466" i="2" a="1"/>
  <c r="I466" i="2" s="1"/>
  <c r="H466" i="2" a="1"/>
  <c r="H466" i="2" s="1"/>
  <c r="F466" i="2" a="1"/>
  <c r="F466" i="2" s="1"/>
  <c r="D466" i="2" a="1"/>
  <c r="D466" i="2" s="1"/>
  <c r="BD465" i="2" a="1"/>
  <c r="BD465" i="2" s="1"/>
  <c r="BC465" i="2" a="1"/>
  <c r="BC465" i="2" s="1"/>
  <c r="BA465" i="2" a="1"/>
  <c r="BA465" i="2" s="1"/>
  <c r="AZ465" i="2" a="1"/>
  <c r="AZ465" i="2" s="1"/>
  <c r="AY465" i="2" a="1"/>
  <c r="AY465" i="2" s="1"/>
  <c r="AX465" i="2" a="1"/>
  <c r="AX465" i="2" s="1"/>
  <c r="AW465" i="2" a="1"/>
  <c r="AW465" i="2" s="1"/>
  <c r="AV465" i="2" a="1"/>
  <c r="AV465" i="2" s="1"/>
  <c r="AU465" i="2" a="1"/>
  <c r="AU465" i="2" s="1"/>
  <c r="AT465" i="2" a="1"/>
  <c r="AT465" i="2" s="1"/>
  <c r="AS465" i="2" a="1"/>
  <c r="AS465" i="2" s="1"/>
  <c r="AR465" i="2" a="1"/>
  <c r="AR465" i="2" s="1"/>
  <c r="AQ465" i="2" a="1"/>
  <c r="AQ465" i="2" s="1"/>
  <c r="AP465" i="2" a="1"/>
  <c r="AP465" i="2" s="1"/>
  <c r="AO465" i="2" a="1"/>
  <c r="AO465" i="2" s="1"/>
  <c r="AN465" i="2" a="1"/>
  <c r="AN465" i="2" s="1"/>
  <c r="AM465" i="2" a="1"/>
  <c r="AM465" i="2" s="1"/>
  <c r="AL465" i="2" a="1"/>
  <c r="AL465" i="2" s="1"/>
  <c r="AK465" i="2" a="1"/>
  <c r="AK465" i="2" s="1"/>
  <c r="AJ465" i="2" a="1"/>
  <c r="AJ465" i="2" s="1"/>
  <c r="AI465" i="2" a="1"/>
  <c r="AI465" i="2" s="1"/>
  <c r="AH465" i="2" a="1"/>
  <c r="AH465" i="2" s="1"/>
  <c r="AG465" i="2" a="1"/>
  <c r="AG465" i="2" s="1"/>
  <c r="AF465" i="2" a="1"/>
  <c r="AF465" i="2" s="1"/>
  <c r="AE465" i="2" a="1"/>
  <c r="AE465" i="2" s="1"/>
  <c r="AD465" i="2" a="1"/>
  <c r="AD465" i="2" s="1"/>
  <c r="AC465" i="2" a="1"/>
  <c r="AC465" i="2" s="1"/>
  <c r="AB465" i="2"/>
  <c r="AA465" i="2" a="1"/>
  <c r="AA465" i="2" s="1"/>
  <c r="Z465" i="2" a="1"/>
  <c r="Z465" i="2" s="1"/>
  <c r="Y465" i="2" a="1"/>
  <c r="Y465" i="2" s="1"/>
  <c r="X465" i="2" a="1"/>
  <c r="X465" i="2" s="1"/>
  <c r="W465" i="2" a="1"/>
  <c r="W465" i="2" s="1"/>
  <c r="BB465" i="2" s="1" a="1"/>
  <c r="BB465" i="2" s="1"/>
  <c r="V465" i="2" a="1"/>
  <c r="V465" i="2" s="1"/>
  <c r="E465" i="2" s="1" a="1"/>
  <c r="E465" i="2" s="1"/>
  <c r="U465" i="2" a="1"/>
  <c r="U465" i="2" s="1"/>
  <c r="T465" i="2" a="1"/>
  <c r="T465" i="2" s="1"/>
  <c r="S465" i="2" a="1"/>
  <c r="S465" i="2" s="1"/>
  <c r="R465" i="2" a="1"/>
  <c r="R465" i="2" s="1"/>
  <c r="Q465" i="2" a="1"/>
  <c r="Q465" i="2" s="1"/>
  <c r="P465" i="2" a="1"/>
  <c r="P465" i="2" s="1"/>
  <c r="O465" i="2" a="1"/>
  <c r="O465" i="2" s="1"/>
  <c r="N465" i="2" a="1"/>
  <c r="N465" i="2" s="1"/>
  <c r="M465" i="2" a="1"/>
  <c r="M465" i="2" s="1"/>
  <c r="L465" i="2" a="1"/>
  <c r="L465" i="2" s="1"/>
  <c r="K465" i="2" a="1"/>
  <c r="K465" i="2" s="1"/>
  <c r="J465" i="2" a="1"/>
  <c r="J465" i="2" s="1"/>
  <c r="I465" i="2" a="1"/>
  <c r="I465" i="2" s="1"/>
  <c r="H465" i="2" a="1"/>
  <c r="H465" i="2" s="1"/>
  <c r="F465" i="2" a="1"/>
  <c r="F465" i="2" s="1"/>
  <c r="D465" i="2" a="1"/>
  <c r="D465" i="2" s="1"/>
  <c r="B465" i="2" a="1"/>
  <c r="B465" i="2" s="1"/>
  <c r="BD464" i="2" a="1"/>
  <c r="BD464" i="2" s="1"/>
  <c r="BC464" i="2" a="1"/>
  <c r="BC464" i="2" s="1"/>
  <c r="BA464" i="2" a="1"/>
  <c r="BA464" i="2" s="1"/>
  <c r="AZ464" i="2" a="1"/>
  <c r="AZ464" i="2" s="1"/>
  <c r="AY464" i="2" a="1"/>
  <c r="AY464" i="2" s="1"/>
  <c r="AX464" i="2" a="1"/>
  <c r="AX464" i="2" s="1"/>
  <c r="AW464" i="2" a="1"/>
  <c r="AW464" i="2" s="1"/>
  <c r="AV464" i="2" a="1"/>
  <c r="AV464" i="2" s="1"/>
  <c r="AU464" i="2" a="1"/>
  <c r="AU464" i="2" s="1"/>
  <c r="AT464" i="2" a="1"/>
  <c r="AT464" i="2" s="1"/>
  <c r="AS464" i="2" a="1"/>
  <c r="AS464" i="2" s="1"/>
  <c r="AR464" i="2" a="1"/>
  <c r="AR464" i="2" s="1"/>
  <c r="AQ464" i="2" a="1"/>
  <c r="AQ464" i="2" s="1"/>
  <c r="AP464" i="2" a="1"/>
  <c r="AP464" i="2" s="1"/>
  <c r="AO464" i="2" a="1"/>
  <c r="AO464" i="2" s="1"/>
  <c r="AN464" i="2" a="1"/>
  <c r="AN464" i="2" s="1"/>
  <c r="AM464" i="2" a="1"/>
  <c r="AM464" i="2" s="1"/>
  <c r="AL464" i="2" a="1"/>
  <c r="AL464" i="2" s="1"/>
  <c r="AK464" i="2" a="1"/>
  <c r="AK464" i="2" s="1"/>
  <c r="AJ464" i="2" a="1"/>
  <c r="AJ464" i="2" s="1"/>
  <c r="AI464" i="2" a="1"/>
  <c r="AI464" i="2" s="1"/>
  <c r="AH464" i="2" a="1"/>
  <c r="AH464" i="2" s="1"/>
  <c r="AG464" i="2" a="1"/>
  <c r="AG464" i="2" s="1"/>
  <c r="AF464" i="2" a="1"/>
  <c r="AF464" i="2" s="1"/>
  <c r="AE464" i="2" a="1"/>
  <c r="AE464" i="2" s="1"/>
  <c r="AD464" i="2" a="1"/>
  <c r="AD464" i="2" s="1"/>
  <c r="AC464" i="2" a="1"/>
  <c r="AC464" i="2" s="1"/>
  <c r="AB464" i="2"/>
  <c r="AA464" i="2" a="1"/>
  <c r="AA464" i="2" s="1"/>
  <c r="Z464" i="2" a="1"/>
  <c r="Z464" i="2" s="1"/>
  <c r="Y464" i="2" a="1"/>
  <c r="Y464" i="2" s="1"/>
  <c r="X464" i="2" a="1"/>
  <c r="X464" i="2" s="1"/>
  <c r="W464" i="2" a="1"/>
  <c r="W464" i="2" s="1"/>
  <c r="BB464" i="2" s="1" a="1"/>
  <c r="BB464" i="2" s="1"/>
  <c r="V464" i="2" a="1"/>
  <c r="V464" i="2" s="1"/>
  <c r="E464" i="2" s="1" a="1"/>
  <c r="E464" i="2" s="1"/>
  <c r="U464" i="2" a="1"/>
  <c r="U464" i="2" s="1"/>
  <c r="T464" i="2" a="1"/>
  <c r="T464" i="2" s="1"/>
  <c r="S464" i="2" a="1"/>
  <c r="S464" i="2" s="1"/>
  <c r="R464" i="2" a="1"/>
  <c r="R464" i="2" s="1"/>
  <c r="Q464" i="2" a="1"/>
  <c r="Q464" i="2" s="1"/>
  <c r="P464" i="2" a="1"/>
  <c r="P464" i="2" s="1"/>
  <c r="O464" i="2" a="1"/>
  <c r="O464" i="2" s="1"/>
  <c r="N464" i="2" a="1"/>
  <c r="N464" i="2" s="1"/>
  <c r="M464" i="2" a="1"/>
  <c r="M464" i="2" s="1"/>
  <c r="L464" i="2" a="1"/>
  <c r="L464" i="2" s="1"/>
  <c r="K464" i="2" a="1"/>
  <c r="K464" i="2" s="1"/>
  <c r="J464" i="2" a="1"/>
  <c r="J464" i="2" s="1"/>
  <c r="I464" i="2" a="1"/>
  <c r="I464" i="2" s="1"/>
  <c r="H464" i="2" a="1"/>
  <c r="H464" i="2" s="1"/>
  <c r="F464" i="2" a="1"/>
  <c r="F464" i="2" s="1"/>
  <c r="D464" i="2" a="1"/>
  <c r="D464" i="2" s="1"/>
  <c r="B464" i="2" a="1"/>
  <c r="B464" i="2" s="1"/>
  <c r="BD463" i="2" a="1"/>
  <c r="BD463" i="2" s="1"/>
  <c r="BC463" i="2" a="1"/>
  <c r="BC463" i="2" s="1"/>
  <c r="BA463" i="2" a="1"/>
  <c r="BA463" i="2" s="1"/>
  <c r="AZ463" i="2" a="1"/>
  <c r="AZ463" i="2" s="1"/>
  <c r="AY463" i="2" a="1"/>
  <c r="AY463" i="2" s="1"/>
  <c r="AX463" i="2" a="1"/>
  <c r="AX463" i="2" s="1"/>
  <c r="AW463" i="2" a="1"/>
  <c r="AW463" i="2" s="1"/>
  <c r="AV463" i="2" a="1"/>
  <c r="AV463" i="2" s="1"/>
  <c r="AU463" i="2" a="1"/>
  <c r="AU463" i="2" s="1"/>
  <c r="AT463" i="2" a="1"/>
  <c r="AT463" i="2" s="1"/>
  <c r="AS463" i="2" a="1"/>
  <c r="AS463" i="2" s="1"/>
  <c r="AR463" i="2" a="1"/>
  <c r="AR463" i="2" s="1"/>
  <c r="AQ463" i="2" a="1"/>
  <c r="AQ463" i="2" s="1"/>
  <c r="AP463" i="2" a="1"/>
  <c r="AP463" i="2" s="1"/>
  <c r="AO463" i="2" a="1"/>
  <c r="AO463" i="2" s="1"/>
  <c r="AN463" i="2" a="1"/>
  <c r="AN463" i="2" s="1"/>
  <c r="AM463" i="2" a="1"/>
  <c r="AM463" i="2" s="1"/>
  <c r="AL463" i="2" a="1"/>
  <c r="AL463" i="2" s="1"/>
  <c r="AK463" i="2" a="1"/>
  <c r="AK463" i="2" s="1"/>
  <c r="AJ463" i="2" a="1"/>
  <c r="AJ463" i="2" s="1"/>
  <c r="AI463" i="2" a="1"/>
  <c r="AI463" i="2" s="1"/>
  <c r="AH463" i="2" a="1"/>
  <c r="AH463" i="2" s="1"/>
  <c r="AG463" i="2" a="1"/>
  <c r="AG463" i="2" s="1"/>
  <c r="AF463" i="2" a="1"/>
  <c r="AF463" i="2" s="1"/>
  <c r="AE463" i="2" a="1"/>
  <c r="AE463" i="2" s="1"/>
  <c r="AD463" i="2" a="1"/>
  <c r="AD463" i="2" s="1"/>
  <c r="AC463" i="2" a="1"/>
  <c r="AC463" i="2" s="1"/>
  <c r="AB463" i="2"/>
  <c r="AA463" i="2" a="1"/>
  <c r="AA463" i="2" s="1"/>
  <c r="Z463" i="2" a="1"/>
  <c r="Z463" i="2" s="1"/>
  <c r="Y463" i="2" a="1"/>
  <c r="Y463" i="2" s="1"/>
  <c r="X463" i="2" a="1"/>
  <c r="X463" i="2" s="1"/>
  <c r="W463" i="2" a="1"/>
  <c r="W463" i="2" s="1"/>
  <c r="BB463" i="2" s="1" a="1"/>
  <c r="BB463" i="2" s="1"/>
  <c r="V463" i="2" a="1"/>
  <c r="V463" i="2" s="1"/>
  <c r="E463" i="2" s="1" a="1"/>
  <c r="E463" i="2" s="1"/>
  <c r="U463" i="2" a="1"/>
  <c r="U463" i="2" s="1"/>
  <c r="T463" i="2" a="1"/>
  <c r="T463" i="2" s="1"/>
  <c r="S463" i="2" a="1"/>
  <c r="S463" i="2" s="1"/>
  <c r="R463" i="2" a="1"/>
  <c r="R463" i="2" s="1"/>
  <c r="Q463" i="2" a="1"/>
  <c r="Q463" i="2" s="1"/>
  <c r="P463" i="2" a="1"/>
  <c r="P463" i="2" s="1"/>
  <c r="O463" i="2" a="1"/>
  <c r="O463" i="2" s="1"/>
  <c r="N463" i="2" a="1"/>
  <c r="N463" i="2" s="1"/>
  <c r="M463" i="2" a="1"/>
  <c r="M463" i="2" s="1"/>
  <c r="L463" i="2" a="1"/>
  <c r="L463" i="2" s="1"/>
  <c r="K463" i="2" a="1"/>
  <c r="K463" i="2" s="1"/>
  <c r="J463" i="2" a="1"/>
  <c r="J463" i="2" s="1"/>
  <c r="I463" i="2" a="1"/>
  <c r="I463" i="2" s="1"/>
  <c r="H463" i="2" a="1"/>
  <c r="H463" i="2" s="1"/>
  <c r="F463" i="2" a="1"/>
  <c r="F463" i="2" s="1"/>
  <c r="D463" i="2" a="1"/>
  <c r="D463" i="2" s="1"/>
  <c r="BD462" i="2" a="1"/>
  <c r="BD462" i="2" s="1"/>
  <c r="BC462" i="2" a="1"/>
  <c r="BC462" i="2" s="1"/>
  <c r="BA462" i="2" a="1"/>
  <c r="BA462" i="2" s="1"/>
  <c r="AZ462" i="2" a="1"/>
  <c r="AZ462" i="2" s="1"/>
  <c r="AY462" i="2" a="1"/>
  <c r="AY462" i="2" s="1"/>
  <c r="AX462" i="2" a="1"/>
  <c r="AX462" i="2" s="1"/>
  <c r="AW462" i="2" a="1"/>
  <c r="AW462" i="2" s="1"/>
  <c r="AV462" i="2" a="1"/>
  <c r="AV462" i="2" s="1"/>
  <c r="AU462" i="2" a="1"/>
  <c r="AU462" i="2" s="1"/>
  <c r="AT462" i="2" a="1"/>
  <c r="AT462" i="2" s="1"/>
  <c r="AS462" i="2" a="1"/>
  <c r="AS462" i="2" s="1"/>
  <c r="AR462" i="2" a="1"/>
  <c r="AR462" i="2" s="1"/>
  <c r="AQ462" i="2" a="1"/>
  <c r="AQ462" i="2" s="1"/>
  <c r="AP462" i="2" a="1"/>
  <c r="AP462" i="2" s="1"/>
  <c r="AO462" i="2" a="1"/>
  <c r="AO462" i="2" s="1"/>
  <c r="AN462" i="2" a="1"/>
  <c r="AN462" i="2" s="1"/>
  <c r="AM462" i="2" a="1"/>
  <c r="AM462" i="2" s="1"/>
  <c r="AL462" i="2" a="1"/>
  <c r="AL462" i="2" s="1"/>
  <c r="AK462" i="2" a="1"/>
  <c r="AK462" i="2" s="1"/>
  <c r="AJ462" i="2" a="1"/>
  <c r="AJ462" i="2" s="1"/>
  <c r="AI462" i="2" a="1"/>
  <c r="AI462" i="2" s="1"/>
  <c r="AH462" i="2" a="1"/>
  <c r="AH462" i="2" s="1"/>
  <c r="AG462" i="2" a="1"/>
  <c r="AG462" i="2" s="1"/>
  <c r="AF462" i="2" a="1"/>
  <c r="AF462" i="2" s="1"/>
  <c r="AE462" i="2" a="1"/>
  <c r="AE462" i="2" s="1"/>
  <c r="AD462" i="2" a="1"/>
  <c r="AD462" i="2" s="1"/>
  <c r="AC462" i="2" a="1"/>
  <c r="AC462" i="2" s="1"/>
  <c r="AB462" i="2"/>
  <c r="AA462" i="2" a="1"/>
  <c r="AA462" i="2" s="1"/>
  <c r="Z462" i="2" a="1"/>
  <c r="Z462" i="2" s="1"/>
  <c r="Y462" i="2" a="1"/>
  <c r="Y462" i="2" s="1"/>
  <c r="X462" i="2" a="1"/>
  <c r="X462" i="2" s="1"/>
  <c r="W462" i="2" a="1"/>
  <c r="W462" i="2" s="1"/>
  <c r="BB462" i="2" s="1" a="1"/>
  <c r="BB462" i="2" s="1"/>
  <c r="V462" i="2" a="1"/>
  <c r="V462" i="2" s="1"/>
  <c r="E462" i="2" s="1" a="1"/>
  <c r="E462" i="2" s="1"/>
  <c r="U462" i="2" a="1"/>
  <c r="U462" i="2" s="1"/>
  <c r="T462" i="2" a="1"/>
  <c r="T462" i="2" s="1"/>
  <c r="S462" i="2" a="1"/>
  <c r="S462" i="2" s="1"/>
  <c r="R462" i="2" a="1"/>
  <c r="R462" i="2" s="1"/>
  <c r="Q462" i="2" a="1"/>
  <c r="Q462" i="2" s="1"/>
  <c r="P462" i="2" a="1"/>
  <c r="P462" i="2" s="1"/>
  <c r="O462" i="2" a="1"/>
  <c r="O462" i="2" s="1"/>
  <c r="N462" i="2" a="1"/>
  <c r="N462" i="2" s="1"/>
  <c r="M462" i="2" a="1"/>
  <c r="M462" i="2" s="1"/>
  <c r="L462" i="2" a="1"/>
  <c r="L462" i="2" s="1"/>
  <c r="K462" i="2" a="1"/>
  <c r="K462" i="2" s="1"/>
  <c r="J462" i="2" a="1"/>
  <c r="J462" i="2" s="1"/>
  <c r="I462" i="2" a="1"/>
  <c r="I462" i="2" s="1"/>
  <c r="H462" i="2" a="1"/>
  <c r="H462" i="2" s="1"/>
  <c r="F462" i="2" a="1"/>
  <c r="F462" i="2" s="1"/>
  <c r="D462" i="2" a="1"/>
  <c r="D462" i="2" s="1"/>
  <c r="B462" i="2" a="1"/>
  <c r="B462" i="2" s="1"/>
  <c r="BD461" i="2" a="1"/>
  <c r="BD461" i="2" s="1"/>
  <c r="BC461" i="2" a="1"/>
  <c r="BC461" i="2" s="1"/>
  <c r="BA461" i="2" a="1"/>
  <c r="BA461" i="2" s="1"/>
  <c r="AZ461" i="2" a="1"/>
  <c r="AZ461" i="2" s="1"/>
  <c r="AY461" i="2" a="1"/>
  <c r="AY461" i="2" s="1"/>
  <c r="AX461" i="2" a="1"/>
  <c r="AX461" i="2" s="1"/>
  <c r="AW461" i="2" a="1"/>
  <c r="AW461" i="2" s="1"/>
  <c r="AV461" i="2" a="1"/>
  <c r="AV461" i="2" s="1"/>
  <c r="AU461" i="2" a="1"/>
  <c r="AU461" i="2" s="1"/>
  <c r="AT461" i="2" a="1"/>
  <c r="AT461" i="2" s="1"/>
  <c r="AS461" i="2" a="1"/>
  <c r="AS461" i="2" s="1"/>
  <c r="AR461" i="2" a="1"/>
  <c r="AR461" i="2" s="1"/>
  <c r="AQ461" i="2" a="1"/>
  <c r="AQ461" i="2" s="1"/>
  <c r="AP461" i="2" a="1"/>
  <c r="AP461" i="2" s="1"/>
  <c r="AO461" i="2" a="1"/>
  <c r="AO461" i="2" s="1"/>
  <c r="AN461" i="2" a="1"/>
  <c r="AN461" i="2" s="1"/>
  <c r="AM461" i="2" a="1"/>
  <c r="AM461" i="2" s="1"/>
  <c r="AL461" i="2" a="1"/>
  <c r="AL461" i="2" s="1"/>
  <c r="AK461" i="2" a="1"/>
  <c r="AK461" i="2" s="1"/>
  <c r="AJ461" i="2" a="1"/>
  <c r="AJ461" i="2" s="1"/>
  <c r="AI461" i="2" a="1"/>
  <c r="AI461" i="2" s="1"/>
  <c r="AH461" i="2" a="1"/>
  <c r="AH461" i="2" s="1"/>
  <c r="AG461" i="2" a="1"/>
  <c r="AG461" i="2" s="1"/>
  <c r="AF461" i="2" a="1"/>
  <c r="AF461" i="2" s="1"/>
  <c r="AE461" i="2" a="1"/>
  <c r="AE461" i="2" s="1"/>
  <c r="AD461" i="2" a="1"/>
  <c r="AD461" i="2" s="1"/>
  <c r="AC461" i="2" a="1"/>
  <c r="AC461" i="2" s="1"/>
  <c r="AB461" i="2"/>
  <c r="AA461" i="2" a="1"/>
  <c r="AA461" i="2" s="1"/>
  <c r="Z461" i="2" a="1"/>
  <c r="Z461" i="2" s="1"/>
  <c r="Y461" i="2" a="1"/>
  <c r="Y461" i="2" s="1"/>
  <c r="X461" i="2" a="1"/>
  <c r="X461" i="2" s="1"/>
  <c r="W461" i="2" a="1"/>
  <c r="W461" i="2" s="1"/>
  <c r="BB461" i="2" s="1" a="1"/>
  <c r="BB461" i="2" s="1"/>
  <c r="V461" i="2" a="1"/>
  <c r="V461" i="2" s="1"/>
  <c r="E461" i="2" s="1" a="1"/>
  <c r="E461" i="2" s="1"/>
  <c r="U461" i="2" a="1"/>
  <c r="U461" i="2" s="1"/>
  <c r="T461" i="2" a="1"/>
  <c r="T461" i="2" s="1"/>
  <c r="S461" i="2" a="1"/>
  <c r="S461" i="2" s="1"/>
  <c r="R461" i="2" a="1"/>
  <c r="R461" i="2" s="1"/>
  <c r="Q461" i="2" a="1"/>
  <c r="Q461" i="2" s="1"/>
  <c r="P461" i="2" a="1"/>
  <c r="P461" i="2" s="1"/>
  <c r="O461" i="2" a="1"/>
  <c r="O461" i="2" s="1"/>
  <c r="N461" i="2" a="1"/>
  <c r="N461" i="2" s="1"/>
  <c r="M461" i="2" a="1"/>
  <c r="M461" i="2" s="1"/>
  <c r="L461" i="2" a="1"/>
  <c r="L461" i="2" s="1"/>
  <c r="K461" i="2" a="1"/>
  <c r="K461" i="2" s="1"/>
  <c r="J461" i="2" a="1"/>
  <c r="J461" i="2" s="1"/>
  <c r="I461" i="2" a="1"/>
  <c r="I461" i="2" s="1"/>
  <c r="H461" i="2" a="1"/>
  <c r="H461" i="2" s="1"/>
  <c r="F461" i="2" a="1"/>
  <c r="F461" i="2" s="1"/>
  <c r="D461" i="2" a="1"/>
  <c r="D461" i="2" s="1"/>
  <c r="B461" i="2" a="1"/>
  <c r="B461" i="2" s="1"/>
  <c r="BD457" i="2" a="1"/>
  <c r="BD457" i="2" s="1"/>
  <c r="BC457" i="2" a="1"/>
  <c r="BC457" i="2" s="1"/>
  <c r="AZ457" i="2" a="1"/>
  <c r="AZ457" i="2" s="1"/>
  <c r="AY457" i="2" a="1"/>
  <c r="AY457" i="2" s="1"/>
  <c r="AX457" i="2" a="1"/>
  <c r="AX457" i="2" s="1"/>
  <c r="AW457" i="2" a="1"/>
  <c r="AW457" i="2" s="1"/>
  <c r="AV457" i="2" a="1"/>
  <c r="AV457" i="2" s="1"/>
  <c r="AU457" i="2" a="1"/>
  <c r="AU457" i="2" s="1"/>
  <c r="AT457" i="2" a="1"/>
  <c r="AT457" i="2" s="1"/>
  <c r="AS457" i="2" a="1"/>
  <c r="AS457" i="2" s="1"/>
  <c r="AR457" i="2" a="1"/>
  <c r="AR457" i="2" s="1"/>
  <c r="AQ457" i="2" a="1"/>
  <c r="AQ457" i="2" s="1"/>
  <c r="AP457" i="2" a="1"/>
  <c r="AP457" i="2" s="1"/>
  <c r="AO457" i="2" a="1"/>
  <c r="AO457" i="2" s="1"/>
  <c r="AN457" i="2" a="1"/>
  <c r="AN457" i="2" s="1"/>
  <c r="AM457" i="2" a="1"/>
  <c r="AM457" i="2" s="1"/>
  <c r="AL457" i="2" a="1"/>
  <c r="AL457" i="2" s="1"/>
  <c r="AK457" i="2" a="1"/>
  <c r="AK457" i="2" s="1"/>
  <c r="AJ457" i="2" a="1"/>
  <c r="AJ457" i="2" s="1"/>
  <c r="AI457" i="2" a="1"/>
  <c r="AI457" i="2" s="1"/>
  <c r="AH457" i="2" a="1"/>
  <c r="AH457" i="2" s="1"/>
  <c r="AG457" i="2" a="1"/>
  <c r="AG457" i="2" s="1"/>
  <c r="AF457" i="2" a="1"/>
  <c r="AF457" i="2" s="1"/>
  <c r="AE457" i="2" a="1"/>
  <c r="AE457" i="2" s="1"/>
  <c r="AD457" i="2" a="1"/>
  <c r="AD457" i="2" s="1"/>
  <c r="AC457" i="2" a="1"/>
  <c r="AC457" i="2" s="1"/>
  <c r="AB457" i="2" a="1"/>
  <c r="AB457" i="2" s="1"/>
  <c r="AA457" i="2" a="1"/>
  <c r="AA457" i="2" s="1"/>
  <c r="Z457" i="2" a="1"/>
  <c r="Z457" i="2" s="1"/>
  <c r="Y457" i="2" a="1"/>
  <c r="Y457" i="2" s="1"/>
  <c r="X457" i="2" a="1"/>
  <c r="X457" i="2" s="1"/>
  <c r="W457" i="2" a="1"/>
  <c r="W457" i="2" s="1"/>
  <c r="V457" i="2" a="1"/>
  <c r="V457" i="2" s="1"/>
  <c r="E457" i="2" s="1" a="1"/>
  <c r="E457" i="2" s="1"/>
  <c r="U457" i="2" a="1"/>
  <c r="U457" i="2" s="1"/>
  <c r="T457" i="2" a="1"/>
  <c r="T457" i="2" s="1"/>
  <c r="S457" i="2" a="1"/>
  <c r="S457" i="2" s="1"/>
  <c r="R457" i="2" a="1"/>
  <c r="R457" i="2" s="1"/>
  <c r="Q457" i="2" a="1"/>
  <c r="Q457" i="2" s="1"/>
  <c r="P457" i="2" a="1"/>
  <c r="P457" i="2" s="1"/>
  <c r="O457" i="2" a="1"/>
  <c r="O457" i="2" s="1"/>
  <c r="N457" i="2" a="1"/>
  <c r="N457" i="2" s="1"/>
  <c r="M457" i="2" a="1"/>
  <c r="M457" i="2" s="1"/>
  <c r="L457" i="2" a="1"/>
  <c r="L457" i="2" s="1"/>
  <c r="K457" i="2" a="1"/>
  <c r="K457" i="2" s="1"/>
  <c r="J457" i="2" a="1"/>
  <c r="J457" i="2" s="1"/>
  <c r="I457" i="2" a="1"/>
  <c r="I457" i="2" s="1"/>
  <c r="H457" i="2" a="1"/>
  <c r="H457" i="2" s="1"/>
  <c r="F457" i="2" a="1"/>
  <c r="F457" i="2" s="1"/>
  <c r="D457" i="2" a="1"/>
  <c r="D457" i="2" s="1"/>
  <c r="B457" i="2" a="1"/>
  <c r="B457" i="2" s="1"/>
  <c r="BD453" i="2" a="1"/>
  <c r="BD453" i="2" s="1"/>
  <c r="BC453" i="2" a="1"/>
  <c r="BC453" i="2" s="1"/>
  <c r="BA453" i="2" a="1"/>
  <c r="BA453" i="2" s="1"/>
  <c r="AZ453" i="2" a="1"/>
  <c r="AZ453" i="2" s="1"/>
  <c r="AY453" i="2" a="1"/>
  <c r="AY453" i="2" s="1"/>
  <c r="AX453" i="2" a="1"/>
  <c r="AX453" i="2" s="1"/>
  <c r="AW453" i="2" a="1"/>
  <c r="AW453" i="2" s="1"/>
  <c r="AV453" i="2" a="1"/>
  <c r="AV453" i="2" s="1"/>
  <c r="AU453" i="2" a="1"/>
  <c r="AU453" i="2" s="1"/>
  <c r="AT453" i="2" a="1"/>
  <c r="AT453" i="2" s="1"/>
  <c r="AS453" i="2" a="1"/>
  <c r="AS453" i="2" s="1"/>
  <c r="AR453" i="2" a="1"/>
  <c r="AR453" i="2" s="1"/>
  <c r="AQ453" i="2" a="1"/>
  <c r="AQ453" i="2" s="1"/>
  <c r="AP453" i="2" a="1"/>
  <c r="AP453" i="2" s="1"/>
  <c r="AO453" i="2" a="1"/>
  <c r="AO453" i="2" s="1"/>
  <c r="AN453" i="2" a="1"/>
  <c r="AN453" i="2" s="1"/>
  <c r="AM453" i="2" a="1"/>
  <c r="AM453" i="2" s="1"/>
  <c r="AL453" i="2" a="1"/>
  <c r="AL453" i="2" s="1"/>
  <c r="AK453" i="2" a="1"/>
  <c r="AK453" i="2" s="1"/>
  <c r="AJ453" i="2" a="1"/>
  <c r="AJ453" i="2" s="1"/>
  <c r="AI453" i="2" a="1"/>
  <c r="AI453" i="2" s="1"/>
  <c r="AH453" i="2" a="1"/>
  <c r="AH453" i="2" s="1"/>
  <c r="AG453" i="2" a="1"/>
  <c r="AG453" i="2" s="1"/>
  <c r="AF453" i="2" a="1"/>
  <c r="AF453" i="2" s="1"/>
  <c r="AE453" i="2" a="1"/>
  <c r="AE453" i="2" s="1"/>
  <c r="AD453" i="2" a="1"/>
  <c r="AD453" i="2" s="1"/>
  <c r="AC453" i="2" a="1"/>
  <c r="AC453" i="2" s="1"/>
  <c r="AB453" i="2"/>
  <c r="AA453" i="2" a="1"/>
  <c r="AA453" i="2" s="1"/>
  <c r="Z453" i="2" a="1"/>
  <c r="Z453" i="2" s="1"/>
  <c r="Y453" i="2" a="1"/>
  <c r="Y453" i="2" s="1"/>
  <c r="X453" i="2" a="1"/>
  <c r="X453" i="2" s="1"/>
  <c r="W453" i="2" a="1"/>
  <c r="W453" i="2" s="1"/>
  <c r="BB453" i="2" s="1" a="1"/>
  <c r="BB453" i="2" s="1"/>
  <c r="V453" i="2" a="1"/>
  <c r="V453" i="2" s="1"/>
  <c r="E453" i="2" s="1" a="1"/>
  <c r="E453" i="2" s="1"/>
  <c r="U453" i="2" a="1"/>
  <c r="U453" i="2" s="1"/>
  <c r="T453" i="2" a="1"/>
  <c r="T453" i="2" s="1"/>
  <c r="S453" i="2" a="1"/>
  <c r="S453" i="2" s="1"/>
  <c r="R453" i="2" a="1"/>
  <c r="R453" i="2" s="1"/>
  <c r="Q453" i="2" a="1"/>
  <c r="Q453" i="2" s="1"/>
  <c r="P453" i="2" a="1"/>
  <c r="P453" i="2" s="1"/>
  <c r="O453" i="2" a="1"/>
  <c r="O453" i="2" s="1"/>
  <c r="N453" i="2" a="1"/>
  <c r="N453" i="2" s="1"/>
  <c r="M453" i="2" a="1"/>
  <c r="M453" i="2" s="1"/>
  <c r="L453" i="2" a="1"/>
  <c r="L453" i="2" s="1"/>
  <c r="K453" i="2" a="1"/>
  <c r="K453" i="2" s="1"/>
  <c r="J453" i="2" a="1"/>
  <c r="J453" i="2" s="1"/>
  <c r="I453" i="2" a="1"/>
  <c r="I453" i="2" s="1"/>
  <c r="H453" i="2" a="1"/>
  <c r="H453" i="2" s="1"/>
  <c r="F453" i="2" a="1"/>
  <c r="F453" i="2" s="1"/>
  <c r="D453" i="2" a="1"/>
  <c r="D453" i="2" s="1"/>
  <c r="B453" i="2" a="1"/>
  <c r="B453" i="2" s="1"/>
  <c r="BD452" i="2" a="1"/>
  <c r="BD452" i="2" s="1"/>
  <c r="BC452" i="2" a="1"/>
  <c r="BC452" i="2" s="1"/>
  <c r="BA452" i="2" a="1"/>
  <c r="BA452" i="2" s="1"/>
  <c r="AZ452" i="2" a="1"/>
  <c r="AZ452" i="2" s="1"/>
  <c r="AY452" i="2" a="1"/>
  <c r="AY452" i="2" s="1"/>
  <c r="AX452" i="2" a="1"/>
  <c r="AX452" i="2" s="1"/>
  <c r="AW452" i="2" a="1"/>
  <c r="AW452" i="2" s="1"/>
  <c r="AV452" i="2" a="1"/>
  <c r="AV452" i="2" s="1"/>
  <c r="AU452" i="2" a="1"/>
  <c r="AU452" i="2" s="1"/>
  <c r="AT452" i="2" a="1"/>
  <c r="AT452" i="2" s="1"/>
  <c r="AS452" i="2" a="1"/>
  <c r="AS452" i="2" s="1"/>
  <c r="AR452" i="2" a="1"/>
  <c r="AR452" i="2" s="1"/>
  <c r="AQ452" i="2" a="1"/>
  <c r="AQ452" i="2" s="1"/>
  <c r="AP452" i="2" a="1"/>
  <c r="AP452" i="2" s="1"/>
  <c r="AO452" i="2" a="1"/>
  <c r="AO452" i="2" s="1"/>
  <c r="AN452" i="2" a="1"/>
  <c r="AN452" i="2" s="1"/>
  <c r="AM452" i="2" a="1"/>
  <c r="AM452" i="2" s="1"/>
  <c r="AL452" i="2" a="1"/>
  <c r="AL452" i="2" s="1"/>
  <c r="AK452" i="2" a="1"/>
  <c r="AK452" i="2" s="1"/>
  <c r="AJ452" i="2" a="1"/>
  <c r="AJ452" i="2" s="1"/>
  <c r="AI452" i="2" a="1"/>
  <c r="AI452" i="2" s="1"/>
  <c r="AH452" i="2" a="1"/>
  <c r="AH452" i="2" s="1"/>
  <c r="AG452" i="2" a="1"/>
  <c r="AG452" i="2" s="1"/>
  <c r="AF452" i="2" a="1"/>
  <c r="AF452" i="2" s="1"/>
  <c r="AE452" i="2" a="1"/>
  <c r="AE452" i="2" s="1"/>
  <c r="AD452" i="2" a="1"/>
  <c r="AD452" i="2" s="1"/>
  <c r="AC452" i="2" a="1"/>
  <c r="AC452" i="2" s="1"/>
  <c r="AB452" i="2"/>
  <c r="AA452" i="2" a="1"/>
  <c r="AA452" i="2" s="1"/>
  <c r="Z452" i="2" a="1"/>
  <c r="Z452" i="2" s="1"/>
  <c r="Y452" i="2" a="1"/>
  <c r="Y452" i="2" s="1"/>
  <c r="X452" i="2" a="1"/>
  <c r="X452" i="2" s="1"/>
  <c r="W452" i="2" a="1"/>
  <c r="W452" i="2" s="1"/>
  <c r="BB452" i="2" s="1" a="1"/>
  <c r="BB452" i="2" s="1"/>
  <c r="V452" i="2" a="1"/>
  <c r="V452" i="2" s="1"/>
  <c r="E452" i="2" s="1" a="1"/>
  <c r="E452" i="2" s="1"/>
  <c r="U452" i="2" a="1"/>
  <c r="U452" i="2" s="1"/>
  <c r="T452" i="2" a="1"/>
  <c r="T452" i="2" s="1"/>
  <c r="S452" i="2" a="1"/>
  <c r="S452" i="2" s="1"/>
  <c r="R452" i="2" a="1"/>
  <c r="R452" i="2" s="1"/>
  <c r="Q452" i="2" a="1"/>
  <c r="Q452" i="2" s="1"/>
  <c r="P452" i="2" a="1"/>
  <c r="P452" i="2" s="1"/>
  <c r="O452" i="2" a="1"/>
  <c r="O452" i="2" s="1"/>
  <c r="N452" i="2" a="1"/>
  <c r="N452" i="2" s="1"/>
  <c r="M452" i="2" a="1"/>
  <c r="M452" i="2" s="1"/>
  <c r="L452" i="2" a="1"/>
  <c r="L452" i="2" s="1"/>
  <c r="K452" i="2" a="1"/>
  <c r="K452" i="2" s="1"/>
  <c r="J452" i="2" a="1"/>
  <c r="J452" i="2" s="1"/>
  <c r="I452" i="2" a="1"/>
  <c r="I452" i="2" s="1"/>
  <c r="H452" i="2" a="1"/>
  <c r="H452" i="2" s="1"/>
  <c r="F452" i="2" a="1"/>
  <c r="F452" i="2" s="1"/>
  <c r="D452" i="2" a="1"/>
  <c r="D452" i="2" s="1"/>
  <c r="B452" i="2" a="1"/>
  <c r="B452" i="2" s="1"/>
  <c r="BD451" i="2" a="1"/>
  <c r="BD451" i="2" s="1"/>
  <c r="BC451" i="2" a="1"/>
  <c r="BC451" i="2" s="1"/>
  <c r="BA451" i="2" a="1"/>
  <c r="BA451" i="2" s="1"/>
  <c r="AZ451" i="2" a="1"/>
  <c r="AZ451" i="2" s="1"/>
  <c r="AY451" i="2" a="1"/>
  <c r="AY451" i="2" s="1"/>
  <c r="AX451" i="2" a="1"/>
  <c r="AX451" i="2" s="1"/>
  <c r="AW451" i="2" a="1"/>
  <c r="AW451" i="2" s="1"/>
  <c r="AV451" i="2" a="1"/>
  <c r="AV451" i="2" s="1"/>
  <c r="AU451" i="2" a="1"/>
  <c r="AU451" i="2" s="1"/>
  <c r="AT451" i="2" a="1"/>
  <c r="AT451" i="2" s="1"/>
  <c r="AS451" i="2" a="1"/>
  <c r="AS451" i="2" s="1"/>
  <c r="AR451" i="2" a="1"/>
  <c r="AR451" i="2" s="1"/>
  <c r="AQ451" i="2" a="1"/>
  <c r="AQ451" i="2" s="1"/>
  <c r="AP451" i="2" a="1"/>
  <c r="AP451" i="2" s="1"/>
  <c r="AO451" i="2" a="1"/>
  <c r="AO451" i="2" s="1"/>
  <c r="AN451" i="2" a="1"/>
  <c r="AN451" i="2" s="1"/>
  <c r="AM451" i="2" a="1"/>
  <c r="AM451" i="2" s="1"/>
  <c r="AL451" i="2" a="1"/>
  <c r="AL451" i="2" s="1"/>
  <c r="AK451" i="2" a="1"/>
  <c r="AK451" i="2" s="1"/>
  <c r="AJ451" i="2" a="1"/>
  <c r="AJ451" i="2" s="1"/>
  <c r="AI451" i="2" a="1"/>
  <c r="AI451" i="2" s="1"/>
  <c r="AH451" i="2" a="1"/>
  <c r="AH451" i="2" s="1"/>
  <c r="AG451" i="2" a="1"/>
  <c r="AG451" i="2" s="1"/>
  <c r="AF451" i="2" a="1"/>
  <c r="AF451" i="2" s="1"/>
  <c r="AE451" i="2" a="1"/>
  <c r="AE451" i="2" s="1"/>
  <c r="AD451" i="2" a="1"/>
  <c r="AD451" i="2" s="1"/>
  <c r="AC451" i="2" a="1"/>
  <c r="AC451" i="2" s="1"/>
  <c r="AB451" i="2"/>
  <c r="AA451" i="2" a="1"/>
  <c r="AA451" i="2" s="1"/>
  <c r="Z451" i="2" a="1"/>
  <c r="Z451" i="2" s="1"/>
  <c r="Y451" i="2" a="1"/>
  <c r="Y451" i="2" s="1"/>
  <c r="X451" i="2" a="1"/>
  <c r="X451" i="2" s="1"/>
  <c r="W451" i="2" a="1"/>
  <c r="W451" i="2" s="1"/>
  <c r="BB451" i="2" s="1" a="1"/>
  <c r="BB451" i="2" s="1"/>
  <c r="V451" i="2" a="1"/>
  <c r="V451" i="2" s="1"/>
  <c r="E451" i="2" s="1" a="1"/>
  <c r="E451" i="2" s="1"/>
  <c r="U451" i="2" a="1"/>
  <c r="U451" i="2" s="1"/>
  <c r="T451" i="2" a="1"/>
  <c r="T451" i="2" s="1"/>
  <c r="S451" i="2" a="1"/>
  <c r="S451" i="2" s="1"/>
  <c r="R451" i="2" a="1"/>
  <c r="R451" i="2" s="1"/>
  <c r="Q451" i="2" a="1"/>
  <c r="Q451" i="2" s="1"/>
  <c r="P451" i="2" a="1"/>
  <c r="P451" i="2" s="1"/>
  <c r="O451" i="2" a="1"/>
  <c r="O451" i="2" s="1"/>
  <c r="N451" i="2" a="1"/>
  <c r="N451" i="2" s="1"/>
  <c r="M451" i="2" a="1"/>
  <c r="M451" i="2" s="1"/>
  <c r="L451" i="2" a="1"/>
  <c r="L451" i="2" s="1"/>
  <c r="K451" i="2" a="1"/>
  <c r="K451" i="2" s="1"/>
  <c r="J451" i="2" a="1"/>
  <c r="J451" i="2" s="1"/>
  <c r="I451" i="2" a="1"/>
  <c r="I451" i="2" s="1"/>
  <c r="H451" i="2" a="1"/>
  <c r="H451" i="2" s="1"/>
  <c r="F451" i="2" a="1"/>
  <c r="F451" i="2" s="1"/>
  <c r="D451" i="2" a="1"/>
  <c r="D451" i="2" s="1"/>
  <c r="B451" i="2" a="1"/>
  <c r="B451" i="2" s="1"/>
  <c r="BD450" i="2" a="1"/>
  <c r="BD450" i="2" s="1"/>
  <c r="BC450" i="2" a="1"/>
  <c r="BC450" i="2" s="1"/>
  <c r="BA450" i="2" a="1"/>
  <c r="BA450" i="2" s="1"/>
  <c r="AZ450" i="2" a="1"/>
  <c r="AZ450" i="2" s="1"/>
  <c r="AY450" i="2" a="1"/>
  <c r="AY450" i="2" s="1"/>
  <c r="AX450" i="2" a="1"/>
  <c r="AX450" i="2" s="1"/>
  <c r="AW450" i="2" a="1"/>
  <c r="AW450" i="2" s="1"/>
  <c r="AV450" i="2" a="1"/>
  <c r="AV450" i="2" s="1"/>
  <c r="AU450" i="2" a="1"/>
  <c r="AU450" i="2" s="1"/>
  <c r="AT450" i="2" a="1"/>
  <c r="AT450" i="2" s="1"/>
  <c r="AS450" i="2" a="1"/>
  <c r="AS450" i="2" s="1"/>
  <c r="AR450" i="2" a="1"/>
  <c r="AR450" i="2" s="1"/>
  <c r="AQ450" i="2" a="1"/>
  <c r="AQ450" i="2" s="1"/>
  <c r="AP450" i="2" a="1"/>
  <c r="AP450" i="2" s="1"/>
  <c r="AO450" i="2" a="1"/>
  <c r="AO450" i="2" s="1"/>
  <c r="AN450" i="2" a="1"/>
  <c r="AN450" i="2" s="1"/>
  <c r="AM450" i="2" a="1"/>
  <c r="AM450" i="2" s="1"/>
  <c r="AL450" i="2" a="1"/>
  <c r="AL450" i="2" s="1"/>
  <c r="AK450" i="2" a="1"/>
  <c r="AK450" i="2" s="1"/>
  <c r="AJ450" i="2" a="1"/>
  <c r="AJ450" i="2" s="1"/>
  <c r="AI450" i="2" a="1"/>
  <c r="AI450" i="2" s="1"/>
  <c r="AH450" i="2" a="1"/>
  <c r="AH450" i="2" s="1"/>
  <c r="AG450" i="2" a="1"/>
  <c r="AG450" i="2" s="1"/>
  <c r="AF450" i="2" a="1"/>
  <c r="AF450" i="2" s="1"/>
  <c r="AE450" i="2" a="1"/>
  <c r="AE450" i="2" s="1"/>
  <c r="AD450" i="2" a="1"/>
  <c r="AD450" i="2" s="1"/>
  <c r="AC450" i="2" a="1"/>
  <c r="AC450" i="2" s="1"/>
  <c r="AB450" i="2"/>
  <c r="AA450" i="2" a="1"/>
  <c r="AA450" i="2" s="1"/>
  <c r="Z450" i="2" a="1"/>
  <c r="Z450" i="2" s="1"/>
  <c r="Y450" i="2" a="1"/>
  <c r="Y450" i="2" s="1"/>
  <c r="X450" i="2" a="1"/>
  <c r="X450" i="2" s="1"/>
  <c r="W450" i="2" a="1"/>
  <c r="W450" i="2" s="1"/>
  <c r="BB450" i="2" s="1" a="1"/>
  <c r="BB450" i="2" s="1"/>
  <c r="V450" i="2" a="1"/>
  <c r="V450" i="2" s="1"/>
  <c r="E450" i="2" s="1" a="1"/>
  <c r="E450" i="2" s="1"/>
  <c r="U450" i="2" a="1"/>
  <c r="U450" i="2" s="1"/>
  <c r="T450" i="2" a="1"/>
  <c r="T450" i="2" s="1"/>
  <c r="S450" i="2" a="1"/>
  <c r="S450" i="2" s="1"/>
  <c r="R450" i="2" a="1"/>
  <c r="R450" i="2" s="1"/>
  <c r="Q450" i="2" a="1"/>
  <c r="Q450" i="2" s="1"/>
  <c r="P450" i="2" a="1"/>
  <c r="P450" i="2" s="1"/>
  <c r="O450" i="2" a="1"/>
  <c r="O450" i="2" s="1"/>
  <c r="N450" i="2" a="1"/>
  <c r="N450" i="2" s="1"/>
  <c r="M450" i="2" a="1"/>
  <c r="M450" i="2" s="1"/>
  <c r="L450" i="2" a="1"/>
  <c r="L450" i="2" s="1"/>
  <c r="K450" i="2" a="1"/>
  <c r="K450" i="2" s="1"/>
  <c r="J450" i="2" a="1"/>
  <c r="J450" i="2" s="1"/>
  <c r="I450" i="2" a="1"/>
  <c r="I450" i="2" s="1"/>
  <c r="H450" i="2" a="1"/>
  <c r="H450" i="2" s="1"/>
  <c r="F450" i="2" a="1"/>
  <c r="F450" i="2" s="1"/>
  <c r="D450" i="2" a="1"/>
  <c r="D450" i="2" s="1"/>
  <c r="B450" i="2" a="1"/>
  <c r="B450" i="2" s="1"/>
  <c r="BD449" i="2" a="1"/>
  <c r="BD449" i="2" s="1"/>
  <c r="BC449" i="2" a="1"/>
  <c r="BC449" i="2" s="1"/>
  <c r="BA449" i="2" a="1"/>
  <c r="BA449" i="2" s="1"/>
  <c r="AZ449" i="2" a="1"/>
  <c r="AZ449" i="2" s="1"/>
  <c r="AY449" i="2" a="1"/>
  <c r="AY449" i="2" s="1"/>
  <c r="AX449" i="2" a="1"/>
  <c r="AX449" i="2" s="1"/>
  <c r="AW449" i="2" a="1"/>
  <c r="AW449" i="2" s="1"/>
  <c r="AV449" i="2" a="1"/>
  <c r="AV449" i="2" s="1"/>
  <c r="AU449" i="2" a="1"/>
  <c r="AU449" i="2" s="1"/>
  <c r="AT449" i="2" a="1"/>
  <c r="AT449" i="2" s="1"/>
  <c r="AS449" i="2" a="1"/>
  <c r="AS449" i="2" s="1"/>
  <c r="AR449" i="2" a="1"/>
  <c r="AR449" i="2" s="1"/>
  <c r="AQ449" i="2" a="1"/>
  <c r="AQ449" i="2" s="1"/>
  <c r="AP449" i="2" a="1"/>
  <c r="AP449" i="2" s="1"/>
  <c r="AO449" i="2" a="1"/>
  <c r="AO449" i="2" s="1"/>
  <c r="AN449" i="2" a="1"/>
  <c r="AN449" i="2" s="1"/>
  <c r="AM449" i="2" a="1"/>
  <c r="AM449" i="2" s="1"/>
  <c r="AL449" i="2" a="1"/>
  <c r="AL449" i="2" s="1"/>
  <c r="AK449" i="2" a="1"/>
  <c r="AK449" i="2" s="1"/>
  <c r="AJ449" i="2" a="1"/>
  <c r="AJ449" i="2" s="1"/>
  <c r="AI449" i="2" a="1"/>
  <c r="AI449" i="2" s="1"/>
  <c r="AH449" i="2" a="1"/>
  <c r="AH449" i="2" s="1"/>
  <c r="AG449" i="2" a="1"/>
  <c r="AG449" i="2" s="1"/>
  <c r="AF449" i="2" a="1"/>
  <c r="AF449" i="2" s="1"/>
  <c r="AE449" i="2" a="1"/>
  <c r="AE449" i="2" s="1"/>
  <c r="AD449" i="2" a="1"/>
  <c r="AD449" i="2" s="1"/>
  <c r="AC449" i="2" a="1"/>
  <c r="AC449" i="2" s="1"/>
  <c r="AB449" i="2"/>
  <c r="AA449" i="2" a="1"/>
  <c r="AA449" i="2" s="1"/>
  <c r="Z449" i="2" a="1"/>
  <c r="Z449" i="2" s="1"/>
  <c r="Y449" i="2" a="1"/>
  <c r="Y449" i="2" s="1"/>
  <c r="X449" i="2" a="1"/>
  <c r="X449" i="2" s="1"/>
  <c r="W449" i="2" a="1"/>
  <c r="W449" i="2" s="1"/>
  <c r="BB449" i="2" s="1" a="1"/>
  <c r="BB449" i="2" s="1"/>
  <c r="V449" i="2" a="1"/>
  <c r="V449" i="2" s="1"/>
  <c r="E449" i="2" s="1" a="1"/>
  <c r="E449" i="2" s="1"/>
  <c r="U449" i="2" a="1"/>
  <c r="U449" i="2" s="1"/>
  <c r="T449" i="2" a="1"/>
  <c r="T449" i="2" s="1"/>
  <c r="S449" i="2" a="1"/>
  <c r="S449" i="2" s="1"/>
  <c r="R449" i="2" a="1"/>
  <c r="R449" i="2" s="1"/>
  <c r="Q449" i="2" a="1"/>
  <c r="Q449" i="2" s="1"/>
  <c r="P449" i="2" a="1"/>
  <c r="P449" i="2" s="1"/>
  <c r="O449" i="2" a="1"/>
  <c r="O449" i="2" s="1"/>
  <c r="N449" i="2" a="1"/>
  <c r="N449" i="2" s="1"/>
  <c r="M449" i="2" a="1"/>
  <c r="M449" i="2" s="1"/>
  <c r="L449" i="2" a="1"/>
  <c r="L449" i="2" s="1"/>
  <c r="K449" i="2" a="1"/>
  <c r="K449" i="2" s="1"/>
  <c r="J449" i="2" a="1"/>
  <c r="J449" i="2" s="1"/>
  <c r="I449" i="2" a="1"/>
  <c r="I449" i="2" s="1"/>
  <c r="H449" i="2" a="1"/>
  <c r="H449" i="2" s="1"/>
  <c r="F449" i="2" a="1"/>
  <c r="F449" i="2" s="1"/>
  <c r="D449" i="2" a="1"/>
  <c r="D449" i="2" s="1"/>
  <c r="B449" i="2" a="1"/>
  <c r="B449" i="2" s="1"/>
  <c r="BD448" i="2" a="1"/>
  <c r="BD448" i="2" s="1"/>
  <c r="BC448" i="2" a="1"/>
  <c r="BC448" i="2" s="1"/>
  <c r="BA448" i="2" a="1"/>
  <c r="BA448" i="2" s="1"/>
  <c r="AZ448" i="2" a="1"/>
  <c r="AZ448" i="2" s="1"/>
  <c r="AY448" i="2" a="1"/>
  <c r="AY448" i="2" s="1"/>
  <c r="AX448" i="2" a="1"/>
  <c r="AX448" i="2" s="1"/>
  <c r="AW448" i="2" a="1"/>
  <c r="AW448" i="2" s="1"/>
  <c r="AV448" i="2" a="1"/>
  <c r="AV448" i="2" s="1"/>
  <c r="AU448" i="2" a="1"/>
  <c r="AU448" i="2" s="1"/>
  <c r="AT448" i="2" a="1"/>
  <c r="AT448" i="2" s="1"/>
  <c r="AS448" i="2" a="1"/>
  <c r="AS448" i="2" s="1"/>
  <c r="AR448" i="2" a="1"/>
  <c r="AR448" i="2" s="1"/>
  <c r="AQ448" i="2" a="1"/>
  <c r="AQ448" i="2" s="1"/>
  <c r="AP448" i="2" a="1"/>
  <c r="AP448" i="2" s="1"/>
  <c r="AO448" i="2" a="1"/>
  <c r="AO448" i="2" s="1"/>
  <c r="AN448" i="2" a="1"/>
  <c r="AN448" i="2" s="1"/>
  <c r="AM448" i="2" a="1"/>
  <c r="AM448" i="2" s="1"/>
  <c r="AL448" i="2" a="1"/>
  <c r="AL448" i="2" s="1"/>
  <c r="AK448" i="2" a="1"/>
  <c r="AK448" i="2" s="1"/>
  <c r="AJ448" i="2" a="1"/>
  <c r="AJ448" i="2" s="1"/>
  <c r="AI448" i="2" a="1"/>
  <c r="AI448" i="2" s="1"/>
  <c r="AH448" i="2" a="1"/>
  <c r="AH448" i="2" s="1"/>
  <c r="AG448" i="2" a="1"/>
  <c r="AG448" i="2" s="1"/>
  <c r="AF448" i="2" a="1"/>
  <c r="AF448" i="2" s="1"/>
  <c r="AE448" i="2" a="1"/>
  <c r="AE448" i="2" s="1"/>
  <c r="AD448" i="2" a="1"/>
  <c r="AD448" i="2" s="1"/>
  <c r="AC448" i="2" a="1"/>
  <c r="AC448" i="2" s="1"/>
  <c r="AB448" i="2"/>
  <c r="AA448" i="2" a="1"/>
  <c r="AA448" i="2" s="1"/>
  <c r="Z448" i="2" a="1"/>
  <c r="Z448" i="2" s="1"/>
  <c r="Y448" i="2" a="1"/>
  <c r="Y448" i="2" s="1"/>
  <c r="X448" i="2" a="1"/>
  <c r="X448" i="2" s="1"/>
  <c r="W448" i="2" a="1"/>
  <c r="W448" i="2" s="1"/>
  <c r="BB448" i="2" s="1" a="1"/>
  <c r="BB448" i="2" s="1"/>
  <c r="V448" i="2" a="1"/>
  <c r="V448" i="2" s="1"/>
  <c r="E448" i="2" s="1" a="1"/>
  <c r="E448" i="2" s="1"/>
  <c r="U448" i="2" a="1"/>
  <c r="U448" i="2" s="1"/>
  <c r="T448" i="2" a="1"/>
  <c r="T448" i="2" s="1"/>
  <c r="S448" i="2" a="1"/>
  <c r="S448" i="2" s="1"/>
  <c r="R448" i="2" a="1"/>
  <c r="R448" i="2" s="1"/>
  <c r="Q448" i="2" a="1"/>
  <c r="Q448" i="2" s="1"/>
  <c r="P448" i="2" a="1"/>
  <c r="P448" i="2" s="1"/>
  <c r="O448" i="2" a="1"/>
  <c r="O448" i="2" s="1"/>
  <c r="N448" i="2" a="1"/>
  <c r="N448" i="2" s="1"/>
  <c r="M448" i="2" a="1"/>
  <c r="M448" i="2" s="1"/>
  <c r="L448" i="2" a="1"/>
  <c r="L448" i="2" s="1"/>
  <c r="K448" i="2" a="1"/>
  <c r="K448" i="2" s="1"/>
  <c r="J448" i="2" a="1"/>
  <c r="J448" i="2" s="1"/>
  <c r="I448" i="2" a="1"/>
  <c r="I448" i="2" s="1"/>
  <c r="H448" i="2" a="1"/>
  <c r="H448" i="2" s="1"/>
  <c r="F448" i="2" a="1"/>
  <c r="F448" i="2" s="1"/>
  <c r="D448" i="2" a="1"/>
  <c r="D448" i="2" s="1"/>
  <c r="B448" i="2" a="1"/>
  <c r="B448" i="2" s="1"/>
  <c r="BD447" i="2" a="1"/>
  <c r="BD447" i="2" s="1"/>
  <c r="BC447" i="2" a="1"/>
  <c r="BC447" i="2" s="1"/>
  <c r="BA447" i="2" a="1"/>
  <c r="BA447" i="2" s="1"/>
  <c r="AZ447" i="2" a="1"/>
  <c r="AZ447" i="2" s="1"/>
  <c r="AY447" i="2" a="1"/>
  <c r="AY447" i="2" s="1"/>
  <c r="AX447" i="2" a="1"/>
  <c r="AX447" i="2" s="1"/>
  <c r="AW447" i="2" a="1"/>
  <c r="AW447" i="2" s="1"/>
  <c r="AV447" i="2" a="1"/>
  <c r="AV447" i="2" s="1"/>
  <c r="AU447" i="2" a="1"/>
  <c r="AU447" i="2" s="1"/>
  <c r="AT447" i="2" a="1"/>
  <c r="AT447" i="2" s="1"/>
  <c r="AS447" i="2" a="1"/>
  <c r="AS447" i="2" s="1"/>
  <c r="AR447" i="2" a="1"/>
  <c r="AR447" i="2" s="1"/>
  <c r="AQ447" i="2" a="1"/>
  <c r="AQ447" i="2" s="1"/>
  <c r="AP447" i="2" a="1"/>
  <c r="AP447" i="2" s="1"/>
  <c r="AO447" i="2" a="1"/>
  <c r="AO447" i="2" s="1"/>
  <c r="AN447" i="2" a="1"/>
  <c r="AN447" i="2" s="1"/>
  <c r="AM447" i="2" a="1"/>
  <c r="AM447" i="2" s="1"/>
  <c r="AL447" i="2" a="1"/>
  <c r="AL447" i="2" s="1"/>
  <c r="AK447" i="2" a="1"/>
  <c r="AK447" i="2" s="1"/>
  <c r="AJ447" i="2" a="1"/>
  <c r="AJ447" i="2" s="1"/>
  <c r="AI447" i="2" a="1"/>
  <c r="AI447" i="2" s="1"/>
  <c r="AH447" i="2" a="1"/>
  <c r="AH447" i="2" s="1"/>
  <c r="AG447" i="2" a="1"/>
  <c r="AG447" i="2" s="1"/>
  <c r="AF447" i="2" a="1"/>
  <c r="AF447" i="2" s="1"/>
  <c r="AE447" i="2" a="1"/>
  <c r="AE447" i="2" s="1"/>
  <c r="AD447" i="2" a="1"/>
  <c r="AD447" i="2" s="1"/>
  <c r="AC447" i="2" a="1"/>
  <c r="AC447" i="2" s="1"/>
  <c r="AB447" i="2"/>
  <c r="AA447" i="2" a="1"/>
  <c r="AA447" i="2" s="1"/>
  <c r="Z447" i="2" a="1"/>
  <c r="Z447" i="2" s="1"/>
  <c r="Y447" i="2" a="1"/>
  <c r="Y447" i="2" s="1"/>
  <c r="X447" i="2" a="1"/>
  <c r="X447" i="2" s="1"/>
  <c r="W447" i="2" a="1"/>
  <c r="W447" i="2" s="1"/>
  <c r="BB447" i="2" s="1" a="1"/>
  <c r="BB447" i="2" s="1"/>
  <c r="V447" i="2" a="1"/>
  <c r="V447" i="2" s="1"/>
  <c r="E447" i="2" s="1" a="1"/>
  <c r="E447" i="2" s="1"/>
  <c r="U447" i="2" a="1"/>
  <c r="U447" i="2" s="1"/>
  <c r="T447" i="2" a="1"/>
  <c r="T447" i="2" s="1"/>
  <c r="S447" i="2" a="1"/>
  <c r="S447" i="2" s="1"/>
  <c r="R447" i="2" a="1"/>
  <c r="R447" i="2" s="1"/>
  <c r="Q447" i="2" a="1"/>
  <c r="Q447" i="2" s="1"/>
  <c r="P447" i="2" a="1"/>
  <c r="P447" i="2" s="1"/>
  <c r="O447" i="2" a="1"/>
  <c r="O447" i="2" s="1"/>
  <c r="N447" i="2" a="1"/>
  <c r="N447" i="2" s="1"/>
  <c r="M447" i="2" a="1"/>
  <c r="M447" i="2" s="1"/>
  <c r="L447" i="2" a="1"/>
  <c r="L447" i="2" s="1"/>
  <c r="K447" i="2" a="1"/>
  <c r="K447" i="2" s="1"/>
  <c r="J447" i="2" a="1"/>
  <c r="J447" i="2" s="1"/>
  <c r="I447" i="2" a="1"/>
  <c r="I447" i="2" s="1"/>
  <c r="H447" i="2" a="1"/>
  <c r="H447" i="2" s="1"/>
  <c r="F447" i="2" a="1"/>
  <c r="F447" i="2" s="1"/>
  <c r="D447" i="2" a="1"/>
  <c r="D447" i="2" s="1"/>
  <c r="B447" i="2" a="1"/>
  <c r="B447" i="2" s="1"/>
  <c r="BD446" i="2" a="1"/>
  <c r="BD446" i="2" s="1"/>
  <c r="BC446" i="2" a="1"/>
  <c r="BC446" i="2" s="1"/>
  <c r="BA446" i="2" a="1"/>
  <c r="BA446" i="2" s="1"/>
  <c r="AZ446" i="2" a="1"/>
  <c r="AZ446" i="2" s="1"/>
  <c r="AY446" i="2" a="1"/>
  <c r="AY446" i="2" s="1"/>
  <c r="AX446" i="2" a="1"/>
  <c r="AX446" i="2" s="1"/>
  <c r="AW446" i="2" a="1"/>
  <c r="AW446" i="2" s="1"/>
  <c r="AV446" i="2" a="1"/>
  <c r="AV446" i="2" s="1"/>
  <c r="AU446" i="2" a="1"/>
  <c r="AU446" i="2" s="1"/>
  <c r="AT446" i="2" a="1"/>
  <c r="AT446" i="2" s="1"/>
  <c r="AS446" i="2" a="1"/>
  <c r="AS446" i="2" s="1"/>
  <c r="AR446" i="2" a="1"/>
  <c r="AR446" i="2" s="1"/>
  <c r="AQ446" i="2" a="1"/>
  <c r="AQ446" i="2" s="1"/>
  <c r="AP446" i="2" a="1"/>
  <c r="AP446" i="2" s="1"/>
  <c r="AO446" i="2" a="1"/>
  <c r="AO446" i="2" s="1"/>
  <c r="AN446" i="2" a="1"/>
  <c r="AN446" i="2" s="1"/>
  <c r="AM446" i="2" a="1"/>
  <c r="AM446" i="2" s="1"/>
  <c r="AL446" i="2" a="1"/>
  <c r="AL446" i="2" s="1"/>
  <c r="AK446" i="2" a="1"/>
  <c r="AK446" i="2" s="1"/>
  <c r="AJ446" i="2" a="1"/>
  <c r="AJ446" i="2" s="1"/>
  <c r="AI446" i="2" a="1"/>
  <c r="AI446" i="2" s="1"/>
  <c r="AH446" i="2" a="1"/>
  <c r="AH446" i="2" s="1"/>
  <c r="AG446" i="2" a="1"/>
  <c r="AG446" i="2" s="1"/>
  <c r="AF446" i="2" a="1"/>
  <c r="AF446" i="2" s="1"/>
  <c r="AE446" i="2" a="1"/>
  <c r="AE446" i="2" s="1"/>
  <c r="AD446" i="2" a="1"/>
  <c r="AD446" i="2" s="1"/>
  <c r="AC446" i="2" a="1"/>
  <c r="AC446" i="2" s="1"/>
  <c r="AB446" i="2"/>
  <c r="AA446" i="2" a="1"/>
  <c r="AA446" i="2" s="1"/>
  <c r="Z446" i="2" a="1"/>
  <c r="Z446" i="2" s="1"/>
  <c r="Y446" i="2" a="1"/>
  <c r="Y446" i="2" s="1"/>
  <c r="X446" i="2" a="1"/>
  <c r="X446" i="2" s="1"/>
  <c r="W446" i="2" a="1"/>
  <c r="W446" i="2" s="1"/>
  <c r="BB446" i="2" s="1" a="1"/>
  <c r="BB446" i="2" s="1"/>
  <c r="V446" i="2" a="1"/>
  <c r="V446" i="2" s="1"/>
  <c r="E446" i="2" s="1" a="1"/>
  <c r="E446" i="2" s="1"/>
  <c r="U446" i="2" a="1"/>
  <c r="U446" i="2" s="1"/>
  <c r="T446" i="2" a="1"/>
  <c r="T446" i="2" s="1"/>
  <c r="S446" i="2" a="1"/>
  <c r="S446" i="2" s="1"/>
  <c r="R446" i="2" a="1"/>
  <c r="R446" i="2" s="1"/>
  <c r="Q446" i="2" a="1"/>
  <c r="Q446" i="2" s="1"/>
  <c r="P446" i="2" a="1"/>
  <c r="P446" i="2" s="1"/>
  <c r="O446" i="2" a="1"/>
  <c r="O446" i="2" s="1"/>
  <c r="N446" i="2" a="1"/>
  <c r="N446" i="2" s="1"/>
  <c r="M446" i="2" a="1"/>
  <c r="M446" i="2" s="1"/>
  <c r="L446" i="2" a="1"/>
  <c r="L446" i="2" s="1"/>
  <c r="K446" i="2" a="1"/>
  <c r="K446" i="2" s="1"/>
  <c r="J446" i="2" a="1"/>
  <c r="J446" i="2" s="1"/>
  <c r="I446" i="2" a="1"/>
  <c r="I446" i="2" s="1"/>
  <c r="H446" i="2" a="1"/>
  <c r="H446" i="2" s="1"/>
  <c r="F446" i="2" a="1"/>
  <c r="F446" i="2" s="1"/>
  <c r="D446" i="2" a="1"/>
  <c r="D446" i="2" s="1"/>
  <c r="B446" i="2" a="1"/>
  <c r="B446" i="2" s="1"/>
  <c r="BD444" i="2" a="1"/>
  <c r="BD444" i="2" s="1"/>
  <c r="BC444" i="2" a="1"/>
  <c r="BC444" i="2" s="1"/>
  <c r="BA444" i="2" a="1"/>
  <c r="BA444" i="2" s="1"/>
  <c r="AZ444" i="2" a="1"/>
  <c r="AZ444" i="2" s="1"/>
  <c r="AY444" i="2" a="1"/>
  <c r="AY444" i="2" s="1"/>
  <c r="AX444" i="2" a="1"/>
  <c r="AX444" i="2" s="1"/>
  <c r="AW444" i="2" a="1"/>
  <c r="AW444" i="2" s="1"/>
  <c r="AV444" i="2" a="1"/>
  <c r="AV444" i="2" s="1"/>
  <c r="AU444" i="2" a="1"/>
  <c r="AU444" i="2" s="1"/>
  <c r="AT444" i="2" a="1"/>
  <c r="AT444" i="2" s="1"/>
  <c r="AS444" i="2" a="1"/>
  <c r="AS444" i="2" s="1"/>
  <c r="AR444" i="2" a="1"/>
  <c r="AR444" i="2" s="1"/>
  <c r="AQ444" i="2" a="1"/>
  <c r="AQ444" i="2" s="1"/>
  <c r="AP444" i="2" a="1"/>
  <c r="AP444" i="2" s="1"/>
  <c r="AO444" i="2" a="1"/>
  <c r="AO444" i="2" s="1"/>
  <c r="AN444" i="2" a="1"/>
  <c r="AN444" i="2" s="1"/>
  <c r="AM444" i="2" a="1"/>
  <c r="AM444" i="2" s="1"/>
  <c r="AL444" i="2" a="1"/>
  <c r="AL444" i="2" s="1"/>
  <c r="AK444" i="2" a="1"/>
  <c r="AK444" i="2" s="1"/>
  <c r="AJ444" i="2" a="1"/>
  <c r="AJ444" i="2" s="1"/>
  <c r="AI444" i="2" a="1"/>
  <c r="AI444" i="2" s="1"/>
  <c r="AH444" i="2" a="1"/>
  <c r="AH444" i="2" s="1"/>
  <c r="AG444" i="2" a="1"/>
  <c r="AG444" i="2" s="1"/>
  <c r="AF444" i="2" a="1"/>
  <c r="AF444" i="2" s="1"/>
  <c r="AE444" i="2" a="1"/>
  <c r="AE444" i="2" s="1"/>
  <c r="AD444" i="2" a="1"/>
  <c r="AD444" i="2" s="1"/>
  <c r="AC444" i="2" a="1"/>
  <c r="AC444" i="2" s="1"/>
  <c r="AB444" i="2"/>
  <c r="AA444" i="2" a="1"/>
  <c r="AA444" i="2" s="1"/>
  <c r="Z444" i="2" a="1"/>
  <c r="Z444" i="2" s="1"/>
  <c r="Y444" i="2" a="1"/>
  <c r="Y444" i="2" s="1"/>
  <c r="X444" i="2" a="1"/>
  <c r="X444" i="2" s="1"/>
  <c r="W444" i="2" a="1"/>
  <c r="W444" i="2" s="1"/>
  <c r="BB444" i="2" s="1" a="1"/>
  <c r="BB444" i="2" s="1"/>
  <c r="V444" i="2" a="1"/>
  <c r="V444" i="2" s="1"/>
  <c r="E444" i="2" s="1" a="1"/>
  <c r="E444" i="2" s="1"/>
  <c r="U444" i="2" a="1"/>
  <c r="U444" i="2" s="1"/>
  <c r="T444" i="2" a="1"/>
  <c r="T444" i="2" s="1"/>
  <c r="S444" i="2" a="1"/>
  <c r="S444" i="2" s="1"/>
  <c r="R444" i="2" a="1"/>
  <c r="R444" i="2" s="1"/>
  <c r="Q444" i="2" a="1"/>
  <c r="Q444" i="2" s="1"/>
  <c r="P444" i="2" a="1"/>
  <c r="P444" i="2" s="1"/>
  <c r="O444" i="2" a="1"/>
  <c r="O444" i="2" s="1"/>
  <c r="N444" i="2" a="1"/>
  <c r="N444" i="2" s="1"/>
  <c r="M444" i="2" a="1"/>
  <c r="M444" i="2" s="1"/>
  <c r="L444" i="2" a="1"/>
  <c r="L444" i="2" s="1"/>
  <c r="K444" i="2" a="1"/>
  <c r="K444" i="2" s="1"/>
  <c r="J444" i="2" a="1"/>
  <c r="J444" i="2" s="1"/>
  <c r="I444" i="2" a="1"/>
  <c r="I444" i="2" s="1"/>
  <c r="H444" i="2" a="1"/>
  <c r="H444" i="2" s="1"/>
  <c r="F444" i="2" a="1"/>
  <c r="F444" i="2" s="1"/>
  <c r="D444" i="2" a="1"/>
  <c r="D444" i="2" s="1"/>
  <c r="B444" i="2" a="1"/>
  <c r="B444" i="2" s="1"/>
  <c r="BD443" i="2" a="1"/>
  <c r="BD443" i="2" s="1"/>
  <c r="BC443" i="2" a="1"/>
  <c r="BC443" i="2" s="1"/>
  <c r="BA443" i="2" a="1"/>
  <c r="BA443" i="2" s="1"/>
  <c r="AZ443" i="2" a="1"/>
  <c r="AZ443" i="2" s="1"/>
  <c r="AY443" i="2" a="1"/>
  <c r="AY443" i="2" s="1"/>
  <c r="AX443" i="2" a="1"/>
  <c r="AX443" i="2" s="1"/>
  <c r="AW443" i="2" a="1"/>
  <c r="AW443" i="2" s="1"/>
  <c r="AV443" i="2" a="1"/>
  <c r="AV443" i="2" s="1"/>
  <c r="AU443" i="2" a="1"/>
  <c r="AU443" i="2" s="1"/>
  <c r="AT443" i="2" a="1"/>
  <c r="AT443" i="2" s="1"/>
  <c r="AS443" i="2" a="1"/>
  <c r="AS443" i="2" s="1"/>
  <c r="AR443" i="2" a="1"/>
  <c r="AR443" i="2" s="1"/>
  <c r="AQ443" i="2" a="1"/>
  <c r="AQ443" i="2" s="1"/>
  <c r="AP443" i="2" a="1"/>
  <c r="AP443" i="2" s="1"/>
  <c r="AO443" i="2" a="1"/>
  <c r="AO443" i="2" s="1"/>
  <c r="AN443" i="2" a="1"/>
  <c r="AN443" i="2" s="1"/>
  <c r="AM443" i="2" a="1"/>
  <c r="AM443" i="2" s="1"/>
  <c r="AL443" i="2" a="1"/>
  <c r="AL443" i="2" s="1"/>
  <c r="AK443" i="2" a="1"/>
  <c r="AK443" i="2" s="1"/>
  <c r="AJ443" i="2" a="1"/>
  <c r="AJ443" i="2" s="1"/>
  <c r="AI443" i="2" a="1"/>
  <c r="AI443" i="2" s="1"/>
  <c r="AH443" i="2" a="1"/>
  <c r="AH443" i="2" s="1"/>
  <c r="AG443" i="2" a="1"/>
  <c r="AG443" i="2" s="1"/>
  <c r="AF443" i="2" a="1"/>
  <c r="AF443" i="2" s="1"/>
  <c r="AE443" i="2" a="1"/>
  <c r="AE443" i="2" s="1"/>
  <c r="AD443" i="2" a="1"/>
  <c r="AD443" i="2" s="1"/>
  <c r="AC443" i="2" a="1"/>
  <c r="AC443" i="2" s="1"/>
  <c r="AB443" i="2"/>
  <c r="AA443" i="2" a="1"/>
  <c r="AA443" i="2" s="1"/>
  <c r="Z443" i="2" a="1"/>
  <c r="Z443" i="2" s="1"/>
  <c r="Y443" i="2" a="1"/>
  <c r="Y443" i="2" s="1"/>
  <c r="X443" i="2" a="1"/>
  <c r="X443" i="2" s="1"/>
  <c r="W443" i="2" a="1"/>
  <c r="W443" i="2" s="1"/>
  <c r="BB443" i="2" s="1" a="1"/>
  <c r="BB443" i="2" s="1"/>
  <c r="V443" i="2" a="1"/>
  <c r="V443" i="2" s="1"/>
  <c r="E443" i="2" s="1" a="1"/>
  <c r="E443" i="2" s="1"/>
  <c r="U443" i="2" a="1"/>
  <c r="U443" i="2" s="1"/>
  <c r="T443" i="2" a="1"/>
  <c r="T443" i="2" s="1"/>
  <c r="S443" i="2" a="1"/>
  <c r="S443" i="2" s="1"/>
  <c r="R443" i="2" a="1"/>
  <c r="R443" i="2" s="1"/>
  <c r="Q443" i="2" a="1"/>
  <c r="Q443" i="2" s="1"/>
  <c r="P443" i="2" a="1"/>
  <c r="P443" i="2" s="1"/>
  <c r="O443" i="2" a="1"/>
  <c r="O443" i="2" s="1"/>
  <c r="N443" i="2" a="1"/>
  <c r="N443" i="2" s="1"/>
  <c r="M443" i="2" a="1"/>
  <c r="M443" i="2" s="1"/>
  <c r="L443" i="2" a="1"/>
  <c r="L443" i="2" s="1"/>
  <c r="K443" i="2" a="1"/>
  <c r="K443" i="2" s="1"/>
  <c r="J443" i="2" a="1"/>
  <c r="J443" i="2" s="1"/>
  <c r="I443" i="2" a="1"/>
  <c r="I443" i="2" s="1"/>
  <c r="H443" i="2" a="1"/>
  <c r="H443" i="2" s="1"/>
  <c r="F443" i="2" a="1"/>
  <c r="F443" i="2" s="1"/>
  <c r="D443" i="2" a="1"/>
  <c r="D443" i="2" s="1"/>
  <c r="B443" i="2" a="1"/>
  <c r="B443" i="2" s="1"/>
  <c r="BD442" i="2" a="1"/>
  <c r="BD442" i="2" s="1"/>
  <c r="BC442" i="2" a="1"/>
  <c r="BC442" i="2" s="1"/>
  <c r="BA442" i="2" a="1"/>
  <c r="BA442" i="2" s="1"/>
  <c r="AZ442" i="2" a="1"/>
  <c r="AZ442" i="2" s="1"/>
  <c r="AY442" i="2" a="1"/>
  <c r="AY442" i="2" s="1"/>
  <c r="AX442" i="2" a="1"/>
  <c r="AX442" i="2" s="1"/>
  <c r="AW442" i="2" a="1"/>
  <c r="AW442" i="2" s="1"/>
  <c r="AV442" i="2" a="1"/>
  <c r="AV442" i="2" s="1"/>
  <c r="AU442" i="2" a="1"/>
  <c r="AU442" i="2" s="1"/>
  <c r="AT442" i="2" a="1"/>
  <c r="AT442" i="2" s="1"/>
  <c r="AS442" i="2" a="1"/>
  <c r="AS442" i="2" s="1"/>
  <c r="AR442" i="2" a="1"/>
  <c r="AR442" i="2" s="1"/>
  <c r="AQ442" i="2" a="1"/>
  <c r="AQ442" i="2" s="1"/>
  <c r="AP442" i="2" a="1"/>
  <c r="AP442" i="2" s="1"/>
  <c r="AO442" i="2" a="1"/>
  <c r="AO442" i="2" s="1"/>
  <c r="AN442" i="2" a="1"/>
  <c r="AN442" i="2" s="1"/>
  <c r="AM442" i="2" a="1"/>
  <c r="AM442" i="2" s="1"/>
  <c r="AL442" i="2" a="1"/>
  <c r="AL442" i="2" s="1"/>
  <c r="AK442" i="2" a="1"/>
  <c r="AK442" i="2" s="1"/>
  <c r="AJ442" i="2" a="1"/>
  <c r="AJ442" i="2" s="1"/>
  <c r="AI442" i="2" a="1"/>
  <c r="AI442" i="2" s="1"/>
  <c r="AH442" i="2" a="1"/>
  <c r="AH442" i="2" s="1"/>
  <c r="AG442" i="2" a="1"/>
  <c r="AG442" i="2" s="1"/>
  <c r="AF442" i="2" a="1"/>
  <c r="AF442" i="2" s="1"/>
  <c r="AE442" i="2" a="1"/>
  <c r="AE442" i="2" s="1"/>
  <c r="AD442" i="2" a="1"/>
  <c r="AD442" i="2" s="1"/>
  <c r="AC442" i="2" a="1"/>
  <c r="AC442" i="2" s="1"/>
  <c r="AB442" i="2"/>
  <c r="AA442" i="2" a="1"/>
  <c r="AA442" i="2" s="1"/>
  <c r="Z442" i="2" a="1"/>
  <c r="Z442" i="2" s="1"/>
  <c r="Y442" i="2" a="1"/>
  <c r="Y442" i="2" s="1"/>
  <c r="X442" i="2" a="1"/>
  <c r="X442" i="2" s="1"/>
  <c r="W442" i="2" a="1"/>
  <c r="W442" i="2" s="1"/>
  <c r="BB442" i="2" s="1" a="1"/>
  <c r="BB442" i="2" s="1"/>
  <c r="V442" i="2" a="1"/>
  <c r="V442" i="2" s="1"/>
  <c r="E442" i="2" s="1" a="1"/>
  <c r="E442" i="2" s="1"/>
  <c r="U442" i="2" a="1"/>
  <c r="U442" i="2" s="1"/>
  <c r="T442" i="2" a="1"/>
  <c r="T442" i="2" s="1"/>
  <c r="S442" i="2" a="1"/>
  <c r="S442" i="2" s="1"/>
  <c r="R442" i="2" a="1"/>
  <c r="R442" i="2" s="1"/>
  <c r="Q442" i="2" a="1"/>
  <c r="Q442" i="2" s="1"/>
  <c r="P442" i="2" a="1"/>
  <c r="P442" i="2" s="1"/>
  <c r="O442" i="2" a="1"/>
  <c r="O442" i="2" s="1"/>
  <c r="N442" i="2" a="1"/>
  <c r="N442" i="2" s="1"/>
  <c r="M442" i="2" a="1"/>
  <c r="M442" i="2" s="1"/>
  <c r="L442" i="2" a="1"/>
  <c r="L442" i="2" s="1"/>
  <c r="K442" i="2" a="1"/>
  <c r="K442" i="2" s="1"/>
  <c r="J442" i="2" a="1"/>
  <c r="J442" i="2" s="1"/>
  <c r="I442" i="2" a="1"/>
  <c r="I442" i="2" s="1"/>
  <c r="H442" i="2" a="1"/>
  <c r="H442" i="2" s="1"/>
  <c r="F442" i="2" a="1"/>
  <c r="F442" i="2" s="1"/>
  <c r="D442" i="2" a="1"/>
  <c r="D442" i="2" s="1"/>
  <c r="B442" i="2" a="1"/>
  <c r="B442" i="2" s="1"/>
  <c r="BD441" i="2" a="1"/>
  <c r="BD441" i="2" s="1"/>
  <c r="BC441" i="2" a="1"/>
  <c r="BC441" i="2" s="1"/>
  <c r="BA441" i="2" a="1"/>
  <c r="BA441" i="2" s="1"/>
  <c r="AZ441" i="2" a="1"/>
  <c r="AZ441" i="2" s="1"/>
  <c r="AY441" i="2" a="1"/>
  <c r="AY441" i="2" s="1"/>
  <c r="AX441" i="2" a="1"/>
  <c r="AX441" i="2" s="1"/>
  <c r="AW441" i="2" a="1"/>
  <c r="AW441" i="2" s="1"/>
  <c r="AV441" i="2" a="1"/>
  <c r="AV441" i="2" s="1"/>
  <c r="AU441" i="2" a="1"/>
  <c r="AU441" i="2" s="1"/>
  <c r="AT441" i="2" a="1"/>
  <c r="AT441" i="2" s="1"/>
  <c r="AS441" i="2" a="1"/>
  <c r="AS441" i="2" s="1"/>
  <c r="AR441" i="2" a="1"/>
  <c r="AR441" i="2" s="1"/>
  <c r="AQ441" i="2" a="1"/>
  <c r="AQ441" i="2" s="1"/>
  <c r="AP441" i="2" a="1"/>
  <c r="AP441" i="2" s="1"/>
  <c r="AO441" i="2" a="1"/>
  <c r="AO441" i="2" s="1"/>
  <c r="AN441" i="2" a="1"/>
  <c r="AN441" i="2" s="1"/>
  <c r="AM441" i="2" a="1"/>
  <c r="AM441" i="2" s="1"/>
  <c r="AL441" i="2" a="1"/>
  <c r="AL441" i="2" s="1"/>
  <c r="AK441" i="2" a="1"/>
  <c r="AK441" i="2" s="1"/>
  <c r="AJ441" i="2" a="1"/>
  <c r="AJ441" i="2" s="1"/>
  <c r="AI441" i="2" a="1"/>
  <c r="AI441" i="2" s="1"/>
  <c r="AH441" i="2" a="1"/>
  <c r="AH441" i="2" s="1"/>
  <c r="AG441" i="2" a="1"/>
  <c r="AG441" i="2" s="1"/>
  <c r="AF441" i="2" a="1"/>
  <c r="AF441" i="2" s="1"/>
  <c r="AE441" i="2" a="1"/>
  <c r="AE441" i="2" s="1"/>
  <c r="AD441" i="2" a="1"/>
  <c r="AD441" i="2" s="1"/>
  <c r="AC441" i="2" a="1"/>
  <c r="AC441" i="2" s="1"/>
  <c r="AB441" i="2"/>
  <c r="AA441" i="2" a="1"/>
  <c r="AA441" i="2" s="1"/>
  <c r="Z441" i="2" a="1"/>
  <c r="Z441" i="2" s="1"/>
  <c r="Y441" i="2" a="1"/>
  <c r="Y441" i="2" s="1"/>
  <c r="X441" i="2" a="1"/>
  <c r="X441" i="2" s="1"/>
  <c r="W441" i="2" a="1"/>
  <c r="W441" i="2" s="1"/>
  <c r="BB441" i="2" s="1" a="1"/>
  <c r="BB441" i="2" s="1"/>
  <c r="V441" i="2" a="1"/>
  <c r="V441" i="2" s="1"/>
  <c r="E441" i="2" s="1" a="1"/>
  <c r="E441" i="2" s="1"/>
  <c r="U441" i="2" a="1"/>
  <c r="U441" i="2" s="1"/>
  <c r="T441" i="2" a="1"/>
  <c r="T441" i="2" s="1"/>
  <c r="S441" i="2" a="1"/>
  <c r="S441" i="2" s="1"/>
  <c r="R441" i="2" a="1"/>
  <c r="R441" i="2" s="1"/>
  <c r="Q441" i="2" a="1"/>
  <c r="Q441" i="2" s="1"/>
  <c r="P441" i="2" a="1"/>
  <c r="P441" i="2" s="1"/>
  <c r="O441" i="2" a="1"/>
  <c r="O441" i="2" s="1"/>
  <c r="N441" i="2" a="1"/>
  <c r="N441" i="2" s="1"/>
  <c r="M441" i="2" a="1"/>
  <c r="M441" i="2" s="1"/>
  <c r="L441" i="2" a="1"/>
  <c r="L441" i="2" s="1"/>
  <c r="K441" i="2" a="1"/>
  <c r="K441" i="2" s="1"/>
  <c r="J441" i="2" a="1"/>
  <c r="J441" i="2" s="1"/>
  <c r="I441" i="2" a="1"/>
  <c r="I441" i="2" s="1"/>
  <c r="H441" i="2" a="1"/>
  <c r="H441" i="2" s="1"/>
  <c r="F441" i="2" a="1"/>
  <c r="F441" i="2" s="1"/>
  <c r="D441" i="2" a="1"/>
  <c r="D441" i="2" s="1"/>
  <c r="B441" i="2" a="1"/>
  <c r="B441" i="2" s="1"/>
  <c r="BD440" i="2" a="1"/>
  <c r="BD440" i="2" s="1"/>
  <c r="BC440" i="2" a="1"/>
  <c r="BC440" i="2" s="1"/>
  <c r="BA440" i="2" a="1"/>
  <c r="BA440" i="2" s="1"/>
  <c r="AZ440" i="2" a="1"/>
  <c r="AZ440" i="2" s="1"/>
  <c r="AY440" i="2" a="1"/>
  <c r="AY440" i="2" s="1"/>
  <c r="AX440" i="2" a="1"/>
  <c r="AX440" i="2" s="1"/>
  <c r="AW440" i="2" a="1"/>
  <c r="AW440" i="2" s="1"/>
  <c r="AV440" i="2" a="1"/>
  <c r="AV440" i="2" s="1"/>
  <c r="AU440" i="2" a="1"/>
  <c r="AU440" i="2" s="1"/>
  <c r="AT440" i="2" a="1"/>
  <c r="AT440" i="2" s="1"/>
  <c r="AS440" i="2" a="1"/>
  <c r="AS440" i="2" s="1"/>
  <c r="AR440" i="2" a="1"/>
  <c r="AR440" i="2" s="1"/>
  <c r="AQ440" i="2" a="1"/>
  <c r="AQ440" i="2" s="1"/>
  <c r="AP440" i="2" a="1"/>
  <c r="AP440" i="2" s="1"/>
  <c r="AO440" i="2" a="1"/>
  <c r="AO440" i="2" s="1"/>
  <c r="AN440" i="2" a="1"/>
  <c r="AN440" i="2" s="1"/>
  <c r="AM440" i="2" a="1"/>
  <c r="AM440" i="2" s="1"/>
  <c r="AL440" i="2" a="1"/>
  <c r="AL440" i="2" s="1"/>
  <c r="AK440" i="2" a="1"/>
  <c r="AK440" i="2" s="1"/>
  <c r="AJ440" i="2" a="1"/>
  <c r="AJ440" i="2" s="1"/>
  <c r="AI440" i="2" a="1"/>
  <c r="AI440" i="2" s="1"/>
  <c r="AH440" i="2" a="1"/>
  <c r="AH440" i="2" s="1"/>
  <c r="AG440" i="2" a="1"/>
  <c r="AG440" i="2" s="1"/>
  <c r="AF440" i="2" a="1"/>
  <c r="AF440" i="2" s="1"/>
  <c r="AE440" i="2" a="1"/>
  <c r="AE440" i="2" s="1"/>
  <c r="AD440" i="2" a="1"/>
  <c r="AD440" i="2" s="1"/>
  <c r="AC440" i="2" a="1"/>
  <c r="AC440" i="2" s="1"/>
  <c r="AB440" i="2"/>
  <c r="AA440" i="2" a="1"/>
  <c r="AA440" i="2" s="1"/>
  <c r="Z440" i="2" a="1"/>
  <c r="Z440" i="2" s="1"/>
  <c r="Y440" i="2" a="1"/>
  <c r="Y440" i="2" s="1"/>
  <c r="X440" i="2" a="1"/>
  <c r="X440" i="2" s="1"/>
  <c r="W440" i="2" a="1"/>
  <c r="W440" i="2" s="1"/>
  <c r="BB440" i="2" s="1" a="1"/>
  <c r="BB440" i="2" s="1"/>
  <c r="V440" i="2" a="1"/>
  <c r="V440" i="2" s="1"/>
  <c r="E440" i="2" s="1" a="1"/>
  <c r="E440" i="2" s="1"/>
  <c r="U440" i="2" a="1"/>
  <c r="U440" i="2" s="1"/>
  <c r="T440" i="2" a="1"/>
  <c r="T440" i="2" s="1"/>
  <c r="S440" i="2" a="1"/>
  <c r="S440" i="2" s="1"/>
  <c r="R440" i="2" a="1"/>
  <c r="R440" i="2" s="1"/>
  <c r="Q440" i="2" a="1"/>
  <c r="Q440" i="2" s="1"/>
  <c r="P440" i="2" a="1"/>
  <c r="P440" i="2" s="1"/>
  <c r="O440" i="2" a="1"/>
  <c r="O440" i="2" s="1"/>
  <c r="N440" i="2" a="1"/>
  <c r="N440" i="2" s="1"/>
  <c r="M440" i="2" a="1"/>
  <c r="M440" i="2" s="1"/>
  <c r="L440" i="2" a="1"/>
  <c r="L440" i="2" s="1"/>
  <c r="K440" i="2" a="1"/>
  <c r="K440" i="2" s="1"/>
  <c r="J440" i="2" a="1"/>
  <c r="J440" i="2" s="1"/>
  <c r="I440" i="2" a="1"/>
  <c r="I440" i="2" s="1"/>
  <c r="H440" i="2" a="1"/>
  <c r="H440" i="2" s="1"/>
  <c r="F440" i="2" a="1"/>
  <c r="F440" i="2" s="1"/>
  <c r="D440" i="2" a="1"/>
  <c r="D440" i="2" s="1"/>
  <c r="B440" i="2" a="1"/>
  <c r="B440" i="2" s="1"/>
  <c r="BD439" i="2" a="1"/>
  <c r="BD439" i="2" s="1"/>
  <c r="BC439" i="2" a="1"/>
  <c r="BC439" i="2" s="1"/>
  <c r="BA439" i="2" a="1"/>
  <c r="BA439" i="2" s="1"/>
  <c r="AZ439" i="2" a="1"/>
  <c r="AZ439" i="2" s="1"/>
  <c r="AY439" i="2" a="1"/>
  <c r="AY439" i="2" s="1"/>
  <c r="AX439" i="2" a="1"/>
  <c r="AX439" i="2" s="1"/>
  <c r="AW439" i="2" a="1"/>
  <c r="AW439" i="2" s="1"/>
  <c r="AV439" i="2" a="1"/>
  <c r="AV439" i="2" s="1"/>
  <c r="AU439" i="2" a="1"/>
  <c r="AU439" i="2" s="1"/>
  <c r="AT439" i="2" a="1"/>
  <c r="AT439" i="2" s="1"/>
  <c r="AS439" i="2" a="1"/>
  <c r="AS439" i="2" s="1"/>
  <c r="AR439" i="2" a="1"/>
  <c r="AR439" i="2" s="1"/>
  <c r="AQ439" i="2" a="1"/>
  <c r="AQ439" i="2" s="1"/>
  <c r="AP439" i="2" a="1"/>
  <c r="AP439" i="2" s="1"/>
  <c r="AO439" i="2" a="1"/>
  <c r="AO439" i="2" s="1"/>
  <c r="AN439" i="2" a="1"/>
  <c r="AN439" i="2" s="1"/>
  <c r="AM439" i="2" a="1"/>
  <c r="AM439" i="2" s="1"/>
  <c r="AL439" i="2" a="1"/>
  <c r="AL439" i="2" s="1"/>
  <c r="AK439" i="2" a="1"/>
  <c r="AK439" i="2" s="1"/>
  <c r="AJ439" i="2" a="1"/>
  <c r="AJ439" i="2" s="1"/>
  <c r="AI439" i="2" a="1"/>
  <c r="AI439" i="2" s="1"/>
  <c r="AH439" i="2" a="1"/>
  <c r="AH439" i="2" s="1"/>
  <c r="AG439" i="2" a="1"/>
  <c r="AG439" i="2" s="1"/>
  <c r="AF439" i="2" a="1"/>
  <c r="AF439" i="2" s="1"/>
  <c r="AE439" i="2" a="1"/>
  <c r="AE439" i="2" s="1"/>
  <c r="AD439" i="2" a="1"/>
  <c r="AD439" i="2" s="1"/>
  <c r="AC439" i="2" a="1"/>
  <c r="AC439" i="2" s="1"/>
  <c r="AB439" i="2"/>
  <c r="AA439" i="2" a="1"/>
  <c r="AA439" i="2" s="1"/>
  <c r="Z439" i="2" a="1"/>
  <c r="Z439" i="2" s="1"/>
  <c r="Y439" i="2" a="1"/>
  <c r="Y439" i="2" s="1"/>
  <c r="X439" i="2" a="1"/>
  <c r="X439" i="2" s="1"/>
  <c r="W439" i="2" a="1"/>
  <c r="W439" i="2" s="1"/>
  <c r="BB439" i="2" s="1" a="1"/>
  <c r="BB439" i="2" s="1"/>
  <c r="V439" i="2" a="1"/>
  <c r="V439" i="2" s="1"/>
  <c r="E439" i="2" s="1" a="1"/>
  <c r="E439" i="2" s="1"/>
  <c r="U439" i="2" a="1"/>
  <c r="U439" i="2" s="1"/>
  <c r="T439" i="2" a="1"/>
  <c r="T439" i="2" s="1"/>
  <c r="S439" i="2" a="1"/>
  <c r="S439" i="2" s="1"/>
  <c r="R439" i="2" a="1"/>
  <c r="R439" i="2" s="1"/>
  <c r="Q439" i="2" a="1"/>
  <c r="Q439" i="2" s="1"/>
  <c r="P439" i="2" a="1"/>
  <c r="P439" i="2" s="1"/>
  <c r="O439" i="2" a="1"/>
  <c r="O439" i="2" s="1"/>
  <c r="N439" i="2" a="1"/>
  <c r="N439" i="2" s="1"/>
  <c r="M439" i="2" a="1"/>
  <c r="M439" i="2" s="1"/>
  <c r="L439" i="2" a="1"/>
  <c r="L439" i="2" s="1"/>
  <c r="K439" i="2" a="1"/>
  <c r="K439" i="2" s="1"/>
  <c r="J439" i="2" a="1"/>
  <c r="J439" i="2" s="1"/>
  <c r="I439" i="2" a="1"/>
  <c r="I439" i="2" s="1"/>
  <c r="H439" i="2" a="1"/>
  <c r="H439" i="2" s="1"/>
  <c r="F439" i="2" a="1"/>
  <c r="F439" i="2" s="1"/>
  <c r="D439" i="2" a="1"/>
  <c r="D439" i="2" s="1"/>
  <c r="B439" i="2" a="1"/>
  <c r="B439" i="2" s="1"/>
  <c r="BD438" i="2" a="1"/>
  <c r="BD438" i="2" s="1"/>
  <c r="BC438" i="2" a="1"/>
  <c r="BC438" i="2" s="1"/>
  <c r="BA438" i="2" a="1"/>
  <c r="BA438" i="2" s="1"/>
  <c r="AZ438" i="2" a="1"/>
  <c r="AZ438" i="2" s="1"/>
  <c r="AY438" i="2" a="1"/>
  <c r="AY438" i="2" s="1"/>
  <c r="AX438" i="2" a="1"/>
  <c r="AX438" i="2" s="1"/>
  <c r="AW438" i="2" a="1"/>
  <c r="AW438" i="2" s="1"/>
  <c r="AV438" i="2" a="1"/>
  <c r="AV438" i="2" s="1"/>
  <c r="AU438" i="2" a="1"/>
  <c r="AU438" i="2" s="1"/>
  <c r="AT438" i="2" a="1"/>
  <c r="AT438" i="2" s="1"/>
  <c r="AS438" i="2" a="1"/>
  <c r="AS438" i="2" s="1"/>
  <c r="AR438" i="2" a="1"/>
  <c r="AR438" i="2" s="1"/>
  <c r="AQ438" i="2" a="1"/>
  <c r="AQ438" i="2" s="1"/>
  <c r="AP438" i="2" a="1"/>
  <c r="AP438" i="2" s="1"/>
  <c r="AO438" i="2" a="1"/>
  <c r="AO438" i="2" s="1"/>
  <c r="AN438" i="2" a="1"/>
  <c r="AN438" i="2" s="1"/>
  <c r="AM438" i="2" a="1"/>
  <c r="AM438" i="2" s="1"/>
  <c r="AL438" i="2" a="1"/>
  <c r="AL438" i="2" s="1"/>
  <c r="AK438" i="2" a="1"/>
  <c r="AK438" i="2" s="1"/>
  <c r="AJ438" i="2" a="1"/>
  <c r="AJ438" i="2" s="1"/>
  <c r="AI438" i="2" a="1"/>
  <c r="AI438" i="2" s="1"/>
  <c r="AH438" i="2" a="1"/>
  <c r="AH438" i="2" s="1"/>
  <c r="AG438" i="2" a="1"/>
  <c r="AG438" i="2" s="1"/>
  <c r="AF438" i="2" a="1"/>
  <c r="AF438" i="2" s="1"/>
  <c r="AE438" i="2" a="1"/>
  <c r="AE438" i="2" s="1"/>
  <c r="AD438" i="2" a="1"/>
  <c r="AD438" i="2" s="1"/>
  <c r="AC438" i="2" a="1"/>
  <c r="AC438" i="2" s="1"/>
  <c r="AB438" i="2"/>
  <c r="AA438" i="2" a="1"/>
  <c r="AA438" i="2" s="1"/>
  <c r="Z438" i="2" a="1"/>
  <c r="Z438" i="2" s="1"/>
  <c r="Y438" i="2" a="1"/>
  <c r="Y438" i="2" s="1"/>
  <c r="X438" i="2" a="1"/>
  <c r="X438" i="2" s="1"/>
  <c r="W438" i="2" a="1"/>
  <c r="W438" i="2" s="1"/>
  <c r="BB438" i="2" s="1" a="1"/>
  <c r="BB438" i="2" s="1"/>
  <c r="V438" i="2" a="1"/>
  <c r="V438" i="2" s="1"/>
  <c r="E438" i="2" s="1" a="1"/>
  <c r="E438" i="2" s="1"/>
  <c r="U438" i="2" a="1"/>
  <c r="U438" i="2" s="1"/>
  <c r="T438" i="2" a="1"/>
  <c r="T438" i="2" s="1"/>
  <c r="S438" i="2" a="1"/>
  <c r="S438" i="2" s="1"/>
  <c r="R438" i="2" a="1"/>
  <c r="R438" i="2" s="1"/>
  <c r="Q438" i="2" a="1"/>
  <c r="Q438" i="2" s="1"/>
  <c r="P438" i="2" a="1"/>
  <c r="P438" i="2" s="1"/>
  <c r="O438" i="2" a="1"/>
  <c r="O438" i="2" s="1"/>
  <c r="N438" i="2" a="1"/>
  <c r="N438" i="2" s="1"/>
  <c r="M438" i="2" a="1"/>
  <c r="M438" i="2" s="1"/>
  <c r="L438" i="2" a="1"/>
  <c r="L438" i="2" s="1"/>
  <c r="K438" i="2" a="1"/>
  <c r="K438" i="2" s="1"/>
  <c r="J438" i="2" a="1"/>
  <c r="J438" i="2" s="1"/>
  <c r="I438" i="2" a="1"/>
  <c r="I438" i="2" s="1"/>
  <c r="H438" i="2" a="1"/>
  <c r="H438" i="2" s="1"/>
  <c r="F438" i="2" a="1"/>
  <c r="F438" i="2" s="1"/>
  <c r="D438" i="2" a="1"/>
  <c r="D438" i="2" s="1"/>
  <c r="B438" i="2" a="1"/>
  <c r="B438" i="2" s="1"/>
  <c r="BD437" i="2" a="1"/>
  <c r="BD437" i="2" s="1"/>
  <c r="BC437" i="2" a="1"/>
  <c r="BC437" i="2" s="1"/>
  <c r="BA437" i="2" a="1"/>
  <c r="BA437" i="2" s="1"/>
  <c r="AZ437" i="2" a="1"/>
  <c r="AZ437" i="2" s="1"/>
  <c r="AY437" i="2" a="1"/>
  <c r="AY437" i="2" s="1"/>
  <c r="AX437" i="2" a="1"/>
  <c r="AX437" i="2" s="1"/>
  <c r="AW437" i="2" a="1"/>
  <c r="AW437" i="2" s="1"/>
  <c r="AV437" i="2" a="1"/>
  <c r="AV437" i="2" s="1"/>
  <c r="AU437" i="2" a="1"/>
  <c r="AU437" i="2" s="1"/>
  <c r="AT437" i="2" a="1"/>
  <c r="AT437" i="2" s="1"/>
  <c r="AS437" i="2" a="1"/>
  <c r="AS437" i="2" s="1"/>
  <c r="AR437" i="2" a="1"/>
  <c r="AR437" i="2" s="1"/>
  <c r="AQ437" i="2" a="1"/>
  <c r="AQ437" i="2" s="1"/>
  <c r="AP437" i="2" a="1"/>
  <c r="AP437" i="2" s="1"/>
  <c r="AO437" i="2" a="1"/>
  <c r="AO437" i="2" s="1"/>
  <c r="AN437" i="2" a="1"/>
  <c r="AN437" i="2" s="1"/>
  <c r="AM437" i="2" a="1"/>
  <c r="AM437" i="2" s="1"/>
  <c r="AL437" i="2" a="1"/>
  <c r="AL437" i="2" s="1"/>
  <c r="AK437" i="2" a="1"/>
  <c r="AK437" i="2" s="1"/>
  <c r="AJ437" i="2" a="1"/>
  <c r="AJ437" i="2" s="1"/>
  <c r="AI437" i="2" a="1"/>
  <c r="AI437" i="2" s="1"/>
  <c r="AH437" i="2" a="1"/>
  <c r="AH437" i="2" s="1"/>
  <c r="AG437" i="2" a="1"/>
  <c r="AG437" i="2" s="1"/>
  <c r="AF437" i="2" a="1"/>
  <c r="AF437" i="2" s="1"/>
  <c r="AE437" i="2" a="1"/>
  <c r="AE437" i="2" s="1"/>
  <c r="AD437" i="2" a="1"/>
  <c r="AD437" i="2" s="1"/>
  <c r="AC437" i="2" a="1"/>
  <c r="AC437" i="2" s="1"/>
  <c r="AB437" i="2"/>
  <c r="AA437" i="2" a="1"/>
  <c r="AA437" i="2" s="1"/>
  <c r="Z437" i="2" a="1"/>
  <c r="Z437" i="2" s="1"/>
  <c r="Y437" i="2" a="1"/>
  <c r="Y437" i="2" s="1"/>
  <c r="X437" i="2" a="1"/>
  <c r="X437" i="2" s="1"/>
  <c r="W437" i="2" a="1"/>
  <c r="W437" i="2" s="1"/>
  <c r="BB437" i="2" s="1" a="1"/>
  <c r="BB437" i="2" s="1"/>
  <c r="V437" i="2" a="1"/>
  <c r="V437" i="2" s="1"/>
  <c r="E437" i="2" s="1" a="1"/>
  <c r="E437" i="2" s="1"/>
  <c r="U437" i="2" a="1"/>
  <c r="U437" i="2" s="1"/>
  <c r="T437" i="2" a="1"/>
  <c r="T437" i="2" s="1"/>
  <c r="S437" i="2" a="1"/>
  <c r="S437" i="2" s="1"/>
  <c r="R437" i="2" a="1"/>
  <c r="R437" i="2" s="1"/>
  <c r="Q437" i="2" a="1"/>
  <c r="Q437" i="2" s="1"/>
  <c r="P437" i="2" a="1"/>
  <c r="P437" i="2" s="1"/>
  <c r="O437" i="2" a="1"/>
  <c r="O437" i="2" s="1"/>
  <c r="N437" i="2" a="1"/>
  <c r="N437" i="2" s="1"/>
  <c r="M437" i="2" a="1"/>
  <c r="M437" i="2" s="1"/>
  <c r="L437" i="2" a="1"/>
  <c r="L437" i="2" s="1"/>
  <c r="K437" i="2" a="1"/>
  <c r="K437" i="2" s="1"/>
  <c r="J437" i="2" a="1"/>
  <c r="J437" i="2" s="1"/>
  <c r="I437" i="2" a="1"/>
  <c r="I437" i="2" s="1"/>
  <c r="H437" i="2" a="1"/>
  <c r="H437" i="2" s="1"/>
  <c r="F437" i="2" a="1"/>
  <c r="F437" i="2" s="1"/>
  <c r="D437" i="2" a="1"/>
  <c r="D437" i="2" s="1"/>
  <c r="B437" i="2" a="1"/>
  <c r="B437" i="2" s="1"/>
  <c r="BD436" i="2" a="1"/>
  <c r="BD436" i="2" s="1"/>
  <c r="BC436" i="2" a="1"/>
  <c r="BC436" i="2" s="1"/>
  <c r="BA436" i="2" a="1"/>
  <c r="BA436" i="2" s="1"/>
  <c r="AZ436" i="2" a="1"/>
  <c r="AZ436" i="2" s="1"/>
  <c r="AY436" i="2" a="1"/>
  <c r="AY436" i="2" s="1"/>
  <c r="AX436" i="2" a="1"/>
  <c r="AX436" i="2" s="1"/>
  <c r="AW436" i="2" a="1"/>
  <c r="AW436" i="2" s="1"/>
  <c r="AV436" i="2" a="1"/>
  <c r="AV436" i="2" s="1"/>
  <c r="AU436" i="2" a="1"/>
  <c r="AU436" i="2" s="1"/>
  <c r="AT436" i="2" a="1"/>
  <c r="AT436" i="2" s="1"/>
  <c r="AS436" i="2" a="1"/>
  <c r="AS436" i="2" s="1"/>
  <c r="AR436" i="2" a="1"/>
  <c r="AR436" i="2" s="1"/>
  <c r="AQ436" i="2" a="1"/>
  <c r="AQ436" i="2" s="1"/>
  <c r="AP436" i="2" a="1"/>
  <c r="AP436" i="2" s="1"/>
  <c r="AO436" i="2" a="1"/>
  <c r="AO436" i="2" s="1"/>
  <c r="AN436" i="2" a="1"/>
  <c r="AN436" i="2" s="1"/>
  <c r="AM436" i="2" a="1"/>
  <c r="AM436" i="2" s="1"/>
  <c r="AL436" i="2" a="1"/>
  <c r="AL436" i="2" s="1"/>
  <c r="AK436" i="2" a="1"/>
  <c r="AK436" i="2" s="1"/>
  <c r="AJ436" i="2" a="1"/>
  <c r="AJ436" i="2" s="1"/>
  <c r="AI436" i="2" a="1"/>
  <c r="AI436" i="2" s="1"/>
  <c r="AH436" i="2" a="1"/>
  <c r="AH436" i="2" s="1"/>
  <c r="AG436" i="2" a="1"/>
  <c r="AG436" i="2" s="1"/>
  <c r="AF436" i="2" a="1"/>
  <c r="AF436" i="2" s="1"/>
  <c r="AE436" i="2" a="1"/>
  <c r="AE436" i="2" s="1"/>
  <c r="AD436" i="2" a="1"/>
  <c r="AD436" i="2" s="1"/>
  <c r="AC436" i="2" a="1"/>
  <c r="AC436" i="2" s="1"/>
  <c r="AB436" i="2"/>
  <c r="AA436" i="2" a="1"/>
  <c r="AA436" i="2" s="1"/>
  <c r="Z436" i="2" a="1"/>
  <c r="Z436" i="2" s="1"/>
  <c r="Y436" i="2" a="1"/>
  <c r="Y436" i="2" s="1"/>
  <c r="X436" i="2" a="1"/>
  <c r="X436" i="2" s="1"/>
  <c r="W436" i="2" a="1"/>
  <c r="W436" i="2" s="1"/>
  <c r="BB436" i="2" s="1" a="1"/>
  <c r="BB436" i="2" s="1"/>
  <c r="V436" i="2" a="1"/>
  <c r="V436" i="2" s="1"/>
  <c r="E436" i="2" s="1" a="1"/>
  <c r="E436" i="2" s="1"/>
  <c r="U436" i="2" a="1"/>
  <c r="U436" i="2" s="1"/>
  <c r="T436" i="2" a="1"/>
  <c r="T436" i="2" s="1"/>
  <c r="S436" i="2" a="1"/>
  <c r="S436" i="2" s="1"/>
  <c r="R436" i="2" a="1"/>
  <c r="R436" i="2" s="1"/>
  <c r="Q436" i="2" a="1"/>
  <c r="Q436" i="2" s="1"/>
  <c r="P436" i="2" a="1"/>
  <c r="P436" i="2" s="1"/>
  <c r="O436" i="2" a="1"/>
  <c r="O436" i="2" s="1"/>
  <c r="N436" i="2" a="1"/>
  <c r="N436" i="2" s="1"/>
  <c r="M436" i="2" a="1"/>
  <c r="M436" i="2" s="1"/>
  <c r="L436" i="2" a="1"/>
  <c r="L436" i="2" s="1"/>
  <c r="K436" i="2" a="1"/>
  <c r="K436" i="2" s="1"/>
  <c r="J436" i="2" a="1"/>
  <c r="J436" i="2" s="1"/>
  <c r="I436" i="2" a="1"/>
  <c r="I436" i="2" s="1"/>
  <c r="H436" i="2" a="1"/>
  <c r="H436" i="2" s="1"/>
  <c r="F436" i="2" a="1"/>
  <c r="F436" i="2" s="1"/>
  <c r="D436" i="2" a="1"/>
  <c r="D436" i="2" s="1"/>
  <c r="B436" i="2" a="1"/>
  <c r="B436" i="2" s="1"/>
  <c r="BD435" i="2" a="1"/>
  <c r="BD435" i="2" s="1"/>
  <c r="BC435" i="2" a="1"/>
  <c r="BC435" i="2" s="1"/>
  <c r="BA435" i="2" a="1"/>
  <c r="BA435" i="2" s="1"/>
  <c r="AZ435" i="2" a="1"/>
  <c r="AZ435" i="2" s="1"/>
  <c r="AY435" i="2" a="1"/>
  <c r="AY435" i="2" s="1"/>
  <c r="AX435" i="2" a="1"/>
  <c r="AX435" i="2" s="1"/>
  <c r="AW435" i="2" a="1"/>
  <c r="AW435" i="2" s="1"/>
  <c r="AV435" i="2" a="1"/>
  <c r="AV435" i="2" s="1"/>
  <c r="AU435" i="2" a="1"/>
  <c r="AU435" i="2" s="1"/>
  <c r="AT435" i="2" a="1"/>
  <c r="AT435" i="2" s="1"/>
  <c r="AS435" i="2" a="1"/>
  <c r="AS435" i="2" s="1"/>
  <c r="AR435" i="2" a="1"/>
  <c r="AR435" i="2" s="1"/>
  <c r="AQ435" i="2" a="1"/>
  <c r="AQ435" i="2" s="1"/>
  <c r="AP435" i="2" a="1"/>
  <c r="AP435" i="2" s="1"/>
  <c r="AO435" i="2" a="1"/>
  <c r="AO435" i="2" s="1"/>
  <c r="AN435" i="2" a="1"/>
  <c r="AN435" i="2" s="1"/>
  <c r="AM435" i="2" a="1"/>
  <c r="AM435" i="2" s="1"/>
  <c r="AL435" i="2" a="1"/>
  <c r="AL435" i="2" s="1"/>
  <c r="AK435" i="2" a="1"/>
  <c r="AK435" i="2" s="1"/>
  <c r="AI435" i="2" a="1"/>
  <c r="AI435" i="2" s="1"/>
  <c r="AH435" i="2" a="1"/>
  <c r="AH435" i="2" s="1"/>
  <c r="AG435" i="2" a="1"/>
  <c r="AG435" i="2" s="1"/>
  <c r="AF435" i="2" a="1"/>
  <c r="AF435" i="2" s="1"/>
  <c r="AE435" i="2" a="1"/>
  <c r="AE435" i="2" s="1"/>
  <c r="AD435" i="2" a="1"/>
  <c r="AD435" i="2" s="1"/>
  <c r="AC435" i="2" a="1"/>
  <c r="AC435" i="2" s="1"/>
  <c r="AB435" i="2"/>
  <c r="AA435" i="2" a="1"/>
  <c r="AA435" i="2" s="1"/>
  <c r="Z435" i="2" a="1"/>
  <c r="Z435" i="2" s="1"/>
  <c r="Y435" i="2" a="1"/>
  <c r="Y435" i="2" s="1"/>
  <c r="X435" i="2" a="1"/>
  <c r="X435" i="2" s="1"/>
  <c r="W435" i="2" a="1"/>
  <c r="W435" i="2" s="1"/>
  <c r="BB435" i="2" s="1" a="1"/>
  <c r="BB435" i="2" s="1"/>
  <c r="V435" i="2" a="1"/>
  <c r="V435" i="2" s="1"/>
  <c r="E435" i="2" s="1" a="1"/>
  <c r="E435" i="2" s="1"/>
  <c r="U435" i="2" a="1"/>
  <c r="U435" i="2" s="1"/>
  <c r="T435" i="2" a="1"/>
  <c r="T435" i="2" s="1"/>
  <c r="S435" i="2" a="1"/>
  <c r="S435" i="2" s="1"/>
  <c r="R435" i="2" a="1"/>
  <c r="R435" i="2" s="1"/>
  <c r="Q435" i="2" a="1"/>
  <c r="Q435" i="2" s="1"/>
  <c r="P435" i="2" a="1"/>
  <c r="P435" i="2" s="1"/>
  <c r="O435" i="2" a="1"/>
  <c r="O435" i="2" s="1"/>
  <c r="N435" i="2" a="1"/>
  <c r="N435" i="2" s="1"/>
  <c r="M435" i="2" a="1"/>
  <c r="M435" i="2" s="1"/>
  <c r="L435" i="2" a="1"/>
  <c r="L435" i="2" s="1"/>
  <c r="K435" i="2" a="1"/>
  <c r="K435" i="2" s="1"/>
  <c r="J435" i="2" a="1"/>
  <c r="J435" i="2" s="1"/>
  <c r="I435" i="2" a="1"/>
  <c r="I435" i="2" s="1"/>
  <c r="H435" i="2" a="1"/>
  <c r="H435" i="2" s="1"/>
  <c r="F435" i="2" a="1"/>
  <c r="F435" i="2" s="1"/>
  <c r="D435" i="2" a="1"/>
  <c r="D435" i="2" s="1"/>
  <c r="B435" i="2" a="1"/>
  <c r="B435" i="2" s="1"/>
  <c r="BD434" i="2" a="1"/>
  <c r="BD434" i="2" s="1"/>
  <c r="BC434" i="2" a="1"/>
  <c r="BC434" i="2" s="1"/>
  <c r="BA434" i="2" a="1"/>
  <c r="BA434" i="2" s="1"/>
  <c r="AZ434" i="2" a="1"/>
  <c r="AZ434" i="2" s="1"/>
  <c r="AY434" i="2" a="1"/>
  <c r="AY434" i="2" s="1"/>
  <c r="AX434" i="2" a="1"/>
  <c r="AX434" i="2" s="1"/>
  <c r="AW434" i="2" a="1"/>
  <c r="AW434" i="2" s="1"/>
  <c r="AV434" i="2" a="1"/>
  <c r="AV434" i="2" s="1"/>
  <c r="AU434" i="2" a="1"/>
  <c r="AU434" i="2" s="1"/>
  <c r="AT434" i="2" a="1"/>
  <c r="AT434" i="2" s="1"/>
  <c r="AS434" i="2" a="1"/>
  <c r="AS434" i="2" s="1"/>
  <c r="AR434" i="2" a="1"/>
  <c r="AR434" i="2" s="1"/>
  <c r="AQ434" i="2" a="1"/>
  <c r="AQ434" i="2" s="1"/>
  <c r="AP434" i="2" a="1"/>
  <c r="AP434" i="2" s="1"/>
  <c r="AO434" i="2" a="1"/>
  <c r="AO434" i="2" s="1"/>
  <c r="AN434" i="2" a="1"/>
  <c r="AN434" i="2" s="1"/>
  <c r="AM434" i="2" a="1"/>
  <c r="AM434" i="2" s="1"/>
  <c r="AL434" i="2" a="1"/>
  <c r="AL434" i="2" s="1"/>
  <c r="AK434" i="2" a="1"/>
  <c r="AK434" i="2" s="1"/>
  <c r="AJ434" i="2" a="1"/>
  <c r="AJ434" i="2" s="1"/>
  <c r="AI434" i="2" a="1"/>
  <c r="AI434" i="2" s="1"/>
  <c r="AH434" i="2" a="1"/>
  <c r="AH434" i="2" s="1"/>
  <c r="AG434" i="2" a="1"/>
  <c r="AG434" i="2" s="1"/>
  <c r="AF434" i="2" a="1"/>
  <c r="AF434" i="2" s="1"/>
  <c r="AE434" i="2" a="1"/>
  <c r="AE434" i="2" s="1"/>
  <c r="AD434" i="2" a="1"/>
  <c r="AD434" i="2" s="1"/>
  <c r="AC434" i="2" a="1"/>
  <c r="AC434" i="2" s="1"/>
  <c r="AB434" i="2"/>
  <c r="AA434" i="2" a="1"/>
  <c r="AA434" i="2" s="1"/>
  <c r="Z434" i="2" a="1"/>
  <c r="Z434" i="2" s="1"/>
  <c r="Y434" i="2" a="1"/>
  <c r="Y434" i="2" s="1"/>
  <c r="X434" i="2" a="1"/>
  <c r="X434" i="2" s="1"/>
  <c r="W434" i="2" a="1"/>
  <c r="W434" i="2" s="1"/>
  <c r="BB434" i="2" s="1" a="1"/>
  <c r="BB434" i="2" s="1"/>
  <c r="V434" i="2" a="1"/>
  <c r="V434" i="2" s="1"/>
  <c r="E434" i="2" s="1" a="1"/>
  <c r="E434" i="2" s="1"/>
  <c r="U434" i="2" a="1"/>
  <c r="U434" i="2" s="1"/>
  <c r="T434" i="2" a="1"/>
  <c r="T434" i="2" s="1"/>
  <c r="S434" i="2" a="1"/>
  <c r="S434" i="2" s="1"/>
  <c r="R434" i="2" a="1"/>
  <c r="R434" i="2" s="1"/>
  <c r="Q434" i="2" a="1"/>
  <c r="Q434" i="2" s="1"/>
  <c r="P434" i="2" a="1"/>
  <c r="P434" i="2" s="1"/>
  <c r="O434" i="2" a="1"/>
  <c r="O434" i="2" s="1"/>
  <c r="N434" i="2" a="1"/>
  <c r="N434" i="2" s="1"/>
  <c r="M434" i="2" a="1"/>
  <c r="M434" i="2" s="1"/>
  <c r="L434" i="2" a="1"/>
  <c r="L434" i="2" s="1"/>
  <c r="K434" i="2" a="1"/>
  <c r="K434" i="2" s="1"/>
  <c r="J434" i="2" a="1"/>
  <c r="J434" i="2" s="1"/>
  <c r="I434" i="2" a="1"/>
  <c r="I434" i="2" s="1"/>
  <c r="H434" i="2" a="1"/>
  <c r="H434" i="2" s="1"/>
  <c r="F434" i="2" a="1"/>
  <c r="F434" i="2" s="1"/>
  <c r="D434" i="2" a="1"/>
  <c r="D434" i="2" s="1"/>
  <c r="B434" i="2" a="1"/>
  <c r="B434" i="2" s="1"/>
  <c r="BD432" i="2" a="1"/>
  <c r="BD432" i="2" s="1"/>
  <c r="BC432" i="2" a="1"/>
  <c r="BC432" i="2" s="1"/>
  <c r="BA432" i="2" a="1"/>
  <c r="BA432" i="2" s="1"/>
  <c r="AZ432" i="2" a="1"/>
  <c r="AZ432" i="2" s="1"/>
  <c r="AY432" i="2" a="1"/>
  <c r="AY432" i="2" s="1"/>
  <c r="AX432" i="2" a="1"/>
  <c r="AX432" i="2" s="1"/>
  <c r="AW432" i="2" a="1"/>
  <c r="AW432" i="2" s="1"/>
  <c r="AV432" i="2" a="1"/>
  <c r="AV432" i="2" s="1"/>
  <c r="AU432" i="2" a="1"/>
  <c r="AU432" i="2" s="1"/>
  <c r="AT432" i="2" a="1"/>
  <c r="AT432" i="2" s="1"/>
  <c r="AS432" i="2" a="1"/>
  <c r="AS432" i="2" s="1"/>
  <c r="AR432" i="2" a="1"/>
  <c r="AR432" i="2" s="1"/>
  <c r="AQ432" i="2" a="1"/>
  <c r="AQ432" i="2" s="1"/>
  <c r="AP432" i="2" a="1"/>
  <c r="AP432" i="2" s="1"/>
  <c r="AO432" i="2" a="1"/>
  <c r="AO432" i="2" s="1"/>
  <c r="AN432" i="2" a="1"/>
  <c r="AN432" i="2" s="1"/>
  <c r="AM432" i="2" a="1"/>
  <c r="AM432" i="2" s="1"/>
  <c r="AL432" i="2" a="1"/>
  <c r="AL432" i="2" s="1"/>
  <c r="AK432" i="2" a="1"/>
  <c r="AK432" i="2" s="1"/>
  <c r="AJ432" i="2" a="1"/>
  <c r="AJ432" i="2" s="1"/>
  <c r="AI432" i="2" a="1"/>
  <c r="AI432" i="2" s="1"/>
  <c r="AH432" i="2" a="1"/>
  <c r="AH432" i="2" s="1"/>
  <c r="AG432" i="2" a="1"/>
  <c r="AG432" i="2" s="1"/>
  <c r="AF432" i="2" a="1"/>
  <c r="AF432" i="2" s="1"/>
  <c r="AE432" i="2" a="1"/>
  <c r="AE432" i="2" s="1"/>
  <c r="AD432" i="2" a="1"/>
  <c r="AD432" i="2" s="1"/>
  <c r="AC432" i="2" a="1"/>
  <c r="AC432" i="2" s="1"/>
  <c r="AB432" i="2"/>
  <c r="AA432" i="2" a="1"/>
  <c r="AA432" i="2" s="1"/>
  <c r="Z432" i="2" a="1"/>
  <c r="Z432" i="2" s="1"/>
  <c r="Y432" i="2" a="1"/>
  <c r="Y432" i="2" s="1"/>
  <c r="X432" i="2" a="1"/>
  <c r="X432" i="2" s="1"/>
  <c r="W432" i="2" a="1"/>
  <c r="W432" i="2" s="1"/>
  <c r="BB432" i="2" s="1" a="1"/>
  <c r="BB432" i="2" s="1"/>
  <c r="V432" i="2" a="1"/>
  <c r="V432" i="2" s="1"/>
  <c r="E432" i="2" s="1" a="1"/>
  <c r="E432" i="2" s="1"/>
  <c r="U432" i="2" a="1"/>
  <c r="U432" i="2" s="1"/>
  <c r="T432" i="2" a="1"/>
  <c r="T432" i="2" s="1"/>
  <c r="S432" i="2" a="1"/>
  <c r="S432" i="2" s="1"/>
  <c r="R432" i="2" a="1"/>
  <c r="R432" i="2" s="1"/>
  <c r="Q432" i="2" a="1"/>
  <c r="Q432" i="2" s="1"/>
  <c r="P432" i="2" a="1"/>
  <c r="P432" i="2" s="1"/>
  <c r="O432" i="2" a="1"/>
  <c r="O432" i="2" s="1"/>
  <c r="N432" i="2" a="1"/>
  <c r="N432" i="2" s="1"/>
  <c r="M432" i="2" a="1"/>
  <c r="M432" i="2" s="1"/>
  <c r="L432" i="2" a="1"/>
  <c r="L432" i="2" s="1"/>
  <c r="K432" i="2" a="1"/>
  <c r="K432" i="2" s="1"/>
  <c r="J432" i="2" a="1"/>
  <c r="J432" i="2" s="1"/>
  <c r="I432" i="2" a="1"/>
  <c r="I432" i="2" s="1"/>
  <c r="H432" i="2" a="1"/>
  <c r="H432" i="2" s="1"/>
  <c r="F432" i="2" a="1"/>
  <c r="F432" i="2" s="1"/>
  <c r="D432" i="2" a="1"/>
  <c r="D432" i="2" s="1"/>
  <c r="B432" i="2" a="1"/>
  <c r="B432" i="2" s="1"/>
  <c r="BD431" i="2" a="1"/>
  <c r="BD431" i="2" s="1"/>
  <c r="BC431" i="2" a="1"/>
  <c r="BC431" i="2" s="1"/>
  <c r="BA431" i="2" a="1"/>
  <c r="BA431" i="2" s="1"/>
  <c r="AZ431" i="2" a="1"/>
  <c r="AZ431" i="2" s="1"/>
  <c r="AY431" i="2" a="1"/>
  <c r="AY431" i="2" s="1"/>
  <c r="AX431" i="2" a="1"/>
  <c r="AX431" i="2" s="1"/>
  <c r="AW431" i="2" a="1"/>
  <c r="AW431" i="2" s="1"/>
  <c r="AV431" i="2" a="1"/>
  <c r="AV431" i="2" s="1"/>
  <c r="AU431" i="2" a="1"/>
  <c r="AU431" i="2" s="1"/>
  <c r="AT431" i="2" a="1"/>
  <c r="AT431" i="2" s="1"/>
  <c r="AS431" i="2" a="1"/>
  <c r="AS431" i="2" s="1"/>
  <c r="AR431" i="2" a="1"/>
  <c r="AR431" i="2" s="1"/>
  <c r="AQ431" i="2" a="1"/>
  <c r="AQ431" i="2" s="1"/>
  <c r="AP431" i="2" a="1"/>
  <c r="AP431" i="2" s="1"/>
  <c r="AO431" i="2" a="1"/>
  <c r="AO431" i="2" s="1"/>
  <c r="AN431" i="2" a="1"/>
  <c r="AN431" i="2" s="1"/>
  <c r="AM431" i="2" a="1"/>
  <c r="AM431" i="2" s="1"/>
  <c r="AL431" i="2" a="1"/>
  <c r="AL431" i="2" s="1"/>
  <c r="AK431" i="2" a="1"/>
  <c r="AK431" i="2" s="1"/>
  <c r="AJ431" i="2" a="1"/>
  <c r="AJ431" i="2" s="1"/>
  <c r="AI431" i="2" a="1"/>
  <c r="AI431" i="2" s="1"/>
  <c r="AH431" i="2" a="1"/>
  <c r="AH431" i="2" s="1"/>
  <c r="AG431" i="2" a="1"/>
  <c r="AG431" i="2" s="1"/>
  <c r="AF431" i="2" a="1"/>
  <c r="AF431" i="2" s="1"/>
  <c r="AE431" i="2" a="1"/>
  <c r="AE431" i="2" s="1"/>
  <c r="AD431" i="2" a="1"/>
  <c r="AD431" i="2" s="1"/>
  <c r="AC431" i="2" a="1"/>
  <c r="AC431" i="2" s="1"/>
  <c r="AB431" i="2"/>
  <c r="AA431" i="2" a="1"/>
  <c r="AA431" i="2" s="1"/>
  <c r="Z431" i="2" a="1"/>
  <c r="Z431" i="2" s="1"/>
  <c r="Y431" i="2" a="1"/>
  <c r="Y431" i="2" s="1"/>
  <c r="X431" i="2" a="1"/>
  <c r="X431" i="2" s="1"/>
  <c r="W431" i="2" a="1"/>
  <c r="W431" i="2" s="1"/>
  <c r="BB431" i="2" s="1" a="1"/>
  <c r="BB431" i="2" s="1"/>
  <c r="V431" i="2" a="1"/>
  <c r="V431" i="2" s="1"/>
  <c r="E431" i="2" s="1" a="1"/>
  <c r="E431" i="2" s="1"/>
  <c r="U431" i="2" a="1"/>
  <c r="U431" i="2" s="1"/>
  <c r="T431" i="2" a="1"/>
  <c r="T431" i="2" s="1"/>
  <c r="S431" i="2" a="1"/>
  <c r="S431" i="2" s="1"/>
  <c r="R431" i="2" a="1"/>
  <c r="R431" i="2" s="1"/>
  <c r="Q431" i="2" a="1"/>
  <c r="Q431" i="2" s="1"/>
  <c r="P431" i="2" a="1"/>
  <c r="P431" i="2" s="1"/>
  <c r="O431" i="2" a="1"/>
  <c r="O431" i="2" s="1"/>
  <c r="N431" i="2" a="1"/>
  <c r="N431" i="2" s="1"/>
  <c r="M431" i="2" a="1"/>
  <c r="M431" i="2" s="1"/>
  <c r="L431" i="2" a="1"/>
  <c r="L431" i="2" s="1"/>
  <c r="K431" i="2" a="1"/>
  <c r="K431" i="2" s="1"/>
  <c r="J431" i="2" a="1"/>
  <c r="J431" i="2" s="1"/>
  <c r="I431" i="2" a="1"/>
  <c r="I431" i="2" s="1"/>
  <c r="H431" i="2" a="1"/>
  <c r="H431" i="2" s="1"/>
  <c r="F431" i="2" a="1"/>
  <c r="F431" i="2" s="1"/>
  <c r="D431" i="2" a="1"/>
  <c r="D431" i="2" s="1"/>
  <c r="B431" i="2" a="1"/>
  <c r="B431" i="2" s="1"/>
  <c r="BD430" i="2" a="1"/>
  <c r="BD430" i="2" s="1"/>
  <c r="BC430" i="2" a="1"/>
  <c r="BC430" i="2" s="1"/>
  <c r="BA430" i="2" a="1"/>
  <c r="BA430" i="2" s="1"/>
  <c r="AZ430" i="2" a="1"/>
  <c r="AZ430" i="2" s="1"/>
  <c r="AY430" i="2" a="1"/>
  <c r="AY430" i="2" s="1"/>
  <c r="AX430" i="2" a="1"/>
  <c r="AX430" i="2" s="1"/>
  <c r="AW430" i="2" a="1"/>
  <c r="AW430" i="2" s="1"/>
  <c r="AV430" i="2" a="1"/>
  <c r="AV430" i="2" s="1"/>
  <c r="AU430" i="2" a="1"/>
  <c r="AU430" i="2" s="1"/>
  <c r="AT430" i="2" a="1"/>
  <c r="AT430" i="2" s="1"/>
  <c r="AS430" i="2" a="1"/>
  <c r="AS430" i="2" s="1"/>
  <c r="AR430" i="2" a="1"/>
  <c r="AR430" i="2" s="1"/>
  <c r="AQ430" i="2" a="1"/>
  <c r="AQ430" i="2" s="1"/>
  <c r="AP430" i="2" a="1"/>
  <c r="AP430" i="2" s="1"/>
  <c r="AO430" i="2" a="1"/>
  <c r="AO430" i="2" s="1"/>
  <c r="AN430" i="2" a="1"/>
  <c r="AN430" i="2" s="1"/>
  <c r="AM430" i="2" a="1"/>
  <c r="AM430" i="2" s="1"/>
  <c r="AL430" i="2" a="1"/>
  <c r="AL430" i="2" s="1"/>
  <c r="AK430" i="2" a="1"/>
  <c r="AK430" i="2" s="1"/>
  <c r="AJ430" i="2" a="1"/>
  <c r="AJ430" i="2" s="1"/>
  <c r="AI430" i="2" a="1"/>
  <c r="AI430" i="2" s="1"/>
  <c r="AH430" i="2" a="1"/>
  <c r="AH430" i="2" s="1"/>
  <c r="AG430" i="2" a="1"/>
  <c r="AG430" i="2" s="1"/>
  <c r="AF430" i="2" a="1"/>
  <c r="AF430" i="2" s="1"/>
  <c r="AE430" i="2" a="1"/>
  <c r="AE430" i="2" s="1"/>
  <c r="AD430" i="2" a="1"/>
  <c r="AD430" i="2" s="1"/>
  <c r="AC430" i="2" a="1"/>
  <c r="AC430" i="2" s="1"/>
  <c r="AB430" i="2"/>
  <c r="AA430" i="2" a="1"/>
  <c r="AA430" i="2" s="1"/>
  <c r="Z430" i="2" a="1"/>
  <c r="Z430" i="2" s="1"/>
  <c r="Y430" i="2" a="1"/>
  <c r="Y430" i="2" s="1"/>
  <c r="X430" i="2" a="1"/>
  <c r="X430" i="2" s="1"/>
  <c r="W430" i="2" a="1"/>
  <c r="W430" i="2" s="1"/>
  <c r="BB430" i="2" s="1" a="1"/>
  <c r="BB430" i="2" s="1"/>
  <c r="V430" i="2" a="1"/>
  <c r="V430" i="2" s="1"/>
  <c r="E430" i="2" s="1" a="1"/>
  <c r="E430" i="2" s="1"/>
  <c r="U430" i="2" a="1"/>
  <c r="U430" i="2" s="1"/>
  <c r="T430" i="2" a="1"/>
  <c r="T430" i="2" s="1"/>
  <c r="S430" i="2" a="1"/>
  <c r="S430" i="2" s="1"/>
  <c r="R430" i="2" a="1"/>
  <c r="R430" i="2" s="1"/>
  <c r="Q430" i="2" a="1"/>
  <c r="Q430" i="2" s="1"/>
  <c r="P430" i="2" a="1"/>
  <c r="P430" i="2" s="1"/>
  <c r="O430" i="2" a="1"/>
  <c r="O430" i="2" s="1"/>
  <c r="N430" i="2" a="1"/>
  <c r="N430" i="2" s="1"/>
  <c r="M430" i="2" a="1"/>
  <c r="M430" i="2" s="1"/>
  <c r="L430" i="2" a="1"/>
  <c r="L430" i="2" s="1"/>
  <c r="K430" i="2" a="1"/>
  <c r="K430" i="2" s="1"/>
  <c r="J430" i="2" a="1"/>
  <c r="J430" i="2" s="1"/>
  <c r="I430" i="2" a="1"/>
  <c r="I430" i="2" s="1"/>
  <c r="H430" i="2" a="1"/>
  <c r="H430" i="2" s="1"/>
  <c r="F430" i="2" a="1"/>
  <c r="F430" i="2" s="1"/>
  <c r="D430" i="2" a="1"/>
  <c r="D430" i="2" s="1"/>
  <c r="B430" i="2" a="1"/>
  <c r="B430" i="2" s="1"/>
  <c r="BD429" i="2" a="1"/>
  <c r="BD429" i="2" s="1"/>
  <c r="BC429" i="2" a="1"/>
  <c r="BC429" i="2" s="1"/>
  <c r="BA429" i="2" a="1"/>
  <c r="BA429" i="2" s="1"/>
  <c r="AZ429" i="2" a="1"/>
  <c r="AZ429" i="2" s="1"/>
  <c r="AY429" i="2" a="1"/>
  <c r="AY429" i="2" s="1"/>
  <c r="AX429" i="2" a="1"/>
  <c r="AX429" i="2" s="1"/>
  <c r="AW429" i="2" a="1"/>
  <c r="AW429" i="2" s="1"/>
  <c r="AV429" i="2" a="1"/>
  <c r="AV429" i="2" s="1"/>
  <c r="AU429" i="2" a="1"/>
  <c r="AU429" i="2" s="1"/>
  <c r="AT429" i="2" a="1"/>
  <c r="AT429" i="2" s="1"/>
  <c r="AS429" i="2" a="1"/>
  <c r="AS429" i="2" s="1"/>
  <c r="AR429" i="2" a="1"/>
  <c r="AR429" i="2" s="1"/>
  <c r="AQ429" i="2" a="1"/>
  <c r="AQ429" i="2" s="1"/>
  <c r="AP429" i="2" a="1"/>
  <c r="AP429" i="2" s="1"/>
  <c r="AO429" i="2" a="1"/>
  <c r="AO429" i="2" s="1"/>
  <c r="AN429" i="2" a="1"/>
  <c r="AN429" i="2" s="1"/>
  <c r="AM429" i="2" a="1"/>
  <c r="AM429" i="2" s="1"/>
  <c r="AL429" i="2" a="1"/>
  <c r="AL429" i="2" s="1"/>
  <c r="AK429" i="2" a="1"/>
  <c r="AK429" i="2" s="1"/>
  <c r="AJ429" i="2" a="1"/>
  <c r="AJ429" i="2" s="1"/>
  <c r="AI429" i="2" a="1"/>
  <c r="AI429" i="2" s="1"/>
  <c r="AH429" i="2" a="1"/>
  <c r="AH429" i="2" s="1"/>
  <c r="AG429" i="2" a="1"/>
  <c r="AG429" i="2" s="1"/>
  <c r="AF429" i="2" a="1"/>
  <c r="AF429" i="2" s="1"/>
  <c r="AE429" i="2" a="1"/>
  <c r="AE429" i="2" s="1"/>
  <c r="AD429" i="2" a="1"/>
  <c r="AD429" i="2" s="1"/>
  <c r="AC429" i="2" a="1"/>
  <c r="AC429" i="2" s="1"/>
  <c r="AB429" i="2"/>
  <c r="AA429" i="2" a="1"/>
  <c r="AA429" i="2" s="1"/>
  <c r="Z429" i="2" a="1"/>
  <c r="Z429" i="2" s="1"/>
  <c r="Y429" i="2" a="1"/>
  <c r="Y429" i="2" s="1"/>
  <c r="X429" i="2" a="1"/>
  <c r="X429" i="2" s="1"/>
  <c r="W429" i="2" a="1"/>
  <c r="W429" i="2" s="1"/>
  <c r="BB429" i="2" s="1" a="1"/>
  <c r="BB429" i="2" s="1"/>
  <c r="V429" i="2" a="1"/>
  <c r="V429" i="2" s="1"/>
  <c r="E429" i="2" s="1" a="1"/>
  <c r="E429" i="2" s="1"/>
  <c r="U429" i="2" a="1"/>
  <c r="U429" i="2" s="1"/>
  <c r="T429" i="2" a="1"/>
  <c r="T429" i="2" s="1"/>
  <c r="S429" i="2" a="1"/>
  <c r="S429" i="2" s="1"/>
  <c r="R429" i="2" a="1"/>
  <c r="R429" i="2" s="1"/>
  <c r="Q429" i="2" a="1"/>
  <c r="Q429" i="2" s="1"/>
  <c r="P429" i="2" a="1"/>
  <c r="P429" i="2" s="1"/>
  <c r="O429" i="2" a="1"/>
  <c r="O429" i="2" s="1"/>
  <c r="N429" i="2" a="1"/>
  <c r="N429" i="2" s="1"/>
  <c r="M429" i="2" a="1"/>
  <c r="M429" i="2" s="1"/>
  <c r="L429" i="2" a="1"/>
  <c r="L429" i="2" s="1"/>
  <c r="K429" i="2" a="1"/>
  <c r="K429" i="2" s="1"/>
  <c r="J429" i="2" a="1"/>
  <c r="J429" i="2" s="1"/>
  <c r="I429" i="2" a="1"/>
  <c r="I429" i="2" s="1"/>
  <c r="H429" i="2" a="1"/>
  <c r="H429" i="2" s="1"/>
  <c r="F429" i="2" a="1"/>
  <c r="F429" i="2" s="1"/>
  <c r="D429" i="2" a="1"/>
  <c r="D429" i="2" s="1"/>
  <c r="B429" i="2" a="1"/>
  <c r="B429" i="2" s="1"/>
  <c r="BD428" i="2" a="1"/>
  <c r="BD428" i="2" s="1"/>
  <c r="BC428" i="2" a="1"/>
  <c r="BC428" i="2" s="1"/>
  <c r="BA428" i="2" a="1"/>
  <c r="BA428" i="2" s="1"/>
  <c r="AZ428" i="2" a="1"/>
  <c r="AZ428" i="2" s="1"/>
  <c r="AY428" i="2" a="1"/>
  <c r="AY428" i="2" s="1"/>
  <c r="AX428" i="2" a="1"/>
  <c r="AX428" i="2" s="1"/>
  <c r="AW428" i="2" a="1"/>
  <c r="AW428" i="2" s="1"/>
  <c r="AV428" i="2" a="1"/>
  <c r="AV428" i="2" s="1"/>
  <c r="AU428" i="2" a="1"/>
  <c r="AU428" i="2" s="1"/>
  <c r="AT428" i="2" a="1"/>
  <c r="AT428" i="2" s="1"/>
  <c r="AS428" i="2" a="1"/>
  <c r="AS428" i="2" s="1"/>
  <c r="AR428" i="2" a="1"/>
  <c r="AR428" i="2" s="1"/>
  <c r="AQ428" i="2" a="1"/>
  <c r="AQ428" i="2" s="1"/>
  <c r="AP428" i="2" a="1"/>
  <c r="AP428" i="2" s="1"/>
  <c r="AO428" i="2" a="1"/>
  <c r="AO428" i="2" s="1"/>
  <c r="AN428" i="2" a="1"/>
  <c r="AN428" i="2" s="1"/>
  <c r="AM428" i="2" a="1"/>
  <c r="AM428" i="2" s="1"/>
  <c r="AL428" i="2" a="1"/>
  <c r="AL428" i="2" s="1"/>
  <c r="AK428" i="2" a="1"/>
  <c r="AK428" i="2" s="1"/>
  <c r="AJ428" i="2" a="1"/>
  <c r="AJ428" i="2" s="1"/>
  <c r="AI428" i="2" a="1"/>
  <c r="AI428" i="2" s="1"/>
  <c r="AH428" i="2" a="1"/>
  <c r="AH428" i="2" s="1"/>
  <c r="AG428" i="2" a="1"/>
  <c r="AG428" i="2" s="1"/>
  <c r="AF428" i="2" a="1"/>
  <c r="AF428" i="2" s="1"/>
  <c r="AE428" i="2" a="1"/>
  <c r="AE428" i="2" s="1"/>
  <c r="AD428" i="2" a="1"/>
  <c r="AD428" i="2" s="1"/>
  <c r="AC428" i="2" a="1"/>
  <c r="AC428" i="2" s="1"/>
  <c r="AB428" i="2"/>
  <c r="AA428" i="2" a="1"/>
  <c r="AA428" i="2" s="1"/>
  <c r="Z428" i="2" a="1"/>
  <c r="Z428" i="2" s="1"/>
  <c r="Y428" i="2" a="1"/>
  <c r="Y428" i="2" s="1"/>
  <c r="X428" i="2" a="1"/>
  <c r="X428" i="2" s="1"/>
  <c r="W428" i="2" a="1"/>
  <c r="W428" i="2" s="1"/>
  <c r="BB428" i="2" s="1" a="1"/>
  <c r="BB428" i="2" s="1"/>
  <c r="V428" i="2" a="1"/>
  <c r="V428" i="2" s="1"/>
  <c r="E428" i="2" s="1" a="1"/>
  <c r="E428" i="2" s="1"/>
  <c r="U428" i="2" a="1"/>
  <c r="U428" i="2" s="1"/>
  <c r="T428" i="2" a="1"/>
  <c r="T428" i="2" s="1"/>
  <c r="S428" i="2" a="1"/>
  <c r="S428" i="2" s="1"/>
  <c r="R428" i="2" a="1"/>
  <c r="R428" i="2" s="1"/>
  <c r="Q428" i="2" a="1"/>
  <c r="Q428" i="2" s="1"/>
  <c r="P428" i="2" a="1"/>
  <c r="P428" i="2" s="1"/>
  <c r="O428" i="2" a="1"/>
  <c r="O428" i="2" s="1"/>
  <c r="N428" i="2" a="1"/>
  <c r="N428" i="2" s="1"/>
  <c r="M428" i="2" a="1"/>
  <c r="M428" i="2" s="1"/>
  <c r="L428" i="2" a="1"/>
  <c r="L428" i="2" s="1"/>
  <c r="K428" i="2" a="1"/>
  <c r="K428" i="2" s="1"/>
  <c r="J428" i="2" a="1"/>
  <c r="J428" i="2" s="1"/>
  <c r="I428" i="2" a="1"/>
  <c r="I428" i="2" s="1"/>
  <c r="H428" i="2" a="1"/>
  <c r="H428" i="2" s="1"/>
  <c r="F428" i="2" a="1"/>
  <c r="F428" i="2" s="1"/>
  <c r="D428" i="2" a="1"/>
  <c r="D428" i="2" s="1"/>
  <c r="B428" i="2" a="1"/>
  <c r="B428" i="2" s="1"/>
  <c r="BD427" i="2" a="1"/>
  <c r="BD427" i="2" s="1"/>
  <c r="BC427" i="2" a="1"/>
  <c r="BC427" i="2" s="1"/>
  <c r="BA427" i="2" a="1"/>
  <c r="BA427" i="2" s="1"/>
  <c r="AZ427" i="2" a="1"/>
  <c r="AZ427" i="2" s="1"/>
  <c r="AY427" i="2" a="1"/>
  <c r="AY427" i="2" s="1"/>
  <c r="AX427" i="2" a="1"/>
  <c r="AX427" i="2" s="1"/>
  <c r="AW427" i="2" a="1"/>
  <c r="AW427" i="2" s="1"/>
  <c r="AV427" i="2" a="1"/>
  <c r="AV427" i="2" s="1"/>
  <c r="AU427" i="2" a="1"/>
  <c r="AU427" i="2" s="1"/>
  <c r="AT427" i="2" a="1"/>
  <c r="AT427" i="2" s="1"/>
  <c r="AS427" i="2" a="1"/>
  <c r="AS427" i="2" s="1"/>
  <c r="AR427" i="2" a="1"/>
  <c r="AR427" i="2" s="1"/>
  <c r="AQ427" i="2" a="1"/>
  <c r="AQ427" i="2" s="1"/>
  <c r="AP427" i="2" a="1"/>
  <c r="AP427" i="2" s="1"/>
  <c r="AO427" i="2" a="1"/>
  <c r="AO427" i="2" s="1"/>
  <c r="AN427" i="2" a="1"/>
  <c r="AN427" i="2" s="1"/>
  <c r="AM427" i="2" a="1"/>
  <c r="AM427" i="2" s="1"/>
  <c r="AL427" i="2" a="1"/>
  <c r="AL427" i="2" s="1"/>
  <c r="AK427" i="2" a="1"/>
  <c r="AK427" i="2" s="1"/>
  <c r="AJ427" i="2" a="1"/>
  <c r="AJ427" i="2" s="1"/>
  <c r="AI427" i="2" a="1"/>
  <c r="AI427" i="2" s="1"/>
  <c r="AH427" i="2" a="1"/>
  <c r="AH427" i="2" s="1"/>
  <c r="AG427" i="2" a="1"/>
  <c r="AG427" i="2" s="1"/>
  <c r="AF427" i="2" a="1"/>
  <c r="AF427" i="2" s="1"/>
  <c r="AE427" i="2" a="1"/>
  <c r="AE427" i="2" s="1"/>
  <c r="AD427" i="2" a="1"/>
  <c r="AD427" i="2" s="1"/>
  <c r="AC427" i="2" a="1"/>
  <c r="AC427" i="2" s="1"/>
  <c r="AB427" i="2"/>
  <c r="AA427" i="2" a="1"/>
  <c r="AA427" i="2" s="1"/>
  <c r="Z427" i="2" a="1"/>
  <c r="Z427" i="2" s="1"/>
  <c r="Y427" i="2" a="1"/>
  <c r="Y427" i="2" s="1"/>
  <c r="X427" i="2" a="1"/>
  <c r="X427" i="2" s="1"/>
  <c r="W427" i="2" a="1"/>
  <c r="W427" i="2" s="1"/>
  <c r="BB427" i="2" s="1" a="1"/>
  <c r="BB427" i="2" s="1"/>
  <c r="V427" i="2" a="1"/>
  <c r="V427" i="2" s="1"/>
  <c r="E427" i="2" s="1" a="1"/>
  <c r="E427" i="2" s="1"/>
  <c r="U427" i="2" a="1"/>
  <c r="U427" i="2" s="1"/>
  <c r="T427" i="2" a="1"/>
  <c r="T427" i="2" s="1"/>
  <c r="S427" i="2" a="1"/>
  <c r="S427" i="2" s="1"/>
  <c r="R427" i="2" a="1"/>
  <c r="R427" i="2" s="1"/>
  <c r="Q427" i="2" a="1"/>
  <c r="Q427" i="2" s="1"/>
  <c r="P427" i="2" a="1"/>
  <c r="P427" i="2" s="1"/>
  <c r="O427" i="2" a="1"/>
  <c r="O427" i="2" s="1"/>
  <c r="N427" i="2" a="1"/>
  <c r="N427" i="2" s="1"/>
  <c r="M427" i="2" a="1"/>
  <c r="M427" i="2" s="1"/>
  <c r="L427" i="2" a="1"/>
  <c r="L427" i="2" s="1"/>
  <c r="K427" i="2" a="1"/>
  <c r="K427" i="2" s="1"/>
  <c r="J427" i="2" a="1"/>
  <c r="J427" i="2" s="1"/>
  <c r="I427" i="2" a="1"/>
  <c r="I427" i="2" s="1"/>
  <c r="H427" i="2" a="1"/>
  <c r="H427" i="2" s="1"/>
  <c r="F427" i="2" a="1"/>
  <c r="F427" i="2" s="1"/>
  <c r="D427" i="2" a="1"/>
  <c r="D427" i="2" s="1"/>
  <c r="B427" i="2" a="1"/>
  <c r="B427" i="2" s="1"/>
  <c r="BD423" i="2" a="1"/>
  <c r="BD423" i="2" s="1"/>
  <c r="BC423" i="2" a="1"/>
  <c r="BC423" i="2" s="1"/>
  <c r="AZ423" i="2" a="1"/>
  <c r="AZ423" i="2" s="1"/>
  <c r="AY423" i="2" a="1"/>
  <c r="AY423" i="2" s="1"/>
  <c r="AX423" i="2" a="1"/>
  <c r="AX423" i="2" s="1"/>
  <c r="AW423" i="2" a="1"/>
  <c r="AW423" i="2" s="1"/>
  <c r="AV423" i="2" a="1"/>
  <c r="AV423" i="2" s="1"/>
  <c r="AU423" i="2" a="1"/>
  <c r="AU423" i="2" s="1"/>
  <c r="AT423" i="2" a="1"/>
  <c r="AT423" i="2" s="1"/>
  <c r="AS423" i="2" a="1"/>
  <c r="AS423" i="2" s="1"/>
  <c r="AR423" i="2" a="1"/>
  <c r="AR423" i="2" s="1"/>
  <c r="AQ423" i="2" a="1"/>
  <c r="AQ423" i="2" s="1"/>
  <c r="AP423" i="2" a="1"/>
  <c r="AP423" i="2" s="1"/>
  <c r="AO423" i="2" a="1"/>
  <c r="AO423" i="2" s="1"/>
  <c r="AN423" i="2" a="1"/>
  <c r="AN423" i="2" s="1"/>
  <c r="AM423" i="2" a="1"/>
  <c r="AM423" i="2" s="1"/>
  <c r="AL423" i="2" a="1"/>
  <c r="AL423" i="2" s="1"/>
  <c r="AK423" i="2" a="1"/>
  <c r="AK423" i="2" s="1"/>
  <c r="AJ423" i="2" a="1"/>
  <c r="AJ423" i="2" s="1"/>
  <c r="AI423" i="2" a="1"/>
  <c r="AI423" i="2" s="1"/>
  <c r="AH423" i="2" a="1"/>
  <c r="AH423" i="2" s="1"/>
  <c r="AG423" i="2" a="1"/>
  <c r="AG423" i="2" s="1"/>
  <c r="AF423" i="2" a="1"/>
  <c r="AF423" i="2" s="1"/>
  <c r="AE423" i="2" a="1"/>
  <c r="AE423" i="2" s="1"/>
  <c r="AD423" i="2" a="1"/>
  <c r="AD423" i="2" s="1"/>
  <c r="AC423" i="2" a="1"/>
  <c r="AC423" i="2" s="1"/>
  <c r="AB423" i="2" a="1"/>
  <c r="AB423" i="2" s="1"/>
  <c r="AA423" i="2" a="1"/>
  <c r="AA423" i="2" s="1"/>
  <c r="Z423" i="2" a="1"/>
  <c r="Z423" i="2" s="1"/>
  <c r="Y423" i="2" a="1"/>
  <c r="Y423" i="2" s="1"/>
  <c r="X423" i="2" a="1"/>
  <c r="X423" i="2" s="1"/>
  <c r="W423" i="2" a="1"/>
  <c r="W423" i="2" s="1"/>
  <c r="V423" i="2" a="1"/>
  <c r="V423" i="2" s="1"/>
  <c r="E423" i="2" s="1" a="1"/>
  <c r="E423" i="2" s="1"/>
  <c r="U423" i="2" a="1"/>
  <c r="U423" i="2" s="1"/>
  <c r="T423" i="2" a="1"/>
  <c r="T423" i="2" s="1"/>
  <c r="S423" i="2" a="1"/>
  <c r="S423" i="2" s="1"/>
  <c r="R423" i="2" a="1"/>
  <c r="R423" i="2" s="1"/>
  <c r="Q423" i="2" a="1"/>
  <c r="Q423" i="2" s="1"/>
  <c r="P423" i="2" a="1"/>
  <c r="P423" i="2" s="1"/>
  <c r="O423" i="2" a="1"/>
  <c r="O423" i="2" s="1"/>
  <c r="N423" i="2" a="1"/>
  <c r="N423" i="2" s="1"/>
  <c r="M423" i="2" a="1"/>
  <c r="M423" i="2" s="1"/>
  <c r="L423" i="2" a="1"/>
  <c r="L423" i="2" s="1"/>
  <c r="K423" i="2" a="1"/>
  <c r="K423" i="2" s="1"/>
  <c r="J423" i="2" a="1"/>
  <c r="J423" i="2" s="1"/>
  <c r="I423" i="2" a="1"/>
  <c r="I423" i="2" s="1"/>
  <c r="H423" i="2" a="1"/>
  <c r="H423" i="2" s="1"/>
  <c r="F423" i="2" a="1"/>
  <c r="F423" i="2" s="1"/>
  <c r="D423" i="2" a="1"/>
  <c r="D423" i="2" s="1"/>
  <c r="B423" i="2" a="1"/>
  <c r="B423" i="2" s="1"/>
  <c r="D397" i="2" a="1"/>
  <c r="D397" i="2" s="1"/>
  <c r="F397" i="2" a="1"/>
  <c r="F397" i="2" s="1"/>
  <c r="H397" i="2" a="1"/>
  <c r="H397" i="2" s="1"/>
  <c r="I397" i="2" a="1"/>
  <c r="I397" i="2" s="1"/>
  <c r="J397" i="2" a="1"/>
  <c r="J397" i="2" s="1"/>
  <c r="K397" i="2" a="1"/>
  <c r="K397" i="2" s="1"/>
  <c r="L397" i="2" a="1"/>
  <c r="L397" i="2" s="1"/>
  <c r="M397" i="2" a="1"/>
  <c r="M397" i="2" s="1"/>
  <c r="N397" i="2" a="1"/>
  <c r="N397" i="2" s="1"/>
  <c r="O397" i="2" a="1"/>
  <c r="O397" i="2" s="1"/>
  <c r="P397" i="2" a="1"/>
  <c r="P397" i="2" s="1"/>
  <c r="Q397" i="2" a="1"/>
  <c r="Q397" i="2" s="1"/>
  <c r="R397" i="2" a="1"/>
  <c r="R397" i="2" s="1"/>
  <c r="S397" i="2" a="1"/>
  <c r="S397" i="2" s="1"/>
  <c r="T397" i="2" a="1"/>
  <c r="T397" i="2" s="1"/>
  <c r="U397" i="2" a="1"/>
  <c r="U397" i="2" s="1"/>
  <c r="V397" i="2" a="1"/>
  <c r="V397" i="2" s="1"/>
  <c r="E397" i="2" s="1" a="1"/>
  <c r="E397" i="2" s="1"/>
  <c r="W397" i="2" a="1"/>
  <c r="W397" i="2" s="1"/>
  <c r="BB397" i="2" s="1" a="1"/>
  <c r="BB397" i="2" s="1"/>
  <c r="X397" i="2" a="1"/>
  <c r="X397" i="2" s="1"/>
  <c r="Y397" i="2" a="1"/>
  <c r="Y397" i="2" s="1"/>
  <c r="Z397" i="2" a="1"/>
  <c r="Z397" i="2" s="1"/>
  <c r="AA397" i="2" a="1"/>
  <c r="AA397" i="2" s="1"/>
  <c r="AB397" i="2"/>
  <c r="AC397" i="2" a="1"/>
  <c r="AC397" i="2" s="1"/>
  <c r="AD397" i="2" a="1"/>
  <c r="AD397" i="2" s="1"/>
  <c r="AE397" i="2" a="1"/>
  <c r="AE397" i="2" s="1"/>
  <c r="AF397" i="2" a="1"/>
  <c r="AF397" i="2" s="1"/>
  <c r="AG397" i="2" a="1"/>
  <c r="AG397" i="2" s="1"/>
  <c r="AH397" i="2" a="1"/>
  <c r="AH397" i="2" s="1"/>
  <c r="AI397" i="2" a="1"/>
  <c r="AI397" i="2" s="1"/>
  <c r="AJ397" i="2" a="1"/>
  <c r="AJ397" i="2" s="1"/>
  <c r="AK397" i="2" a="1"/>
  <c r="AK397" i="2" s="1"/>
  <c r="AL397" i="2" a="1"/>
  <c r="AL397" i="2" s="1"/>
  <c r="AM397" i="2" a="1"/>
  <c r="AM397" i="2" s="1"/>
  <c r="AN397" i="2" a="1"/>
  <c r="AN397" i="2" s="1"/>
  <c r="AO397" i="2" a="1"/>
  <c r="AO397" i="2" s="1"/>
  <c r="AP397" i="2" a="1"/>
  <c r="AP397" i="2" s="1"/>
  <c r="AQ397" i="2" a="1"/>
  <c r="AQ397" i="2" s="1"/>
  <c r="AR397" i="2" a="1"/>
  <c r="AR397" i="2" s="1"/>
  <c r="AS397" i="2" a="1"/>
  <c r="AS397" i="2" s="1"/>
  <c r="AT397" i="2" a="1"/>
  <c r="AT397" i="2" s="1"/>
  <c r="AU397" i="2" a="1"/>
  <c r="AU397" i="2" s="1"/>
  <c r="AV397" i="2" a="1"/>
  <c r="AV397" i="2" s="1"/>
  <c r="AW397" i="2" a="1"/>
  <c r="AW397" i="2" s="1"/>
  <c r="AX397" i="2" a="1"/>
  <c r="AX397" i="2" s="1"/>
  <c r="AY397" i="2" a="1"/>
  <c r="AY397" i="2" s="1"/>
  <c r="AZ397" i="2" a="1"/>
  <c r="AZ397" i="2" s="1"/>
  <c r="BA397" i="2" a="1"/>
  <c r="BA397" i="2" s="1"/>
  <c r="BC397" i="2" a="1"/>
  <c r="BC397" i="2" s="1"/>
  <c r="BD397" i="2" a="1"/>
  <c r="BD397" i="2" s="1"/>
  <c r="B397" i="2" a="1"/>
  <c r="B397" i="2" s="1"/>
  <c r="B419" i="2" a="1"/>
  <c r="B419" i="2" s="1"/>
  <c r="BD419" i="2" a="1"/>
  <c r="BD419" i="2" s="1"/>
  <c r="BC419" i="2" a="1"/>
  <c r="BC419" i="2" s="1"/>
  <c r="BA419" i="2" a="1"/>
  <c r="BA419" i="2" s="1"/>
  <c r="AZ419" i="2" a="1"/>
  <c r="AZ419" i="2" s="1"/>
  <c r="AY419" i="2" a="1"/>
  <c r="AY419" i="2" s="1"/>
  <c r="AX419" i="2" a="1"/>
  <c r="AX419" i="2" s="1"/>
  <c r="AW419" i="2" a="1"/>
  <c r="AW419" i="2" s="1"/>
  <c r="AV419" i="2" a="1"/>
  <c r="AV419" i="2" s="1"/>
  <c r="AU419" i="2" a="1"/>
  <c r="AU419" i="2" s="1"/>
  <c r="AT419" i="2" a="1"/>
  <c r="AT419" i="2" s="1"/>
  <c r="AS419" i="2" a="1"/>
  <c r="AS419" i="2" s="1"/>
  <c r="AR419" i="2" a="1"/>
  <c r="AR419" i="2" s="1"/>
  <c r="AQ419" i="2" a="1"/>
  <c r="AQ419" i="2" s="1"/>
  <c r="AP419" i="2" a="1"/>
  <c r="AP419" i="2" s="1"/>
  <c r="AO419" i="2" a="1"/>
  <c r="AO419" i="2" s="1"/>
  <c r="AN419" i="2" a="1"/>
  <c r="AN419" i="2" s="1"/>
  <c r="AM419" i="2" a="1"/>
  <c r="AM419" i="2" s="1"/>
  <c r="AL419" i="2" a="1"/>
  <c r="AL419" i="2" s="1"/>
  <c r="AK419" i="2" a="1"/>
  <c r="AK419" i="2" s="1"/>
  <c r="AJ419" i="2" a="1"/>
  <c r="AJ419" i="2" s="1"/>
  <c r="AI419" i="2" a="1"/>
  <c r="AI419" i="2" s="1"/>
  <c r="AH419" i="2" a="1"/>
  <c r="AH419" i="2" s="1"/>
  <c r="AG419" i="2" a="1"/>
  <c r="AG419" i="2" s="1"/>
  <c r="AF419" i="2" a="1"/>
  <c r="AF419" i="2" s="1"/>
  <c r="AE419" i="2" a="1"/>
  <c r="AE419" i="2" s="1"/>
  <c r="AD419" i="2" a="1"/>
  <c r="AD419" i="2" s="1"/>
  <c r="AC419" i="2" a="1"/>
  <c r="AC419" i="2" s="1"/>
  <c r="AB419" i="2"/>
  <c r="AA419" i="2" a="1"/>
  <c r="AA419" i="2" s="1"/>
  <c r="Z419" i="2" a="1"/>
  <c r="Z419" i="2" s="1"/>
  <c r="Y419" i="2" a="1"/>
  <c r="Y419" i="2" s="1"/>
  <c r="X419" i="2" a="1"/>
  <c r="X419" i="2" s="1"/>
  <c r="W419" i="2" a="1"/>
  <c r="W419" i="2" s="1"/>
  <c r="BB419" i="2" s="1" a="1"/>
  <c r="BB419" i="2" s="1"/>
  <c r="V419" i="2" a="1"/>
  <c r="V419" i="2" s="1"/>
  <c r="E419" i="2" s="1" a="1"/>
  <c r="E419" i="2" s="1"/>
  <c r="U419" i="2" a="1"/>
  <c r="U419" i="2" s="1"/>
  <c r="T419" i="2" a="1"/>
  <c r="T419" i="2" s="1"/>
  <c r="S419" i="2" a="1"/>
  <c r="S419" i="2" s="1"/>
  <c r="R419" i="2" a="1"/>
  <c r="R419" i="2" s="1"/>
  <c r="Q419" i="2" a="1"/>
  <c r="Q419" i="2" s="1"/>
  <c r="P419" i="2" a="1"/>
  <c r="P419" i="2" s="1"/>
  <c r="O419" i="2" a="1"/>
  <c r="O419" i="2" s="1"/>
  <c r="N419" i="2" a="1"/>
  <c r="N419" i="2" s="1"/>
  <c r="M419" i="2" a="1"/>
  <c r="M419" i="2" s="1"/>
  <c r="L419" i="2" a="1"/>
  <c r="L419" i="2" s="1"/>
  <c r="K419" i="2" a="1"/>
  <c r="K419" i="2" s="1"/>
  <c r="J419" i="2" a="1"/>
  <c r="J419" i="2" s="1"/>
  <c r="I419" i="2" a="1"/>
  <c r="I419" i="2" s="1"/>
  <c r="H419" i="2" a="1"/>
  <c r="H419" i="2" s="1"/>
  <c r="F419" i="2" a="1"/>
  <c r="F419" i="2" s="1"/>
  <c r="D419" i="2" a="1"/>
  <c r="D419" i="2" s="1"/>
  <c r="BD418" i="2" a="1"/>
  <c r="BD418" i="2" s="1"/>
  <c r="BC418" i="2" a="1"/>
  <c r="BC418" i="2" s="1"/>
  <c r="BA418" i="2" a="1"/>
  <c r="BA418" i="2" s="1"/>
  <c r="AZ418" i="2" a="1"/>
  <c r="AZ418" i="2" s="1"/>
  <c r="AY418" i="2" a="1"/>
  <c r="AY418" i="2" s="1"/>
  <c r="AX418" i="2" a="1"/>
  <c r="AX418" i="2" s="1"/>
  <c r="AW418" i="2" a="1"/>
  <c r="AW418" i="2" s="1"/>
  <c r="AV418" i="2" a="1"/>
  <c r="AV418" i="2" s="1"/>
  <c r="AU418" i="2" a="1"/>
  <c r="AU418" i="2" s="1"/>
  <c r="AT418" i="2" a="1"/>
  <c r="AT418" i="2" s="1"/>
  <c r="AS418" i="2" a="1"/>
  <c r="AS418" i="2" s="1"/>
  <c r="AR418" i="2" a="1"/>
  <c r="AR418" i="2" s="1"/>
  <c r="AQ418" i="2" a="1"/>
  <c r="AQ418" i="2" s="1"/>
  <c r="AP418" i="2" a="1"/>
  <c r="AP418" i="2" s="1"/>
  <c r="AO418" i="2" a="1"/>
  <c r="AO418" i="2" s="1"/>
  <c r="AN418" i="2" a="1"/>
  <c r="AN418" i="2" s="1"/>
  <c r="AM418" i="2" a="1"/>
  <c r="AM418" i="2" s="1"/>
  <c r="AL418" i="2" a="1"/>
  <c r="AL418" i="2" s="1"/>
  <c r="AK418" i="2" a="1"/>
  <c r="AK418" i="2" s="1"/>
  <c r="AJ418" i="2" a="1"/>
  <c r="AJ418" i="2" s="1"/>
  <c r="AI418" i="2" a="1"/>
  <c r="AI418" i="2" s="1"/>
  <c r="AH418" i="2" a="1"/>
  <c r="AH418" i="2" s="1"/>
  <c r="AG418" i="2" a="1"/>
  <c r="AG418" i="2" s="1"/>
  <c r="AF418" i="2" a="1"/>
  <c r="AF418" i="2" s="1"/>
  <c r="AE418" i="2" a="1"/>
  <c r="AE418" i="2" s="1"/>
  <c r="AD418" i="2" a="1"/>
  <c r="AD418" i="2" s="1"/>
  <c r="AC418" i="2" a="1"/>
  <c r="AC418" i="2" s="1"/>
  <c r="AB418" i="2"/>
  <c r="AA418" i="2" a="1"/>
  <c r="AA418" i="2" s="1"/>
  <c r="Z418" i="2" a="1"/>
  <c r="Z418" i="2" s="1"/>
  <c r="Y418" i="2" a="1"/>
  <c r="Y418" i="2" s="1"/>
  <c r="X418" i="2" a="1"/>
  <c r="X418" i="2" s="1"/>
  <c r="W418" i="2" a="1"/>
  <c r="W418" i="2" s="1"/>
  <c r="BB418" i="2" s="1" a="1"/>
  <c r="BB418" i="2" s="1"/>
  <c r="V418" i="2" a="1"/>
  <c r="V418" i="2" s="1"/>
  <c r="E418" i="2" s="1" a="1"/>
  <c r="E418" i="2" s="1"/>
  <c r="U418" i="2" a="1"/>
  <c r="U418" i="2" s="1"/>
  <c r="T418" i="2" a="1"/>
  <c r="T418" i="2" s="1"/>
  <c r="S418" i="2" a="1"/>
  <c r="S418" i="2" s="1"/>
  <c r="R418" i="2" a="1"/>
  <c r="R418" i="2" s="1"/>
  <c r="Q418" i="2" a="1"/>
  <c r="Q418" i="2" s="1"/>
  <c r="P418" i="2" a="1"/>
  <c r="P418" i="2" s="1"/>
  <c r="O418" i="2" a="1"/>
  <c r="O418" i="2" s="1"/>
  <c r="N418" i="2" a="1"/>
  <c r="N418" i="2" s="1"/>
  <c r="M418" i="2" a="1"/>
  <c r="M418" i="2" s="1"/>
  <c r="L418" i="2" a="1"/>
  <c r="L418" i="2" s="1"/>
  <c r="K418" i="2" a="1"/>
  <c r="K418" i="2" s="1"/>
  <c r="J418" i="2" a="1"/>
  <c r="J418" i="2" s="1"/>
  <c r="I418" i="2" a="1"/>
  <c r="I418" i="2" s="1"/>
  <c r="H418" i="2" a="1"/>
  <c r="H418" i="2" s="1"/>
  <c r="F418" i="2" a="1"/>
  <c r="F418" i="2" s="1"/>
  <c r="D418" i="2" a="1"/>
  <c r="D418" i="2" s="1"/>
  <c r="B418" i="2" a="1"/>
  <c r="B418" i="2" s="1"/>
  <c r="BD417" i="2" a="1"/>
  <c r="BD417" i="2" s="1"/>
  <c r="BC417" i="2" a="1"/>
  <c r="BC417" i="2" s="1"/>
  <c r="BA417" i="2" a="1"/>
  <c r="BA417" i="2" s="1"/>
  <c r="AZ417" i="2" a="1"/>
  <c r="AZ417" i="2" s="1"/>
  <c r="AY417" i="2" a="1"/>
  <c r="AY417" i="2" s="1"/>
  <c r="AX417" i="2" a="1"/>
  <c r="AX417" i="2" s="1"/>
  <c r="AW417" i="2" a="1"/>
  <c r="AW417" i="2" s="1"/>
  <c r="AV417" i="2" a="1"/>
  <c r="AV417" i="2" s="1"/>
  <c r="AU417" i="2" a="1"/>
  <c r="AU417" i="2" s="1"/>
  <c r="AT417" i="2" a="1"/>
  <c r="AT417" i="2" s="1"/>
  <c r="AS417" i="2" a="1"/>
  <c r="AS417" i="2" s="1"/>
  <c r="AR417" i="2" a="1"/>
  <c r="AR417" i="2" s="1"/>
  <c r="AQ417" i="2" a="1"/>
  <c r="AQ417" i="2" s="1"/>
  <c r="AP417" i="2" a="1"/>
  <c r="AP417" i="2" s="1"/>
  <c r="AO417" i="2" a="1"/>
  <c r="AO417" i="2" s="1"/>
  <c r="AN417" i="2" a="1"/>
  <c r="AN417" i="2" s="1"/>
  <c r="AM417" i="2" a="1"/>
  <c r="AM417" i="2" s="1"/>
  <c r="AL417" i="2" a="1"/>
  <c r="AL417" i="2" s="1"/>
  <c r="AK417" i="2" a="1"/>
  <c r="AK417" i="2" s="1"/>
  <c r="AJ417" i="2" a="1"/>
  <c r="AJ417" i="2" s="1"/>
  <c r="AI417" i="2" a="1"/>
  <c r="AI417" i="2" s="1"/>
  <c r="AH417" i="2" a="1"/>
  <c r="AH417" i="2" s="1"/>
  <c r="AG417" i="2" a="1"/>
  <c r="AG417" i="2" s="1"/>
  <c r="AF417" i="2" a="1"/>
  <c r="AF417" i="2" s="1"/>
  <c r="AE417" i="2" a="1"/>
  <c r="AE417" i="2" s="1"/>
  <c r="AD417" i="2" a="1"/>
  <c r="AD417" i="2" s="1"/>
  <c r="AC417" i="2" a="1"/>
  <c r="AC417" i="2" s="1"/>
  <c r="AB417" i="2"/>
  <c r="AA417" i="2" a="1"/>
  <c r="AA417" i="2" s="1"/>
  <c r="Z417" i="2" a="1"/>
  <c r="Z417" i="2" s="1"/>
  <c r="Y417" i="2" a="1"/>
  <c r="Y417" i="2" s="1"/>
  <c r="X417" i="2" a="1"/>
  <c r="X417" i="2" s="1"/>
  <c r="W417" i="2" a="1"/>
  <c r="W417" i="2" s="1"/>
  <c r="BB417" i="2" s="1" a="1"/>
  <c r="BB417" i="2" s="1"/>
  <c r="V417" i="2" a="1"/>
  <c r="V417" i="2" s="1"/>
  <c r="E417" i="2" s="1" a="1"/>
  <c r="E417" i="2" s="1"/>
  <c r="U417" i="2" a="1"/>
  <c r="U417" i="2" s="1"/>
  <c r="T417" i="2" a="1"/>
  <c r="T417" i="2" s="1"/>
  <c r="S417" i="2" a="1"/>
  <c r="S417" i="2" s="1"/>
  <c r="R417" i="2" a="1"/>
  <c r="R417" i="2" s="1"/>
  <c r="Q417" i="2" a="1"/>
  <c r="Q417" i="2" s="1"/>
  <c r="P417" i="2" a="1"/>
  <c r="P417" i="2" s="1"/>
  <c r="O417" i="2" a="1"/>
  <c r="O417" i="2" s="1"/>
  <c r="N417" i="2" a="1"/>
  <c r="N417" i="2" s="1"/>
  <c r="M417" i="2" a="1"/>
  <c r="M417" i="2" s="1"/>
  <c r="L417" i="2" a="1"/>
  <c r="L417" i="2" s="1"/>
  <c r="K417" i="2" a="1"/>
  <c r="K417" i="2" s="1"/>
  <c r="J417" i="2" a="1"/>
  <c r="J417" i="2" s="1"/>
  <c r="I417" i="2" a="1"/>
  <c r="I417" i="2" s="1"/>
  <c r="H417" i="2" a="1"/>
  <c r="H417" i="2" s="1"/>
  <c r="F417" i="2" a="1"/>
  <c r="F417" i="2" s="1"/>
  <c r="D417" i="2" a="1"/>
  <c r="D417" i="2" s="1"/>
  <c r="B417" i="2" a="1"/>
  <c r="B417" i="2" s="1"/>
  <c r="BD416" i="2" a="1"/>
  <c r="BD416" i="2" s="1"/>
  <c r="BC416" i="2" a="1"/>
  <c r="BC416" i="2" s="1"/>
  <c r="BA416" i="2" a="1"/>
  <c r="BA416" i="2" s="1"/>
  <c r="AZ416" i="2" a="1"/>
  <c r="AZ416" i="2" s="1"/>
  <c r="AY416" i="2" a="1"/>
  <c r="AY416" i="2" s="1"/>
  <c r="AX416" i="2" a="1"/>
  <c r="AX416" i="2" s="1"/>
  <c r="AW416" i="2" a="1"/>
  <c r="AW416" i="2" s="1"/>
  <c r="AV416" i="2" a="1"/>
  <c r="AV416" i="2" s="1"/>
  <c r="AU416" i="2" a="1"/>
  <c r="AU416" i="2" s="1"/>
  <c r="AT416" i="2" a="1"/>
  <c r="AT416" i="2" s="1"/>
  <c r="AS416" i="2" a="1"/>
  <c r="AS416" i="2" s="1"/>
  <c r="AR416" i="2" a="1"/>
  <c r="AR416" i="2" s="1"/>
  <c r="AQ416" i="2" a="1"/>
  <c r="AQ416" i="2" s="1"/>
  <c r="AP416" i="2" a="1"/>
  <c r="AP416" i="2" s="1"/>
  <c r="AO416" i="2" a="1"/>
  <c r="AO416" i="2" s="1"/>
  <c r="AN416" i="2" a="1"/>
  <c r="AN416" i="2" s="1"/>
  <c r="AM416" i="2" a="1"/>
  <c r="AM416" i="2" s="1"/>
  <c r="AL416" i="2" a="1"/>
  <c r="AL416" i="2" s="1"/>
  <c r="AK416" i="2" a="1"/>
  <c r="AK416" i="2" s="1"/>
  <c r="AJ416" i="2" a="1"/>
  <c r="AJ416" i="2" s="1"/>
  <c r="AI416" i="2" a="1"/>
  <c r="AI416" i="2" s="1"/>
  <c r="AH416" i="2" a="1"/>
  <c r="AH416" i="2" s="1"/>
  <c r="AG416" i="2" a="1"/>
  <c r="AG416" i="2" s="1"/>
  <c r="AF416" i="2" a="1"/>
  <c r="AF416" i="2" s="1"/>
  <c r="AE416" i="2" a="1"/>
  <c r="AE416" i="2" s="1"/>
  <c r="AD416" i="2" a="1"/>
  <c r="AD416" i="2" s="1"/>
  <c r="AC416" i="2" a="1"/>
  <c r="AC416" i="2" s="1"/>
  <c r="AB416" i="2"/>
  <c r="AA416" i="2" a="1"/>
  <c r="AA416" i="2" s="1"/>
  <c r="Z416" i="2" a="1"/>
  <c r="Z416" i="2" s="1"/>
  <c r="Y416" i="2" a="1"/>
  <c r="Y416" i="2" s="1"/>
  <c r="X416" i="2" a="1"/>
  <c r="X416" i="2" s="1"/>
  <c r="W416" i="2" a="1"/>
  <c r="W416" i="2" s="1"/>
  <c r="BB416" i="2" s="1" a="1"/>
  <c r="BB416" i="2" s="1"/>
  <c r="V416" i="2" a="1"/>
  <c r="V416" i="2" s="1"/>
  <c r="E416" i="2" s="1" a="1"/>
  <c r="E416" i="2" s="1"/>
  <c r="U416" i="2" a="1"/>
  <c r="U416" i="2" s="1"/>
  <c r="T416" i="2" a="1"/>
  <c r="T416" i="2" s="1"/>
  <c r="S416" i="2" a="1"/>
  <c r="S416" i="2" s="1"/>
  <c r="R416" i="2" a="1"/>
  <c r="R416" i="2" s="1"/>
  <c r="Q416" i="2" a="1"/>
  <c r="Q416" i="2" s="1"/>
  <c r="P416" i="2" a="1"/>
  <c r="P416" i="2" s="1"/>
  <c r="O416" i="2" a="1"/>
  <c r="O416" i="2" s="1"/>
  <c r="N416" i="2" a="1"/>
  <c r="N416" i="2" s="1"/>
  <c r="M416" i="2" a="1"/>
  <c r="M416" i="2" s="1"/>
  <c r="L416" i="2" a="1"/>
  <c r="L416" i="2" s="1"/>
  <c r="K416" i="2" a="1"/>
  <c r="K416" i="2" s="1"/>
  <c r="J416" i="2" a="1"/>
  <c r="J416" i="2" s="1"/>
  <c r="I416" i="2" a="1"/>
  <c r="I416" i="2" s="1"/>
  <c r="H416" i="2" a="1"/>
  <c r="H416" i="2" s="1"/>
  <c r="F416" i="2" a="1"/>
  <c r="F416" i="2" s="1"/>
  <c r="D416" i="2" a="1"/>
  <c r="D416" i="2" s="1"/>
  <c r="B416" i="2" a="1"/>
  <c r="B416" i="2" s="1"/>
  <c r="BD415" i="2" a="1"/>
  <c r="BD415" i="2" s="1"/>
  <c r="BC415" i="2" a="1"/>
  <c r="BC415" i="2" s="1"/>
  <c r="BA415" i="2" a="1"/>
  <c r="BA415" i="2" s="1"/>
  <c r="AZ415" i="2" a="1"/>
  <c r="AZ415" i="2" s="1"/>
  <c r="AY415" i="2" a="1"/>
  <c r="AY415" i="2" s="1"/>
  <c r="AX415" i="2" a="1"/>
  <c r="AX415" i="2" s="1"/>
  <c r="AW415" i="2" a="1"/>
  <c r="AW415" i="2" s="1"/>
  <c r="AV415" i="2" a="1"/>
  <c r="AV415" i="2" s="1"/>
  <c r="AU415" i="2" a="1"/>
  <c r="AU415" i="2" s="1"/>
  <c r="AT415" i="2" a="1"/>
  <c r="AT415" i="2" s="1"/>
  <c r="AS415" i="2" a="1"/>
  <c r="AS415" i="2" s="1"/>
  <c r="AR415" i="2" a="1"/>
  <c r="AR415" i="2" s="1"/>
  <c r="AQ415" i="2" a="1"/>
  <c r="AQ415" i="2" s="1"/>
  <c r="AP415" i="2" a="1"/>
  <c r="AP415" i="2" s="1"/>
  <c r="AO415" i="2" a="1"/>
  <c r="AO415" i="2" s="1"/>
  <c r="AN415" i="2" a="1"/>
  <c r="AN415" i="2" s="1"/>
  <c r="AM415" i="2" a="1"/>
  <c r="AM415" i="2" s="1"/>
  <c r="AL415" i="2" a="1"/>
  <c r="AL415" i="2" s="1"/>
  <c r="AK415" i="2" a="1"/>
  <c r="AK415" i="2" s="1"/>
  <c r="AJ415" i="2" a="1"/>
  <c r="AJ415" i="2" s="1"/>
  <c r="AI415" i="2" a="1"/>
  <c r="AI415" i="2" s="1"/>
  <c r="AH415" i="2" a="1"/>
  <c r="AH415" i="2" s="1"/>
  <c r="AG415" i="2" a="1"/>
  <c r="AG415" i="2" s="1"/>
  <c r="AF415" i="2" a="1"/>
  <c r="AF415" i="2" s="1"/>
  <c r="AE415" i="2" a="1"/>
  <c r="AE415" i="2" s="1"/>
  <c r="AD415" i="2" a="1"/>
  <c r="AD415" i="2" s="1"/>
  <c r="AC415" i="2" a="1"/>
  <c r="AC415" i="2" s="1"/>
  <c r="AB415" i="2"/>
  <c r="AA415" i="2" a="1"/>
  <c r="AA415" i="2" s="1"/>
  <c r="Z415" i="2" a="1"/>
  <c r="Z415" i="2" s="1"/>
  <c r="Y415" i="2" a="1"/>
  <c r="Y415" i="2" s="1"/>
  <c r="X415" i="2" a="1"/>
  <c r="X415" i="2" s="1"/>
  <c r="W415" i="2" a="1"/>
  <c r="W415" i="2" s="1"/>
  <c r="BB415" i="2" s="1" a="1"/>
  <c r="BB415" i="2" s="1"/>
  <c r="V415" i="2" a="1"/>
  <c r="V415" i="2" s="1"/>
  <c r="E415" i="2" s="1" a="1"/>
  <c r="E415" i="2" s="1"/>
  <c r="U415" i="2" a="1"/>
  <c r="U415" i="2" s="1"/>
  <c r="T415" i="2" a="1"/>
  <c r="T415" i="2" s="1"/>
  <c r="S415" i="2" a="1"/>
  <c r="S415" i="2" s="1"/>
  <c r="R415" i="2" a="1"/>
  <c r="R415" i="2" s="1"/>
  <c r="Q415" i="2" a="1"/>
  <c r="Q415" i="2" s="1"/>
  <c r="P415" i="2" a="1"/>
  <c r="P415" i="2" s="1"/>
  <c r="O415" i="2" a="1"/>
  <c r="O415" i="2" s="1"/>
  <c r="N415" i="2" a="1"/>
  <c r="N415" i="2" s="1"/>
  <c r="M415" i="2" a="1"/>
  <c r="M415" i="2" s="1"/>
  <c r="L415" i="2" a="1"/>
  <c r="L415" i="2" s="1"/>
  <c r="K415" i="2" a="1"/>
  <c r="K415" i="2" s="1"/>
  <c r="J415" i="2" a="1"/>
  <c r="J415" i="2" s="1"/>
  <c r="I415" i="2" a="1"/>
  <c r="I415" i="2" s="1"/>
  <c r="H415" i="2" a="1"/>
  <c r="H415" i="2" s="1"/>
  <c r="F415" i="2" a="1"/>
  <c r="F415" i="2" s="1"/>
  <c r="D415" i="2" a="1"/>
  <c r="D415" i="2" s="1"/>
  <c r="B415" i="2" a="1"/>
  <c r="B415" i="2" s="1"/>
  <c r="BD414" i="2" a="1"/>
  <c r="BD414" i="2" s="1"/>
  <c r="BC414" i="2" a="1"/>
  <c r="BC414" i="2" s="1"/>
  <c r="BA414" i="2" a="1"/>
  <c r="BA414" i="2" s="1"/>
  <c r="AZ414" i="2" a="1"/>
  <c r="AZ414" i="2" s="1"/>
  <c r="AY414" i="2" a="1"/>
  <c r="AY414" i="2" s="1"/>
  <c r="AX414" i="2" a="1"/>
  <c r="AX414" i="2" s="1"/>
  <c r="AW414" i="2" a="1"/>
  <c r="AW414" i="2" s="1"/>
  <c r="AV414" i="2" a="1"/>
  <c r="AV414" i="2" s="1"/>
  <c r="AU414" i="2" a="1"/>
  <c r="AU414" i="2" s="1"/>
  <c r="AT414" i="2" a="1"/>
  <c r="AT414" i="2" s="1"/>
  <c r="AS414" i="2" a="1"/>
  <c r="AS414" i="2" s="1"/>
  <c r="AR414" i="2" a="1"/>
  <c r="AR414" i="2" s="1"/>
  <c r="AQ414" i="2" a="1"/>
  <c r="AQ414" i="2" s="1"/>
  <c r="AP414" i="2" a="1"/>
  <c r="AP414" i="2" s="1"/>
  <c r="AO414" i="2" a="1"/>
  <c r="AO414" i="2" s="1"/>
  <c r="AN414" i="2" a="1"/>
  <c r="AN414" i="2" s="1"/>
  <c r="AM414" i="2" a="1"/>
  <c r="AM414" i="2" s="1"/>
  <c r="AL414" i="2" a="1"/>
  <c r="AL414" i="2" s="1"/>
  <c r="AK414" i="2" a="1"/>
  <c r="AK414" i="2" s="1"/>
  <c r="AJ414" i="2" a="1"/>
  <c r="AJ414" i="2" s="1"/>
  <c r="AI414" i="2" a="1"/>
  <c r="AI414" i="2" s="1"/>
  <c r="AH414" i="2" a="1"/>
  <c r="AH414" i="2" s="1"/>
  <c r="AG414" i="2" a="1"/>
  <c r="AG414" i="2" s="1"/>
  <c r="AF414" i="2" a="1"/>
  <c r="AF414" i="2" s="1"/>
  <c r="AE414" i="2" a="1"/>
  <c r="AE414" i="2" s="1"/>
  <c r="AD414" i="2" a="1"/>
  <c r="AD414" i="2" s="1"/>
  <c r="AC414" i="2" a="1"/>
  <c r="AC414" i="2" s="1"/>
  <c r="AB414" i="2"/>
  <c r="AA414" i="2" a="1"/>
  <c r="AA414" i="2" s="1"/>
  <c r="Z414" i="2" a="1"/>
  <c r="Z414" i="2" s="1"/>
  <c r="Y414" i="2" a="1"/>
  <c r="Y414" i="2" s="1"/>
  <c r="X414" i="2" a="1"/>
  <c r="X414" i="2" s="1"/>
  <c r="W414" i="2" a="1"/>
  <c r="W414" i="2" s="1"/>
  <c r="BB414" i="2" s="1" a="1"/>
  <c r="BB414" i="2" s="1"/>
  <c r="V414" i="2" a="1"/>
  <c r="V414" i="2" s="1"/>
  <c r="E414" i="2" s="1" a="1"/>
  <c r="E414" i="2" s="1"/>
  <c r="U414" i="2" a="1"/>
  <c r="U414" i="2" s="1"/>
  <c r="T414" i="2" a="1"/>
  <c r="T414" i="2" s="1"/>
  <c r="S414" i="2" a="1"/>
  <c r="S414" i="2" s="1"/>
  <c r="R414" i="2" a="1"/>
  <c r="R414" i="2" s="1"/>
  <c r="Q414" i="2" a="1"/>
  <c r="Q414" i="2" s="1"/>
  <c r="P414" i="2" a="1"/>
  <c r="P414" i="2" s="1"/>
  <c r="O414" i="2" a="1"/>
  <c r="O414" i="2" s="1"/>
  <c r="N414" i="2" a="1"/>
  <c r="N414" i="2" s="1"/>
  <c r="M414" i="2" a="1"/>
  <c r="M414" i="2" s="1"/>
  <c r="L414" i="2" a="1"/>
  <c r="L414" i="2" s="1"/>
  <c r="K414" i="2" a="1"/>
  <c r="K414" i="2" s="1"/>
  <c r="J414" i="2" a="1"/>
  <c r="J414" i="2" s="1"/>
  <c r="I414" i="2" a="1"/>
  <c r="I414" i="2" s="1"/>
  <c r="H414" i="2" a="1"/>
  <c r="H414" i="2" s="1"/>
  <c r="F414" i="2" a="1"/>
  <c r="F414" i="2" s="1"/>
  <c r="D414" i="2" a="1"/>
  <c r="D414" i="2" s="1"/>
  <c r="B414" i="2" a="1"/>
  <c r="B414" i="2" s="1"/>
  <c r="BD413" i="2" a="1"/>
  <c r="BD413" i="2" s="1"/>
  <c r="BC413" i="2" a="1"/>
  <c r="BC413" i="2" s="1"/>
  <c r="BA413" i="2" a="1"/>
  <c r="BA413" i="2" s="1"/>
  <c r="AZ413" i="2" a="1"/>
  <c r="AZ413" i="2" s="1"/>
  <c r="AY413" i="2" a="1"/>
  <c r="AY413" i="2" s="1"/>
  <c r="AX413" i="2" a="1"/>
  <c r="AX413" i="2" s="1"/>
  <c r="AW413" i="2" a="1"/>
  <c r="AW413" i="2" s="1"/>
  <c r="AV413" i="2" a="1"/>
  <c r="AV413" i="2" s="1"/>
  <c r="AU413" i="2" a="1"/>
  <c r="AU413" i="2" s="1"/>
  <c r="AT413" i="2" a="1"/>
  <c r="AT413" i="2" s="1"/>
  <c r="AS413" i="2" a="1"/>
  <c r="AS413" i="2" s="1"/>
  <c r="AR413" i="2" a="1"/>
  <c r="AR413" i="2" s="1"/>
  <c r="AQ413" i="2" a="1"/>
  <c r="AQ413" i="2" s="1"/>
  <c r="AP413" i="2" a="1"/>
  <c r="AP413" i="2" s="1"/>
  <c r="AO413" i="2" a="1"/>
  <c r="AO413" i="2" s="1"/>
  <c r="AN413" i="2" a="1"/>
  <c r="AN413" i="2" s="1"/>
  <c r="AM413" i="2" a="1"/>
  <c r="AM413" i="2" s="1"/>
  <c r="AL413" i="2" a="1"/>
  <c r="AL413" i="2" s="1"/>
  <c r="AK413" i="2" a="1"/>
  <c r="AK413" i="2" s="1"/>
  <c r="AJ413" i="2" a="1"/>
  <c r="AJ413" i="2" s="1"/>
  <c r="AI413" i="2" a="1"/>
  <c r="AI413" i="2" s="1"/>
  <c r="AH413" i="2" a="1"/>
  <c r="AH413" i="2" s="1"/>
  <c r="AG413" i="2" a="1"/>
  <c r="AG413" i="2" s="1"/>
  <c r="AF413" i="2" a="1"/>
  <c r="AF413" i="2" s="1"/>
  <c r="AE413" i="2" a="1"/>
  <c r="AE413" i="2" s="1"/>
  <c r="AD413" i="2" a="1"/>
  <c r="AD413" i="2" s="1"/>
  <c r="AC413" i="2" a="1"/>
  <c r="AC413" i="2" s="1"/>
  <c r="AB413" i="2"/>
  <c r="AA413" i="2" a="1"/>
  <c r="AA413" i="2" s="1"/>
  <c r="Z413" i="2" a="1"/>
  <c r="Z413" i="2" s="1"/>
  <c r="Y413" i="2" a="1"/>
  <c r="Y413" i="2" s="1"/>
  <c r="X413" i="2" a="1"/>
  <c r="X413" i="2" s="1"/>
  <c r="W413" i="2" a="1"/>
  <c r="W413" i="2" s="1"/>
  <c r="BB413" i="2" s="1" a="1"/>
  <c r="BB413" i="2" s="1"/>
  <c r="V413" i="2" a="1"/>
  <c r="V413" i="2" s="1"/>
  <c r="E413" i="2" s="1" a="1"/>
  <c r="E413" i="2" s="1"/>
  <c r="U413" i="2" a="1"/>
  <c r="U413" i="2" s="1"/>
  <c r="T413" i="2" a="1"/>
  <c r="T413" i="2" s="1"/>
  <c r="S413" i="2" a="1"/>
  <c r="S413" i="2" s="1"/>
  <c r="R413" i="2" a="1"/>
  <c r="R413" i="2" s="1"/>
  <c r="Q413" i="2" a="1"/>
  <c r="Q413" i="2" s="1"/>
  <c r="P413" i="2" a="1"/>
  <c r="P413" i="2" s="1"/>
  <c r="O413" i="2" a="1"/>
  <c r="O413" i="2" s="1"/>
  <c r="N413" i="2" a="1"/>
  <c r="N413" i="2" s="1"/>
  <c r="M413" i="2" a="1"/>
  <c r="M413" i="2" s="1"/>
  <c r="L413" i="2" a="1"/>
  <c r="L413" i="2" s="1"/>
  <c r="K413" i="2" a="1"/>
  <c r="K413" i="2" s="1"/>
  <c r="J413" i="2" a="1"/>
  <c r="J413" i="2" s="1"/>
  <c r="I413" i="2" a="1"/>
  <c r="I413" i="2" s="1"/>
  <c r="H413" i="2" a="1"/>
  <c r="H413" i="2" s="1"/>
  <c r="F413" i="2" a="1"/>
  <c r="F413" i="2" s="1"/>
  <c r="D413" i="2" a="1"/>
  <c r="D413" i="2" s="1"/>
  <c r="B413" i="2" a="1"/>
  <c r="B413" i="2" s="1"/>
  <c r="BD412" i="2" a="1"/>
  <c r="BD412" i="2" s="1"/>
  <c r="BC412" i="2" a="1"/>
  <c r="BC412" i="2" s="1"/>
  <c r="BA412" i="2" a="1"/>
  <c r="BA412" i="2" s="1"/>
  <c r="AZ412" i="2" a="1"/>
  <c r="AZ412" i="2" s="1"/>
  <c r="AY412" i="2" a="1"/>
  <c r="AY412" i="2" s="1"/>
  <c r="AX412" i="2" a="1"/>
  <c r="AX412" i="2" s="1"/>
  <c r="AW412" i="2" a="1"/>
  <c r="AW412" i="2" s="1"/>
  <c r="AV412" i="2" a="1"/>
  <c r="AV412" i="2" s="1"/>
  <c r="AU412" i="2" a="1"/>
  <c r="AU412" i="2" s="1"/>
  <c r="AT412" i="2" a="1"/>
  <c r="AT412" i="2" s="1"/>
  <c r="AS412" i="2" a="1"/>
  <c r="AS412" i="2" s="1"/>
  <c r="AR412" i="2" a="1"/>
  <c r="AR412" i="2" s="1"/>
  <c r="AQ412" i="2" a="1"/>
  <c r="AQ412" i="2" s="1"/>
  <c r="AP412" i="2" a="1"/>
  <c r="AP412" i="2" s="1"/>
  <c r="AO412" i="2" a="1"/>
  <c r="AO412" i="2" s="1"/>
  <c r="AN412" i="2" a="1"/>
  <c r="AN412" i="2" s="1"/>
  <c r="AM412" i="2" a="1"/>
  <c r="AM412" i="2" s="1"/>
  <c r="AL412" i="2" a="1"/>
  <c r="AL412" i="2" s="1"/>
  <c r="AK412" i="2" a="1"/>
  <c r="AK412" i="2" s="1"/>
  <c r="AJ412" i="2" a="1"/>
  <c r="AJ412" i="2" s="1"/>
  <c r="AI412" i="2" a="1"/>
  <c r="AI412" i="2" s="1"/>
  <c r="AH412" i="2" a="1"/>
  <c r="AH412" i="2" s="1"/>
  <c r="AG412" i="2" a="1"/>
  <c r="AG412" i="2" s="1"/>
  <c r="AF412" i="2" a="1"/>
  <c r="AF412" i="2" s="1"/>
  <c r="AE412" i="2" a="1"/>
  <c r="AE412" i="2" s="1"/>
  <c r="AD412" i="2" a="1"/>
  <c r="AD412" i="2" s="1"/>
  <c r="AC412" i="2" a="1"/>
  <c r="AC412" i="2" s="1"/>
  <c r="AB412" i="2"/>
  <c r="AA412" i="2" a="1"/>
  <c r="AA412" i="2" s="1"/>
  <c r="Z412" i="2" a="1"/>
  <c r="Z412" i="2" s="1"/>
  <c r="Y412" i="2" a="1"/>
  <c r="Y412" i="2" s="1"/>
  <c r="X412" i="2" a="1"/>
  <c r="X412" i="2" s="1"/>
  <c r="W412" i="2" a="1"/>
  <c r="W412" i="2" s="1"/>
  <c r="BB412" i="2" s="1" a="1"/>
  <c r="BB412" i="2" s="1"/>
  <c r="V412" i="2" a="1"/>
  <c r="V412" i="2" s="1"/>
  <c r="E412" i="2" s="1" a="1"/>
  <c r="E412" i="2" s="1"/>
  <c r="U412" i="2" a="1"/>
  <c r="U412" i="2" s="1"/>
  <c r="T412" i="2" a="1"/>
  <c r="T412" i="2" s="1"/>
  <c r="S412" i="2" a="1"/>
  <c r="S412" i="2" s="1"/>
  <c r="R412" i="2" a="1"/>
  <c r="R412" i="2" s="1"/>
  <c r="Q412" i="2" a="1"/>
  <c r="Q412" i="2" s="1"/>
  <c r="P412" i="2" a="1"/>
  <c r="P412" i="2" s="1"/>
  <c r="O412" i="2" a="1"/>
  <c r="O412" i="2" s="1"/>
  <c r="N412" i="2" a="1"/>
  <c r="N412" i="2" s="1"/>
  <c r="M412" i="2" a="1"/>
  <c r="M412" i="2" s="1"/>
  <c r="L412" i="2" a="1"/>
  <c r="L412" i="2" s="1"/>
  <c r="K412" i="2" a="1"/>
  <c r="K412" i="2" s="1"/>
  <c r="J412" i="2" a="1"/>
  <c r="J412" i="2" s="1"/>
  <c r="I412" i="2" a="1"/>
  <c r="I412" i="2" s="1"/>
  <c r="H412" i="2" a="1"/>
  <c r="H412" i="2" s="1"/>
  <c r="F412" i="2" a="1"/>
  <c r="F412" i="2" s="1"/>
  <c r="D412" i="2" a="1"/>
  <c r="D412" i="2" s="1"/>
  <c r="B412" i="2" a="1"/>
  <c r="B412" i="2" s="1"/>
  <c r="BD410" i="2" a="1"/>
  <c r="BD410" i="2" s="1"/>
  <c r="BC410" i="2" a="1"/>
  <c r="BC410" i="2" s="1"/>
  <c r="BA410" i="2" a="1"/>
  <c r="BA410" i="2" s="1"/>
  <c r="AZ410" i="2" a="1"/>
  <c r="AZ410" i="2" s="1"/>
  <c r="AY410" i="2" a="1"/>
  <c r="AY410" i="2" s="1"/>
  <c r="AX410" i="2" a="1"/>
  <c r="AX410" i="2" s="1"/>
  <c r="AW410" i="2" a="1"/>
  <c r="AW410" i="2" s="1"/>
  <c r="AV410" i="2" a="1"/>
  <c r="AV410" i="2" s="1"/>
  <c r="AU410" i="2" a="1"/>
  <c r="AU410" i="2" s="1"/>
  <c r="AT410" i="2" a="1"/>
  <c r="AT410" i="2" s="1"/>
  <c r="AS410" i="2" a="1"/>
  <c r="AS410" i="2" s="1"/>
  <c r="AR410" i="2" a="1"/>
  <c r="AR410" i="2" s="1"/>
  <c r="AQ410" i="2" a="1"/>
  <c r="AQ410" i="2" s="1"/>
  <c r="AP410" i="2" a="1"/>
  <c r="AP410" i="2" s="1"/>
  <c r="AO410" i="2" a="1"/>
  <c r="AO410" i="2" s="1"/>
  <c r="AN410" i="2" a="1"/>
  <c r="AN410" i="2" s="1"/>
  <c r="AM410" i="2" a="1"/>
  <c r="AM410" i="2" s="1"/>
  <c r="AL410" i="2" a="1"/>
  <c r="AL410" i="2" s="1"/>
  <c r="AK410" i="2" a="1"/>
  <c r="AK410" i="2" s="1"/>
  <c r="AJ410" i="2" a="1"/>
  <c r="AJ410" i="2" s="1"/>
  <c r="AI410" i="2" a="1"/>
  <c r="AI410" i="2" s="1"/>
  <c r="AH410" i="2" a="1"/>
  <c r="AH410" i="2" s="1"/>
  <c r="AG410" i="2" a="1"/>
  <c r="AG410" i="2" s="1"/>
  <c r="AF410" i="2" a="1"/>
  <c r="AF410" i="2" s="1"/>
  <c r="AE410" i="2" a="1"/>
  <c r="AE410" i="2" s="1"/>
  <c r="AD410" i="2" a="1"/>
  <c r="AD410" i="2" s="1"/>
  <c r="AC410" i="2" a="1"/>
  <c r="AC410" i="2" s="1"/>
  <c r="AB410" i="2"/>
  <c r="AA410" i="2" a="1"/>
  <c r="AA410" i="2" s="1"/>
  <c r="Z410" i="2" a="1"/>
  <c r="Z410" i="2" s="1"/>
  <c r="Y410" i="2" a="1"/>
  <c r="Y410" i="2" s="1"/>
  <c r="X410" i="2" a="1"/>
  <c r="X410" i="2" s="1"/>
  <c r="W410" i="2" a="1"/>
  <c r="W410" i="2" s="1"/>
  <c r="BB410" i="2" s="1" a="1"/>
  <c r="BB410" i="2" s="1"/>
  <c r="V410" i="2" a="1"/>
  <c r="V410" i="2" s="1"/>
  <c r="E410" i="2" s="1" a="1"/>
  <c r="E410" i="2" s="1"/>
  <c r="U410" i="2" a="1"/>
  <c r="U410" i="2" s="1"/>
  <c r="T410" i="2" a="1"/>
  <c r="T410" i="2" s="1"/>
  <c r="S410" i="2" a="1"/>
  <c r="S410" i="2" s="1"/>
  <c r="R410" i="2" a="1"/>
  <c r="R410" i="2" s="1"/>
  <c r="Q410" i="2" a="1"/>
  <c r="Q410" i="2" s="1"/>
  <c r="P410" i="2" a="1"/>
  <c r="P410" i="2" s="1"/>
  <c r="O410" i="2" a="1"/>
  <c r="O410" i="2" s="1"/>
  <c r="N410" i="2" a="1"/>
  <c r="N410" i="2" s="1"/>
  <c r="M410" i="2" a="1"/>
  <c r="M410" i="2" s="1"/>
  <c r="L410" i="2" a="1"/>
  <c r="L410" i="2" s="1"/>
  <c r="K410" i="2" a="1"/>
  <c r="K410" i="2" s="1"/>
  <c r="J410" i="2" a="1"/>
  <c r="J410" i="2" s="1"/>
  <c r="I410" i="2" a="1"/>
  <c r="I410" i="2" s="1"/>
  <c r="H410" i="2" a="1"/>
  <c r="H410" i="2" s="1"/>
  <c r="F410" i="2" a="1"/>
  <c r="F410" i="2" s="1"/>
  <c r="D410" i="2" a="1"/>
  <c r="D410" i="2" s="1"/>
  <c r="B410" i="2" a="1"/>
  <c r="B410" i="2" s="1"/>
  <c r="BD409" i="2" a="1"/>
  <c r="BD409" i="2" s="1"/>
  <c r="BC409" i="2" a="1"/>
  <c r="BC409" i="2" s="1"/>
  <c r="BA409" i="2" a="1"/>
  <c r="BA409" i="2" s="1"/>
  <c r="AZ409" i="2" a="1"/>
  <c r="AZ409" i="2" s="1"/>
  <c r="AY409" i="2" a="1"/>
  <c r="AY409" i="2" s="1"/>
  <c r="AX409" i="2" a="1"/>
  <c r="AX409" i="2" s="1"/>
  <c r="AW409" i="2" a="1"/>
  <c r="AW409" i="2" s="1"/>
  <c r="AV409" i="2" a="1"/>
  <c r="AV409" i="2" s="1"/>
  <c r="AU409" i="2" a="1"/>
  <c r="AU409" i="2" s="1"/>
  <c r="AT409" i="2" a="1"/>
  <c r="AT409" i="2" s="1"/>
  <c r="AS409" i="2" a="1"/>
  <c r="AS409" i="2" s="1"/>
  <c r="AR409" i="2" a="1"/>
  <c r="AR409" i="2" s="1"/>
  <c r="AQ409" i="2" a="1"/>
  <c r="AQ409" i="2" s="1"/>
  <c r="AP409" i="2" a="1"/>
  <c r="AP409" i="2" s="1"/>
  <c r="AO409" i="2" a="1"/>
  <c r="AO409" i="2" s="1"/>
  <c r="AN409" i="2" a="1"/>
  <c r="AN409" i="2" s="1"/>
  <c r="AM409" i="2" a="1"/>
  <c r="AM409" i="2" s="1"/>
  <c r="AL409" i="2" a="1"/>
  <c r="AL409" i="2" s="1"/>
  <c r="AK409" i="2" a="1"/>
  <c r="AK409" i="2" s="1"/>
  <c r="AI409" i="2" a="1"/>
  <c r="AI409" i="2" s="1"/>
  <c r="AH409" i="2" a="1"/>
  <c r="AH409" i="2" s="1"/>
  <c r="AG409" i="2" a="1"/>
  <c r="AG409" i="2" s="1"/>
  <c r="AF409" i="2" a="1"/>
  <c r="AF409" i="2" s="1"/>
  <c r="AE409" i="2" a="1"/>
  <c r="AE409" i="2" s="1"/>
  <c r="AD409" i="2" a="1"/>
  <c r="AD409" i="2" s="1"/>
  <c r="AC409" i="2" a="1"/>
  <c r="AC409" i="2" s="1"/>
  <c r="AB409" i="2"/>
  <c r="AA409" i="2" a="1"/>
  <c r="AA409" i="2" s="1"/>
  <c r="Z409" i="2" a="1"/>
  <c r="Z409" i="2" s="1"/>
  <c r="Y409" i="2" a="1"/>
  <c r="Y409" i="2" s="1"/>
  <c r="X409" i="2" a="1"/>
  <c r="X409" i="2" s="1"/>
  <c r="W409" i="2" a="1"/>
  <c r="W409" i="2" s="1"/>
  <c r="BB409" i="2" s="1" a="1"/>
  <c r="BB409" i="2" s="1"/>
  <c r="V409" i="2" a="1"/>
  <c r="V409" i="2" s="1"/>
  <c r="E409" i="2" s="1" a="1"/>
  <c r="E409" i="2" s="1"/>
  <c r="U409" i="2" a="1"/>
  <c r="U409" i="2" s="1"/>
  <c r="T409" i="2" a="1"/>
  <c r="T409" i="2" s="1"/>
  <c r="S409" i="2" a="1"/>
  <c r="S409" i="2" s="1"/>
  <c r="R409" i="2" a="1"/>
  <c r="R409" i="2" s="1"/>
  <c r="Q409" i="2" a="1"/>
  <c r="Q409" i="2" s="1"/>
  <c r="P409" i="2" a="1"/>
  <c r="P409" i="2" s="1"/>
  <c r="O409" i="2" a="1"/>
  <c r="O409" i="2" s="1"/>
  <c r="N409" i="2" a="1"/>
  <c r="N409" i="2" s="1"/>
  <c r="M409" i="2" a="1"/>
  <c r="M409" i="2" s="1"/>
  <c r="L409" i="2" a="1"/>
  <c r="L409" i="2" s="1"/>
  <c r="K409" i="2" a="1"/>
  <c r="K409" i="2" s="1"/>
  <c r="J409" i="2" a="1"/>
  <c r="J409" i="2" s="1"/>
  <c r="I409" i="2" a="1"/>
  <c r="I409" i="2" s="1"/>
  <c r="H409" i="2" a="1"/>
  <c r="H409" i="2" s="1"/>
  <c r="F409" i="2" a="1"/>
  <c r="F409" i="2" s="1"/>
  <c r="D409" i="2" a="1"/>
  <c r="D409" i="2" s="1"/>
  <c r="BD408" i="2" a="1"/>
  <c r="BD408" i="2" s="1"/>
  <c r="BC408" i="2" a="1"/>
  <c r="BC408" i="2" s="1"/>
  <c r="BA408" i="2" a="1"/>
  <c r="BA408" i="2" s="1"/>
  <c r="AZ408" i="2" a="1"/>
  <c r="AZ408" i="2" s="1"/>
  <c r="AY408" i="2" a="1"/>
  <c r="AY408" i="2" s="1"/>
  <c r="AX408" i="2" a="1"/>
  <c r="AX408" i="2" s="1"/>
  <c r="AW408" i="2" a="1"/>
  <c r="AW408" i="2" s="1"/>
  <c r="AV408" i="2" a="1"/>
  <c r="AV408" i="2" s="1"/>
  <c r="AU408" i="2" a="1"/>
  <c r="AU408" i="2" s="1"/>
  <c r="AT408" i="2" a="1"/>
  <c r="AT408" i="2" s="1"/>
  <c r="AS408" i="2" a="1"/>
  <c r="AS408" i="2" s="1"/>
  <c r="AR408" i="2" a="1"/>
  <c r="AR408" i="2" s="1"/>
  <c r="AQ408" i="2" a="1"/>
  <c r="AQ408" i="2" s="1"/>
  <c r="AP408" i="2" a="1"/>
  <c r="AP408" i="2" s="1"/>
  <c r="AO408" i="2" a="1"/>
  <c r="AO408" i="2" s="1"/>
  <c r="AN408" i="2" a="1"/>
  <c r="AN408" i="2" s="1"/>
  <c r="AM408" i="2" a="1"/>
  <c r="AM408" i="2" s="1"/>
  <c r="AL408" i="2" a="1"/>
  <c r="AL408" i="2" s="1"/>
  <c r="AK408" i="2" a="1"/>
  <c r="AK408" i="2" s="1"/>
  <c r="AJ408" i="2" a="1"/>
  <c r="AJ408" i="2" s="1"/>
  <c r="AI408" i="2" a="1"/>
  <c r="AI408" i="2" s="1"/>
  <c r="AH408" i="2" a="1"/>
  <c r="AH408" i="2" s="1"/>
  <c r="AG408" i="2" a="1"/>
  <c r="AG408" i="2" s="1"/>
  <c r="AF408" i="2" a="1"/>
  <c r="AF408" i="2" s="1"/>
  <c r="AE408" i="2" a="1"/>
  <c r="AE408" i="2" s="1"/>
  <c r="AD408" i="2" a="1"/>
  <c r="AD408" i="2" s="1"/>
  <c r="AC408" i="2" a="1"/>
  <c r="AC408" i="2" s="1"/>
  <c r="AB408" i="2"/>
  <c r="AA408" i="2" a="1"/>
  <c r="AA408" i="2" s="1"/>
  <c r="Z408" i="2" a="1"/>
  <c r="Z408" i="2" s="1"/>
  <c r="Y408" i="2" a="1"/>
  <c r="Y408" i="2" s="1"/>
  <c r="X408" i="2" a="1"/>
  <c r="X408" i="2" s="1"/>
  <c r="W408" i="2" a="1"/>
  <c r="W408" i="2" s="1"/>
  <c r="BB408" i="2" s="1" a="1"/>
  <c r="BB408" i="2" s="1"/>
  <c r="V408" i="2" a="1"/>
  <c r="V408" i="2" s="1"/>
  <c r="E408" i="2" s="1" a="1"/>
  <c r="E408" i="2" s="1"/>
  <c r="U408" i="2" a="1"/>
  <c r="U408" i="2" s="1"/>
  <c r="T408" i="2" a="1"/>
  <c r="T408" i="2" s="1"/>
  <c r="S408" i="2" a="1"/>
  <c r="S408" i="2" s="1"/>
  <c r="R408" i="2" a="1"/>
  <c r="R408" i="2" s="1"/>
  <c r="Q408" i="2" a="1"/>
  <c r="Q408" i="2" s="1"/>
  <c r="P408" i="2" a="1"/>
  <c r="P408" i="2" s="1"/>
  <c r="O408" i="2" a="1"/>
  <c r="O408" i="2" s="1"/>
  <c r="N408" i="2" a="1"/>
  <c r="N408" i="2" s="1"/>
  <c r="M408" i="2" a="1"/>
  <c r="M408" i="2" s="1"/>
  <c r="L408" i="2" a="1"/>
  <c r="L408" i="2" s="1"/>
  <c r="K408" i="2" a="1"/>
  <c r="K408" i="2" s="1"/>
  <c r="J408" i="2" a="1"/>
  <c r="J408" i="2" s="1"/>
  <c r="I408" i="2" a="1"/>
  <c r="I408" i="2" s="1"/>
  <c r="H408" i="2" a="1"/>
  <c r="H408" i="2" s="1"/>
  <c r="F408" i="2" a="1"/>
  <c r="F408" i="2" s="1"/>
  <c r="D408" i="2" a="1"/>
  <c r="D408" i="2" s="1"/>
  <c r="B408" i="2" a="1"/>
  <c r="B408" i="2" s="1"/>
  <c r="BD407" i="2" a="1"/>
  <c r="BD407" i="2" s="1"/>
  <c r="BC407" i="2" a="1"/>
  <c r="BC407" i="2" s="1"/>
  <c r="BA407" i="2" a="1"/>
  <c r="BA407" i="2" s="1"/>
  <c r="AZ407" i="2" a="1"/>
  <c r="AZ407" i="2" s="1"/>
  <c r="AY407" i="2" a="1"/>
  <c r="AY407" i="2" s="1"/>
  <c r="AX407" i="2" a="1"/>
  <c r="AX407" i="2" s="1"/>
  <c r="AW407" i="2" a="1"/>
  <c r="AW407" i="2" s="1"/>
  <c r="AV407" i="2" a="1"/>
  <c r="AV407" i="2" s="1"/>
  <c r="AU407" i="2" a="1"/>
  <c r="AU407" i="2" s="1"/>
  <c r="AT407" i="2" a="1"/>
  <c r="AT407" i="2" s="1"/>
  <c r="AS407" i="2" a="1"/>
  <c r="AS407" i="2" s="1"/>
  <c r="AR407" i="2" a="1"/>
  <c r="AR407" i="2" s="1"/>
  <c r="AQ407" i="2" a="1"/>
  <c r="AQ407" i="2" s="1"/>
  <c r="AP407" i="2" a="1"/>
  <c r="AP407" i="2" s="1"/>
  <c r="AO407" i="2" a="1"/>
  <c r="AO407" i="2" s="1"/>
  <c r="AN407" i="2" a="1"/>
  <c r="AN407" i="2" s="1"/>
  <c r="AM407" i="2" a="1"/>
  <c r="AM407" i="2" s="1"/>
  <c r="AL407" i="2" a="1"/>
  <c r="AL407" i="2" s="1"/>
  <c r="AK407" i="2" a="1"/>
  <c r="AK407" i="2" s="1"/>
  <c r="AJ407" i="2" a="1"/>
  <c r="AJ407" i="2" s="1"/>
  <c r="AI407" i="2" a="1"/>
  <c r="AI407" i="2" s="1"/>
  <c r="AH407" i="2" a="1"/>
  <c r="AH407" i="2" s="1"/>
  <c r="AG407" i="2" a="1"/>
  <c r="AG407" i="2" s="1"/>
  <c r="AF407" i="2" a="1"/>
  <c r="AF407" i="2" s="1"/>
  <c r="AE407" i="2" a="1"/>
  <c r="AE407" i="2" s="1"/>
  <c r="AD407" i="2" a="1"/>
  <c r="AD407" i="2" s="1"/>
  <c r="AC407" i="2" a="1"/>
  <c r="AC407" i="2" s="1"/>
  <c r="AB407" i="2"/>
  <c r="AA407" i="2" a="1"/>
  <c r="AA407" i="2" s="1"/>
  <c r="Z407" i="2" a="1"/>
  <c r="Z407" i="2" s="1"/>
  <c r="Y407" i="2" a="1"/>
  <c r="Y407" i="2" s="1"/>
  <c r="X407" i="2" a="1"/>
  <c r="X407" i="2" s="1"/>
  <c r="W407" i="2" a="1"/>
  <c r="W407" i="2" s="1"/>
  <c r="BB407" i="2" s="1" a="1"/>
  <c r="BB407" i="2" s="1"/>
  <c r="V407" i="2" a="1"/>
  <c r="V407" i="2" s="1"/>
  <c r="E407" i="2" s="1" a="1"/>
  <c r="E407" i="2" s="1"/>
  <c r="U407" i="2" a="1"/>
  <c r="U407" i="2" s="1"/>
  <c r="T407" i="2" a="1"/>
  <c r="T407" i="2" s="1"/>
  <c r="S407" i="2" a="1"/>
  <c r="S407" i="2" s="1"/>
  <c r="R407" i="2" a="1"/>
  <c r="R407" i="2" s="1"/>
  <c r="Q407" i="2" a="1"/>
  <c r="Q407" i="2" s="1"/>
  <c r="P407" i="2" a="1"/>
  <c r="P407" i="2" s="1"/>
  <c r="O407" i="2" a="1"/>
  <c r="O407" i="2" s="1"/>
  <c r="N407" i="2" a="1"/>
  <c r="N407" i="2" s="1"/>
  <c r="M407" i="2" a="1"/>
  <c r="M407" i="2" s="1"/>
  <c r="L407" i="2" a="1"/>
  <c r="L407" i="2" s="1"/>
  <c r="K407" i="2" a="1"/>
  <c r="K407" i="2" s="1"/>
  <c r="J407" i="2" a="1"/>
  <c r="J407" i="2" s="1"/>
  <c r="I407" i="2" a="1"/>
  <c r="I407" i="2" s="1"/>
  <c r="H407" i="2" a="1"/>
  <c r="H407" i="2" s="1"/>
  <c r="F407" i="2" a="1"/>
  <c r="F407" i="2" s="1"/>
  <c r="D407" i="2" a="1"/>
  <c r="D407" i="2" s="1"/>
  <c r="B407" i="2" a="1"/>
  <c r="B407" i="2" s="1"/>
  <c r="BD406" i="2" a="1"/>
  <c r="BD406" i="2" s="1"/>
  <c r="BC406" i="2" a="1"/>
  <c r="BC406" i="2" s="1"/>
  <c r="BA406" i="2" a="1"/>
  <c r="BA406" i="2" s="1"/>
  <c r="AZ406" i="2" a="1"/>
  <c r="AZ406" i="2" s="1"/>
  <c r="AY406" i="2" a="1"/>
  <c r="AY406" i="2" s="1"/>
  <c r="AX406" i="2" a="1"/>
  <c r="AX406" i="2" s="1"/>
  <c r="AW406" i="2" a="1"/>
  <c r="AW406" i="2" s="1"/>
  <c r="AV406" i="2" a="1"/>
  <c r="AV406" i="2" s="1"/>
  <c r="AU406" i="2" a="1"/>
  <c r="AU406" i="2" s="1"/>
  <c r="AT406" i="2" a="1"/>
  <c r="AT406" i="2" s="1"/>
  <c r="AS406" i="2" a="1"/>
  <c r="AS406" i="2" s="1"/>
  <c r="AR406" i="2" a="1"/>
  <c r="AR406" i="2" s="1"/>
  <c r="AQ406" i="2" a="1"/>
  <c r="AQ406" i="2" s="1"/>
  <c r="AP406" i="2" a="1"/>
  <c r="AP406" i="2" s="1"/>
  <c r="AO406" i="2" a="1"/>
  <c r="AO406" i="2" s="1"/>
  <c r="AN406" i="2" a="1"/>
  <c r="AN406" i="2" s="1"/>
  <c r="AM406" i="2" a="1"/>
  <c r="AM406" i="2" s="1"/>
  <c r="AL406" i="2" a="1"/>
  <c r="AL406" i="2" s="1"/>
  <c r="AK406" i="2" a="1"/>
  <c r="AK406" i="2" s="1"/>
  <c r="AJ406" i="2" a="1"/>
  <c r="AJ406" i="2" s="1"/>
  <c r="AI406" i="2" a="1"/>
  <c r="AI406" i="2" s="1"/>
  <c r="AH406" i="2" a="1"/>
  <c r="AH406" i="2" s="1"/>
  <c r="AG406" i="2" a="1"/>
  <c r="AG406" i="2" s="1"/>
  <c r="AF406" i="2" a="1"/>
  <c r="AF406" i="2" s="1"/>
  <c r="AE406" i="2" a="1"/>
  <c r="AE406" i="2" s="1"/>
  <c r="AD406" i="2" a="1"/>
  <c r="AD406" i="2" s="1"/>
  <c r="AC406" i="2" a="1"/>
  <c r="AC406" i="2" s="1"/>
  <c r="AB406" i="2"/>
  <c r="AA406" i="2" a="1"/>
  <c r="AA406" i="2" s="1"/>
  <c r="Z406" i="2" a="1"/>
  <c r="Z406" i="2" s="1"/>
  <c r="Y406" i="2" a="1"/>
  <c r="Y406" i="2" s="1"/>
  <c r="X406" i="2" a="1"/>
  <c r="X406" i="2" s="1"/>
  <c r="W406" i="2" a="1"/>
  <c r="W406" i="2" s="1"/>
  <c r="BB406" i="2" s="1" a="1"/>
  <c r="BB406" i="2" s="1"/>
  <c r="V406" i="2" a="1"/>
  <c r="V406" i="2" s="1"/>
  <c r="E406" i="2" s="1" a="1"/>
  <c r="E406" i="2" s="1"/>
  <c r="U406" i="2" a="1"/>
  <c r="U406" i="2" s="1"/>
  <c r="T406" i="2" a="1"/>
  <c r="T406" i="2" s="1"/>
  <c r="S406" i="2" a="1"/>
  <c r="S406" i="2" s="1"/>
  <c r="R406" i="2" a="1"/>
  <c r="R406" i="2" s="1"/>
  <c r="Q406" i="2" a="1"/>
  <c r="Q406" i="2" s="1"/>
  <c r="P406" i="2" a="1"/>
  <c r="P406" i="2" s="1"/>
  <c r="O406" i="2" a="1"/>
  <c r="O406" i="2" s="1"/>
  <c r="N406" i="2" a="1"/>
  <c r="N406" i="2" s="1"/>
  <c r="M406" i="2" a="1"/>
  <c r="M406" i="2" s="1"/>
  <c r="L406" i="2" a="1"/>
  <c r="L406" i="2" s="1"/>
  <c r="K406" i="2" a="1"/>
  <c r="K406" i="2" s="1"/>
  <c r="J406" i="2" a="1"/>
  <c r="J406" i="2" s="1"/>
  <c r="I406" i="2" a="1"/>
  <c r="I406" i="2" s="1"/>
  <c r="H406" i="2" a="1"/>
  <c r="H406" i="2" s="1"/>
  <c r="F406" i="2" a="1"/>
  <c r="F406" i="2" s="1"/>
  <c r="D406" i="2" a="1"/>
  <c r="D406" i="2" s="1"/>
  <c r="B406" i="2" a="1"/>
  <c r="B406" i="2" s="1"/>
  <c r="BD405" i="2" a="1"/>
  <c r="BD405" i="2" s="1"/>
  <c r="BC405" i="2" a="1"/>
  <c r="BC405" i="2" s="1"/>
  <c r="BA405" i="2" a="1"/>
  <c r="BA405" i="2" s="1"/>
  <c r="AZ405" i="2" a="1"/>
  <c r="AZ405" i="2" s="1"/>
  <c r="AY405" i="2" a="1"/>
  <c r="AY405" i="2" s="1"/>
  <c r="AX405" i="2" a="1"/>
  <c r="AX405" i="2" s="1"/>
  <c r="AW405" i="2" a="1"/>
  <c r="AW405" i="2" s="1"/>
  <c r="AV405" i="2" a="1"/>
  <c r="AV405" i="2" s="1"/>
  <c r="AU405" i="2" a="1"/>
  <c r="AU405" i="2" s="1"/>
  <c r="AT405" i="2" a="1"/>
  <c r="AT405" i="2" s="1"/>
  <c r="AS405" i="2" a="1"/>
  <c r="AS405" i="2" s="1"/>
  <c r="AR405" i="2" a="1"/>
  <c r="AR405" i="2" s="1"/>
  <c r="AQ405" i="2" a="1"/>
  <c r="AQ405" i="2" s="1"/>
  <c r="AP405" i="2" a="1"/>
  <c r="AP405" i="2" s="1"/>
  <c r="AO405" i="2" a="1"/>
  <c r="AO405" i="2" s="1"/>
  <c r="AN405" i="2" a="1"/>
  <c r="AN405" i="2" s="1"/>
  <c r="AM405" i="2" a="1"/>
  <c r="AM405" i="2" s="1"/>
  <c r="AL405" i="2" a="1"/>
  <c r="AL405" i="2" s="1"/>
  <c r="AK405" i="2" a="1"/>
  <c r="AK405" i="2" s="1"/>
  <c r="AJ405" i="2" a="1"/>
  <c r="AJ405" i="2" s="1"/>
  <c r="AI405" i="2" a="1"/>
  <c r="AI405" i="2" s="1"/>
  <c r="AH405" i="2" a="1"/>
  <c r="AH405" i="2" s="1"/>
  <c r="AG405" i="2" a="1"/>
  <c r="AG405" i="2" s="1"/>
  <c r="AF405" i="2" a="1"/>
  <c r="AF405" i="2" s="1"/>
  <c r="AE405" i="2" a="1"/>
  <c r="AE405" i="2" s="1"/>
  <c r="AD405" i="2" a="1"/>
  <c r="AD405" i="2" s="1"/>
  <c r="AC405" i="2" a="1"/>
  <c r="AC405" i="2" s="1"/>
  <c r="AB405" i="2"/>
  <c r="AA405" i="2" a="1"/>
  <c r="AA405" i="2" s="1"/>
  <c r="Z405" i="2" a="1"/>
  <c r="Z405" i="2" s="1"/>
  <c r="Y405" i="2" a="1"/>
  <c r="Y405" i="2" s="1"/>
  <c r="X405" i="2" a="1"/>
  <c r="X405" i="2" s="1"/>
  <c r="W405" i="2" a="1"/>
  <c r="W405" i="2" s="1"/>
  <c r="BB405" i="2" s="1" a="1"/>
  <c r="BB405" i="2" s="1"/>
  <c r="V405" i="2" a="1"/>
  <c r="V405" i="2" s="1"/>
  <c r="E405" i="2" s="1" a="1"/>
  <c r="E405" i="2" s="1"/>
  <c r="U405" i="2" a="1"/>
  <c r="U405" i="2" s="1"/>
  <c r="T405" i="2" a="1"/>
  <c r="T405" i="2" s="1"/>
  <c r="S405" i="2" a="1"/>
  <c r="S405" i="2" s="1"/>
  <c r="R405" i="2" a="1"/>
  <c r="R405" i="2" s="1"/>
  <c r="Q405" i="2" a="1"/>
  <c r="Q405" i="2" s="1"/>
  <c r="P405" i="2" a="1"/>
  <c r="P405" i="2" s="1"/>
  <c r="O405" i="2" a="1"/>
  <c r="O405" i="2" s="1"/>
  <c r="N405" i="2" a="1"/>
  <c r="N405" i="2" s="1"/>
  <c r="M405" i="2" a="1"/>
  <c r="M405" i="2" s="1"/>
  <c r="L405" i="2" a="1"/>
  <c r="L405" i="2" s="1"/>
  <c r="K405" i="2" a="1"/>
  <c r="K405" i="2" s="1"/>
  <c r="J405" i="2" a="1"/>
  <c r="J405" i="2" s="1"/>
  <c r="I405" i="2" a="1"/>
  <c r="I405" i="2" s="1"/>
  <c r="H405" i="2" a="1"/>
  <c r="H405" i="2" s="1"/>
  <c r="F405" i="2" a="1"/>
  <c r="F405" i="2" s="1"/>
  <c r="D405" i="2" a="1"/>
  <c r="D405" i="2" s="1"/>
  <c r="B405" i="2" a="1"/>
  <c r="B405" i="2" s="1"/>
  <c r="BD404" i="2" a="1"/>
  <c r="BD404" i="2" s="1"/>
  <c r="BC404" i="2" a="1"/>
  <c r="BC404" i="2" s="1"/>
  <c r="BA404" i="2" a="1"/>
  <c r="BA404" i="2" s="1"/>
  <c r="AZ404" i="2" a="1"/>
  <c r="AZ404" i="2" s="1"/>
  <c r="AY404" i="2" a="1"/>
  <c r="AY404" i="2" s="1"/>
  <c r="AX404" i="2" a="1"/>
  <c r="AX404" i="2" s="1"/>
  <c r="AW404" i="2" a="1"/>
  <c r="AW404" i="2" s="1"/>
  <c r="AV404" i="2" a="1"/>
  <c r="AV404" i="2" s="1"/>
  <c r="AU404" i="2" a="1"/>
  <c r="AU404" i="2" s="1"/>
  <c r="AT404" i="2" a="1"/>
  <c r="AT404" i="2" s="1"/>
  <c r="AS404" i="2" a="1"/>
  <c r="AS404" i="2" s="1"/>
  <c r="AR404" i="2" a="1"/>
  <c r="AR404" i="2" s="1"/>
  <c r="AQ404" i="2" a="1"/>
  <c r="AQ404" i="2" s="1"/>
  <c r="AP404" i="2" a="1"/>
  <c r="AP404" i="2" s="1"/>
  <c r="AO404" i="2" a="1"/>
  <c r="AO404" i="2" s="1"/>
  <c r="AN404" i="2" a="1"/>
  <c r="AN404" i="2" s="1"/>
  <c r="AM404" i="2" a="1"/>
  <c r="AM404" i="2" s="1"/>
  <c r="AL404" i="2" a="1"/>
  <c r="AL404" i="2" s="1"/>
  <c r="AK404" i="2" a="1"/>
  <c r="AK404" i="2" s="1"/>
  <c r="AJ404" i="2" a="1"/>
  <c r="AJ404" i="2" s="1"/>
  <c r="AI404" i="2" a="1"/>
  <c r="AI404" i="2" s="1"/>
  <c r="AH404" i="2" a="1"/>
  <c r="AH404" i="2" s="1"/>
  <c r="AG404" i="2" a="1"/>
  <c r="AG404" i="2" s="1"/>
  <c r="AF404" i="2" a="1"/>
  <c r="AF404" i="2" s="1"/>
  <c r="AE404" i="2" a="1"/>
  <c r="AE404" i="2" s="1"/>
  <c r="AD404" i="2" a="1"/>
  <c r="AD404" i="2" s="1"/>
  <c r="AC404" i="2" a="1"/>
  <c r="AC404" i="2" s="1"/>
  <c r="AB404" i="2"/>
  <c r="AA404" i="2" a="1"/>
  <c r="AA404" i="2" s="1"/>
  <c r="Z404" i="2" a="1"/>
  <c r="Z404" i="2" s="1"/>
  <c r="Y404" i="2" a="1"/>
  <c r="Y404" i="2" s="1"/>
  <c r="X404" i="2" a="1"/>
  <c r="X404" i="2" s="1"/>
  <c r="W404" i="2" a="1"/>
  <c r="W404" i="2" s="1"/>
  <c r="BB404" i="2" s="1" a="1"/>
  <c r="BB404" i="2" s="1"/>
  <c r="V404" i="2" a="1"/>
  <c r="V404" i="2" s="1"/>
  <c r="E404" i="2" s="1" a="1"/>
  <c r="E404" i="2" s="1"/>
  <c r="U404" i="2" a="1"/>
  <c r="U404" i="2" s="1"/>
  <c r="T404" i="2" a="1"/>
  <c r="T404" i="2" s="1"/>
  <c r="S404" i="2" a="1"/>
  <c r="S404" i="2" s="1"/>
  <c r="R404" i="2" a="1"/>
  <c r="R404" i="2" s="1"/>
  <c r="Q404" i="2" a="1"/>
  <c r="Q404" i="2" s="1"/>
  <c r="P404" i="2" a="1"/>
  <c r="P404" i="2" s="1"/>
  <c r="O404" i="2" a="1"/>
  <c r="O404" i="2" s="1"/>
  <c r="N404" i="2" a="1"/>
  <c r="N404" i="2" s="1"/>
  <c r="M404" i="2" a="1"/>
  <c r="M404" i="2" s="1"/>
  <c r="L404" i="2" a="1"/>
  <c r="L404" i="2" s="1"/>
  <c r="K404" i="2" a="1"/>
  <c r="K404" i="2" s="1"/>
  <c r="J404" i="2" a="1"/>
  <c r="J404" i="2" s="1"/>
  <c r="I404" i="2" a="1"/>
  <c r="I404" i="2" s="1"/>
  <c r="H404" i="2" a="1"/>
  <c r="H404" i="2" s="1"/>
  <c r="F404" i="2" a="1"/>
  <c r="F404" i="2" s="1"/>
  <c r="D404" i="2" a="1"/>
  <c r="D404" i="2" s="1"/>
  <c r="B404" i="2" a="1"/>
  <c r="B404" i="2" s="1"/>
  <c r="BD403" i="2" a="1"/>
  <c r="BD403" i="2" s="1"/>
  <c r="BC403" i="2" a="1"/>
  <c r="BC403" i="2" s="1"/>
  <c r="BA403" i="2" a="1"/>
  <c r="BA403" i="2" s="1"/>
  <c r="AZ403" i="2" a="1"/>
  <c r="AZ403" i="2" s="1"/>
  <c r="AY403" i="2" a="1"/>
  <c r="AY403" i="2" s="1"/>
  <c r="AX403" i="2" a="1"/>
  <c r="AX403" i="2" s="1"/>
  <c r="AW403" i="2" a="1"/>
  <c r="AW403" i="2" s="1"/>
  <c r="AV403" i="2" a="1"/>
  <c r="AV403" i="2" s="1"/>
  <c r="AU403" i="2" a="1"/>
  <c r="AU403" i="2" s="1"/>
  <c r="AT403" i="2" a="1"/>
  <c r="AT403" i="2" s="1"/>
  <c r="AS403" i="2" a="1"/>
  <c r="AS403" i="2" s="1"/>
  <c r="AR403" i="2" a="1"/>
  <c r="AR403" i="2" s="1"/>
  <c r="AQ403" i="2" a="1"/>
  <c r="AQ403" i="2" s="1"/>
  <c r="AP403" i="2" a="1"/>
  <c r="AP403" i="2" s="1"/>
  <c r="AO403" i="2" a="1"/>
  <c r="AO403" i="2" s="1"/>
  <c r="AN403" i="2" a="1"/>
  <c r="AN403" i="2" s="1"/>
  <c r="AM403" i="2" a="1"/>
  <c r="AM403" i="2" s="1"/>
  <c r="AL403" i="2" a="1"/>
  <c r="AL403" i="2" s="1"/>
  <c r="AK403" i="2" a="1"/>
  <c r="AK403" i="2" s="1"/>
  <c r="AJ403" i="2" a="1"/>
  <c r="AJ403" i="2" s="1"/>
  <c r="AI403" i="2" a="1"/>
  <c r="AI403" i="2" s="1"/>
  <c r="AH403" i="2" a="1"/>
  <c r="AH403" i="2" s="1"/>
  <c r="AG403" i="2" a="1"/>
  <c r="AG403" i="2" s="1"/>
  <c r="AF403" i="2" a="1"/>
  <c r="AF403" i="2" s="1"/>
  <c r="AE403" i="2" a="1"/>
  <c r="AE403" i="2" s="1"/>
  <c r="AD403" i="2" a="1"/>
  <c r="AD403" i="2" s="1"/>
  <c r="AC403" i="2" a="1"/>
  <c r="AC403" i="2" s="1"/>
  <c r="AB403" i="2"/>
  <c r="AA403" i="2" a="1"/>
  <c r="AA403" i="2" s="1"/>
  <c r="Z403" i="2" a="1"/>
  <c r="Z403" i="2" s="1"/>
  <c r="Y403" i="2" a="1"/>
  <c r="Y403" i="2" s="1"/>
  <c r="X403" i="2" a="1"/>
  <c r="X403" i="2" s="1"/>
  <c r="W403" i="2" a="1"/>
  <c r="W403" i="2" s="1"/>
  <c r="BB403" i="2" s="1" a="1"/>
  <c r="BB403" i="2" s="1"/>
  <c r="V403" i="2" a="1"/>
  <c r="V403" i="2" s="1"/>
  <c r="E403" i="2" s="1" a="1"/>
  <c r="E403" i="2" s="1"/>
  <c r="U403" i="2" a="1"/>
  <c r="U403" i="2" s="1"/>
  <c r="T403" i="2" a="1"/>
  <c r="T403" i="2" s="1"/>
  <c r="S403" i="2" a="1"/>
  <c r="S403" i="2" s="1"/>
  <c r="R403" i="2" a="1"/>
  <c r="R403" i="2" s="1"/>
  <c r="Q403" i="2" a="1"/>
  <c r="Q403" i="2" s="1"/>
  <c r="P403" i="2" a="1"/>
  <c r="P403" i="2" s="1"/>
  <c r="O403" i="2" a="1"/>
  <c r="O403" i="2" s="1"/>
  <c r="N403" i="2" a="1"/>
  <c r="N403" i="2" s="1"/>
  <c r="M403" i="2" a="1"/>
  <c r="M403" i="2" s="1"/>
  <c r="L403" i="2" a="1"/>
  <c r="L403" i="2" s="1"/>
  <c r="K403" i="2" a="1"/>
  <c r="K403" i="2" s="1"/>
  <c r="J403" i="2" a="1"/>
  <c r="J403" i="2" s="1"/>
  <c r="I403" i="2" a="1"/>
  <c r="I403" i="2" s="1"/>
  <c r="H403" i="2" a="1"/>
  <c r="H403" i="2" s="1"/>
  <c r="F403" i="2" a="1"/>
  <c r="F403" i="2" s="1"/>
  <c r="D403" i="2" a="1"/>
  <c r="D403" i="2" s="1"/>
  <c r="B403" i="2" a="1"/>
  <c r="B403" i="2" s="1"/>
  <c r="BD402" i="2" a="1"/>
  <c r="BD402" i="2" s="1"/>
  <c r="BC402" i="2" a="1"/>
  <c r="BC402" i="2" s="1"/>
  <c r="BA402" i="2" a="1"/>
  <c r="BA402" i="2" s="1"/>
  <c r="AZ402" i="2" a="1"/>
  <c r="AZ402" i="2" s="1"/>
  <c r="AY402" i="2" a="1"/>
  <c r="AY402" i="2" s="1"/>
  <c r="AX402" i="2" a="1"/>
  <c r="AX402" i="2" s="1"/>
  <c r="AW402" i="2" a="1"/>
  <c r="AW402" i="2" s="1"/>
  <c r="AV402" i="2" a="1"/>
  <c r="AV402" i="2" s="1"/>
  <c r="AU402" i="2" a="1"/>
  <c r="AU402" i="2" s="1"/>
  <c r="AT402" i="2" a="1"/>
  <c r="AT402" i="2" s="1"/>
  <c r="AS402" i="2" a="1"/>
  <c r="AS402" i="2" s="1"/>
  <c r="AR402" i="2" a="1"/>
  <c r="AR402" i="2" s="1"/>
  <c r="AQ402" i="2" a="1"/>
  <c r="AQ402" i="2" s="1"/>
  <c r="AP402" i="2" a="1"/>
  <c r="AP402" i="2" s="1"/>
  <c r="AO402" i="2" a="1"/>
  <c r="AO402" i="2" s="1"/>
  <c r="AN402" i="2" a="1"/>
  <c r="AN402" i="2" s="1"/>
  <c r="AM402" i="2" a="1"/>
  <c r="AM402" i="2" s="1"/>
  <c r="AL402" i="2" a="1"/>
  <c r="AL402" i="2" s="1"/>
  <c r="AK402" i="2" a="1"/>
  <c r="AK402" i="2" s="1"/>
  <c r="AJ402" i="2" a="1"/>
  <c r="AJ402" i="2" s="1"/>
  <c r="AI402" i="2" a="1"/>
  <c r="AI402" i="2" s="1"/>
  <c r="AH402" i="2" a="1"/>
  <c r="AH402" i="2" s="1"/>
  <c r="AG402" i="2" a="1"/>
  <c r="AG402" i="2" s="1"/>
  <c r="AF402" i="2" a="1"/>
  <c r="AF402" i="2" s="1"/>
  <c r="AE402" i="2" a="1"/>
  <c r="AE402" i="2" s="1"/>
  <c r="AD402" i="2" a="1"/>
  <c r="AD402" i="2" s="1"/>
  <c r="AC402" i="2" a="1"/>
  <c r="AC402" i="2" s="1"/>
  <c r="AB402" i="2"/>
  <c r="AA402" i="2" a="1"/>
  <c r="AA402" i="2" s="1"/>
  <c r="Z402" i="2" a="1"/>
  <c r="Z402" i="2" s="1"/>
  <c r="Y402" i="2" a="1"/>
  <c r="Y402" i="2" s="1"/>
  <c r="X402" i="2" a="1"/>
  <c r="X402" i="2" s="1"/>
  <c r="W402" i="2" a="1"/>
  <c r="W402" i="2" s="1"/>
  <c r="BB402" i="2" s="1" a="1"/>
  <c r="BB402" i="2" s="1"/>
  <c r="V402" i="2" a="1"/>
  <c r="V402" i="2" s="1"/>
  <c r="E402" i="2" s="1" a="1"/>
  <c r="E402" i="2" s="1"/>
  <c r="U402" i="2" a="1"/>
  <c r="U402" i="2" s="1"/>
  <c r="T402" i="2" a="1"/>
  <c r="T402" i="2" s="1"/>
  <c r="S402" i="2" a="1"/>
  <c r="S402" i="2" s="1"/>
  <c r="R402" i="2" a="1"/>
  <c r="R402" i="2" s="1"/>
  <c r="Q402" i="2" a="1"/>
  <c r="Q402" i="2" s="1"/>
  <c r="P402" i="2" a="1"/>
  <c r="P402" i="2" s="1"/>
  <c r="O402" i="2" a="1"/>
  <c r="O402" i="2" s="1"/>
  <c r="N402" i="2" a="1"/>
  <c r="N402" i="2" s="1"/>
  <c r="M402" i="2" a="1"/>
  <c r="M402" i="2" s="1"/>
  <c r="L402" i="2" a="1"/>
  <c r="L402" i="2" s="1"/>
  <c r="K402" i="2" a="1"/>
  <c r="K402" i="2" s="1"/>
  <c r="J402" i="2" a="1"/>
  <c r="J402" i="2" s="1"/>
  <c r="I402" i="2" a="1"/>
  <c r="I402" i="2" s="1"/>
  <c r="H402" i="2" a="1"/>
  <c r="H402" i="2" s="1"/>
  <c r="F402" i="2" a="1"/>
  <c r="F402" i="2" s="1"/>
  <c r="D402" i="2" a="1"/>
  <c r="D402" i="2" s="1"/>
  <c r="B402" i="2" a="1"/>
  <c r="B402" i="2" s="1"/>
  <c r="BD401" i="2" a="1"/>
  <c r="BD401" i="2" s="1"/>
  <c r="BC401" i="2" a="1"/>
  <c r="BC401" i="2" s="1"/>
  <c r="BA401" i="2" a="1"/>
  <c r="BA401" i="2" s="1"/>
  <c r="AZ401" i="2" a="1"/>
  <c r="AZ401" i="2" s="1"/>
  <c r="AY401" i="2" a="1"/>
  <c r="AY401" i="2" s="1"/>
  <c r="AX401" i="2" a="1"/>
  <c r="AX401" i="2" s="1"/>
  <c r="AW401" i="2" a="1"/>
  <c r="AW401" i="2" s="1"/>
  <c r="AV401" i="2" a="1"/>
  <c r="AV401" i="2" s="1"/>
  <c r="AU401" i="2" a="1"/>
  <c r="AU401" i="2" s="1"/>
  <c r="AT401" i="2" a="1"/>
  <c r="AT401" i="2" s="1"/>
  <c r="AS401" i="2" a="1"/>
  <c r="AS401" i="2" s="1"/>
  <c r="AR401" i="2" a="1"/>
  <c r="AR401" i="2" s="1"/>
  <c r="AQ401" i="2" a="1"/>
  <c r="AQ401" i="2" s="1"/>
  <c r="AP401" i="2" a="1"/>
  <c r="AP401" i="2" s="1"/>
  <c r="AO401" i="2" a="1"/>
  <c r="AO401" i="2" s="1"/>
  <c r="AN401" i="2" a="1"/>
  <c r="AN401" i="2" s="1"/>
  <c r="AM401" i="2" a="1"/>
  <c r="AM401" i="2" s="1"/>
  <c r="AL401" i="2" a="1"/>
  <c r="AL401" i="2" s="1"/>
  <c r="AK401" i="2" a="1"/>
  <c r="AK401" i="2" s="1"/>
  <c r="AI401" i="2" a="1"/>
  <c r="AI401" i="2" s="1"/>
  <c r="AH401" i="2" a="1"/>
  <c r="AH401" i="2" s="1"/>
  <c r="AG401" i="2" a="1"/>
  <c r="AG401" i="2" s="1"/>
  <c r="AF401" i="2" a="1"/>
  <c r="AF401" i="2" s="1"/>
  <c r="AE401" i="2" a="1"/>
  <c r="AE401" i="2" s="1"/>
  <c r="AD401" i="2" a="1"/>
  <c r="AD401" i="2" s="1"/>
  <c r="AC401" i="2" a="1"/>
  <c r="AC401" i="2" s="1"/>
  <c r="AB401" i="2"/>
  <c r="AA401" i="2" a="1"/>
  <c r="AA401" i="2" s="1"/>
  <c r="Z401" i="2" a="1"/>
  <c r="Z401" i="2" s="1"/>
  <c r="Y401" i="2" a="1"/>
  <c r="Y401" i="2" s="1"/>
  <c r="X401" i="2" a="1"/>
  <c r="X401" i="2" s="1"/>
  <c r="W401" i="2" a="1"/>
  <c r="W401" i="2" s="1"/>
  <c r="BB401" i="2" s="1" a="1"/>
  <c r="BB401" i="2" s="1"/>
  <c r="V401" i="2" a="1"/>
  <c r="V401" i="2" s="1"/>
  <c r="E401" i="2" s="1" a="1"/>
  <c r="E401" i="2" s="1"/>
  <c r="U401" i="2" a="1"/>
  <c r="U401" i="2" s="1"/>
  <c r="T401" i="2" a="1"/>
  <c r="T401" i="2" s="1"/>
  <c r="S401" i="2" a="1"/>
  <c r="S401" i="2" s="1"/>
  <c r="R401" i="2" a="1"/>
  <c r="R401" i="2" s="1"/>
  <c r="Q401" i="2" a="1"/>
  <c r="Q401" i="2" s="1"/>
  <c r="P401" i="2" a="1"/>
  <c r="P401" i="2" s="1"/>
  <c r="O401" i="2" a="1"/>
  <c r="O401" i="2" s="1"/>
  <c r="N401" i="2" a="1"/>
  <c r="N401" i="2" s="1"/>
  <c r="M401" i="2" a="1"/>
  <c r="M401" i="2" s="1"/>
  <c r="L401" i="2" a="1"/>
  <c r="L401" i="2" s="1"/>
  <c r="K401" i="2" a="1"/>
  <c r="K401" i="2" s="1"/>
  <c r="J401" i="2" a="1"/>
  <c r="J401" i="2" s="1"/>
  <c r="I401" i="2" a="1"/>
  <c r="I401" i="2" s="1"/>
  <c r="H401" i="2" a="1"/>
  <c r="H401" i="2" s="1"/>
  <c r="F401" i="2" a="1"/>
  <c r="F401" i="2" s="1"/>
  <c r="D401" i="2" a="1"/>
  <c r="D401" i="2" s="1"/>
  <c r="B401" i="2" a="1"/>
  <c r="B401" i="2" s="1"/>
  <c r="BD400" i="2" a="1"/>
  <c r="BD400" i="2" s="1"/>
  <c r="BC400" i="2" a="1"/>
  <c r="BC400" i="2" s="1"/>
  <c r="BA400" i="2" a="1"/>
  <c r="BA400" i="2" s="1"/>
  <c r="AZ400" i="2" a="1"/>
  <c r="AZ400" i="2" s="1"/>
  <c r="AY400" i="2" a="1"/>
  <c r="AY400" i="2" s="1"/>
  <c r="AX400" i="2" a="1"/>
  <c r="AX400" i="2" s="1"/>
  <c r="AW400" i="2" a="1"/>
  <c r="AW400" i="2" s="1"/>
  <c r="AV400" i="2" a="1"/>
  <c r="AV400" i="2" s="1"/>
  <c r="AU400" i="2" a="1"/>
  <c r="AU400" i="2" s="1"/>
  <c r="AT400" i="2" a="1"/>
  <c r="AT400" i="2" s="1"/>
  <c r="AS400" i="2" a="1"/>
  <c r="AS400" i="2" s="1"/>
  <c r="AR400" i="2" a="1"/>
  <c r="AR400" i="2" s="1"/>
  <c r="AQ400" i="2" a="1"/>
  <c r="AQ400" i="2" s="1"/>
  <c r="AP400" i="2" a="1"/>
  <c r="AP400" i="2" s="1"/>
  <c r="AO400" i="2" a="1"/>
  <c r="AO400" i="2" s="1"/>
  <c r="AN400" i="2" a="1"/>
  <c r="AN400" i="2" s="1"/>
  <c r="AM400" i="2" a="1"/>
  <c r="AM400" i="2" s="1"/>
  <c r="AL400" i="2" a="1"/>
  <c r="AL400" i="2" s="1"/>
  <c r="AK400" i="2" a="1"/>
  <c r="AK400" i="2" s="1"/>
  <c r="AJ400" i="2" a="1"/>
  <c r="AJ400" i="2" s="1"/>
  <c r="AI400" i="2" a="1"/>
  <c r="AI400" i="2" s="1"/>
  <c r="AH400" i="2" a="1"/>
  <c r="AH400" i="2" s="1"/>
  <c r="AG400" i="2" a="1"/>
  <c r="AG400" i="2" s="1"/>
  <c r="AF400" i="2" a="1"/>
  <c r="AF400" i="2" s="1"/>
  <c r="AE400" i="2" a="1"/>
  <c r="AE400" i="2" s="1"/>
  <c r="AD400" i="2" a="1"/>
  <c r="AD400" i="2" s="1"/>
  <c r="AC400" i="2" a="1"/>
  <c r="AC400" i="2" s="1"/>
  <c r="AB400" i="2"/>
  <c r="AA400" i="2" a="1"/>
  <c r="AA400" i="2" s="1"/>
  <c r="Z400" i="2" a="1"/>
  <c r="Z400" i="2" s="1"/>
  <c r="Y400" i="2" a="1"/>
  <c r="Y400" i="2" s="1"/>
  <c r="X400" i="2" a="1"/>
  <c r="X400" i="2" s="1"/>
  <c r="W400" i="2" a="1"/>
  <c r="W400" i="2" s="1"/>
  <c r="BB400" i="2" s="1" a="1"/>
  <c r="BB400" i="2" s="1"/>
  <c r="V400" i="2" a="1"/>
  <c r="V400" i="2" s="1"/>
  <c r="E400" i="2" s="1" a="1"/>
  <c r="E400" i="2" s="1"/>
  <c r="U400" i="2" a="1"/>
  <c r="U400" i="2" s="1"/>
  <c r="T400" i="2" a="1"/>
  <c r="T400" i="2" s="1"/>
  <c r="S400" i="2" a="1"/>
  <c r="S400" i="2" s="1"/>
  <c r="R400" i="2" a="1"/>
  <c r="R400" i="2" s="1"/>
  <c r="Q400" i="2" a="1"/>
  <c r="Q400" i="2" s="1"/>
  <c r="P400" i="2" a="1"/>
  <c r="P400" i="2" s="1"/>
  <c r="O400" i="2" a="1"/>
  <c r="O400" i="2" s="1"/>
  <c r="N400" i="2" a="1"/>
  <c r="N400" i="2" s="1"/>
  <c r="M400" i="2" a="1"/>
  <c r="M400" i="2" s="1"/>
  <c r="L400" i="2" a="1"/>
  <c r="L400" i="2" s="1"/>
  <c r="K400" i="2" a="1"/>
  <c r="K400" i="2" s="1"/>
  <c r="J400" i="2" a="1"/>
  <c r="J400" i="2" s="1"/>
  <c r="I400" i="2" a="1"/>
  <c r="I400" i="2" s="1"/>
  <c r="H400" i="2" a="1"/>
  <c r="H400" i="2" s="1"/>
  <c r="F400" i="2" a="1"/>
  <c r="F400" i="2" s="1"/>
  <c r="D400" i="2" a="1"/>
  <c r="D400" i="2" s="1"/>
  <c r="B400" i="2" a="1"/>
  <c r="B400" i="2" s="1"/>
  <c r="BD398" i="2" a="1"/>
  <c r="BD398" i="2" s="1"/>
  <c r="BC398" i="2" a="1"/>
  <c r="BC398" i="2" s="1"/>
  <c r="BA398" i="2" a="1"/>
  <c r="BA398" i="2" s="1"/>
  <c r="AZ398" i="2" a="1"/>
  <c r="AZ398" i="2" s="1"/>
  <c r="AY398" i="2" a="1"/>
  <c r="AY398" i="2" s="1"/>
  <c r="AX398" i="2" a="1"/>
  <c r="AX398" i="2" s="1"/>
  <c r="AW398" i="2" a="1"/>
  <c r="AW398" i="2" s="1"/>
  <c r="AV398" i="2" a="1"/>
  <c r="AV398" i="2" s="1"/>
  <c r="AU398" i="2" a="1"/>
  <c r="AU398" i="2" s="1"/>
  <c r="AT398" i="2" a="1"/>
  <c r="AT398" i="2" s="1"/>
  <c r="AS398" i="2" a="1"/>
  <c r="AS398" i="2" s="1"/>
  <c r="AR398" i="2" a="1"/>
  <c r="AR398" i="2" s="1"/>
  <c r="AQ398" i="2" a="1"/>
  <c r="AQ398" i="2" s="1"/>
  <c r="AP398" i="2" a="1"/>
  <c r="AP398" i="2" s="1"/>
  <c r="AO398" i="2" a="1"/>
  <c r="AO398" i="2" s="1"/>
  <c r="AN398" i="2" a="1"/>
  <c r="AN398" i="2" s="1"/>
  <c r="AM398" i="2" a="1"/>
  <c r="AM398" i="2" s="1"/>
  <c r="AL398" i="2" a="1"/>
  <c r="AL398" i="2" s="1"/>
  <c r="AK398" i="2" a="1"/>
  <c r="AK398" i="2" s="1"/>
  <c r="AJ398" i="2" a="1"/>
  <c r="AJ398" i="2" s="1"/>
  <c r="AI398" i="2" a="1"/>
  <c r="AI398" i="2" s="1"/>
  <c r="AH398" i="2" a="1"/>
  <c r="AH398" i="2" s="1"/>
  <c r="AG398" i="2" a="1"/>
  <c r="AG398" i="2" s="1"/>
  <c r="AF398" i="2" a="1"/>
  <c r="AF398" i="2" s="1"/>
  <c r="AE398" i="2" a="1"/>
  <c r="AE398" i="2" s="1"/>
  <c r="AD398" i="2" a="1"/>
  <c r="AD398" i="2" s="1"/>
  <c r="AC398" i="2" a="1"/>
  <c r="AC398" i="2" s="1"/>
  <c r="AB398" i="2"/>
  <c r="AA398" i="2" a="1"/>
  <c r="AA398" i="2" s="1"/>
  <c r="Z398" i="2" a="1"/>
  <c r="Z398" i="2" s="1"/>
  <c r="Y398" i="2" a="1"/>
  <c r="Y398" i="2" s="1"/>
  <c r="X398" i="2" a="1"/>
  <c r="X398" i="2" s="1"/>
  <c r="W398" i="2" a="1"/>
  <c r="W398" i="2" s="1"/>
  <c r="BB398" i="2" s="1" a="1"/>
  <c r="BB398" i="2" s="1"/>
  <c r="V398" i="2" a="1"/>
  <c r="V398" i="2" s="1"/>
  <c r="E398" i="2" s="1" a="1"/>
  <c r="E398" i="2" s="1"/>
  <c r="U398" i="2" a="1"/>
  <c r="U398" i="2" s="1"/>
  <c r="T398" i="2" a="1"/>
  <c r="T398" i="2" s="1"/>
  <c r="S398" i="2" a="1"/>
  <c r="S398" i="2" s="1"/>
  <c r="R398" i="2" a="1"/>
  <c r="R398" i="2" s="1"/>
  <c r="Q398" i="2" a="1"/>
  <c r="Q398" i="2" s="1"/>
  <c r="P398" i="2" a="1"/>
  <c r="P398" i="2" s="1"/>
  <c r="O398" i="2" a="1"/>
  <c r="O398" i="2" s="1"/>
  <c r="N398" i="2" a="1"/>
  <c r="N398" i="2" s="1"/>
  <c r="M398" i="2" a="1"/>
  <c r="M398" i="2" s="1"/>
  <c r="L398" i="2" a="1"/>
  <c r="L398" i="2" s="1"/>
  <c r="K398" i="2" a="1"/>
  <c r="K398" i="2" s="1"/>
  <c r="J398" i="2" a="1"/>
  <c r="J398" i="2" s="1"/>
  <c r="I398" i="2" a="1"/>
  <c r="I398" i="2" s="1"/>
  <c r="H398" i="2" a="1"/>
  <c r="H398" i="2" s="1"/>
  <c r="F398" i="2" a="1"/>
  <c r="F398" i="2" s="1"/>
  <c r="D398" i="2" a="1"/>
  <c r="D398" i="2" s="1"/>
  <c r="B398" i="2" a="1"/>
  <c r="B398" i="2" s="1"/>
  <c r="BD396" i="2" a="1"/>
  <c r="BD396" i="2" s="1"/>
  <c r="BC396" i="2" a="1"/>
  <c r="BC396" i="2" s="1"/>
  <c r="BA396" i="2" a="1"/>
  <c r="BA396" i="2" s="1"/>
  <c r="AZ396" i="2" a="1"/>
  <c r="AZ396" i="2" s="1"/>
  <c r="AY396" i="2" a="1"/>
  <c r="AY396" i="2" s="1"/>
  <c r="AX396" i="2" a="1"/>
  <c r="AX396" i="2" s="1"/>
  <c r="AW396" i="2" a="1"/>
  <c r="AW396" i="2" s="1"/>
  <c r="AV396" i="2" a="1"/>
  <c r="AV396" i="2" s="1"/>
  <c r="AU396" i="2" a="1"/>
  <c r="AU396" i="2" s="1"/>
  <c r="AT396" i="2" a="1"/>
  <c r="AT396" i="2" s="1"/>
  <c r="AS396" i="2" a="1"/>
  <c r="AS396" i="2" s="1"/>
  <c r="AR396" i="2" a="1"/>
  <c r="AR396" i="2" s="1"/>
  <c r="AQ396" i="2" a="1"/>
  <c r="AQ396" i="2" s="1"/>
  <c r="AP396" i="2" a="1"/>
  <c r="AP396" i="2" s="1"/>
  <c r="AO396" i="2" a="1"/>
  <c r="AO396" i="2" s="1"/>
  <c r="AN396" i="2" a="1"/>
  <c r="AN396" i="2" s="1"/>
  <c r="AM396" i="2" a="1"/>
  <c r="AM396" i="2" s="1"/>
  <c r="AL396" i="2" a="1"/>
  <c r="AL396" i="2" s="1"/>
  <c r="AK396" i="2" a="1"/>
  <c r="AK396" i="2" s="1"/>
  <c r="AJ396" i="2" a="1"/>
  <c r="AJ396" i="2" s="1"/>
  <c r="AI396" i="2" a="1"/>
  <c r="AI396" i="2" s="1"/>
  <c r="AH396" i="2" a="1"/>
  <c r="AH396" i="2" s="1"/>
  <c r="AG396" i="2" a="1"/>
  <c r="AG396" i="2" s="1"/>
  <c r="AF396" i="2" a="1"/>
  <c r="AF396" i="2" s="1"/>
  <c r="AE396" i="2" a="1"/>
  <c r="AE396" i="2" s="1"/>
  <c r="AD396" i="2" a="1"/>
  <c r="AD396" i="2" s="1"/>
  <c r="AC396" i="2" a="1"/>
  <c r="AC396" i="2" s="1"/>
  <c r="AB396" i="2"/>
  <c r="AA396" i="2" a="1"/>
  <c r="AA396" i="2" s="1"/>
  <c r="Z396" i="2" a="1"/>
  <c r="Z396" i="2" s="1"/>
  <c r="Y396" i="2" a="1"/>
  <c r="Y396" i="2" s="1"/>
  <c r="X396" i="2" a="1"/>
  <c r="X396" i="2" s="1"/>
  <c r="W396" i="2" a="1"/>
  <c r="W396" i="2" s="1"/>
  <c r="BB396" i="2" s="1" a="1"/>
  <c r="BB396" i="2" s="1"/>
  <c r="V396" i="2" a="1"/>
  <c r="V396" i="2" s="1"/>
  <c r="E396" i="2" s="1" a="1"/>
  <c r="E396" i="2" s="1"/>
  <c r="U396" i="2" a="1"/>
  <c r="U396" i="2" s="1"/>
  <c r="T396" i="2" a="1"/>
  <c r="T396" i="2" s="1"/>
  <c r="S396" i="2" a="1"/>
  <c r="S396" i="2" s="1"/>
  <c r="R396" i="2" a="1"/>
  <c r="R396" i="2" s="1"/>
  <c r="Q396" i="2" a="1"/>
  <c r="Q396" i="2" s="1"/>
  <c r="P396" i="2" a="1"/>
  <c r="P396" i="2" s="1"/>
  <c r="O396" i="2" a="1"/>
  <c r="O396" i="2" s="1"/>
  <c r="N396" i="2" a="1"/>
  <c r="N396" i="2" s="1"/>
  <c r="M396" i="2" a="1"/>
  <c r="M396" i="2" s="1"/>
  <c r="L396" i="2" a="1"/>
  <c r="L396" i="2" s="1"/>
  <c r="K396" i="2" a="1"/>
  <c r="K396" i="2" s="1"/>
  <c r="J396" i="2" a="1"/>
  <c r="J396" i="2" s="1"/>
  <c r="I396" i="2" a="1"/>
  <c r="I396" i="2" s="1"/>
  <c r="H396" i="2" a="1"/>
  <c r="H396" i="2" s="1"/>
  <c r="F396" i="2" a="1"/>
  <c r="F396" i="2" s="1"/>
  <c r="D396" i="2" a="1"/>
  <c r="D396" i="2" s="1"/>
  <c r="B396" i="2" a="1"/>
  <c r="B396" i="2" s="1"/>
  <c r="BD395" i="2" a="1"/>
  <c r="BD395" i="2" s="1"/>
  <c r="BC395" i="2" a="1"/>
  <c r="BC395" i="2" s="1"/>
  <c r="BA395" i="2" a="1"/>
  <c r="BA395" i="2" s="1"/>
  <c r="AZ395" i="2" a="1"/>
  <c r="AZ395" i="2" s="1"/>
  <c r="AY395" i="2" a="1"/>
  <c r="AY395" i="2" s="1"/>
  <c r="AX395" i="2" a="1"/>
  <c r="AX395" i="2" s="1"/>
  <c r="AW395" i="2" a="1"/>
  <c r="AW395" i="2" s="1"/>
  <c r="AV395" i="2" a="1"/>
  <c r="AV395" i="2" s="1"/>
  <c r="AU395" i="2" a="1"/>
  <c r="AU395" i="2" s="1"/>
  <c r="AT395" i="2" a="1"/>
  <c r="AT395" i="2" s="1"/>
  <c r="AS395" i="2" a="1"/>
  <c r="AS395" i="2" s="1"/>
  <c r="AR395" i="2" a="1"/>
  <c r="AR395" i="2" s="1"/>
  <c r="AQ395" i="2" a="1"/>
  <c r="AQ395" i="2" s="1"/>
  <c r="AP395" i="2" a="1"/>
  <c r="AP395" i="2" s="1"/>
  <c r="AO395" i="2" a="1"/>
  <c r="AO395" i="2" s="1"/>
  <c r="AN395" i="2" a="1"/>
  <c r="AN395" i="2" s="1"/>
  <c r="AM395" i="2" a="1"/>
  <c r="AM395" i="2" s="1"/>
  <c r="AL395" i="2" a="1"/>
  <c r="AL395" i="2" s="1"/>
  <c r="AK395" i="2" a="1"/>
  <c r="AK395" i="2" s="1"/>
  <c r="AJ395" i="2" a="1"/>
  <c r="AJ395" i="2" s="1"/>
  <c r="AI395" i="2" a="1"/>
  <c r="AI395" i="2" s="1"/>
  <c r="AH395" i="2" a="1"/>
  <c r="AH395" i="2" s="1"/>
  <c r="AG395" i="2" a="1"/>
  <c r="AG395" i="2" s="1"/>
  <c r="AF395" i="2" a="1"/>
  <c r="AF395" i="2" s="1"/>
  <c r="AE395" i="2" a="1"/>
  <c r="AE395" i="2" s="1"/>
  <c r="AD395" i="2" a="1"/>
  <c r="AD395" i="2" s="1"/>
  <c r="AC395" i="2" a="1"/>
  <c r="AC395" i="2" s="1"/>
  <c r="AB395" i="2"/>
  <c r="AA395" i="2" a="1"/>
  <c r="AA395" i="2" s="1"/>
  <c r="Z395" i="2" a="1"/>
  <c r="Z395" i="2" s="1"/>
  <c r="Y395" i="2" a="1"/>
  <c r="Y395" i="2" s="1"/>
  <c r="X395" i="2" a="1"/>
  <c r="X395" i="2" s="1"/>
  <c r="W395" i="2" a="1"/>
  <c r="W395" i="2" s="1"/>
  <c r="BB395" i="2" s="1" a="1"/>
  <c r="BB395" i="2" s="1"/>
  <c r="V395" i="2" a="1"/>
  <c r="V395" i="2" s="1"/>
  <c r="E395" i="2" s="1" a="1"/>
  <c r="E395" i="2" s="1"/>
  <c r="U395" i="2" a="1"/>
  <c r="U395" i="2" s="1"/>
  <c r="T395" i="2" a="1"/>
  <c r="T395" i="2" s="1"/>
  <c r="S395" i="2" a="1"/>
  <c r="S395" i="2" s="1"/>
  <c r="R395" i="2" a="1"/>
  <c r="R395" i="2" s="1"/>
  <c r="Q395" i="2" a="1"/>
  <c r="Q395" i="2" s="1"/>
  <c r="P395" i="2" a="1"/>
  <c r="P395" i="2" s="1"/>
  <c r="O395" i="2" a="1"/>
  <c r="O395" i="2" s="1"/>
  <c r="N395" i="2" a="1"/>
  <c r="N395" i="2" s="1"/>
  <c r="M395" i="2" a="1"/>
  <c r="M395" i="2" s="1"/>
  <c r="L395" i="2" a="1"/>
  <c r="L395" i="2" s="1"/>
  <c r="K395" i="2" a="1"/>
  <c r="K395" i="2" s="1"/>
  <c r="J395" i="2" a="1"/>
  <c r="J395" i="2" s="1"/>
  <c r="I395" i="2" a="1"/>
  <c r="I395" i="2" s="1"/>
  <c r="H395" i="2" a="1"/>
  <c r="H395" i="2" s="1"/>
  <c r="F395" i="2" a="1"/>
  <c r="F395" i="2" s="1"/>
  <c r="D395" i="2" a="1"/>
  <c r="D395" i="2" s="1"/>
  <c r="B395" i="2" a="1"/>
  <c r="B395" i="2" s="1"/>
  <c r="BD394" i="2" a="1"/>
  <c r="BD394" i="2" s="1"/>
  <c r="BC394" i="2" a="1"/>
  <c r="BC394" i="2" s="1"/>
  <c r="BA394" i="2" a="1"/>
  <c r="BA394" i="2" s="1"/>
  <c r="AZ394" i="2" a="1"/>
  <c r="AZ394" i="2" s="1"/>
  <c r="AY394" i="2" a="1"/>
  <c r="AY394" i="2" s="1"/>
  <c r="AX394" i="2" a="1"/>
  <c r="AX394" i="2" s="1"/>
  <c r="AW394" i="2" a="1"/>
  <c r="AW394" i="2" s="1"/>
  <c r="AV394" i="2" a="1"/>
  <c r="AV394" i="2" s="1"/>
  <c r="AU394" i="2" a="1"/>
  <c r="AU394" i="2" s="1"/>
  <c r="AT394" i="2" a="1"/>
  <c r="AT394" i="2" s="1"/>
  <c r="AS394" i="2" a="1"/>
  <c r="AS394" i="2" s="1"/>
  <c r="AR394" i="2" a="1"/>
  <c r="AR394" i="2" s="1"/>
  <c r="AQ394" i="2" a="1"/>
  <c r="AQ394" i="2" s="1"/>
  <c r="AP394" i="2" a="1"/>
  <c r="AP394" i="2" s="1"/>
  <c r="AO394" i="2" a="1"/>
  <c r="AO394" i="2" s="1"/>
  <c r="AN394" i="2" a="1"/>
  <c r="AN394" i="2" s="1"/>
  <c r="AM394" i="2" a="1"/>
  <c r="AM394" i="2" s="1"/>
  <c r="AL394" i="2" a="1"/>
  <c r="AL394" i="2" s="1"/>
  <c r="AK394" i="2" a="1"/>
  <c r="AK394" i="2" s="1"/>
  <c r="AJ394" i="2" a="1"/>
  <c r="AJ394" i="2" s="1"/>
  <c r="AI394" i="2" a="1"/>
  <c r="AI394" i="2" s="1"/>
  <c r="AH394" i="2" a="1"/>
  <c r="AH394" i="2" s="1"/>
  <c r="AG394" i="2" a="1"/>
  <c r="AG394" i="2" s="1"/>
  <c r="AF394" i="2" a="1"/>
  <c r="AF394" i="2" s="1"/>
  <c r="AE394" i="2" a="1"/>
  <c r="AE394" i="2" s="1"/>
  <c r="AD394" i="2" a="1"/>
  <c r="AD394" i="2" s="1"/>
  <c r="AC394" i="2" a="1"/>
  <c r="AC394" i="2" s="1"/>
  <c r="AB394" i="2"/>
  <c r="AA394" i="2" a="1"/>
  <c r="AA394" i="2" s="1"/>
  <c r="Z394" i="2" a="1"/>
  <c r="Z394" i="2" s="1"/>
  <c r="Y394" i="2" a="1"/>
  <c r="Y394" i="2" s="1"/>
  <c r="X394" i="2" a="1"/>
  <c r="X394" i="2" s="1"/>
  <c r="W394" i="2" a="1"/>
  <c r="W394" i="2" s="1"/>
  <c r="BB394" i="2" s="1" a="1"/>
  <c r="BB394" i="2" s="1"/>
  <c r="V394" i="2" a="1"/>
  <c r="V394" i="2" s="1"/>
  <c r="E394" i="2" s="1" a="1"/>
  <c r="E394" i="2" s="1"/>
  <c r="U394" i="2" a="1"/>
  <c r="U394" i="2" s="1"/>
  <c r="T394" i="2" a="1"/>
  <c r="T394" i="2" s="1"/>
  <c r="S394" i="2" a="1"/>
  <c r="S394" i="2" s="1"/>
  <c r="R394" i="2" a="1"/>
  <c r="R394" i="2" s="1"/>
  <c r="Q394" i="2" a="1"/>
  <c r="Q394" i="2" s="1"/>
  <c r="P394" i="2" a="1"/>
  <c r="P394" i="2" s="1"/>
  <c r="O394" i="2" a="1"/>
  <c r="O394" i="2" s="1"/>
  <c r="N394" i="2" a="1"/>
  <c r="N394" i="2" s="1"/>
  <c r="M394" i="2" a="1"/>
  <c r="M394" i="2" s="1"/>
  <c r="L394" i="2" a="1"/>
  <c r="L394" i="2" s="1"/>
  <c r="K394" i="2" a="1"/>
  <c r="K394" i="2" s="1"/>
  <c r="J394" i="2" a="1"/>
  <c r="J394" i="2" s="1"/>
  <c r="I394" i="2" a="1"/>
  <c r="I394" i="2" s="1"/>
  <c r="H394" i="2" a="1"/>
  <c r="H394" i="2" s="1"/>
  <c r="F394" i="2" a="1"/>
  <c r="F394" i="2" s="1"/>
  <c r="D394" i="2" a="1"/>
  <c r="D394" i="2" s="1"/>
  <c r="B394" i="2" a="1"/>
  <c r="B394" i="2" s="1"/>
  <c r="BD393" i="2" a="1"/>
  <c r="BD393" i="2" s="1"/>
  <c r="BC393" i="2" a="1"/>
  <c r="BC393" i="2" s="1"/>
  <c r="BA393" i="2" a="1"/>
  <c r="BA393" i="2" s="1"/>
  <c r="AZ393" i="2" a="1"/>
  <c r="AZ393" i="2" s="1"/>
  <c r="AY393" i="2" a="1"/>
  <c r="AY393" i="2" s="1"/>
  <c r="AX393" i="2" a="1"/>
  <c r="AX393" i="2" s="1"/>
  <c r="AW393" i="2" a="1"/>
  <c r="AW393" i="2" s="1"/>
  <c r="AV393" i="2" a="1"/>
  <c r="AV393" i="2" s="1"/>
  <c r="AU393" i="2" a="1"/>
  <c r="AU393" i="2" s="1"/>
  <c r="AT393" i="2" a="1"/>
  <c r="AT393" i="2" s="1"/>
  <c r="AS393" i="2" a="1"/>
  <c r="AS393" i="2" s="1"/>
  <c r="AR393" i="2" a="1"/>
  <c r="AR393" i="2" s="1"/>
  <c r="AQ393" i="2" a="1"/>
  <c r="AQ393" i="2" s="1"/>
  <c r="AP393" i="2" a="1"/>
  <c r="AP393" i="2" s="1"/>
  <c r="AO393" i="2" a="1"/>
  <c r="AO393" i="2" s="1"/>
  <c r="AN393" i="2" a="1"/>
  <c r="AN393" i="2" s="1"/>
  <c r="AM393" i="2" a="1"/>
  <c r="AM393" i="2" s="1"/>
  <c r="AL393" i="2" a="1"/>
  <c r="AL393" i="2" s="1"/>
  <c r="AK393" i="2" a="1"/>
  <c r="AK393" i="2" s="1"/>
  <c r="AJ393" i="2" a="1"/>
  <c r="AJ393" i="2" s="1"/>
  <c r="AI393" i="2" a="1"/>
  <c r="AI393" i="2" s="1"/>
  <c r="AH393" i="2" a="1"/>
  <c r="AH393" i="2" s="1"/>
  <c r="AG393" i="2" a="1"/>
  <c r="AG393" i="2" s="1"/>
  <c r="AF393" i="2" a="1"/>
  <c r="AF393" i="2" s="1"/>
  <c r="AE393" i="2" a="1"/>
  <c r="AE393" i="2" s="1"/>
  <c r="AD393" i="2" a="1"/>
  <c r="AD393" i="2" s="1"/>
  <c r="AC393" i="2" a="1"/>
  <c r="AC393" i="2" s="1"/>
  <c r="AB393" i="2"/>
  <c r="AA393" i="2" a="1"/>
  <c r="AA393" i="2" s="1"/>
  <c r="Z393" i="2" a="1"/>
  <c r="Z393" i="2" s="1"/>
  <c r="Y393" i="2" a="1"/>
  <c r="Y393" i="2" s="1"/>
  <c r="X393" i="2" a="1"/>
  <c r="X393" i="2" s="1"/>
  <c r="W393" i="2" a="1"/>
  <c r="W393" i="2" s="1"/>
  <c r="BB393" i="2" s="1" a="1"/>
  <c r="BB393" i="2" s="1"/>
  <c r="V393" i="2" a="1"/>
  <c r="V393" i="2" s="1"/>
  <c r="E393" i="2" s="1" a="1"/>
  <c r="E393" i="2" s="1"/>
  <c r="U393" i="2" a="1"/>
  <c r="U393" i="2" s="1"/>
  <c r="T393" i="2" a="1"/>
  <c r="T393" i="2" s="1"/>
  <c r="S393" i="2" a="1"/>
  <c r="S393" i="2" s="1"/>
  <c r="R393" i="2" a="1"/>
  <c r="R393" i="2" s="1"/>
  <c r="Q393" i="2" a="1"/>
  <c r="Q393" i="2" s="1"/>
  <c r="P393" i="2" a="1"/>
  <c r="P393" i="2" s="1"/>
  <c r="O393" i="2" a="1"/>
  <c r="O393" i="2" s="1"/>
  <c r="N393" i="2" a="1"/>
  <c r="N393" i="2" s="1"/>
  <c r="M393" i="2" a="1"/>
  <c r="M393" i="2" s="1"/>
  <c r="L393" i="2" a="1"/>
  <c r="L393" i="2" s="1"/>
  <c r="K393" i="2" a="1"/>
  <c r="K393" i="2" s="1"/>
  <c r="J393" i="2" a="1"/>
  <c r="J393" i="2" s="1"/>
  <c r="I393" i="2" a="1"/>
  <c r="I393" i="2" s="1"/>
  <c r="H393" i="2" a="1"/>
  <c r="H393" i="2" s="1"/>
  <c r="F393" i="2" a="1"/>
  <c r="F393" i="2" s="1"/>
  <c r="D393" i="2" a="1"/>
  <c r="D393" i="2" s="1"/>
  <c r="B393" i="2" a="1"/>
  <c r="B393" i="2" s="1"/>
  <c r="BD389" i="2" a="1"/>
  <c r="BD389" i="2" s="1"/>
  <c r="BC389" i="2" a="1"/>
  <c r="BC389" i="2" s="1"/>
  <c r="AZ389" i="2" a="1"/>
  <c r="AZ389" i="2" s="1"/>
  <c r="AY389" i="2" a="1"/>
  <c r="AY389" i="2" s="1"/>
  <c r="AX389" i="2" a="1"/>
  <c r="AX389" i="2" s="1"/>
  <c r="AW389" i="2" a="1"/>
  <c r="AW389" i="2" s="1"/>
  <c r="AV389" i="2" a="1"/>
  <c r="AV389" i="2" s="1"/>
  <c r="AU389" i="2" a="1"/>
  <c r="AU389" i="2" s="1"/>
  <c r="AT389" i="2" a="1"/>
  <c r="AT389" i="2" s="1"/>
  <c r="AS389" i="2" a="1"/>
  <c r="AS389" i="2" s="1"/>
  <c r="AR389" i="2" a="1"/>
  <c r="AR389" i="2" s="1"/>
  <c r="AQ389" i="2" a="1"/>
  <c r="AQ389" i="2" s="1"/>
  <c r="AP389" i="2" a="1"/>
  <c r="AP389" i="2" s="1"/>
  <c r="AO389" i="2" a="1"/>
  <c r="AO389" i="2" s="1"/>
  <c r="AN389" i="2" a="1"/>
  <c r="AN389" i="2" s="1"/>
  <c r="AM389" i="2" a="1"/>
  <c r="AM389" i="2" s="1"/>
  <c r="AL389" i="2" a="1"/>
  <c r="AL389" i="2" s="1"/>
  <c r="AK389" i="2" a="1"/>
  <c r="AK389" i="2" s="1"/>
  <c r="AJ389" i="2" a="1"/>
  <c r="AJ389" i="2" s="1"/>
  <c r="AI389" i="2" a="1"/>
  <c r="AI389" i="2" s="1"/>
  <c r="AH389" i="2" a="1"/>
  <c r="AH389" i="2" s="1"/>
  <c r="AG389" i="2" a="1"/>
  <c r="AG389" i="2" s="1"/>
  <c r="AF389" i="2" a="1"/>
  <c r="AF389" i="2" s="1"/>
  <c r="AE389" i="2" a="1"/>
  <c r="AE389" i="2" s="1"/>
  <c r="AD389" i="2" a="1"/>
  <c r="AD389" i="2" s="1"/>
  <c r="AC389" i="2" a="1"/>
  <c r="AC389" i="2" s="1"/>
  <c r="AB389" i="2" a="1"/>
  <c r="AB389" i="2" s="1"/>
  <c r="AA389" i="2" a="1"/>
  <c r="AA389" i="2" s="1"/>
  <c r="Z389" i="2" a="1"/>
  <c r="Z389" i="2" s="1"/>
  <c r="Y389" i="2" a="1"/>
  <c r="Y389" i="2" s="1"/>
  <c r="X389" i="2" a="1"/>
  <c r="X389" i="2" s="1"/>
  <c r="W389" i="2" a="1"/>
  <c r="W389" i="2" s="1"/>
  <c r="V389" i="2" a="1"/>
  <c r="V389" i="2" s="1"/>
  <c r="E389" i="2" s="1" a="1"/>
  <c r="E389" i="2" s="1"/>
  <c r="U389" i="2" a="1"/>
  <c r="U389" i="2" s="1"/>
  <c r="T389" i="2" a="1"/>
  <c r="T389" i="2" s="1"/>
  <c r="S389" i="2" a="1"/>
  <c r="S389" i="2" s="1"/>
  <c r="R389" i="2" a="1"/>
  <c r="R389" i="2" s="1"/>
  <c r="Q389" i="2" a="1"/>
  <c r="Q389" i="2" s="1"/>
  <c r="P389" i="2" a="1"/>
  <c r="P389" i="2" s="1"/>
  <c r="O389" i="2" a="1"/>
  <c r="O389" i="2" s="1"/>
  <c r="N389" i="2" a="1"/>
  <c r="N389" i="2" s="1"/>
  <c r="M389" i="2" a="1"/>
  <c r="M389" i="2" s="1"/>
  <c r="L389" i="2" a="1"/>
  <c r="L389" i="2" s="1"/>
  <c r="K389" i="2" a="1"/>
  <c r="K389" i="2" s="1"/>
  <c r="J389" i="2" a="1"/>
  <c r="J389" i="2" s="1"/>
  <c r="I389" i="2" a="1"/>
  <c r="I389" i="2" s="1"/>
  <c r="H389" i="2" a="1"/>
  <c r="H389" i="2" s="1"/>
  <c r="F389" i="2" a="1"/>
  <c r="F389" i="2" s="1"/>
  <c r="D389" i="2" a="1"/>
  <c r="D389" i="2" s="1"/>
  <c r="B389" i="2" a="1"/>
  <c r="B389" i="2" s="1"/>
  <c r="B362" i="2" a="1"/>
  <c r="B362" i="2" s="1"/>
  <c r="B361" i="2" a="1"/>
  <c r="B361" i="2" s="1"/>
  <c r="B367" i="2" a="1"/>
  <c r="B367" i="2" s="1"/>
  <c r="B366" i="2" a="1"/>
  <c r="B366" i="2" s="1"/>
  <c r="BA214" i="2"/>
  <c r="BB214" i="2" s="1"/>
  <c r="BA215" i="2"/>
  <c r="BB215" i="2" s="1"/>
  <c r="BA216" i="2"/>
  <c r="BA217" i="2"/>
  <c r="BA323" i="2" s="1" a="1"/>
  <c r="BA323" i="2" s="1"/>
  <c r="BA218" i="2"/>
  <c r="BA356" i="2" s="1" a="1"/>
  <c r="BA356" i="2" s="1"/>
  <c r="BA219" i="2"/>
  <c r="BA389" i="2" s="1" a="1"/>
  <c r="BA389" i="2" s="1"/>
  <c r="BA423" i="2" a="1"/>
  <c r="BA423" i="2" s="1"/>
  <c r="BA221" i="2"/>
  <c r="BA213" i="2"/>
  <c r="BB213" i="2" s="1"/>
  <c r="E27" i="2"/>
  <c r="G27" i="2"/>
  <c r="BB27" i="2"/>
  <c r="BD385" i="2" a="1"/>
  <c r="BD385" i="2" s="1"/>
  <c r="BC385" i="2" a="1"/>
  <c r="BC385" i="2" s="1"/>
  <c r="BA385" i="2" a="1"/>
  <c r="BA385" i="2" s="1"/>
  <c r="AZ385" i="2" a="1"/>
  <c r="AZ385" i="2" s="1"/>
  <c r="AY385" i="2" a="1"/>
  <c r="AY385" i="2" s="1"/>
  <c r="AX385" i="2" a="1"/>
  <c r="AX385" i="2" s="1"/>
  <c r="AW385" i="2" a="1"/>
  <c r="AW385" i="2" s="1"/>
  <c r="AV385" i="2" a="1"/>
  <c r="AV385" i="2" s="1"/>
  <c r="AU385" i="2" a="1"/>
  <c r="AU385" i="2" s="1"/>
  <c r="AT385" i="2" a="1"/>
  <c r="AT385" i="2" s="1"/>
  <c r="AS385" i="2" a="1"/>
  <c r="AS385" i="2" s="1"/>
  <c r="AR385" i="2" a="1"/>
  <c r="AR385" i="2" s="1"/>
  <c r="AQ385" i="2" a="1"/>
  <c r="AQ385" i="2" s="1"/>
  <c r="AP385" i="2" a="1"/>
  <c r="AP385" i="2" s="1"/>
  <c r="AO385" i="2" a="1"/>
  <c r="AO385" i="2" s="1"/>
  <c r="AN385" i="2" a="1"/>
  <c r="AN385" i="2" s="1"/>
  <c r="AM385" i="2" a="1"/>
  <c r="AM385" i="2" s="1"/>
  <c r="AL385" i="2" a="1"/>
  <c r="AL385" i="2" s="1"/>
  <c r="AK385" i="2" a="1"/>
  <c r="AK385" i="2" s="1"/>
  <c r="AJ385" i="2" a="1"/>
  <c r="AJ385" i="2" s="1"/>
  <c r="AI385" i="2" a="1"/>
  <c r="AI385" i="2" s="1"/>
  <c r="AH385" i="2" a="1"/>
  <c r="AH385" i="2" s="1"/>
  <c r="AG385" i="2" a="1"/>
  <c r="AG385" i="2" s="1"/>
  <c r="AF385" i="2" a="1"/>
  <c r="AF385" i="2" s="1"/>
  <c r="AE385" i="2" a="1"/>
  <c r="AE385" i="2" s="1"/>
  <c r="AD385" i="2" a="1"/>
  <c r="AD385" i="2" s="1"/>
  <c r="AC385" i="2" a="1"/>
  <c r="AC385" i="2" s="1"/>
  <c r="AB385" i="2"/>
  <c r="AA385" i="2" a="1"/>
  <c r="AA385" i="2" s="1"/>
  <c r="Z385" i="2" a="1"/>
  <c r="Z385" i="2" s="1"/>
  <c r="Y385" i="2" a="1"/>
  <c r="Y385" i="2" s="1"/>
  <c r="X385" i="2" a="1"/>
  <c r="X385" i="2" s="1"/>
  <c r="G385" i="2" s="1" a="1"/>
  <c r="G385" i="2" s="1"/>
  <c r="W385" i="2" a="1"/>
  <c r="W385" i="2" s="1"/>
  <c r="BB385" i="2" s="1" a="1"/>
  <c r="BB385" i="2" s="1"/>
  <c r="V385" i="2" a="1"/>
  <c r="V385" i="2" s="1"/>
  <c r="E385" i="2" s="1" a="1"/>
  <c r="E385" i="2" s="1"/>
  <c r="U385" i="2" a="1"/>
  <c r="U385" i="2" s="1"/>
  <c r="T385" i="2" a="1"/>
  <c r="T385" i="2" s="1"/>
  <c r="S385" i="2" a="1"/>
  <c r="S385" i="2" s="1"/>
  <c r="R385" i="2" a="1"/>
  <c r="R385" i="2" s="1"/>
  <c r="Q385" i="2" a="1"/>
  <c r="Q385" i="2" s="1"/>
  <c r="P385" i="2" a="1"/>
  <c r="P385" i="2" s="1"/>
  <c r="O385" i="2" a="1"/>
  <c r="O385" i="2" s="1"/>
  <c r="N385" i="2" a="1"/>
  <c r="N385" i="2" s="1"/>
  <c r="M385" i="2" a="1"/>
  <c r="M385" i="2" s="1"/>
  <c r="L385" i="2" a="1"/>
  <c r="L385" i="2" s="1"/>
  <c r="K385" i="2" a="1"/>
  <c r="K385" i="2" s="1"/>
  <c r="J385" i="2" a="1"/>
  <c r="J385" i="2" s="1"/>
  <c r="I385" i="2" a="1"/>
  <c r="I385" i="2" s="1"/>
  <c r="H385" i="2" a="1"/>
  <c r="H385" i="2" s="1"/>
  <c r="F385" i="2" a="1"/>
  <c r="F385" i="2" s="1"/>
  <c r="D385" i="2" a="1"/>
  <c r="D385" i="2" s="1"/>
  <c r="B385" i="2" a="1"/>
  <c r="B385" i="2" s="1"/>
  <c r="BD384" i="2" a="1"/>
  <c r="BD384" i="2" s="1"/>
  <c r="BC384" i="2" a="1"/>
  <c r="BC384" i="2" s="1"/>
  <c r="BA384" i="2" a="1"/>
  <c r="BA384" i="2" s="1"/>
  <c r="AZ384" i="2" a="1"/>
  <c r="AZ384" i="2" s="1"/>
  <c r="AY384" i="2" a="1"/>
  <c r="AY384" i="2" s="1"/>
  <c r="AX384" i="2" a="1"/>
  <c r="AX384" i="2" s="1"/>
  <c r="AW384" i="2" a="1"/>
  <c r="AW384" i="2" s="1"/>
  <c r="AV384" i="2" a="1"/>
  <c r="AV384" i="2" s="1"/>
  <c r="AU384" i="2" a="1"/>
  <c r="AU384" i="2" s="1"/>
  <c r="AT384" i="2" a="1"/>
  <c r="AT384" i="2" s="1"/>
  <c r="AS384" i="2" a="1"/>
  <c r="AS384" i="2" s="1"/>
  <c r="AR384" i="2" a="1"/>
  <c r="AR384" i="2" s="1"/>
  <c r="AQ384" i="2" a="1"/>
  <c r="AQ384" i="2" s="1"/>
  <c r="AP384" i="2" a="1"/>
  <c r="AP384" i="2" s="1"/>
  <c r="AO384" i="2" a="1"/>
  <c r="AO384" i="2" s="1"/>
  <c r="AN384" i="2" a="1"/>
  <c r="AN384" i="2" s="1"/>
  <c r="AM384" i="2" a="1"/>
  <c r="AM384" i="2" s="1"/>
  <c r="AL384" i="2" a="1"/>
  <c r="AL384" i="2" s="1"/>
  <c r="AK384" i="2" a="1"/>
  <c r="AK384" i="2" s="1"/>
  <c r="AJ384" i="2" a="1"/>
  <c r="AJ384" i="2" s="1"/>
  <c r="AI384" i="2" a="1"/>
  <c r="AI384" i="2" s="1"/>
  <c r="AH384" i="2" a="1"/>
  <c r="AH384" i="2" s="1"/>
  <c r="AG384" i="2" a="1"/>
  <c r="AG384" i="2" s="1"/>
  <c r="AF384" i="2" a="1"/>
  <c r="AF384" i="2" s="1"/>
  <c r="AE384" i="2" a="1"/>
  <c r="AE384" i="2" s="1"/>
  <c r="AD384" i="2" a="1"/>
  <c r="AD384" i="2" s="1"/>
  <c r="AC384" i="2" a="1"/>
  <c r="AC384" i="2" s="1"/>
  <c r="AB384" i="2"/>
  <c r="AA384" i="2" a="1"/>
  <c r="AA384" i="2" s="1"/>
  <c r="Z384" i="2" a="1"/>
  <c r="Z384" i="2" s="1"/>
  <c r="Y384" i="2" a="1"/>
  <c r="Y384" i="2" s="1"/>
  <c r="X384" i="2" a="1"/>
  <c r="X384" i="2" s="1"/>
  <c r="W384" i="2" a="1"/>
  <c r="W384" i="2" s="1"/>
  <c r="BB384" i="2" s="1" a="1"/>
  <c r="BB384" i="2" s="1"/>
  <c r="V384" i="2" a="1"/>
  <c r="V384" i="2" s="1"/>
  <c r="E384" i="2" s="1" a="1"/>
  <c r="E384" i="2" s="1"/>
  <c r="U384" i="2" a="1"/>
  <c r="U384" i="2" s="1"/>
  <c r="T384" i="2" a="1"/>
  <c r="T384" i="2" s="1"/>
  <c r="S384" i="2" a="1"/>
  <c r="S384" i="2" s="1"/>
  <c r="R384" i="2" a="1"/>
  <c r="R384" i="2" s="1"/>
  <c r="Q384" i="2" a="1"/>
  <c r="Q384" i="2" s="1"/>
  <c r="P384" i="2" a="1"/>
  <c r="P384" i="2" s="1"/>
  <c r="O384" i="2" a="1"/>
  <c r="O384" i="2" s="1"/>
  <c r="N384" i="2" a="1"/>
  <c r="N384" i="2" s="1"/>
  <c r="M384" i="2" a="1"/>
  <c r="M384" i="2" s="1"/>
  <c r="L384" i="2" a="1"/>
  <c r="L384" i="2" s="1"/>
  <c r="K384" i="2" a="1"/>
  <c r="K384" i="2" s="1"/>
  <c r="J384" i="2" a="1"/>
  <c r="J384" i="2" s="1"/>
  <c r="I384" i="2" a="1"/>
  <c r="I384" i="2" s="1"/>
  <c r="H384" i="2" a="1"/>
  <c r="H384" i="2" s="1"/>
  <c r="F384" i="2" a="1"/>
  <c r="F384" i="2" s="1"/>
  <c r="D384" i="2" a="1"/>
  <c r="D384" i="2" s="1"/>
  <c r="B384" i="2" a="1"/>
  <c r="B384" i="2" s="1"/>
  <c r="BD383" i="2" a="1"/>
  <c r="BD383" i="2" s="1"/>
  <c r="BC383" i="2" a="1"/>
  <c r="BC383" i="2" s="1"/>
  <c r="BA383" i="2" a="1"/>
  <c r="BA383" i="2" s="1"/>
  <c r="AZ383" i="2" a="1"/>
  <c r="AZ383" i="2" s="1"/>
  <c r="AY383" i="2" a="1"/>
  <c r="AY383" i="2" s="1"/>
  <c r="AX383" i="2" a="1"/>
  <c r="AX383" i="2" s="1"/>
  <c r="AW383" i="2" a="1"/>
  <c r="AW383" i="2" s="1"/>
  <c r="AV383" i="2" a="1"/>
  <c r="AV383" i="2" s="1"/>
  <c r="AU383" i="2" a="1"/>
  <c r="AU383" i="2" s="1"/>
  <c r="AT383" i="2" a="1"/>
  <c r="AT383" i="2" s="1"/>
  <c r="AS383" i="2" a="1"/>
  <c r="AS383" i="2" s="1"/>
  <c r="AR383" i="2" a="1"/>
  <c r="AR383" i="2" s="1"/>
  <c r="AQ383" i="2" a="1"/>
  <c r="AQ383" i="2" s="1"/>
  <c r="AP383" i="2" a="1"/>
  <c r="AP383" i="2" s="1"/>
  <c r="AO383" i="2" a="1"/>
  <c r="AO383" i="2" s="1"/>
  <c r="AN383" i="2" a="1"/>
  <c r="AN383" i="2" s="1"/>
  <c r="AM383" i="2" a="1"/>
  <c r="AM383" i="2" s="1"/>
  <c r="AL383" i="2" a="1"/>
  <c r="AL383" i="2" s="1"/>
  <c r="AK383" i="2" a="1"/>
  <c r="AK383" i="2" s="1"/>
  <c r="AJ383" i="2" a="1"/>
  <c r="AJ383" i="2" s="1"/>
  <c r="AI383" i="2" a="1"/>
  <c r="AI383" i="2" s="1"/>
  <c r="AH383" i="2" a="1"/>
  <c r="AH383" i="2" s="1"/>
  <c r="AG383" i="2" a="1"/>
  <c r="AG383" i="2" s="1"/>
  <c r="AF383" i="2" a="1"/>
  <c r="AF383" i="2" s="1"/>
  <c r="AE383" i="2" a="1"/>
  <c r="AE383" i="2" s="1"/>
  <c r="AD383" i="2" a="1"/>
  <c r="AD383" i="2" s="1"/>
  <c r="AC383" i="2" a="1"/>
  <c r="AC383" i="2" s="1"/>
  <c r="AB383" i="2"/>
  <c r="AA383" i="2" a="1"/>
  <c r="AA383" i="2" s="1"/>
  <c r="Z383" i="2" a="1"/>
  <c r="Z383" i="2" s="1"/>
  <c r="Y383" i="2" a="1"/>
  <c r="Y383" i="2" s="1"/>
  <c r="X383" i="2" a="1"/>
  <c r="X383" i="2" s="1"/>
  <c r="W383" i="2" a="1"/>
  <c r="W383" i="2" s="1"/>
  <c r="BB383" i="2" s="1" a="1"/>
  <c r="BB383" i="2" s="1"/>
  <c r="V383" i="2" a="1"/>
  <c r="V383" i="2" s="1"/>
  <c r="E383" i="2" s="1" a="1"/>
  <c r="E383" i="2" s="1"/>
  <c r="U383" i="2" a="1"/>
  <c r="U383" i="2" s="1"/>
  <c r="T383" i="2" a="1"/>
  <c r="T383" i="2" s="1"/>
  <c r="S383" i="2" a="1"/>
  <c r="S383" i="2" s="1"/>
  <c r="R383" i="2" a="1"/>
  <c r="R383" i="2" s="1"/>
  <c r="Q383" i="2" a="1"/>
  <c r="Q383" i="2" s="1"/>
  <c r="P383" i="2" a="1"/>
  <c r="P383" i="2" s="1"/>
  <c r="O383" i="2" a="1"/>
  <c r="O383" i="2" s="1"/>
  <c r="N383" i="2" a="1"/>
  <c r="N383" i="2" s="1"/>
  <c r="M383" i="2" a="1"/>
  <c r="M383" i="2" s="1"/>
  <c r="L383" i="2" a="1"/>
  <c r="L383" i="2" s="1"/>
  <c r="K383" i="2" a="1"/>
  <c r="K383" i="2" s="1"/>
  <c r="J383" i="2" a="1"/>
  <c r="J383" i="2" s="1"/>
  <c r="I383" i="2" a="1"/>
  <c r="I383" i="2" s="1"/>
  <c r="H383" i="2" a="1"/>
  <c r="H383" i="2" s="1"/>
  <c r="F383" i="2" a="1"/>
  <c r="F383" i="2" s="1"/>
  <c r="D383" i="2" a="1"/>
  <c r="D383" i="2" s="1"/>
  <c r="B383" i="2" a="1"/>
  <c r="B383" i="2" s="1"/>
  <c r="BD382" i="2" a="1"/>
  <c r="BD382" i="2" s="1"/>
  <c r="BC382" i="2" a="1"/>
  <c r="BC382" i="2" s="1"/>
  <c r="BA382" i="2" a="1"/>
  <c r="BA382" i="2" s="1"/>
  <c r="AZ382" i="2" a="1"/>
  <c r="AZ382" i="2" s="1"/>
  <c r="AY382" i="2" a="1"/>
  <c r="AY382" i="2" s="1"/>
  <c r="AX382" i="2" a="1"/>
  <c r="AX382" i="2" s="1"/>
  <c r="AW382" i="2" a="1"/>
  <c r="AW382" i="2" s="1"/>
  <c r="AV382" i="2" a="1"/>
  <c r="AV382" i="2" s="1"/>
  <c r="AU382" i="2" a="1"/>
  <c r="AU382" i="2" s="1"/>
  <c r="AT382" i="2" a="1"/>
  <c r="AT382" i="2" s="1"/>
  <c r="AS382" i="2" a="1"/>
  <c r="AS382" i="2" s="1"/>
  <c r="AR382" i="2" a="1"/>
  <c r="AR382" i="2" s="1"/>
  <c r="AQ382" i="2" a="1"/>
  <c r="AQ382" i="2" s="1"/>
  <c r="AP382" i="2" a="1"/>
  <c r="AP382" i="2" s="1"/>
  <c r="AO382" i="2" a="1"/>
  <c r="AO382" i="2" s="1"/>
  <c r="AN382" i="2" a="1"/>
  <c r="AN382" i="2" s="1"/>
  <c r="AM382" i="2" a="1"/>
  <c r="AM382" i="2" s="1"/>
  <c r="AL382" i="2" a="1"/>
  <c r="AL382" i="2" s="1"/>
  <c r="AK382" i="2" a="1"/>
  <c r="AK382" i="2" s="1"/>
  <c r="AJ382" i="2" a="1"/>
  <c r="AJ382" i="2" s="1"/>
  <c r="AI382" i="2" a="1"/>
  <c r="AI382" i="2" s="1"/>
  <c r="AH382" i="2" a="1"/>
  <c r="AH382" i="2" s="1"/>
  <c r="AG382" i="2" a="1"/>
  <c r="AG382" i="2" s="1"/>
  <c r="AF382" i="2" a="1"/>
  <c r="AF382" i="2" s="1"/>
  <c r="AE382" i="2" a="1"/>
  <c r="AE382" i="2" s="1"/>
  <c r="AD382" i="2" a="1"/>
  <c r="AD382" i="2" s="1"/>
  <c r="AC382" i="2" a="1"/>
  <c r="AC382" i="2" s="1"/>
  <c r="AB382" i="2"/>
  <c r="AA382" i="2" a="1"/>
  <c r="AA382" i="2" s="1"/>
  <c r="Z382" i="2" a="1"/>
  <c r="Z382" i="2" s="1"/>
  <c r="Y382" i="2" a="1"/>
  <c r="Y382" i="2" s="1"/>
  <c r="X382" i="2" a="1"/>
  <c r="X382" i="2" s="1"/>
  <c r="W382" i="2" a="1"/>
  <c r="W382" i="2" s="1"/>
  <c r="BB382" i="2" s="1" a="1"/>
  <c r="BB382" i="2" s="1"/>
  <c r="V382" i="2" a="1"/>
  <c r="V382" i="2" s="1"/>
  <c r="E382" i="2" s="1" a="1"/>
  <c r="E382" i="2" s="1"/>
  <c r="U382" i="2" a="1"/>
  <c r="U382" i="2" s="1"/>
  <c r="T382" i="2" a="1"/>
  <c r="T382" i="2" s="1"/>
  <c r="S382" i="2" a="1"/>
  <c r="S382" i="2" s="1"/>
  <c r="R382" i="2" a="1"/>
  <c r="R382" i="2" s="1"/>
  <c r="Q382" i="2" a="1"/>
  <c r="Q382" i="2" s="1"/>
  <c r="P382" i="2" a="1"/>
  <c r="P382" i="2" s="1"/>
  <c r="O382" i="2" a="1"/>
  <c r="O382" i="2" s="1"/>
  <c r="N382" i="2" a="1"/>
  <c r="N382" i="2" s="1"/>
  <c r="M382" i="2" a="1"/>
  <c r="M382" i="2" s="1"/>
  <c r="L382" i="2" a="1"/>
  <c r="L382" i="2" s="1"/>
  <c r="K382" i="2" a="1"/>
  <c r="K382" i="2" s="1"/>
  <c r="J382" i="2" a="1"/>
  <c r="J382" i="2" s="1"/>
  <c r="I382" i="2" a="1"/>
  <c r="I382" i="2" s="1"/>
  <c r="H382" i="2" a="1"/>
  <c r="H382" i="2" s="1"/>
  <c r="F382" i="2" a="1"/>
  <c r="F382" i="2" s="1"/>
  <c r="D382" i="2" a="1"/>
  <c r="D382" i="2" s="1"/>
  <c r="B382" i="2" a="1"/>
  <c r="B382" i="2" s="1"/>
  <c r="BD381" i="2" a="1"/>
  <c r="BD381" i="2" s="1"/>
  <c r="BC381" i="2" a="1"/>
  <c r="BC381" i="2" s="1"/>
  <c r="BA381" i="2" a="1"/>
  <c r="BA381" i="2" s="1"/>
  <c r="AZ381" i="2" a="1"/>
  <c r="AZ381" i="2" s="1"/>
  <c r="AY381" i="2" a="1"/>
  <c r="AY381" i="2" s="1"/>
  <c r="AX381" i="2" a="1"/>
  <c r="AX381" i="2" s="1"/>
  <c r="AW381" i="2" a="1"/>
  <c r="AW381" i="2" s="1"/>
  <c r="AV381" i="2" a="1"/>
  <c r="AV381" i="2" s="1"/>
  <c r="AU381" i="2" a="1"/>
  <c r="AU381" i="2" s="1"/>
  <c r="AT381" i="2" a="1"/>
  <c r="AT381" i="2" s="1"/>
  <c r="AS381" i="2" a="1"/>
  <c r="AS381" i="2" s="1"/>
  <c r="AR381" i="2" a="1"/>
  <c r="AR381" i="2" s="1"/>
  <c r="AQ381" i="2" a="1"/>
  <c r="AQ381" i="2" s="1"/>
  <c r="AP381" i="2" a="1"/>
  <c r="AP381" i="2" s="1"/>
  <c r="AO381" i="2" a="1"/>
  <c r="AO381" i="2" s="1"/>
  <c r="AN381" i="2" a="1"/>
  <c r="AN381" i="2" s="1"/>
  <c r="AM381" i="2" a="1"/>
  <c r="AM381" i="2" s="1"/>
  <c r="AL381" i="2" a="1"/>
  <c r="AL381" i="2" s="1"/>
  <c r="AK381" i="2" a="1"/>
  <c r="AK381" i="2" s="1"/>
  <c r="AJ381" i="2" a="1"/>
  <c r="AJ381" i="2" s="1"/>
  <c r="AI381" i="2" a="1"/>
  <c r="AI381" i="2" s="1"/>
  <c r="AH381" i="2" a="1"/>
  <c r="AH381" i="2" s="1"/>
  <c r="AG381" i="2" a="1"/>
  <c r="AG381" i="2" s="1"/>
  <c r="AF381" i="2" a="1"/>
  <c r="AF381" i="2" s="1"/>
  <c r="AE381" i="2" a="1"/>
  <c r="AE381" i="2" s="1"/>
  <c r="AD381" i="2" a="1"/>
  <c r="AD381" i="2" s="1"/>
  <c r="AC381" i="2" a="1"/>
  <c r="AC381" i="2" s="1"/>
  <c r="AB381" i="2"/>
  <c r="AA381" i="2" a="1"/>
  <c r="AA381" i="2" s="1"/>
  <c r="Z381" i="2" a="1"/>
  <c r="Z381" i="2" s="1"/>
  <c r="Y381" i="2" a="1"/>
  <c r="Y381" i="2" s="1"/>
  <c r="X381" i="2" a="1"/>
  <c r="X381" i="2" s="1"/>
  <c r="W381" i="2" a="1"/>
  <c r="W381" i="2" s="1"/>
  <c r="BB381" i="2" s="1" a="1"/>
  <c r="BB381" i="2" s="1"/>
  <c r="V381" i="2" a="1"/>
  <c r="V381" i="2" s="1"/>
  <c r="E381" i="2" s="1" a="1"/>
  <c r="E381" i="2" s="1"/>
  <c r="U381" i="2" a="1"/>
  <c r="U381" i="2" s="1"/>
  <c r="T381" i="2" a="1"/>
  <c r="T381" i="2" s="1"/>
  <c r="S381" i="2" a="1"/>
  <c r="S381" i="2" s="1"/>
  <c r="R381" i="2" a="1"/>
  <c r="R381" i="2" s="1"/>
  <c r="Q381" i="2" a="1"/>
  <c r="Q381" i="2" s="1"/>
  <c r="P381" i="2" a="1"/>
  <c r="P381" i="2" s="1"/>
  <c r="O381" i="2" a="1"/>
  <c r="O381" i="2" s="1"/>
  <c r="N381" i="2" a="1"/>
  <c r="N381" i="2" s="1"/>
  <c r="M381" i="2" a="1"/>
  <c r="M381" i="2" s="1"/>
  <c r="L381" i="2" a="1"/>
  <c r="L381" i="2" s="1"/>
  <c r="K381" i="2" a="1"/>
  <c r="K381" i="2" s="1"/>
  <c r="J381" i="2" a="1"/>
  <c r="J381" i="2" s="1"/>
  <c r="I381" i="2" a="1"/>
  <c r="I381" i="2" s="1"/>
  <c r="H381" i="2" a="1"/>
  <c r="H381" i="2" s="1"/>
  <c r="F381" i="2" a="1"/>
  <c r="F381" i="2" s="1"/>
  <c r="D381" i="2" a="1"/>
  <c r="D381" i="2" s="1"/>
  <c r="BD380" i="2" a="1"/>
  <c r="BD380" i="2" s="1"/>
  <c r="BC380" i="2" a="1"/>
  <c r="BC380" i="2" s="1"/>
  <c r="BA380" i="2" a="1"/>
  <c r="BA380" i="2" s="1"/>
  <c r="AZ380" i="2" a="1"/>
  <c r="AZ380" i="2" s="1"/>
  <c r="AY380" i="2" a="1"/>
  <c r="AY380" i="2" s="1"/>
  <c r="AX380" i="2" a="1"/>
  <c r="AX380" i="2" s="1"/>
  <c r="AW380" i="2" a="1"/>
  <c r="AW380" i="2" s="1"/>
  <c r="AV380" i="2" a="1"/>
  <c r="AV380" i="2" s="1"/>
  <c r="AU380" i="2" a="1"/>
  <c r="AU380" i="2" s="1"/>
  <c r="AT380" i="2" a="1"/>
  <c r="AT380" i="2" s="1"/>
  <c r="AS380" i="2" a="1"/>
  <c r="AS380" i="2" s="1"/>
  <c r="AR380" i="2" a="1"/>
  <c r="AR380" i="2" s="1"/>
  <c r="AQ380" i="2" a="1"/>
  <c r="AQ380" i="2" s="1"/>
  <c r="AP380" i="2" a="1"/>
  <c r="AP380" i="2" s="1"/>
  <c r="AO380" i="2" a="1"/>
  <c r="AO380" i="2" s="1"/>
  <c r="AN380" i="2" a="1"/>
  <c r="AN380" i="2" s="1"/>
  <c r="AM380" i="2" a="1"/>
  <c r="AM380" i="2" s="1"/>
  <c r="AL380" i="2" a="1"/>
  <c r="AL380" i="2" s="1"/>
  <c r="AK380" i="2" a="1"/>
  <c r="AK380" i="2" s="1"/>
  <c r="AJ380" i="2" a="1"/>
  <c r="AJ380" i="2" s="1"/>
  <c r="AI380" i="2" a="1"/>
  <c r="AI380" i="2" s="1"/>
  <c r="AH380" i="2" a="1"/>
  <c r="AH380" i="2" s="1"/>
  <c r="AG380" i="2" a="1"/>
  <c r="AG380" i="2" s="1"/>
  <c r="AF380" i="2" a="1"/>
  <c r="AF380" i="2" s="1"/>
  <c r="AE380" i="2" a="1"/>
  <c r="AE380" i="2" s="1"/>
  <c r="AD380" i="2" a="1"/>
  <c r="AD380" i="2" s="1"/>
  <c r="AC380" i="2" a="1"/>
  <c r="AC380" i="2" s="1"/>
  <c r="AB380" i="2"/>
  <c r="AA380" i="2" a="1"/>
  <c r="AA380" i="2" s="1"/>
  <c r="Z380" i="2" a="1"/>
  <c r="Z380" i="2" s="1"/>
  <c r="Y380" i="2" a="1"/>
  <c r="Y380" i="2" s="1"/>
  <c r="X380" i="2" a="1"/>
  <c r="X380" i="2" s="1"/>
  <c r="W380" i="2" a="1"/>
  <c r="W380" i="2" s="1"/>
  <c r="BB380" i="2" s="1" a="1"/>
  <c r="BB380" i="2" s="1"/>
  <c r="V380" i="2" a="1"/>
  <c r="V380" i="2" s="1"/>
  <c r="E380" i="2" s="1" a="1"/>
  <c r="E380" i="2" s="1"/>
  <c r="U380" i="2" a="1"/>
  <c r="U380" i="2" s="1"/>
  <c r="T380" i="2" a="1"/>
  <c r="T380" i="2" s="1"/>
  <c r="S380" i="2" a="1"/>
  <c r="S380" i="2" s="1"/>
  <c r="R380" i="2" a="1"/>
  <c r="R380" i="2" s="1"/>
  <c r="Q380" i="2" a="1"/>
  <c r="Q380" i="2" s="1"/>
  <c r="P380" i="2" a="1"/>
  <c r="P380" i="2" s="1"/>
  <c r="O380" i="2" a="1"/>
  <c r="O380" i="2" s="1"/>
  <c r="N380" i="2" a="1"/>
  <c r="N380" i="2" s="1"/>
  <c r="M380" i="2" a="1"/>
  <c r="M380" i="2" s="1"/>
  <c r="L380" i="2" a="1"/>
  <c r="L380" i="2" s="1"/>
  <c r="K380" i="2" a="1"/>
  <c r="K380" i="2" s="1"/>
  <c r="J380" i="2" a="1"/>
  <c r="J380" i="2" s="1"/>
  <c r="I380" i="2" a="1"/>
  <c r="I380" i="2" s="1"/>
  <c r="H380" i="2" a="1"/>
  <c r="H380" i="2" s="1"/>
  <c r="F380" i="2" a="1"/>
  <c r="F380" i="2" s="1"/>
  <c r="D380" i="2" a="1"/>
  <c r="D380" i="2" s="1"/>
  <c r="B380" i="2" a="1"/>
  <c r="B380" i="2" s="1"/>
  <c r="BD379" i="2" a="1"/>
  <c r="BD379" i="2" s="1"/>
  <c r="BC379" i="2" a="1"/>
  <c r="BC379" i="2" s="1"/>
  <c r="BA379" i="2" a="1"/>
  <c r="BA379" i="2" s="1"/>
  <c r="AZ379" i="2" a="1"/>
  <c r="AZ379" i="2" s="1"/>
  <c r="AY379" i="2" a="1"/>
  <c r="AY379" i="2" s="1"/>
  <c r="AX379" i="2" a="1"/>
  <c r="AX379" i="2" s="1"/>
  <c r="AW379" i="2" a="1"/>
  <c r="AW379" i="2" s="1"/>
  <c r="AV379" i="2" a="1"/>
  <c r="AV379" i="2" s="1"/>
  <c r="AU379" i="2" a="1"/>
  <c r="AU379" i="2" s="1"/>
  <c r="AT379" i="2" a="1"/>
  <c r="AT379" i="2" s="1"/>
  <c r="AS379" i="2" a="1"/>
  <c r="AS379" i="2" s="1"/>
  <c r="AR379" i="2" a="1"/>
  <c r="AR379" i="2" s="1"/>
  <c r="AQ379" i="2" a="1"/>
  <c r="AQ379" i="2" s="1"/>
  <c r="AP379" i="2" a="1"/>
  <c r="AP379" i="2" s="1"/>
  <c r="AO379" i="2" a="1"/>
  <c r="AO379" i="2" s="1"/>
  <c r="AN379" i="2" a="1"/>
  <c r="AN379" i="2" s="1"/>
  <c r="AM379" i="2" a="1"/>
  <c r="AM379" i="2" s="1"/>
  <c r="AL379" i="2" a="1"/>
  <c r="AL379" i="2" s="1"/>
  <c r="AK379" i="2" a="1"/>
  <c r="AK379" i="2" s="1"/>
  <c r="AI379" i="2" a="1"/>
  <c r="AI379" i="2" s="1"/>
  <c r="AH379" i="2" a="1"/>
  <c r="AH379" i="2" s="1"/>
  <c r="AG379" i="2" a="1"/>
  <c r="AG379" i="2" s="1"/>
  <c r="AF379" i="2" a="1"/>
  <c r="AF379" i="2" s="1"/>
  <c r="AE379" i="2" a="1"/>
  <c r="AE379" i="2" s="1"/>
  <c r="AD379" i="2" a="1"/>
  <c r="AD379" i="2" s="1"/>
  <c r="AC379" i="2" a="1"/>
  <c r="AC379" i="2" s="1"/>
  <c r="AB379" i="2"/>
  <c r="AA379" i="2" a="1"/>
  <c r="AA379" i="2" s="1"/>
  <c r="Z379" i="2" a="1"/>
  <c r="Z379" i="2" s="1"/>
  <c r="Y379" i="2" a="1"/>
  <c r="Y379" i="2" s="1"/>
  <c r="X379" i="2" a="1"/>
  <c r="X379" i="2" s="1"/>
  <c r="W379" i="2" a="1"/>
  <c r="W379" i="2" s="1"/>
  <c r="BB379" i="2" s="1" a="1"/>
  <c r="BB379" i="2" s="1"/>
  <c r="V379" i="2" a="1"/>
  <c r="V379" i="2" s="1"/>
  <c r="E379" i="2" s="1" a="1"/>
  <c r="E379" i="2" s="1"/>
  <c r="U379" i="2" a="1"/>
  <c r="U379" i="2" s="1"/>
  <c r="T379" i="2" a="1"/>
  <c r="T379" i="2" s="1"/>
  <c r="S379" i="2" a="1"/>
  <c r="S379" i="2" s="1"/>
  <c r="R379" i="2" a="1"/>
  <c r="R379" i="2" s="1"/>
  <c r="Q379" i="2" a="1"/>
  <c r="Q379" i="2" s="1"/>
  <c r="P379" i="2" a="1"/>
  <c r="P379" i="2" s="1"/>
  <c r="O379" i="2" a="1"/>
  <c r="O379" i="2" s="1"/>
  <c r="N379" i="2" a="1"/>
  <c r="N379" i="2" s="1"/>
  <c r="M379" i="2" a="1"/>
  <c r="M379" i="2" s="1"/>
  <c r="L379" i="2" a="1"/>
  <c r="L379" i="2" s="1"/>
  <c r="K379" i="2" a="1"/>
  <c r="K379" i="2" s="1"/>
  <c r="J379" i="2" a="1"/>
  <c r="J379" i="2" s="1"/>
  <c r="I379" i="2" a="1"/>
  <c r="I379" i="2" s="1"/>
  <c r="H379" i="2" a="1"/>
  <c r="H379" i="2" s="1"/>
  <c r="F379" i="2" a="1"/>
  <c r="F379" i="2" s="1"/>
  <c r="D379" i="2" a="1"/>
  <c r="D379" i="2" s="1"/>
  <c r="B379" i="2" a="1"/>
  <c r="B379" i="2" s="1"/>
  <c r="BD378" i="2" a="1"/>
  <c r="BD378" i="2" s="1"/>
  <c r="BC378" i="2" a="1"/>
  <c r="BC378" i="2" s="1"/>
  <c r="BA378" i="2" a="1"/>
  <c r="BA378" i="2" s="1"/>
  <c r="AZ378" i="2" a="1"/>
  <c r="AZ378" i="2" s="1"/>
  <c r="AY378" i="2" a="1"/>
  <c r="AY378" i="2" s="1"/>
  <c r="AX378" i="2" a="1"/>
  <c r="AX378" i="2" s="1"/>
  <c r="AW378" i="2" a="1"/>
  <c r="AW378" i="2" s="1"/>
  <c r="AV378" i="2" a="1"/>
  <c r="AV378" i="2" s="1"/>
  <c r="AU378" i="2" a="1"/>
  <c r="AU378" i="2" s="1"/>
  <c r="AT378" i="2" a="1"/>
  <c r="AT378" i="2" s="1"/>
  <c r="AS378" i="2" a="1"/>
  <c r="AS378" i="2" s="1"/>
  <c r="AR378" i="2" a="1"/>
  <c r="AR378" i="2" s="1"/>
  <c r="AQ378" i="2" a="1"/>
  <c r="AQ378" i="2" s="1"/>
  <c r="AP378" i="2" a="1"/>
  <c r="AP378" i="2" s="1"/>
  <c r="AO378" i="2" a="1"/>
  <c r="AO378" i="2" s="1"/>
  <c r="AN378" i="2" a="1"/>
  <c r="AN378" i="2" s="1"/>
  <c r="AM378" i="2" a="1"/>
  <c r="AM378" i="2" s="1"/>
  <c r="AL378" i="2" a="1"/>
  <c r="AL378" i="2" s="1"/>
  <c r="AK378" i="2" a="1"/>
  <c r="AK378" i="2" s="1"/>
  <c r="AJ378" i="2" a="1"/>
  <c r="AJ378" i="2" s="1"/>
  <c r="AI378" i="2" a="1"/>
  <c r="AI378" i="2" s="1"/>
  <c r="AH378" i="2" a="1"/>
  <c r="AH378" i="2" s="1"/>
  <c r="AG378" i="2" a="1"/>
  <c r="AG378" i="2" s="1"/>
  <c r="AF378" i="2" a="1"/>
  <c r="AF378" i="2" s="1"/>
  <c r="AE378" i="2" a="1"/>
  <c r="AE378" i="2" s="1"/>
  <c r="AD378" i="2" a="1"/>
  <c r="AD378" i="2" s="1"/>
  <c r="AC378" i="2" a="1"/>
  <c r="AC378" i="2" s="1"/>
  <c r="AB378" i="2"/>
  <c r="AA378" i="2" a="1"/>
  <c r="AA378" i="2" s="1"/>
  <c r="Z378" i="2" a="1"/>
  <c r="Z378" i="2" s="1"/>
  <c r="Y378" i="2" a="1"/>
  <c r="Y378" i="2" s="1"/>
  <c r="X378" i="2" a="1"/>
  <c r="X378" i="2" s="1"/>
  <c r="W378" i="2" a="1"/>
  <c r="W378" i="2" s="1"/>
  <c r="BB378" i="2" s="1" a="1"/>
  <c r="BB378" i="2" s="1"/>
  <c r="V378" i="2" a="1"/>
  <c r="V378" i="2" s="1"/>
  <c r="E378" i="2" s="1" a="1"/>
  <c r="E378" i="2" s="1"/>
  <c r="U378" i="2" a="1"/>
  <c r="U378" i="2" s="1"/>
  <c r="T378" i="2" a="1"/>
  <c r="T378" i="2" s="1"/>
  <c r="S378" i="2" a="1"/>
  <c r="S378" i="2" s="1"/>
  <c r="R378" i="2" a="1"/>
  <c r="R378" i="2" s="1"/>
  <c r="Q378" i="2" a="1"/>
  <c r="Q378" i="2" s="1"/>
  <c r="P378" i="2" a="1"/>
  <c r="P378" i="2" s="1"/>
  <c r="O378" i="2" a="1"/>
  <c r="O378" i="2" s="1"/>
  <c r="N378" i="2" a="1"/>
  <c r="N378" i="2" s="1"/>
  <c r="M378" i="2" a="1"/>
  <c r="M378" i="2" s="1"/>
  <c r="L378" i="2" a="1"/>
  <c r="L378" i="2" s="1"/>
  <c r="K378" i="2" a="1"/>
  <c r="K378" i="2" s="1"/>
  <c r="J378" i="2" a="1"/>
  <c r="J378" i="2" s="1"/>
  <c r="I378" i="2" a="1"/>
  <c r="I378" i="2" s="1"/>
  <c r="H378" i="2" a="1"/>
  <c r="H378" i="2" s="1"/>
  <c r="F378" i="2" a="1"/>
  <c r="F378" i="2" s="1"/>
  <c r="D378" i="2" a="1"/>
  <c r="D378" i="2" s="1"/>
  <c r="B378" i="2" a="1"/>
  <c r="B378" i="2" s="1"/>
  <c r="BD376" i="2" a="1"/>
  <c r="BD376" i="2" s="1"/>
  <c r="BC376" i="2" a="1"/>
  <c r="BC376" i="2" s="1"/>
  <c r="BA376" i="2" a="1"/>
  <c r="BA376" i="2" s="1"/>
  <c r="AZ376" i="2" a="1"/>
  <c r="AZ376" i="2" s="1"/>
  <c r="AY376" i="2" a="1"/>
  <c r="AY376" i="2" s="1"/>
  <c r="AX376" i="2" a="1"/>
  <c r="AX376" i="2" s="1"/>
  <c r="AW376" i="2" a="1"/>
  <c r="AW376" i="2" s="1"/>
  <c r="AV376" i="2" a="1"/>
  <c r="AV376" i="2" s="1"/>
  <c r="AU376" i="2" a="1"/>
  <c r="AU376" i="2" s="1"/>
  <c r="AT376" i="2" a="1"/>
  <c r="AT376" i="2" s="1"/>
  <c r="AS376" i="2" a="1"/>
  <c r="AS376" i="2" s="1"/>
  <c r="AR376" i="2" a="1"/>
  <c r="AR376" i="2" s="1"/>
  <c r="AQ376" i="2" a="1"/>
  <c r="AQ376" i="2" s="1"/>
  <c r="AP376" i="2" a="1"/>
  <c r="AP376" i="2" s="1"/>
  <c r="AO376" i="2" a="1"/>
  <c r="AO376" i="2" s="1"/>
  <c r="AN376" i="2" a="1"/>
  <c r="AN376" i="2" s="1"/>
  <c r="AM376" i="2" a="1"/>
  <c r="AM376" i="2" s="1"/>
  <c r="AL376" i="2" a="1"/>
  <c r="AL376" i="2" s="1"/>
  <c r="AK376" i="2" a="1"/>
  <c r="AK376" i="2" s="1"/>
  <c r="AJ376" i="2" a="1"/>
  <c r="AJ376" i="2" s="1"/>
  <c r="AI376" i="2" a="1"/>
  <c r="AI376" i="2" s="1"/>
  <c r="AH376" i="2" a="1"/>
  <c r="AH376" i="2" s="1"/>
  <c r="AG376" i="2" a="1"/>
  <c r="AG376" i="2" s="1"/>
  <c r="AF376" i="2" a="1"/>
  <c r="AF376" i="2" s="1"/>
  <c r="AE376" i="2" a="1"/>
  <c r="AE376" i="2" s="1"/>
  <c r="AD376" i="2" a="1"/>
  <c r="AD376" i="2" s="1"/>
  <c r="AC376" i="2" a="1"/>
  <c r="AC376" i="2" s="1"/>
  <c r="AB376" i="2"/>
  <c r="AA376" i="2" a="1"/>
  <c r="AA376" i="2" s="1"/>
  <c r="Z376" i="2" a="1"/>
  <c r="Z376" i="2" s="1"/>
  <c r="Y376" i="2" a="1"/>
  <c r="Y376" i="2" s="1"/>
  <c r="X376" i="2" a="1"/>
  <c r="X376" i="2" s="1"/>
  <c r="W376" i="2" a="1"/>
  <c r="W376" i="2" s="1"/>
  <c r="BB376" i="2" s="1" a="1"/>
  <c r="BB376" i="2" s="1"/>
  <c r="V376" i="2" a="1"/>
  <c r="V376" i="2" s="1"/>
  <c r="E376" i="2" s="1" a="1"/>
  <c r="E376" i="2" s="1"/>
  <c r="U376" i="2" a="1"/>
  <c r="U376" i="2" s="1"/>
  <c r="T376" i="2" a="1"/>
  <c r="T376" i="2" s="1"/>
  <c r="S376" i="2" a="1"/>
  <c r="S376" i="2" s="1"/>
  <c r="R376" i="2" a="1"/>
  <c r="R376" i="2" s="1"/>
  <c r="Q376" i="2" a="1"/>
  <c r="Q376" i="2" s="1"/>
  <c r="P376" i="2" a="1"/>
  <c r="P376" i="2" s="1"/>
  <c r="O376" i="2" a="1"/>
  <c r="O376" i="2" s="1"/>
  <c r="N376" i="2" a="1"/>
  <c r="N376" i="2" s="1"/>
  <c r="M376" i="2" a="1"/>
  <c r="M376" i="2" s="1"/>
  <c r="L376" i="2" a="1"/>
  <c r="L376" i="2" s="1"/>
  <c r="K376" i="2" a="1"/>
  <c r="K376" i="2" s="1"/>
  <c r="J376" i="2" a="1"/>
  <c r="J376" i="2" s="1"/>
  <c r="I376" i="2" a="1"/>
  <c r="I376" i="2" s="1"/>
  <c r="H376" i="2" a="1"/>
  <c r="H376" i="2" s="1"/>
  <c r="F376" i="2" a="1"/>
  <c r="F376" i="2" s="1"/>
  <c r="D376" i="2" a="1"/>
  <c r="D376" i="2" s="1"/>
  <c r="B376" i="2" a="1"/>
  <c r="B376" i="2" s="1"/>
  <c r="BD375" i="2" a="1"/>
  <c r="BD375" i="2" s="1"/>
  <c r="BC375" i="2" a="1"/>
  <c r="BC375" i="2" s="1"/>
  <c r="BA375" i="2" a="1"/>
  <c r="BA375" i="2" s="1"/>
  <c r="AZ375" i="2" a="1"/>
  <c r="AZ375" i="2" s="1"/>
  <c r="AY375" i="2" a="1"/>
  <c r="AY375" i="2" s="1"/>
  <c r="AX375" i="2" a="1"/>
  <c r="AX375" i="2" s="1"/>
  <c r="AW375" i="2" a="1"/>
  <c r="AW375" i="2" s="1"/>
  <c r="AV375" i="2" a="1"/>
  <c r="AV375" i="2" s="1"/>
  <c r="AU375" i="2" a="1"/>
  <c r="AU375" i="2" s="1"/>
  <c r="AT375" i="2" a="1"/>
  <c r="AT375" i="2" s="1"/>
  <c r="AS375" i="2" a="1"/>
  <c r="AS375" i="2" s="1"/>
  <c r="AR375" i="2" a="1"/>
  <c r="AR375" i="2" s="1"/>
  <c r="AQ375" i="2" a="1"/>
  <c r="AQ375" i="2" s="1"/>
  <c r="AP375" i="2" a="1"/>
  <c r="AP375" i="2" s="1"/>
  <c r="AO375" i="2" a="1"/>
  <c r="AO375" i="2" s="1"/>
  <c r="AN375" i="2" a="1"/>
  <c r="AN375" i="2" s="1"/>
  <c r="AM375" i="2" a="1"/>
  <c r="AM375" i="2" s="1"/>
  <c r="AL375" i="2" a="1"/>
  <c r="AL375" i="2" s="1"/>
  <c r="AK375" i="2" a="1"/>
  <c r="AK375" i="2" s="1"/>
  <c r="AJ375" i="2" a="1"/>
  <c r="AJ375" i="2" s="1"/>
  <c r="AI375" i="2" a="1"/>
  <c r="AI375" i="2" s="1"/>
  <c r="AH375" i="2" a="1"/>
  <c r="AH375" i="2" s="1"/>
  <c r="AG375" i="2" a="1"/>
  <c r="AG375" i="2" s="1"/>
  <c r="AF375" i="2" a="1"/>
  <c r="AF375" i="2" s="1"/>
  <c r="AE375" i="2" a="1"/>
  <c r="AE375" i="2" s="1"/>
  <c r="AD375" i="2" a="1"/>
  <c r="AD375" i="2" s="1"/>
  <c r="AC375" i="2" a="1"/>
  <c r="AC375" i="2" s="1"/>
  <c r="AB375" i="2"/>
  <c r="AA375" i="2" a="1"/>
  <c r="AA375" i="2" s="1"/>
  <c r="Z375" i="2" a="1"/>
  <c r="Z375" i="2" s="1"/>
  <c r="Y375" i="2" a="1"/>
  <c r="Y375" i="2" s="1"/>
  <c r="X375" i="2" a="1"/>
  <c r="X375" i="2" s="1"/>
  <c r="W375" i="2" a="1"/>
  <c r="W375" i="2" s="1"/>
  <c r="BB375" i="2" s="1" a="1"/>
  <c r="BB375" i="2" s="1"/>
  <c r="V375" i="2" a="1"/>
  <c r="V375" i="2" s="1"/>
  <c r="E375" i="2" s="1" a="1"/>
  <c r="E375" i="2" s="1"/>
  <c r="U375" i="2" a="1"/>
  <c r="U375" i="2" s="1"/>
  <c r="T375" i="2" a="1"/>
  <c r="T375" i="2" s="1"/>
  <c r="S375" i="2" a="1"/>
  <c r="S375" i="2" s="1"/>
  <c r="R375" i="2" a="1"/>
  <c r="R375" i="2" s="1"/>
  <c r="Q375" i="2" a="1"/>
  <c r="Q375" i="2" s="1"/>
  <c r="P375" i="2" a="1"/>
  <c r="P375" i="2" s="1"/>
  <c r="O375" i="2" a="1"/>
  <c r="O375" i="2" s="1"/>
  <c r="N375" i="2" a="1"/>
  <c r="N375" i="2" s="1"/>
  <c r="M375" i="2" a="1"/>
  <c r="M375" i="2" s="1"/>
  <c r="L375" i="2" a="1"/>
  <c r="L375" i="2" s="1"/>
  <c r="K375" i="2" a="1"/>
  <c r="K375" i="2" s="1"/>
  <c r="J375" i="2" a="1"/>
  <c r="J375" i="2" s="1"/>
  <c r="I375" i="2" a="1"/>
  <c r="I375" i="2" s="1"/>
  <c r="H375" i="2" a="1"/>
  <c r="H375" i="2" s="1"/>
  <c r="F375" i="2" a="1"/>
  <c r="F375" i="2" s="1"/>
  <c r="D375" i="2" a="1"/>
  <c r="D375" i="2" s="1"/>
  <c r="B375" i="2" a="1"/>
  <c r="B375" i="2" s="1"/>
  <c r="BD374" i="2" a="1"/>
  <c r="BD374" i="2" s="1"/>
  <c r="BC374" i="2" a="1"/>
  <c r="BC374" i="2" s="1"/>
  <c r="BA374" i="2" a="1"/>
  <c r="BA374" i="2" s="1"/>
  <c r="AZ374" i="2" a="1"/>
  <c r="AZ374" i="2" s="1"/>
  <c r="AY374" i="2" a="1"/>
  <c r="AY374" i="2" s="1"/>
  <c r="AX374" i="2" a="1"/>
  <c r="AX374" i="2" s="1"/>
  <c r="AW374" i="2" a="1"/>
  <c r="AW374" i="2" s="1"/>
  <c r="AV374" i="2" a="1"/>
  <c r="AV374" i="2" s="1"/>
  <c r="AU374" i="2" a="1"/>
  <c r="AU374" i="2" s="1"/>
  <c r="AT374" i="2" a="1"/>
  <c r="AT374" i="2" s="1"/>
  <c r="AS374" i="2" a="1"/>
  <c r="AS374" i="2" s="1"/>
  <c r="AR374" i="2" a="1"/>
  <c r="AR374" i="2" s="1"/>
  <c r="AQ374" i="2" a="1"/>
  <c r="AQ374" i="2" s="1"/>
  <c r="AP374" i="2" a="1"/>
  <c r="AP374" i="2" s="1"/>
  <c r="AO374" i="2" a="1"/>
  <c r="AO374" i="2" s="1"/>
  <c r="AN374" i="2" a="1"/>
  <c r="AN374" i="2" s="1"/>
  <c r="AM374" i="2" a="1"/>
  <c r="AM374" i="2" s="1"/>
  <c r="AL374" i="2" a="1"/>
  <c r="AL374" i="2" s="1"/>
  <c r="AK374" i="2" a="1"/>
  <c r="AK374" i="2" s="1"/>
  <c r="AJ374" i="2" a="1"/>
  <c r="AJ374" i="2" s="1"/>
  <c r="AI374" i="2" a="1"/>
  <c r="AI374" i="2" s="1"/>
  <c r="AH374" i="2" a="1"/>
  <c r="AH374" i="2" s="1"/>
  <c r="AG374" i="2" a="1"/>
  <c r="AG374" i="2" s="1"/>
  <c r="AF374" i="2" a="1"/>
  <c r="AF374" i="2" s="1"/>
  <c r="AE374" i="2" a="1"/>
  <c r="AE374" i="2" s="1"/>
  <c r="AD374" i="2" a="1"/>
  <c r="AD374" i="2" s="1"/>
  <c r="AC374" i="2" a="1"/>
  <c r="AC374" i="2" s="1"/>
  <c r="AB374" i="2"/>
  <c r="AA374" i="2" a="1"/>
  <c r="AA374" i="2" s="1"/>
  <c r="Z374" i="2" a="1"/>
  <c r="Z374" i="2" s="1"/>
  <c r="Y374" i="2" a="1"/>
  <c r="Y374" i="2" s="1"/>
  <c r="X374" i="2" a="1"/>
  <c r="X374" i="2" s="1"/>
  <c r="W374" i="2" a="1"/>
  <c r="W374" i="2" s="1"/>
  <c r="BB374" i="2" s="1" a="1"/>
  <c r="BB374" i="2" s="1"/>
  <c r="V374" i="2" a="1"/>
  <c r="V374" i="2" s="1"/>
  <c r="E374" i="2" s="1" a="1"/>
  <c r="E374" i="2" s="1"/>
  <c r="U374" i="2" a="1"/>
  <c r="U374" i="2" s="1"/>
  <c r="T374" i="2" a="1"/>
  <c r="T374" i="2" s="1"/>
  <c r="S374" i="2" a="1"/>
  <c r="S374" i="2" s="1"/>
  <c r="R374" i="2" a="1"/>
  <c r="R374" i="2" s="1"/>
  <c r="Q374" i="2" a="1"/>
  <c r="Q374" i="2" s="1"/>
  <c r="P374" i="2" a="1"/>
  <c r="P374" i="2" s="1"/>
  <c r="O374" i="2" a="1"/>
  <c r="O374" i="2" s="1"/>
  <c r="N374" i="2" a="1"/>
  <c r="N374" i="2" s="1"/>
  <c r="M374" i="2" a="1"/>
  <c r="M374" i="2" s="1"/>
  <c r="L374" i="2" a="1"/>
  <c r="L374" i="2" s="1"/>
  <c r="K374" i="2" a="1"/>
  <c r="K374" i="2" s="1"/>
  <c r="J374" i="2" a="1"/>
  <c r="J374" i="2" s="1"/>
  <c r="I374" i="2" a="1"/>
  <c r="I374" i="2" s="1"/>
  <c r="H374" i="2" a="1"/>
  <c r="H374" i="2" s="1"/>
  <c r="F374" i="2" a="1"/>
  <c r="F374" i="2" s="1"/>
  <c r="D374" i="2" a="1"/>
  <c r="D374" i="2" s="1"/>
  <c r="B374" i="2" a="1"/>
  <c r="B374" i="2" s="1"/>
  <c r="BD373" i="2" a="1"/>
  <c r="BD373" i="2" s="1"/>
  <c r="BC373" i="2" a="1"/>
  <c r="BC373" i="2" s="1"/>
  <c r="BA373" i="2" a="1"/>
  <c r="BA373" i="2" s="1"/>
  <c r="AZ373" i="2" a="1"/>
  <c r="AZ373" i="2" s="1"/>
  <c r="AY373" i="2" a="1"/>
  <c r="AY373" i="2" s="1"/>
  <c r="AX373" i="2" a="1"/>
  <c r="AX373" i="2" s="1"/>
  <c r="AW373" i="2" a="1"/>
  <c r="AW373" i="2" s="1"/>
  <c r="AV373" i="2" a="1"/>
  <c r="AV373" i="2" s="1"/>
  <c r="AU373" i="2" a="1"/>
  <c r="AU373" i="2" s="1"/>
  <c r="AT373" i="2" a="1"/>
  <c r="AT373" i="2" s="1"/>
  <c r="AS373" i="2" a="1"/>
  <c r="AS373" i="2" s="1"/>
  <c r="AR373" i="2" a="1"/>
  <c r="AR373" i="2" s="1"/>
  <c r="AQ373" i="2" a="1"/>
  <c r="AQ373" i="2" s="1"/>
  <c r="AP373" i="2" a="1"/>
  <c r="AP373" i="2" s="1"/>
  <c r="AO373" i="2" a="1"/>
  <c r="AO373" i="2" s="1"/>
  <c r="AN373" i="2" a="1"/>
  <c r="AN373" i="2" s="1"/>
  <c r="AM373" i="2" a="1"/>
  <c r="AM373" i="2" s="1"/>
  <c r="AL373" i="2" a="1"/>
  <c r="AL373" i="2" s="1"/>
  <c r="AK373" i="2" a="1"/>
  <c r="AK373" i="2" s="1"/>
  <c r="AJ373" i="2" a="1"/>
  <c r="AJ373" i="2" s="1"/>
  <c r="AI373" i="2" a="1"/>
  <c r="AI373" i="2" s="1"/>
  <c r="AH373" i="2" a="1"/>
  <c r="AH373" i="2" s="1"/>
  <c r="AG373" i="2" a="1"/>
  <c r="AG373" i="2" s="1"/>
  <c r="AF373" i="2" a="1"/>
  <c r="AF373" i="2" s="1"/>
  <c r="AE373" i="2" a="1"/>
  <c r="AE373" i="2" s="1"/>
  <c r="AD373" i="2" a="1"/>
  <c r="AD373" i="2" s="1"/>
  <c r="AC373" i="2" a="1"/>
  <c r="AC373" i="2" s="1"/>
  <c r="AB373" i="2"/>
  <c r="AA373" i="2" a="1"/>
  <c r="AA373" i="2" s="1"/>
  <c r="Z373" i="2" a="1"/>
  <c r="Z373" i="2" s="1"/>
  <c r="Y373" i="2" a="1"/>
  <c r="Y373" i="2" s="1"/>
  <c r="X373" i="2" a="1"/>
  <c r="X373" i="2" s="1"/>
  <c r="W373" i="2" a="1"/>
  <c r="W373" i="2" s="1"/>
  <c r="BB373" i="2" s="1" a="1"/>
  <c r="BB373" i="2" s="1"/>
  <c r="V373" i="2" a="1"/>
  <c r="V373" i="2" s="1"/>
  <c r="E373" i="2" s="1" a="1"/>
  <c r="E373" i="2" s="1"/>
  <c r="U373" i="2" a="1"/>
  <c r="U373" i="2" s="1"/>
  <c r="T373" i="2" a="1"/>
  <c r="T373" i="2" s="1"/>
  <c r="S373" i="2" a="1"/>
  <c r="S373" i="2" s="1"/>
  <c r="R373" i="2" a="1"/>
  <c r="R373" i="2" s="1"/>
  <c r="Q373" i="2" a="1"/>
  <c r="Q373" i="2" s="1"/>
  <c r="P373" i="2" a="1"/>
  <c r="P373" i="2" s="1"/>
  <c r="O373" i="2" a="1"/>
  <c r="O373" i="2" s="1"/>
  <c r="N373" i="2" a="1"/>
  <c r="N373" i="2" s="1"/>
  <c r="M373" i="2" a="1"/>
  <c r="M373" i="2" s="1"/>
  <c r="L373" i="2" a="1"/>
  <c r="L373" i="2" s="1"/>
  <c r="K373" i="2" a="1"/>
  <c r="K373" i="2" s="1"/>
  <c r="J373" i="2" a="1"/>
  <c r="J373" i="2" s="1"/>
  <c r="I373" i="2" a="1"/>
  <c r="I373" i="2" s="1"/>
  <c r="H373" i="2" a="1"/>
  <c r="H373" i="2" s="1"/>
  <c r="F373" i="2" a="1"/>
  <c r="F373" i="2" s="1"/>
  <c r="D373" i="2" a="1"/>
  <c r="D373" i="2" s="1"/>
  <c r="B373" i="2" a="1"/>
  <c r="B373" i="2" s="1"/>
  <c r="BD372" i="2" a="1"/>
  <c r="BD372" i="2" s="1"/>
  <c r="BC372" i="2" a="1"/>
  <c r="BC372" i="2" s="1"/>
  <c r="BA372" i="2" a="1"/>
  <c r="BA372" i="2" s="1"/>
  <c r="AZ372" i="2" a="1"/>
  <c r="AZ372" i="2" s="1"/>
  <c r="AY372" i="2" a="1"/>
  <c r="AY372" i="2" s="1"/>
  <c r="AX372" i="2" a="1"/>
  <c r="AX372" i="2" s="1"/>
  <c r="AW372" i="2" a="1"/>
  <c r="AW372" i="2" s="1"/>
  <c r="AV372" i="2" a="1"/>
  <c r="AV372" i="2" s="1"/>
  <c r="AU372" i="2" a="1"/>
  <c r="AU372" i="2" s="1"/>
  <c r="AT372" i="2" a="1"/>
  <c r="AT372" i="2" s="1"/>
  <c r="AS372" i="2" a="1"/>
  <c r="AS372" i="2" s="1"/>
  <c r="AR372" i="2" a="1"/>
  <c r="AR372" i="2" s="1"/>
  <c r="AQ372" i="2" a="1"/>
  <c r="AQ372" i="2" s="1"/>
  <c r="AP372" i="2" a="1"/>
  <c r="AP372" i="2" s="1"/>
  <c r="AO372" i="2" a="1"/>
  <c r="AO372" i="2" s="1"/>
  <c r="AN372" i="2" a="1"/>
  <c r="AN372" i="2" s="1"/>
  <c r="AM372" i="2" a="1"/>
  <c r="AM372" i="2" s="1"/>
  <c r="AL372" i="2" a="1"/>
  <c r="AL372" i="2" s="1"/>
  <c r="AK372" i="2" a="1"/>
  <c r="AK372" i="2" s="1"/>
  <c r="AJ372" i="2" a="1"/>
  <c r="AJ372" i="2" s="1"/>
  <c r="AI372" i="2" a="1"/>
  <c r="AI372" i="2" s="1"/>
  <c r="AH372" i="2" a="1"/>
  <c r="AH372" i="2" s="1"/>
  <c r="AG372" i="2" a="1"/>
  <c r="AG372" i="2" s="1"/>
  <c r="AF372" i="2" a="1"/>
  <c r="AF372" i="2" s="1"/>
  <c r="AE372" i="2" a="1"/>
  <c r="AE372" i="2" s="1"/>
  <c r="AD372" i="2" a="1"/>
  <c r="AD372" i="2" s="1"/>
  <c r="AC372" i="2" a="1"/>
  <c r="AC372" i="2" s="1"/>
  <c r="AB372" i="2"/>
  <c r="AA372" i="2" a="1"/>
  <c r="AA372" i="2" s="1"/>
  <c r="Z372" i="2" a="1"/>
  <c r="Z372" i="2" s="1"/>
  <c r="Y372" i="2" a="1"/>
  <c r="Y372" i="2" s="1"/>
  <c r="X372" i="2" a="1"/>
  <c r="X372" i="2" s="1"/>
  <c r="W372" i="2" a="1"/>
  <c r="W372" i="2" s="1"/>
  <c r="BB372" i="2" s="1" a="1"/>
  <c r="BB372" i="2" s="1"/>
  <c r="V372" i="2" a="1"/>
  <c r="V372" i="2" s="1"/>
  <c r="E372" i="2" s="1" a="1"/>
  <c r="E372" i="2" s="1"/>
  <c r="U372" i="2" a="1"/>
  <c r="U372" i="2" s="1"/>
  <c r="T372" i="2" a="1"/>
  <c r="T372" i="2" s="1"/>
  <c r="S372" i="2" a="1"/>
  <c r="S372" i="2" s="1"/>
  <c r="R372" i="2" a="1"/>
  <c r="R372" i="2" s="1"/>
  <c r="Q372" i="2" a="1"/>
  <c r="Q372" i="2" s="1"/>
  <c r="P372" i="2" a="1"/>
  <c r="P372" i="2" s="1"/>
  <c r="O372" i="2" a="1"/>
  <c r="O372" i="2" s="1"/>
  <c r="N372" i="2" a="1"/>
  <c r="N372" i="2" s="1"/>
  <c r="M372" i="2" a="1"/>
  <c r="M372" i="2" s="1"/>
  <c r="L372" i="2" a="1"/>
  <c r="L372" i="2" s="1"/>
  <c r="K372" i="2" a="1"/>
  <c r="K372" i="2" s="1"/>
  <c r="J372" i="2" a="1"/>
  <c r="J372" i="2" s="1"/>
  <c r="I372" i="2" a="1"/>
  <c r="I372" i="2" s="1"/>
  <c r="H372" i="2" a="1"/>
  <c r="H372" i="2" s="1"/>
  <c r="F372" i="2" a="1"/>
  <c r="F372" i="2" s="1"/>
  <c r="D372" i="2" a="1"/>
  <c r="D372" i="2" s="1"/>
  <c r="B372" i="2" a="1"/>
  <c r="B372" i="2" s="1"/>
  <c r="BD371" i="2" a="1"/>
  <c r="BD371" i="2" s="1"/>
  <c r="BC371" i="2" a="1"/>
  <c r="BC371" i="2" s="1"/>
  <c r="BA371" i="2" a="1"/>
  <c r="BA371" i="2" s="1"/>
  <c r="AZ371" i="2" a="1"/>
  <c r="AZ371" i="2" s="1"/>
  <c r="AY371" i="2" a="1"/>
  <c r="AY371" i="2" s="1"/>
  <c r="AX371" i="2" a="1"/>
  <c r="AX371" i="2" s="1"/>
  <c r="AW371" i="2" a="1"/>
  <c r="AW371" i="2" s="1"/>
  <c r="AV371" i="2" a="1"/>
  <c r="AV371" i="2" s="1"/>
  <c r="AU371" i="2" a="1"/>
  <c r="AU371" i="2" s="1"/>
  <c r="AT371" i="2" a="1"/>
  <c r="AT371" i="2" s="1"/>
  <c r="AS371" i="2" a="1"/>
  <c r="AS371" i="2" s="1"/>
  <c r="AR371" i="2" a="1"/>
  <c r="AR371" i="2" s="1"/>
  <c r="AQ371" i="2" a="1"/>
  <c r="AQ371" i="2" s="1"/>
  <c r="AP371" i="2" a="1"/>
  <c r="AP371" i="2" s="1"/>
  <c r="AO371" i="2" a="1"/>
  <c r="AO371" i="2" s="1"/>
  <c r="AN371" i="2" a="1"/>
  <c r="AN371" i="2" s="1"/>
  <c r="AM371" i="2" a="1"/>
  <c r="AM371" i="2" s="1"/>
  <c r="AL371" i="2" a="1"/>
  <c r="AL371" i="2" s="1"/>
  <c r="AK371" i="2" a="1"/>
  <c r="AK371" i="2" s="1"/>
  <c r="AJ371" i="2" a="1"/>
  <c r="AJ371" i="2" s="1"/>
  <c r="AI371" i="2" a="1"/>
  <c r="AI371" i="2" s="1"/>
  <c r="AH371" i="2" a="1"/>
  <c r="AH371" i="2" s="1"/>
  <c r="AG371" i="2" a="1"/>
  <c r="AG371" i="2" s="1"/>
  <c r="AF371" i="2" a="1"/>
  <c r="AF371" i="2" s="1"/>
  <c r="AE371" i="2" a="1"/>
  <c r="AE371" i="2" s="1"/>
  <c r="AD371" i="2" a="1"/>
  <c r="AD371" i="2" s="1"/>
  <c r="AC371" i="2" a="1"/>
  <c r="AC371" i="2" s="1"/>
  <c r="AB371" i="2"/>
  <c r="AA371" i="2" a="1"/>
  <c r="AA371" i="2" s="1"/>
  <c r="Z371" i="2" a="1"/>
  <c r="Z371" i="2" s="1"/>
  <c r="Y371" i="2" a="1"/>
  <c r="Y371" i="2" s="1"/>
  <c r="X371" i="2" a="1"/>
  <c r="X371" i="2" s="1"/>
  <c r="W371" i="2" a="1"/>
  <c r="W371" i="2" s="1"/>
  <c r="BB371" i="2" s="1" a="1"/>
  <c r="BB371" i="2" s="1"/>
  <c r="V371" i="2" a="1"/>
  <c r="V371" i="2" s="1"/>
  <c r="E371" i="2" s="1" a="1"/>
  <c r="E371" i="2" s="1"/>
  <c r="U371" i="2" a="1"/>
  <c r="U371" i="2" s="1"/>
  <c r="T371" i="2" a="1"/>
  <c r="T371" i="2" s="1"/>
  <c r="S371" i="2" a="1"/>
  <c r="S371" i="2" s="1"/>
  <c r="R371" i="2" a="1"/>
  <c r="R371" i="2" s="1"/>
  <c r="Q371" i="2" a="1"/>
  <c r="Q371" i="2" s="1"/>
  <c r="P371" i="2" a="1"/>
  <c r="P371" i="2" s="1"/>
  <c r="O371" i="2" a="1"/>
  <c r="O371" i="2" s="1"/>
  <c r="N371" i="2" a="1"/>
  <c r="N371" i="2" s="1"/>
  <c r="M371" i="2" a="1"/>
  <c r="M371" i="2" s="1"/>
  <c r="L371" i="2" a="1"/>
  <c r="L371" i="2" s="1"/>
  <c r="K371" i="2" a="1"/>
  <c r="K371" i="2" s="1"/>
  <c r="J371" i="2" a="1"/>
  <c r="J371" i="2" s="1"/>
  <c r="I371" i="2" a="1"/>
  <c r="I371" i="2" s="1"/>
  <c r="H371" i="2" a="1"/>
  <c r="H371" i="2" s="1"/>
  <c r="F371" i="2" a="1"/>
  <c r="F371" i="2" s="1"/>
  <c r="D371" i="2" a="1"/>
  <c r="D371" i="2" s="1"/>
  <c r="B371" i="2" a="1"/>
  <c r="B371" i="2" s="1"/>
  <c r="BD370" i="2" a="1"/>
  <c r="BD370" i="2" s="1"/>
  <c r="BC370" i="2" a="1"/>
  <c r="BC370" i="2" s="1"/>
  <c r="BA370" i="2" a="1"/>
  <c r="BA370" i="2" s="1"/>
  <c r="AZ370" i="2" a="1"/>
  <c r="AZ370" i="2" s="1"/>
  <c r="AY370" i="2" a="1"/>
  <c r="AY370" i="2" s="1"/>
  <c r="AX370" i="2" a="1"/>
  <c r="AX370" i="2" s="1"/>
  <c r="AW370" i="2" a="1"/>
  <c r="AW370" i="2" s="1"/>
  <c r="AV370" i="2" a="1"/>
  <c r="AV370" i="2" s="1"/>
  <c r="AU370" i="2" a="1"/>
  <c r="AU370" i="2" s="1"/>
  <c r="AT370" i="2" a="1"/>
  <c r="AT370" i="2" s="1"/>
  <c r="AS370" i="2" a="1"/>
  <c r="AS370" i="2" s="1"/>
  <c r="AR370" i="2" a="1"/>
  <c r="AR370" i="2" s="1"/>
  <c r="AQ370" i="2" a="1"/>
  <c r="AQ370" i="2" s="1"/>
  <c r="AP370" i="2" a="1"/>
  <c r="AP370" i="2" s="1"/>
  <c r="AO370" i="2" a="1"/>
  <c r="AO370" i="2" s="1"/>
  <c r="AN370" i="2" a="1"/>
  <c r="AN370" i="2" s="1"/>
  <c r="AM370" i="2" a="1"/>
  <c r="AM370" i="2" s="1"/>
  <c r="AL370" i="2" a="1"/>
  <c r="AL370" i="2" s="1"/>
  <c r="AK370" i="2" a="1"/>
  <c r="AK370" i="2" s="1"/>
  <c r="AJ370" i="2" a="1"/>
  <c r="AJ370" i="2" s="1"/>
  <c r="AI370" i="2" a="1"/>
  <c r="AI370" i="2" s="1"/>
  <c r="AH370" i="2" a="1"/>
  <c r="AH370" i="2" s="1"/>
  <c r="AG370" i="2" a="1"/>
  <c r="AG370" i="2" s="1"/>
  <c r="AF370" i="2" a="1"/>
  <c r="AF370" i="2" s="1"/>
  <c r="AE370" i="2" a="1"/>
  <c r="AE370" i="2" s="1"/>
  <c r="AD370" i="2" a="1"/>
  <c r="AD370" i="2" s="1"/>
  <c r="AC370" i="2" a="1"/>
  <c r="AC370" i="2" s="1"/>
  <c r="AB370" i="2"/>
  <c r="AA370" i="2" a="1"/>
  <c r="AA370" i="2" s="1"/>
  <c r="Z370" i="2" a="1"/>
  <c r="Z370" i="2" s="1"/>
  <c r="Y370" i="2" a="1"/>
  <c r="Y370" i="2" s="1"/>
  <c r="X370" i="2" a="1"/>
  <c r="X370" i="2" s="1"/>
  <c r="W370" i="2" a="1"/>
  <c r="W370" i="2" s="1"/>
  <c r="BB370" i="2" s="1" a="1"/>
  <c r="BB370" i="2" s="1"/>
  <c r="V370" i="2" a="1"/>
  <c r="V370" i="2" s="1"/>
  <c r="E370" i="2" s="1" a="1"/>
  <c r="E370" i="2" s="1"/>
  <c r="U370" i="2" a="1"/>
  <c r="U370" i="2" s="1"/>
  <c r="T370" i="2" a="1"/>
  <c r="T370" i="2" s="1"/>
  <c r="S370" i="2" a="1"/>
  <c r="S370" i="2" s="1"/>
  <c r="R370" i="2" a="1"/>
  <c r="R370" i="2" s="1"/>
  <c r="Q370" i="2" a="1"/>
  <c r="Q370" i="2" s="1"/>
  <c r="P370" i="2" a="1"/>
  <c r="P370" i="2" s="1"/>
  <c r="O370" i="2" a="1"/>
  <c r="O370" i="2" s="1"/>
  <c r="N370" i="2" a="1"/>
  <c r="N370" i="2" s="1"/>
  <c r="M370" i="2" a="1"/>
  <c r="M370" i="2" s="1"/>
  <c r="L370" i="2" a="1"/>
  <c r="L370" i="2" s="1"/>
  <c r="K370" i="2" a="1"/>
  <c r="K370" i="2" s="1"/>
  <c r="J370" i="2" a="1"/>
  <c r="J370" i="2" s="1"/>
  <c r="I370" i="2" a="1"/>
  <c r="I370" i="2" s="1"/>
  <c r="H370" i="2" a="1"/>
  <c r="H370" i="2" s="1"/>
  <c r="F370" i="2" a="1"/>
  <c r="F370" i="2" s="1"/>
  <c r="D370" i="2" a="1"/>
  <c r="D370" i="2" s="1"/>
  <c r="B370" i="2" a="1"/>
  <c r="B370" i="2" s="1"/>
  <c r="BD369" i="2" a="1"/>
  <c r="BD369" i="2" s="1"/>
  <c r="BC369" i="2" a="1"/>
  <c r="BC369" i="2" s="1"/>
  <c r="BA369" i="2" a="1"/>
  <c r="BA369" i="2" s="1"/>
  <c r="AZ369" i="2" a="1"/>
  <c r="AZ369" i="2" s="1"/>
  <c r="AY369" i="2" a="1"/>
  <c r="AY369" i="2" s="1"/>
  <c r="AX369" i="2" a="1"/>
  <c r="AX369" i="2" s="1"/>
  <c r="AW369" i="2" a="1"/>
  <c r="AW369" i="2" s="1"/>
  <c r="AV369" i="2" a="1"/>
  <c r="AV369" i="2" s="1"/>
  <c r="AU369" i="2" a="1"/>
  <c r="AU369" i="2" s="1"/>
  <c r="AT369" i="2" a="1"/>
  <c r="AT369" i="2" s="1"/>
  <c r="AS369" i="2" a="1"/>
  <c r="AS369" i="2" s="1"/>
  <c r="AR369" i="2" a="1"/>
  <c r="AR369" i="2" s="1"/>
  <c r="AQ369" i="2" a="1"/>
  <c r="AQ369" i="2" s="1"/>
  <c r="AP369" i="2" a="1"/>
  <c r="AP369" i="2" s="1"/>
  <c r="AO369" i="2" a="1"/>
  <c r="AO369" i="2" s="1"/>
  <c r="AN369" i="2" a="1"/>
  <c r="AN369" i="2" s="1"/>
  <c r="AM369" i="2" a="1"/>
  <c r="AM369" i="2" s="1"/>
  <c r="AL369" i="2" a="1"/>
  <c r="AL369" i="2" s="1"/>
  <c r="AK369" i="2" a="1"/>
  <c r="AK369" i="2" s="1"/>
  <c r="AJ369" i="2" a="1"/>
  <c r="AJ369" i="2" s="1"/>
  <c r="AI369" i="2" a="1"/>
  <c r="AI369" i="2" s="1"/>
  <c r="AH369" i="2" a="1"/>
  <c r="AH369" i="2" s="1"/>
  <c r="AG369" i="2" a="1"/>
  <c r="AG369" i="2" s="1"/>
  <c r="AF369" i="2" a="1"/>
  <c r="AF369" i="2" s="1"/>
  <c r="AE369" i="2" a="1"/>
  <c r="AE369" i="2" s="1"/>
  <c r="AD369" i="2" a="1"/>
  <c r="AD369" i="2" s="1"/>
  <c r="AC369" i="2" a="1"/>
  <c r="AC369" i="2" s="1"/>
  <c r="AB369" i="2"/>
  <c r="AA369" i="2" a="1"/>
  <c r="AA369" i="2" s="1"/>
  <c r="Z369" i="2" a="1"/>
  <c r="Z369" i="2" s="1"/>
  <c r="Y369" i="2" a="1"/>
  <c r="Y369" i="2" s="1"/>
  <c r="X369" i="2" a="1"/>
  <c r="X369" i="2" s="1"/>
  <c r="W369" i="2" a="1"/>
  <c r="W369" i="2" s="1"/>
  <c r="BB369" i="2" s="1" a="1"/>
  <c r="BB369" i="2" s="1"/>
  <c r="V369" i="2" a="1"/>
  <c r="V369" i="2" s="1"/>
  <c r="E369" i="2" s="1" a="1"/>
  <c r="E369" i="2" s="1"/>
  <c r="U369" i="2" a="1"/>
  <c r="U369" i="2" s="1"/>
  <c r="T369" i="2" a="1"/>
  <c r="T369" i="2" s="1"/>
  <c r="S369" i="2" a="1"/>
  <c r="S369" i="2" s="1"/>
  <c r="R369" i="2" a="1"/>
  <c r="R369" i="2" s="1"/>
  <c r="Q369" i="2" a="1"/>
  <c r="Q369" i="2" s="1"/>
  <c r="P369" i="2" a="1"/>
  <c r="P369" i="2" s="1"/>
  <c r="O369" i="2" a="1"/>
  <c r="O369" i="2" s="1"/>
  <c r="N369" i="2" a="1"/>
  <c r="N369" i="2" s="1"/>
  <c r="M369" i="2" a="1"/>
  <c r="M369" i="2" s="1"/>
  <c r="L369" i="2" a="1"/>
  <c r="L369" i="2" s="1"/>
  <c r="K369" i="2" a="1"/>
  <c r="K369" i="2" s="1"/>
  <c r="J369" i="2" a="1"/>
  <c r="J369" i="2" s="1"/>
  <c r="I369" i="2" a="1"/>
  <c r="I369" i="2" s="1"/>
  <c r="H369" i="2" a="1"/>
  <c r="H369" i="2" s="1"/>
  <c r="F369" i="2" a="1"/>
  <c r="F369" i="2" s="1"/>
  <c r="D369" i="2" a="1"/>
  <c r="D369" i="2" s="1"/>
  <c r="B369" i="2" a="1"/>
  <c r="B369" i="2" s="1"/>
  <c r="BD368" i="2" a="1"/>
  <c r="BD368" i="2" s="1"/>
  <c r="BC368" i="2" a="1"/>
  <c r="BC368" i="2" s="1"/>
  <c r="BA368" i="2" a="1"/>
  <c r="BA368" i="2" s="1"/>
  <c r="AZ368" i="2" a="1"/>
  <c r="AZ368" i="2" s="1"/>
  <c r="AY368" i="2" a="1"/>
  <c r="AY368" i="2" s="1"/>
  <c r="AX368" i="2" a="1"/>
  <c r="AX368" i="2" s="1"/>
  <c r="AW368" i="2" a="1"/>
  <c r="AW368" i="2" s="1"/>
  <c r="AV368" i="2" a="1"/>
  <c r="AV368" i="2" s="1"/>
  <c r="AU368" i="2" a="1"/>
  <c r="AU368" i="2" s="1"/>
  <c r="AT368" i="2" a="1"/>
  <c r="AT368" i="2" s="1"/>
  <c r="AS368" i="2" a="1"/>
  <c r="AS368" i="2" s="1"/>
  <c r="AR368" i="2" a="1"/>
  <c r="AR368" i="2" s="1"/>
  <c r="AQ368" i="2" a="1"/>
  <c r="AQ368" i="2" s="1"/>
  <c r="AP368" i="2" a="1"/>
  <c r="AP368" i="2" s="1"/>
  <c r="AO368" i="2" a="1"/>
  <c r="AO368" i="2" s="1"/>
  <c r="AN368" i="2" a="1"/>
  <c r="AN368" i="2" s="1"/>
  <c r="AM368" i="2" a="1"/>
  <c r="AM368" i="2" s="1"/>
  <c r="AL368" i="2" a="1"/>
  <c r="AL368" i="2" s="1"/>
  <c r="AK368" i="2" a="1"/>
  <c r="AK368" i="2" s="1"/>
  <c r="AJ368" i="2" a="1"/>
  <c r="AJ368" i="2" s="1"/>
  <c r="AI368" i="2" a="1"/>
  <c r="AI368" i="2" s="1"/>
  <c r="AH368" i="2" a="1"/>
  <c r="AH368" i="2" s="1"/>
  <c r="AG368" i="2" a="1"/>
  <c r="AG368" i="2" s="1"/>
  <c r="AF368" i="2" a="1"/>
  <c r="AF368" i="2" s="1"/>
  <c r="AE368" i="2" a="1"/>
  <c r="AE368" i="2" s="1"/>
  <c r="AD368" i="2" a="1"/>
  <c r="AD368" i="2" s="1"/>
  <c r="AC368" i="2" a="1"/>
  <c r="AC368" i="2" s="1"/>
  <c r="AB368" i="2"/>
  <c r="AA368" i="2" a="1"/>
  <c r="AA368" i="2" s="1"/>
  <c r="Z368" i="2" a="1"/>
  <c r="Z368" i="2" s="1"/>
  <c r="Y368" i="2" a="1"/>
  <c r="Y368" i="2" s="1"/>
  <c r="X368" i="2" a="1"/>
  <c r="X368" i="2" s="1"/>
  <c r="W368" i="2" a="1"/>
  <c r="W368" i="2" s="1"/>
  <c r="BB368" i="2" s="1" a="1"/>
  <c r="BB368" i="2" s="1"/>
  <c r="V368" i="2" a="1"/>
  <c r="V368" i="2" s="1"/>
  <c r="E368" i="2" s="1" a="1"/>
  <c r="E368" i="2" s="1"/>
  <c r="U368" i="2" a="1"/>
  <c r="U368" i="2" s="1"/>
  <c r="T368" i="2" a="1"/>
  <c r="T368" i="2" s="1"/>
  <c r="S368" i="2" a="1"/>
  <c r="S368" i="2" s="1"/>
  <c r="R368" i="2" a="1"/>
  <c r="R368" i="2" s="1"/>
  <c r="Q368" i="2" a="1"/>
  <c r="Q368" i="2" s="1"/>
  <c r="P368" i="2" a="1"/>
  <c r="P368" i="2" s="1"/>
  <c r="O368" i="2" a="1"/>
  <c r="O368" i="2" s="1"/>
  <c r="N368" i="2" a="1"/>
  <c r="N368" i="2" s="1"/>
  <c r="M368" i="2" a="1"/>
  <c r="M368" i="2" s="1"/>
  <c r="L368" i="2" a="1"/>
  <c r="L368" i="2" s="1"/>
  <c r="K368" i="2" a="1"/>
  <c r="K368" i="2" s="1"/>
  <c r="J368" i="2" a="1"/>
  <c r="J368" i="2" s="1"/>
  <c r="I368" i="2" a="1"/>
  <c r="I368" i="2" s="1"/>
  <c r="H368" i="2" a="1"/>
  <c r="H368" i="2" s="1"/>
  <c r="F368" i="2" a="1"/>
  <c r="F368" i="2" s="1"/>
  <c r="D368" i="2" a="1"/>
  <c r="D368" i="2" s="1"/>
  <c r="B368" i="2" a="1"/>
  <c r="B368" i="2" s="1"/>
  <c r="BD367" i="2" a="1"/>
  <c r="BD367" i="2" s="1"/>
  <c r="BC367" i="2" a="1"/>
  <c r="BC367" i="2" s="1"/>
  <c r="BA367" i="2" a="1"/>
  <c r="BA367" i="2" s="1"/>
  <c r="AZ367" i="2" a="1"/>
  <c r="AZ367" i="2" s="1"/>
  <c r="AY367" i="2" a="1"/>
  <c r="AY367" i="2" s="1"/>
  <c r="AX367" i="2" a="1"/>
  <c r="AX367" i="2" s="1"/>
  <c r="AW367" i="2" a="1"/>
  <c r="AW367" i="2" s="1"/>
  <c r="AV367" i="2" a="1"/>
  <c r="AV367" i="2" s="1"/>
  <c r="AU367" i="2" a="1"/>
  <c r="AU367" i="2" s="1"/>
  <c r="AT367" i="2" a="1"/>
  <c r="AT367" i="2" s="1"/>
  <c r="AS367" i="2" a="1"/>
  <c r="AS367" i="2" s="1"/>
  <c r="AR367" i="2" a="1"/>
  <c r="AR367" i="2" s="1"/>
  <c r="AQ367" i="2" a="1"/>
  <c r="AQ367" i="2" s="1"/>
  <c r="AP367" i="2" a="1"/>
  <c r="AP367" i="2" s="1"/>
  <c r="AO367" i="2" a="1"/>
  <c r="AO367" i="2" s="1"/>
  <c r="AN367" i="2" a="1"/>
  <c r="AN367" i="2" s="1"/>
  <c r="AM367" i="2" a="1"/>
  <c r="AM367" i="2" s="1"/>
  <c r="AL367" i="2" a="1"/>
  <c r="AL367" i="2" s="1"/>
  <c r="AK367" i="2" a="1"/>
  <c r="AK367" i="2" s="1"/>
  <c r="AJ367" i="2" a="1"/>
  <c r="AJ367" i="2" s="1"/>
  <c r="AI367" i="2" a="1"/>
  <c r="AI367" i="2" s="1"/>
  <c r="AH367" i="2" a="1"/>
  <c r="AH367" i="2" s="1"/>
  <c r="AG367" i="2" a="1"/>
  <c r="AG367" i="2" s="1"/>
  <c r="AF367" i="2" a="1"/>
  <c r="AF367" i="2" s="1"/>
  <c r="AE367" i="2" a="1"/>
  <c r="AE367" i="2" s="1"/>
  <c r="AD367" i="2" a="1"/>
  <c r="AD367" i="2" s="1"/>
  <c r="AC367" i="2" a="1"/>
  <c r="AC367" i="2" s="1"/>
  <c r="AB367" i="2"/>
  <c r="AA367" i="2" a="1"/>
  <c r="AA367" i="2" s="1"/>
  <c r="Z367" i="2" a="1"/>
  <c r="Z367" i="2" s="1"/>
  <c r="Y367" i="2" a="1"/>
  <c r="Y367" i="2" s="1"/>
  <c r="X367" i="2" a="1"/>
  <c r="X367" i="2" s="1"/>
  <c r="W367" i="2" a="1"/>
  <c r="W367" i="2" s="1"/>
  <c r="BB367" i="2" s="1" a="1"/>
  <c r="BB367" i="2" s="1"/>
  <c r="V367" i="2" a="1"/>
  <c r="V367" i="2" s="1"/>
  <c r="E367" i="2" s="1" a="1"/>
  <c r="E367" i="2" s="1"/>
  <c r="U367" i="2" a="1"/>
  <c r="U367" i="2" s="1"/>
  <c r="T367" i="2" a="1"/>
  <c r="T367" i="2" s="1"/>
  <c r="S367" i="2" a="1"/>
  <c r="S367" i="2" s="1"/>
  <c r="R367" i="2" a="1"/>
  <c r="R367" i="2" s="1"/>
  <c r="Q367" i="2" a="1"/>
  <c r="Q367" i="2" s="1"/>
  <c r="P367" i="2" a="1"/>
  <c r="P367" i="2" s="1"/>
  <c r="O367" i="2" a="1"/>
  <c r="O367" i="2" s="1"/>
  <c r="N367" i="2" a="1"/>
  <c r="N367" i="2" s="1"/>
  <c r="M367" i="2" a="1"/>
  <c r="M367" i="2" s="1"/>
  <c r="L367" i="2" a="1"/>
  <c r="L367" i="2" s="1"/>
  <c r="K367" i="2" a="1"/>
  <c r="K367" i="2" s="1"/>
  <c r="J367" i="2" a="1"/>
  <c r="J367" i="2" s="1"/>
  <c r="I367" i="2" a="1"/>
  <c r="I367" i="2" s="1"/>
  <c r="H367" i="2" a="1"/>
  <c r="H367" i="2" s="1"/>
  <c r="F367" i="2" a="1"/>
  <c r="F367" i="2" s="1"/>
  <c r="D367" i="2" a="1"/>
  <c r="D367" i="2" s="1"/>
  <c r="BD366" i="2" a="1"/>
  <c r="BD366" i="2" s="1"/>
  <c r="BC366" i="2" a="1"/>
  <c r="BC366" i="2" s="1"/>
  <c r="BA366" i="2" a="1"/>
  <c r="BA366" i="2" s="1"/>
  <c r="AZ366" i="2" a="1"/>
  <c r="AZ366" i="2" s="1"/>
  <c r="AY366" i="2" a="1"/>
  <c r="AY366" i="2" s="1"/>
  <c r="AX366" i="2" a="1"/>
  <c r="AX366" i="2" s="1"/>
  <c r="AW366" i="2" a="1"/>
  <c r="AW366" i="2" s="1"/>
  <c r="AV366" i="2" a="1"/>
  <c r="AV366" i="2" s="1"/>
  <c r="AU366" i="2" a="1"/>
  <c r="AU366" i="2" s="1"/>
  <c r="AT366" i="2" a="1"/>
  <c r="AT366" i="2" s="1"/>
  <c r="AS366" i="2" a="1"/>
  <c r="AS366" i="2" s="1"/>
  <c r="AR366" i="2" a="1"/>
  <c r="AR366" i="2" s="1"/>
  <c r="AQ366" i="2" a="1"/>
  <c r="AQ366" i="2" s="1"/>
  <c r="AP366" i="2" a="1"/>
  <c r="AP366" i="2" s="1"/>
  <c r="AO366" i="2" a="1"/>
  <c r="AO366" i="2" s="1"/>
  <c r="AN366" i="2" a="1"/>
  <c r="AN366" i="2" s="1"/>
  <c r="AM366" i="2" a="1"/>
  <c r="AM366" i="2" s="1"/>
  <c r="AL366" i="2" a="1"/>
  <c r="AL366" i="2" s="1"/>
  <c r="AK366" i="2" a="1"/>
  <c r="AK366" i="2" s="1"/>
  <c r="AJ366" i="2" a="1"/>
  <c r="AJ366" i="2" s="1"/>
  <c r="AI366" i="2" a="1"/>
  <c r="AI366" i="2" s="1"/>
  <c r="AH366" i="2" a="1"/>
  <c r="AH366" i="2" s="1"/>
  <c r="AG366" i="2" a="1"/>
  <c r="AG366" i="2" s="1"/>
  <c r="AF366" i="2" a="1"/>
  <c r="AF366" i="2" s="1"/>
  <c r="AE366" i="2" a="1"/>
  <c r="AE366" i="2" s="1"/>
  <c r="AD366" i="2" a="1"/>
  <c r="AD366" i="2" s="1"/>
  <c r="AC366" i="2" a="1"/>
  <c r="AC366" i="2" s="1"/>
  <c r="AB366" i="2"/>
  <c r="AA366" i="2" a="1"/>
  <c r="AA366" i="2" s="1"/>
  <c r="Z366" i="2" a="1"/>
  <c r="Z366" i="2" s="1"/>
  <c r="Y366" i="2" a="1"/>
  <c r="Y366" i="2" s="1"/>
  <c r="X366" i="2" a="1"/>
  <c r="X366" i="2" s="1"/>
  <c r="W366" i="2" a="1"/>
  <c r="W366" i="2" s="1"/>
  <c r="BB366" i="2" s="1" a="1"/>
  <c r="BB366" i="2" s="1"/>
  <c r="V366" i="2" a="1"/>
  <c r="V366" i="2" s="1"/>
  <c r="E366" i="2" s="1" a="1"/>
  <c r="E366" i="2" s="1"/>
  <c r="U366" i="2" a="1"/>
  <c r="U366" i="2" s="1"/>
  <c r="T366" i="2" a="1"/>
  <c r="T366" i="2" s="1"/>
  <c r="S366" i="2" a="1"/>
  <c r="S366" i="2" s="1"/>
  <c r="R366" i="2" a="1"/>
  <c r="R366" i="2" s="1"/>
  <c r="Q366" i="2" a="1"/>
  <c r="Q366" i="2" s="1"/>
  <c r="P366" i="2" a="1"/>
  <c r="P366" i="2" s="1"/>
  <c r="O366" i="2" a="1"/>
  <c r="O366" i="2" s="1"/>
  <c r="N366" i="2" a="1"/>
  <c r="N366" i="2" s="1"/>
  <c r="M366" i="2" a="1"/>
  <c r="M366" i="2" s="1"/>
  <c r="L366" i="2" a="1"/>
  <c r="L366" i="2" s="1"/>
  <c r="K366" i="2" a="1"/>
  <c r="K366" i="2" s="1"/>
  <c r="J366" i="2" a="1"/>
  <c r="J366" i="2" s="1"/>
  <c r="I366" i="2" a="1"/>
  <c r="I366" i="2" s="1"/>
  <c r="H366" i="2" a="1"/>
  <c r="H366" i="2" s="1"/>
  <c r="F366" i="2" a="1"/>
  <c r="F366" i="2" s="1"/>
  <c r="D366" i="2" a="1"/>
  <c r="D366" i="2" s="1"/>
  <c r="BD364" i="2" a="1"/>
  <c r="BD364" i="2" s="1"/>
  <c r="BC364" i="2" a="1"/>
  <c r="BC364" i="2" s="1"/>
  <c r="BA364" i="2" a="1"/>
  <c r="BA364" i="2" s="1"/>
  <c r="AZ364" i="2" a="1"/>
  <c r="AZ364" i="2" s="1"/>
  <c r="AY364" i="2" a="1"/>
  <c r="AY364" i="2" s="1"/>
  <c r="AX364" i="2" a="1"/>
  <c r="AX364" i="2" s="1"/>
  <c r="AW364" i="2" a="1"/>
  <c r="AW364" i="2" s="1"/>
  <c r="AV364" i="2" a="1"/>
  <c r="AV364" i="2" s="1"/>
  <c r="AU364" i="2" a="1"/>
  <c r="AU364" i="2" s="1"/>
  <c r="AT364" i="2" a="1"/>
  <c r="AT364" i="2" s="1"/>
  <c r="AS364" i="2" a="1"/>
  <c r="AS364" i="2" s="1"/>
  <c r="AR364" i="2" a="1"/>
  <c r="AR364" i="2" s="1"/>
  <c r="AQ364" i="2" a="1"/>
  <c r="AQ364" i="2" s="1"/>
  <c r="AP364" i="2" a="1"/>
  <c r="AP364" i="2" s="1"/>
  <c r="AO364" i="2" a="1"/>
  <c r="AO364" i="2" s="1"/>
  <c r="AN364" i="2" a="1"/>
  <c r="AN364" i="2" s="1"/>
  <c r="AM364" i="2" a="1"/>
  <c r="AM364" i="2" s="1"/>
  <c r="AL364" i="2" a="1"/>
  <c r="AL364" i="2" s="1"/>
  <c r="AK364" i="2" a="1"/>
  <c r="AK364" i="2" s="1"/>
  <c r="AJ364" i="2" a="1"/>
  <c r="AJ364" i="2" s="1"/>
  <c r="AI364" i="2" a="1"/>
  <c r="AI364" i="2" s="1"/>
  <c r="AH364" i="2" a="1"/>
  <c r="AH364" i="2" s="1"/>
  <c r="AG364" i="2" a="1"/>
  <c r="AG364" i="2" s="1"/>
  <c r="AF364" i="2" a="1"/>
  <c r="AF364" i="2" s="1"/>
  <c r="AE364" i="2" a="1"/>
  <c r="AE364" i="2" s="1"/>
  <c r="AD364" i="2" a="1"/>
  <c r="AD364" i="2" s="1"/>
  <c r="AC364" i="2" a="1"/>
  <c r="AC364" i="2" s="1"/>
  <c r="AB364" i="2"/>
  <c r="AA364" i="2" a="1"/>
  <c r="AA364" i="2" s="1"/>
  <c r="Z364" i="2" a="1"/>
  <c r="Z364" i="2" s="1"/>
  <c r="Y364" i="2" a="1"/>
  <c r="Y364" i="2" s="1"/>
  <c r="X364" i="2" a="1"/>
  <c r="X364" i="2" s="1"/>
  <c r="W364" i="2" a="1"/>
  <c r="W364" i="2" s="1"/>
  <c r="BB364" i="2" s="1" a="1"/>
  <c r="BB364" i="2" s="1"/>
  <c r="V364" i="2" a="1"/>
  <c r="V364" i="2" s="1"/>
  <c r="E364" i="2" s="1" a="1"/>
  <c r="E364" i="2" s="1"/>
  <c r="U364" i="2" a="1"/>
  <c r="U364" i="2" s="1"/>
  <c r="T364" i="2" a="1"/>
  <c r="T364" i="2" s="1"/>
  <c r="S364" i="2" a="1"/>
  <c r="S364" i="2" s="1"/>
  <c r="R364" i="2" a="1"/>
  <c r="R364" i="2" s="1"/>
  <c r="Q364" i="2" a="1"/>
  <c r="Q364" i="2" s="1"/>
  <c r="P364" i="2" a="1"/>
  <c r="P364" i="2" s="1"/>
  <c r="O364" i="2" a="1"/>
  <c r="O364" i="2" s="1"/>
  <c r="N364" i="2" a="1"/>
  <c r="N364" i="2" s="1"/>
  <c r="M364" i="2" a="1"/>
  <c r="M364" i="2" s="1"/>
  <c r="L364" i="2" a="1"/>
  <c r="L364" i="2" s="1"/>
  <c r="K364" i="2" a="1"/>
  <c r="K364" i="2" s="1"/>
  <c r="J364" i="2" a="1"/>
  <c r="J364" i="2" s="1"/>
  <c r="I364" i="2" a="1"/>
  <c r="I364" i="2" s="1"/>
  <c r="H364" i="2" a="1"/>
  <c r="H364" i="2" s="1"/>
  <c r="F364" i="2" a="1"/>
  <c r="F364" i="2" s="1"/>
  <c r="D364" i="2" a="1"/>
  <c r="D364" i="2" s="1"/>
  <c r="B364" i="2" a="1"/>
  <c r="B364" i="2" s="1"/>
  <c r="BD363" i="2" a="1"/>
  <c r="BD363" i="2" s="1"/>
  <c r="BC363" i="2" a="1"/>
  <c r="BC363" i="2" s="1"/>
  <c r="BA363" i="2" a="1"/>
  <c r="BA363" i="2" s="1"/>
  <c r="AZ363" i="2" a="1"/>
  <c r="AZ363" i="2" s="1"/>
  <c r="AY363" i="2" a="1"/>
  <c r="AY363" i="2" s="1"/>
  <c r="AX363" i="2" a="1"/>
  <c r="AX363" i="2" s="1"/>
  <c r="AW363" i="2" a="1"/>
  <c r="AW363" i="2" s="1"/>
  <c r="AV363" i="2" a="1"/>
  <c r="AV363" i="2" s="1"/>
  <c r="AU363" i="2" a="1"/>
  <c r="AU363" i="2" s="1"/>
  <c r="AT363" i="2" a="1"/>
  <c r="AT363" i="2" s="1"/>
  <c r="AS363" i="2" a="1"/>
  <c r="AS363" i="2" s="1"/>
  <c r="AR363" i="2" a="1"/>
  <c r="AR363" i="2" s="1"/>
  <c r="AQ363" i="2" a="1"/>
  <c r="AQ363" i="2" s="1"/>
  <c r="AP363" i="2" a="1"/>
  <c r="AP363" i="2" s="1"/>
  <c r="AO363" i="2" a="1"/>
  <c r="AO363" i="2" s="1"/>
  <c r="AN363" i="2" a="1"/>
  <c r="AN363" i="2" s="1"/>
  <c r="AM363" i="2" a="1"/>
  <c r="AM363" i="2" s="1"/>
  <c r="AL363" i="2" a="1"/>
  <c r="AL363" i="2" s="1"/>
  <c r="AK363" i="2" a="1"/>
  <c r="AK363" i="2" s="1"/>
  <c r="AJ363" i="2" a="1"/>
  <c r="AJ363" i="2" s="1"/>
  <c r="AI363" i="2" a="1"/>
  <c r="AI363" i="2" s="1"/>
  <c r="AH363" i="2" a="1"/>
  <c r="AH363" i="2" s="1"/>
  <c r="AG363" i="2" a="1"/>
  <c r="AG363" i="2" s="1"/>
  <c r="AF363" i="2" a="1"/>
  <c r="AF363" i="2" s="1"/>
  <c r="AE363" i="2" a="1"/>
  <c r="AE363" i="2" s="1"/>
  <c r="AD363" i="2" a="1"/>
  <c r="AD363" i="2" s="1"/>
  <c r="AC363" i="2" a="1"/>
  <c r="AC363" i="2" s="1"/>
  <c r="AB363" i="2"/>
  <c r="AA363" i="2" a="1"/>
  <c r="AA363" i="2" s="1"/>
  <c r="Z363" i="2" a="1"/>
  <c r="Z363" i="2" s="1"/>
  <c r="Y363" i="2" a="1"/>
  <c r="Y363" i="2" s="1"/>
  <c r="X363" i="2" a="1"/>
  <c r="X363" i="2" s="1"/>
  <c r="W363" i="2" a="1"/>
  <c r="W363" i="2" s="1"/>
  <c r="BB363" i="2" s="1" a="1"/>
  <c r="BB363" i="2" s="1"/>
  <c r="V363" i="2" a="1"/>
  <c r="V363" i="2" s="1"/>
  <c r="E363" i="2" s="1" a="1"/>
  <c r="E363" i="2" s="1"/>
  <c r="U363" i="2" a="1"/>
  <c r="U363" i="2" s="1"/>
  <c r="T363" i="2" a="1"/>
  <c r="T363" i="2" s="1"/>
  <c r="S363" i="2" a="1"/>
  <c r="S363" i="2" s="1"/>
  <c r="R363" i="2" a="1"/>
  <c r="R363" i="2" s="1"/>
  <c r="Q363" i="2" a="1"/>
  <c r="Q363" i="2" s="1"/>
  <c r="P363" i="2" a="1"/>
  <c r="P363" i="2" s="1"/>
  <c r="O363" i="2" a="1"/>
  <c r="O363" i="2" s="1"/>
  <c r="N363" i="2" a="1"/>
  <c r="N363" i="2" s="1"/>
  <c r="M363" i="2" a="1"/>
  <c r="M363" i="2" s="1"/>
  <c r="L363" i="2" a="1"/>
  <c r="L363" i="2" s="1"/>
  <c r="K363" i="2" a="1"/>
  <c r="K363" i="2" s="1"/>
  <c r="J363" i="2" a="1"/>
  <c r="J363" i="2" s="1"/>
  <c r="I363" i="2" a="1"/>
  <c r="I363" i="2" s="1"/>
  <c r="H363" i="2" a="1"/>
  <c r="H363" i="2" s="1"/>
  <c r="F363" i="2" a="1"/>
  <c r="F363" i="2" s="1"/>
  <c r="D363" i="2" a="1"/>
  <c r="D363" i="2" s="1"/>
  <c r="B363" i="2" a="1"/>
  <c r="B363" i="2" s="1"/>
  <c r="BD362" i="2" a="1"/>
  <c r="BD362" i="2" s="1"/>
  <c r="BC362" i="2" a="1"/>
  <c r="BC362" i="2" s="1"/>
  <c r="BA362" i="2" a="1"/>
  <c r="BA362" i="2" s="1"/>
  <c r="AZ362" i="2" a="1"/>
  <c r="AZ362" i="2" s="1"/>
  <c r="AY362" i="2" a="1"/>
  <c r="AY362" i="2" s="1"/>
  <c r="AX362" i="2" a="1"/>
  <c r="AX362" i="2" s="1"/>
  <c r="AW362" i="2" a="1"/>
  <c r="AW362" i="2" s="1"/>
  <c r="AV362" i="2" a="1"/>
  <c r="AV362" i="2" s="1"/>
  <c r="AU362" i="2" a="1"/>
  <c r="AU362" i="2" s="1"/>
  <c r="AT362" i="2" a="1"/>
  <c r="AT362" i="2" s="1"/>
  <c r="AS362" i="2" a="1"/>
  <c r="AS362" i="2" s="1"/>
  <c r="AR362" i="2" a="1"/>
  <c r="AR362" i="2" s="1"/>
  <c r="AQ362" i="2" a="1"/>
  <c r="AQ362" i="2" s="1"/>
  <c r="AP362" i="2" a="1"/>
  <c r="AP362" i="2" s="1"/>
  <c r="AO362" i="2" a="1"/>
  <c r="AO362" i="2" s="1"/>
  <c r="AN362" i="2" a="1"/>
  <c r="AN362" i="2" s="1"/>
  <c r="AM362" i="2" a="1"/>
  <c r="AM362" i="2" s="1"/>
  <c r="AL362" i="2" a="1"/>
  <c r="AL362" i="2" s="1"/>
  <c r="AK362" i="2" a="1"/>
  <c r="AK362" i="2" s="1"/>
  <c r="AJ362" i="2" a="1"/>
  <c r="AJ362" i="2" s="1"/>
  <c r="AI362" i="2" a="1"/>
  <c r="AI362" i="2" s="1"/>
  <c r="AH362" i="2" a="1"/>
  <c r="AH362" i="2" s="1"/>
  <c r="AG362" i="2" a="1"/>
  <c r="AG362" i="2" s="1"/>
  <c r="AF362" i="2" a="1"/>
  <c r="AF362" i="2" s="1"/>
  <c r="AE362" i="2" a="1"/>
  <c r="AE362" i="2" s="1"/>
  <c r="AD362" i="2" a="1"/>
  <c r="AD362" i="2" s="1"/>
  <c r="AC362" i="2" a="1"/>
  <c r="AC362" i="2" s="1"/>
  <c r="AB362" i="2"/>
  <c r="AA362" i="2" a="1"/>
  <c r="AA362" i="2" s="1"/>
  <c r="Z362" i="2" a="1"/>
  <c r="Z362" i="2" s="1"/>
  <c r="Y362" i="2" a="1"/>
  <c r="Y362" i="2" s="1"/>
  <c r="X362" i="2" a="1"/>
  <c r="X362" i="2" s="1"/>
  <c r="W362" i="2" a="1"/>
  <c r="W362" i="2" s="1"/>
  <c r="BB362" i="2" s="1" a="1"/>
  <c r="BB362" i="2" s="1"/>
  <c r="V362" i="2" a="1"/>
  <c r="V362" i="2" s="1"/>
  <c r="E362" i="2" s="1" a="1"/>
  <c r="E362" i="2" s="1"/>
  <c r="U362" i="2" a="1"/>
  <c r="U362" i="2" s="1"/>
  <c r="T362" i="2" a="1"/>
  <c r="T362" i="2" s="1"/>
  <c r="S362" i="2" a="1"/>
  <c r="S362" i="2" s="1"/>
  <c r="R362" i="2" a="1"/>
  <c r="R362" i="2" s="1"/>
  <c r="Q362" i="2" a="1"/>
  <c r="Q362" i="2" s="1"/>
  <c r="P362" i="2" a="1"/>
  <c r="P362" i="2" s="1"/>
  <c r="O362" i="2" a="1"/>
  <c r="O362" i="2" s="1"/>
  <c r="N362" i="2" a="1"/>
  <c r="N362" i="2" s="1"/>
  <c r="M362" i="2" a="1"/>
  <c r="M362" i="2" s="1"/>
  <c r="L362" i="2" a="1"/>
  <c r="L362" i="2" s="1"/>
  <c r="K362" i="2" a="1"/>
  <c r="K362" i="2" s="1"/>
  <c r="J362" i="2" a="1"/>
  <c r="J362" i="2" s="1"/>
  <c r="I362" i="2" a="1"/>
  <c r="I362" i="2" s="1"/>
  <c r="H362" i="2" a="1"/>
  <c r="H362" i="2" s="1"/>
  <c r="F362" i="2" a="1"/>
  <c r="F362" i="2" s="1"/>
  <c r="D362" i="2" a="1"/>
  <c r="D362" i="2" s="1"/>
  <c r="BD361" i="2" a="1"/>
  <c r="BD361" i="2" s="1"/>
  <c r="BC361" i="2" a="1"/>
  <c r="BC361" i="2" s="1"/>
  <c r="BA361" i="2" a="1"/>
  <c r="BA361" i="2" s="1"/>
  <c r="AZ361" i="2" a="1"/>
  <c r="AZ361" i="2" s="1"/>
  <c r="AY361" i="2" a="1"/>
  <c r="AY361" i="2" s="1"/>
  <c r="AX361" i="2" a="1"/>
  <c r="AX361" i="2" s="1"/>
  <c r="AW361" i="2" a="1"/>
  <c r="AW361" i="2" s="1"/>
  <c r="AV361" i="2" a="1"/>
  <c r="AV361" i="2" s="1"/>
  <c r="AU361" i="2" a="1"/>
  <c r="AU361" i="2" s="1"/>
  <c r="AT361" i="2" a="1"/>
  <c r="AT361" i="2" s="1"/>
  <c r="AS361" i="2" a="1"/>
  <c r="AS361" i="2" s="1"/>
  <c r="AR361" i="2" a="1"/>
  <c r="AR361" i="2" s="1"/>
  <c r="AQ361" i="2" a="1"/>
  <c r="AQ361" i="2" s="1"/>
  <c r="AP361" i="2" a="1"/>
  <c r="AP361" i="2" s="1"/>
  <c r="AO361" i="2" a="1"/>
  <c r="AO361" i="2" s="1"/>
  <c r="AN361" i="2" a="1"/>
  <c r="AN361" i="2" s="1"/>
  <c r="AM361" i="2" a="1"/>
  <c r="AM361" i="2" s="1"/>
  <c r="AL361" i="2" a="1"/>
  <c r="AL361" i="2" s="1"/>
  <c r="AK361" i="2" a="1"/>
  <c r="AK361" i="2" s="1"/>
  <c r="AJ361" i="2" a="1"/>
  <c r="AJ361" i="2" s="1"/>
  <c r="AI361" i="2" a="1"/>
  <c r="AI361" i="2" s="1"/>
  <c r="AH361" i="2" a="1"/>
  <c r="AH361" i="2" s="1"/>
  <c r="AG361" i="2" a="1"/>
  <c r="AG361" i="2" s="1"/>
  <c r="AF361" i="2" a="1"/>
  <c r="AF361" i="2" s="1"/>
  <c r="AE361" i="2" a="1"/>
  <c r="AE361" i="2" s="1"/>
  <c r="AD361" i="2" a="1"/>
  <c r="AD361" i="2" s="1"/>
  <c r="AC361" i="2" a="1"/>
  <c r="AC361" i="2" s="1"/>
  <c r="AB361" i="2"/>
  <c r="AA361" i="2" a="1"/>
  <c r="AA361" i="2" s="1"/>
  <c r="Z361" i="2" a="1"/>
  <c r="Z361" i="2" s="1"/>
  <c r="Y361" i="2" a="1"/>
  <c r="Y361" i="2" s="1"/>
  <c r="X361" i="2" a="1"/>
  <c r="X361" i="2" s="1"/>
  <c r="W361" i="2" a="1"/>
  <c r="W361" i="2" s="1"/>
  <c r="BB361" i="2" s="1" a="1"/>
  <c r="BB361" i="2" s="1"/>
  <c r="V361" i="2" a="1"/>
  <c r="V361" i="2" s="1"/>
  <c r="E361" i="2" s="1" a="1"/>
  <c r="E361" i="2" s="1"/>
  <c r="U361" i="2" a="1"/>
  <c r="U361" i="2" s="1"/>
  <c r="T361" i="2" a="1"/>
  <c r="T361" i="2" s="1"/>
  <c r="S361" i="2" a="1"/>
  <c r="S361" i="2" s="1"/>
  <c r="R361" i="2" a="1"/>
  <c r="R361" i="2" s="1"/>
  <c r="Q361" i="2" a="1"/>
  <c r="Q361" i="2" s="1"/>
  <c r="P361" i="2" a="1"/>
  <c r="P361" i="2" s="1"/>
  <c r="O361" i="2" a="1"/>
  <c r="O361" i="2" s="1"/>
  <c r="N361" i="2" a="1"/>
  <c r="N361" i="2" s="1"/>
  <c r="M361" i="2" a="1"/>
  <c r="M361" i="2" s="1"/>
  <c r="L361" i="2" a="1"/>
  <c r="L361" i="2" s="1"/>
  <c r="K361" i="2" a="1"/>
  <c r="K361" i="2" s="1"/>
  <c r="J361" i="2" a="1"/>
  <c r="J361" i="2" s="1"/>
  <c r="I361" i="2" a="1"/>
  <c r="I361" i="2" s="1"/>
  <c r="H361" i="2" a="1"/>
  <c r="H361" i="2" s="1"/>
  <c r="F361" i="2" a="1"/>
  <c r="F361" i="2" s="1"/>
  <c r="D361" i="2" a="1"/>
  <c r="D361" i="2" s="1"/>
  <c r="BD360" i="2" a="1"/>
  <c r="BD360" i="2" s="1"/>
  <c r="BC360" i="2" a="1"/>
  <c r="BC360" i="2" s="1"/>
  <c r="BA360" i="2" a="1"/>
  <c r="BA360" i="2" s="1"/>
  <c r="AZ360" i="2" a="1"/>
  <c r="AZ360" i="2" s="1"/>
  <c r="AY360" i="2" a="1"/>
  <c r="AY360" i="2" s="1"/>
  <c r="AX360" i="2" a="1"/>
  <c r="AX360" i="2" s="1"/>
  <c r="AW360" i="2" a="1"/>
  <c r="AW360" i="2" s="1"/>
  <c r="AV360" i="2" a="1"/>
  <c r="AV360" i="2" s="1"/>
  <c r="AU360" i="2" a="1"/>
  <c r="AU360" i="2" s="1"/>
  <c r="AT360" i="2" a="1"/>
  <c r="AT360" i="2" s="1"/>
  <c r="AS360" i="2" a="1"/>
  <c r="AS360" i="2" s="1"/>
  <c r="AR360" i="2" a="1"/>
  <c r="AR360" i="2" s="1"/>
  <c r="AQ360" i="2" a="1"/>
  <c r="AQ360" i="2" s="1"/>
  <c r="AP360" i="2" a="1"/>
  <c r="AP360" i="2" s="1"/>
  <c r="AO360" i="2" a="1"/>
  <c r="AO360" i="2" s="1"/>
  <c r="AN360" i="2" a="1"/>
  <c r="AN360" i="2" s="1"/>
  <c r="AM360" i="2" a="1"/>
  <c r="AM360" i="2" s="1"/>
  <c r="AL360" i="2" a="1"/>
  <c r="AL360" i="2" s="1"/>
  <c r="AK360" i="2" a="1"/>
  <c r="AK360" i="2" s="1"/>
  <c r="AJ360" i="2" a="1"/>
  <c r="AJ360" i="2" s="1"/>
  <c r="AI360" i="2" a="1"/>
  <c r="AI360" i="2" s="1"/>
  <c r="AH360" i="2" a="1"/>
  <c r="AH360" i="2" s="1"/>
  <c r="AG360" i="2" a="1"/>
  <c r="AG360" i="2" s="1"/>
  <c r="AF360" i="2" a="1"/>
  <c r="AF360" i="2" s="1"/>
  <c r="AE360" i="2" a="1"/>
  <c r="AE360" i="2" s="1"/>
  <c r="AD360" i="2" a="1"/>
  <c r="AD360" i="2" s="1"/>
  <c r="AC360" i="2" a="1"/>
  <c r="AC360" i="2" s="1"/>
  <c r="AB360" i="2"/>
  <c r="AA360" i="2" a="1"/>
  <c r="AA360" i="2" s="1"/>
  <c r="Z360" i="2" a="1"/>
  <c r="Z360" i="2" s="1"/>
  <c r="Y360" i="2" a="1"/>
  <c r="Y360" i="2" s="1"/>
  <c r="X360" i="2" a="1"/>
  <c r="X360" i="2" s="1"/>
  <c r="W360" i="2" a="1"/>
  <c r="W360" i="2" s="1"/>
  <c r="BB360" i="2" s="1" a="1"/>
  <c r="BB360" i="2" s="1"/>
  <c r="V360" i="2" a="1"/>
  <c r="V360" i="2" s="1"/>
  <c r="E360" i="2" s="1" a="1"/>
  <c r="E360" i="2" s="1"/>
  <c r="U360" i="2" a="1"/>
  <c r="U360" i="2" s="1"/>
  <c r="T360" i="2" a="1"/>
  <c r="T360" i="2" s="1"/>
  <c r="S360" i="2" a="1"/>
  <c r="S360" i="2" s="1"/>
  <c r="R360" i="2" a="1"/>
  <c r="R360" i="2" s="1"/>
  <c r="Q360" i="2" a="1"/>
  <c r="Q360" i="2" s="1"/>
  <c r="P360" i="2" a="1"/>
  <c r="P360" i="2" s="1"/>
  <c r="O360" i="2" a="1"/>
  <c r="O360" i="2" s="1"/>
  <c r="N360" i="2" a="1"/>
  <c r="N360" i="2" s="1"/>
  <c r="M360" i="2" a="1"/>
  <c r="M360" i="2" s="1"/>
  <c r="L360" i="2" a="1"/>
  <c r="L360" i="2" s="1"/>
  <c r="K360" i="2" a="1"/>
  <c r="K360" i="2" s="1"/>
  <c r="J360" i="2" a="1"/>
  <c r="J360" i="2" s="1"/>
  <c r="I360" i="2" a="1"/>
  <c r="I360" i="2" s="1"/>
  <c r="H360" i="2" a="1"/>
  <c r="H360" i="2" s="1"/>
  <c r="F360" i="2" a="1"/>
  <c r="F360" i="2" s="1"/>
  <c r="D360" i="2" a="1"/>
  <c r="D360" i="2" s="1"/>
  <c r="B360" i="2" a="1"/>
  <c r="B360" i="2" s="1"/>
  <c r="BD356" i="2" a="1"/>
  <c r="BD356" i="2" s="1"/>
  <c r="BC356" i="2" a="1"/>
  <c r="BC356" i="2" s="1"/>
  <c r="AZ356" i="2" a="1"/>
  <c r="AZ356" i="2" s="1"/>
  <c r="AY356" i="2" a="1"/>
  <c r="AY356" i="2" s="1"/>
  <c r="AX356" i="2" a="1"/>
  <c r="AX356" i="2" s="1"/>
  <c r="AW356" i="2" a="1"/>
  <c r="AW356" i="2" s="1"/>
  <c r="AV356" i="2" a="1"/>
  <c r="AV356" i="2" s="1"/>
  <c r="AU356" i="2" a="1"/>
  <c r="AU356" i="2" s="1"/>
  <c r="AT356" i="2" a="1"/>
  <c r="AT356" i="2" s="1"/>
  <c r="AS356" i="2" a="1"/>
  <c r="AS356" i="2" s="1"/>
  <c r="AR356" i="2" a="1"/>
  <c r="AR356" i="2" s="1"/>
  <c r="AQ356" i="2" a="1"/>
  <c r="AQ356" i="2" s="1"/>
  <c r="AP356" i="2" a="1"/>
  <c r="AP356" i="2" s="1"/>
  <c r="AO356" i="2" a="1"/>
  <c r="AO356" i="2" s="1"/>
  <c r="AN356" i="2" a="1"/>
  <c r="AN356" i="2" s="1"/>
  <c r="AM356" i="2" a="1"/>
  <c r="AM356" i="2" s="1"/>
  <c r="AL356" i="2" a="1"/>
  <c r="AL356" i="2" s="1"/>
  <c r="AK356" i="2" a="1"/>
  <c r="AK356" i="2" s="1"/>
  <c r="AJ356" i="2" a="1"/>
  <c r="AJ356" i="2" s="1"/>
  <c r="AI356" i="2" a="1"/>
  <c r="AI356" i="2" s="1"/>
  <c r="AH356" i="2" a="1"/>
  <c r="AH356" i="2" s="1"/>
  <c r="AG356" i="2" a="1"/>
  <c r="AG356" i="2" s="1"/>
  <c r="AF356" i="2" a="1"/>
  <c r="AF356" i="2" s="1"/>
  <c r="AE356" i="2" a="1"/>
  <c r="AE356" i="2" s="1"/>
  <c r="AD356" i="2" a="1"/>
  <c r="AD356" i="2" s="1"/>
  <c r="AC356" i="2" a="1"/>
  <c r="AC356" i="2" s="1"/>
  <c r="AB356" i="2" a="1"/>
  <c r="AB356" i="2" s="1"/>
  <c r="AA356" i="2" a="1"/>
  <c r="AA356" i="2" s="1"/>
  <c r="Z356" i="2" a="1"/>
  <c r="Z356" i="2" s="1"/>
  <c r="Y356" i="2" a="1"/>
  <c r="Y356" i="2" s="1"/>
  <c r="X356" i="2" a="1"/>
  <c r="X356" i="2" s="1"/>
  <c r="W356" i="2" a="1"/>
  <c r="W356" i="2" s="1"/>
  <c r="V356" i="2" a="1"/>
  <c r="V356" i="2" s="1"/>
  <c r="E356" i="2" s="1" a="1"/>
  <c r="E356" i="2" s="1"/>
  <c r="U356" i="2" a="1"/>
  <c r="U356" i="2" s="1"/>
  <c r="T356" i="2" a="1"/>
  <c r="T356" i="2" s="1"/>
  <c r="S356" i="2" a="1"/>
  <c r="S356" i="2" s="1"/>
  <c r="R356" i="2" a="1"/>
  <c r="R356" i="2" s="1"/>
  <c r="Q356" i="2" a="1"/>
  <c r="Q356" i="2" s="1"/>
  <c r="P356" i="2" a="1"/>
  <c r="P356" i="2" s="1"/>
  <c r="O356" i="2" a="1"/>
  <c r="O356" i="2" s="1"/>
  <c r="N356" i="2" a="1"/>
  <c r="N356" i="2" s="1"/>
  <c r="M356" i="2" a="1"/>
  <c r="M356" i="2" s="1"/>
  <c r="L356" i="2" a="1"/>
  <c r="L356" i="2" s="1"/>
  <c r="K356" i="2" a="1"/>
  <c r="K356" i="2" s="1"/>
  <c r="J356" i="2" a="1"/>
  <c r="J356" i="2" s="1"/>
  <c r="I356" i="2" a="1"/>
  <c r="I356" i="2" s="1"/>
  <c r="H356" i="2" a="1"/>
  <c r="H356" i="2" s="1"/>
  <c r="F356" i="2" a="1"/>
  <c r="F356" i="2" s="1"/>
  <c r="D356" i="2" a="1"/>
  <c r="D356" i="2" s="1"/>
  <c r="B356" i="2" a="1"/>
  <c r="B356" i="2" s="1"/>
  <c r="BD352" i="2" a="1"/>
  <c r="BD352" i="2" s="1"/>
  <c r="BC352" i="2" a="1"/>
  <c r="BC352" i="2" s="1"/>
  <c r="BA352" i="2" a="1"/>
  <c r="BA352" i="2" s="1"/>
  <c r="AZ352" i="2" a="1"/>
  <c r="AZ352" i="2" s="1"/>
  <c r="AY352" i="2" a="1"/>
  <c r="AY352" i="2" s="1"/>
  <c r="AX352" i="2" a="1"/>
  <c r="AX352" i="2" s="1"/>
  <c r="AW352" i="2" a="1"/>
  <c r="AW352" i="2" s="1"/>
  <c r="AV352" i="2" a="1"/>
  <c r="AV352" i="2" s="1"/>
  <c r="AU352" i="2" a="1"/>
  <c r="AU352" i="2" s="1"/>
  <c r="AT352" i="2" a="1"/>
  <c r="AT352" i="2" s="1"/>
  <c r="AS352" i="2" a="1"/>
  <c r="AS352" i="2" s="1"/>
  <c r="AR352" i="2" a="1"/>
  <c r="AR352" i="2" s="1"/>
  <c r="AQ352" i="2" a="1"/>
  <c r="AQ352" i="2" s="1"/>
  <c r="AP352" i="2" a="1"/>
  <c r="AP352" i="2" s="1"/>
  <c r="AO352" i="2" a="1"/>
  <c r="AO352" i="2" s="1"/>
  <c r="AN352" i="2" a="1"/>
  <c r="AN352" i="2" s="1"/>
  <c r="AM352" i="2" a="1"/>
  <c r="AM352" i="2" s="1"/>
  <c r="AL352" i="2" a="1"/>
  <c r="AL352" i="2" s="1"/>
  <c r="AK352" i="2" a="1"/>
  <c r="AK352" i="2" s="1"/>
  <c r="AJ352" i="2" a="1"/>
  <c r="AJ352" i="2" s="1"/>
  <c r="AI352" i="2" a="1"/>
  <c r="AI352" i="2" s="1"/>
  <c r="AH352" i="2" a="1"/>
  <c r="AH352" i="2" s="1"/>
  <c r="AG352" i="2" a="1"/>
  <c r="AG352" i="2" s="1"/>
  <c r="AF352" i="2" a="1"/>
  <c r="AF352" i="2" s="1"/>
  <c r="AE352" i="2" a="1"/>
  <c r="AE352" i="2" s="1"/>
  <c r="AD352" i="2" a="1"/>
  <c r="AD352" i="2" s="1"/>
  <c r="AC352" i="2" a="1"/>
  <c r="AC352" i="2" s="1"/>
  <c r="AB352" i="2"/>
  <c r="AA352" i="2" a="1"/>
  <c r="AA352" i="2" s="1"/>
  <c r="Z352" i="2" a="1"/>
  <c r="Z352" i="2" s="1"/>
  <c r="Y352" i="2" a="1"/>
  <c r="Y352" i="2" s="1"/>
  <c r="X352" i="2" a="1"/>
  <c r="X352" i="2" s="1"/>
  <c r="W352" i="2" a="1"/>
  <c r="W352" i="2" s="1"/>
  <c r="BB352" i="2" s="1" a="1"/>
  <c r="BB352" i="2" s="1"/>
  <c r="V352" i="2" a="1"/>
  <c r="V352" i="2" s="1"/>
  <c r="E352" i="2" s="1" a="1"/>
  <c r="E352" i="2" s="1"/>
  <c r="U352" i="2" a="1"/>
  <c r="U352" i="2" s="1"/>
  <c r="T352" i="2" a="1"/>
  <c r="T352" i="2" s="1"/>
  <c r="S352" i="2" a="1"/>
  <c r="S352" i="2" s="1"/>
  <c r="R352" i="2" a="1"/>
  <c r="R352" i="2" s="1"/>
  <c r="Q352" i="2" a="1"/>
  <c r="Q352" i="2" s="1"/>
  <c r="P352" i="2" a="1"/>
  <c r="P352" i="2" s="1"/>
  <c r="O352" i="2" a="1"/>
  <c r="O352" i="2" s="1"/>
  <c r="N352" i="2" a="1"/>
  <c r="N352" i="2" s="1"/>
  <c r="M352" i="2" a="1"/>
  <c r="M352" i="2" s="1"/>
  <c r="L352" i="2" a="1"/>
  <c r="L352" i="2" s="1"/>
  <c r="K352" i="2" a="1"/>
  <c r="K352" i="2" s="1"/>
  <c r="J352" i="2" a="1"/>
  <c r="J352" i="2" s="1"/>
  <c r="I352" i="2" a="1"/>
  <c r="I352" i="2" s="1"/>
  <c r="H352" i="2" a="1"/>
  <c r="H352" i="2" s="1"/>
  <c r="F352" i="2" a="1"/>
  <c r="F352" i="2" s="1"/>
  <c r="D352" i="2" a="1"/>
  <c r="D352" i="2" s="1"/>
  <c r="B352" i="2" a="1"/>
  <c r="B352" i="2" s="1"/>
  <c r="BD351" i="2" a="1"/>
  <c r="BD351" i="2" s="1"/>
  <c r="BC351" i="2" a="1"/>
  <c r="BC351" i="2" s="1"/>
  <c r="BA351" i="2" a="1"/>
  <c r="BA351" i="2" s="1"/>
  <c r="AZ351" i="2" a="1"/>
  <c r="AZ351" i="2" s="1"/>
  <c r="AY351" i="2" a="1"/>
  <c r="AY351" i="2" s="1"/>
  <c r="AX351" i="2" a="1"/>
  <c r="AX351" i="2" s="1"/>
  <c r="AW351" i="2" a="1"/>
  <c r="AW351" i="2" s="1"/>
  <c r="AV351" i="2" a="1"/>
  <c r="AV351" i="2" s="1"/>
  <c r="AU351" i="2" a="1"/>
  <c r="AU351" i="2" s="1"/>
  <c r="AT351" i="2" a="1"/>
  <c r="AT351" i="2" s="1"/>
  <c r="AS351" i="2" a="1"/>
  <c r="AS351" i="2" s="1"/>
  <c r="AR351" i="2" a="1"/>
  <c r="AR351" i="2" s="1"/>
  <c r="AQ351" i="2" a="1"/>
  <c r="AQ351" i="2" s="1"/>
  <c r="AP351" i="2" a="1"/>
  <c r="AP351" i="2" s="1"/>
  <c r="AO351" i="2" a="1"/>
  <c r="AO351" i="2" s="1"/>
  <c r="AN351" i="2" a="1"/>
  <c r="AN351" i="2" s="1"/>
  <c r="AM351" i="2" a="1"/>
  <c r="AM351" i="2" s="1"/>
  <c r="AL351" i="2" a="1"/>
  <c r="AL351" i="2" s="1"/>
  <c r="AK351" i="2" a="1"/>
  <c r="AK351" i="2" s="1"/>
  <c r="AJ351" i="2" a="1"/>
  <c r="AJ351" i="2" s="1"/>
  <c r="AI351" i="2" a="1"/>
  <c r="AI351" i="2" s="1"/>
  <c r="AH351" i="2" a="1"/>
  <c r="AH351" i="2" s="1"/>
  <c r="AG351" i="2" a="1"/>
  <c r="AG351" i="2" s="1"/>
  <c r="AF351" i="2" a="1"/>
  <c r="AF351" i="2" s="1"/>
  <c r="AE351" i="2" a="1"/>
  <c r="AE351" i="2" s="1"/>
  <c r="AD351" i="2" a="1"/>
  <c r="AD351" i="2" s="1"/>
  <c r="AC351" i="2" a="1"/>
  <c r="AC351" i="2" s="1"/>
  <c r="AB351" i="2"/>
  <c r="AA351" i="2" a="1"/>
  <c r="AA351" i="2" s="1"/>
  <c r="Z351" i="2" a="1"/>
  <c r="Z351" i="2" s="1"/>
  <c r="Y351" i="2" a="1"/>
  <c r="Y351" i="2" s="1"/>
  <c r="X351" i="2" a="1"/>
  <c r="X351" i="2" s="1"/>
  <c r="W351" i="2" a="1"/>
  <c r="W351" i="2" s="1"/>
  <c r="BB351" i="2" s="1" a="1"/>
  <c r="BB351" i="2" s="1"/>
  <c r="V351" i="2" a="1"/>
  <c r="V351" i="2" s="1"/>
  <c r="E351" i="2" s="1" a="1"/>
  <c r="E351" i="2" s="1"/>
  <c r="U351" i="2" a="1"/>
  <c r="U351" i="2" s="1"/>
  <c r="T351" i="2" a="1"/>
  <c r="T351" i="2" s="1"/>
  <c r="S351" i="2" a="1"/>
  <c r="S351" i="2" s="1"/>
  <c r="R351" i="2" a="1"/>
  <c r="R351" i="2" s="1"/>
  <c r="Q351" i="2" a="1"/>
  <c r="Q351" i="2" s="1"/>
  <c r="P351" i="2" a="1"/>
  <c r="P351" i="2" s="1"/>
  <c r="O351" i="2" a="1"/>
  <c r="O351" i="2" s="1"/>
  <c r="N351" i="2" a="1"/>
  <c r="N351" i="2" s="1"/>
  <c r="M351" i="2" a="1"/>
  <c r="M351" i="2" s="1"/>
  <c r="L351" i="2" a="1"/>
  <c r="L351" i="2" s="1"/>
  <c r="K351" i="2" a="1"/>
  <c r="K351" i="2" s="1"/>
  <c r="J351" i="2" a="1"/>
  <c r="J351" i="2" s="1"/>
  <c r="I351" i="2" a="1"/>
  <c r="I351" i="2" s="1"/>
  <c r="H351" i="2" a="1"/>
  <c r="H351" i="2" s="1"/>
  <c r="F351" i="2" a="1"/>
  <c r="F351" i="2" s="1"/>
  <c r="D351" i="2" a="1"/>
  <c r="D351" i="2" s="1"/>
  <c r="B351" i="2" a="1"/>
  <c r="B351" i="2" s="1"/>
  <c r="BD350" i="2" a="1"/>
  <c r="BD350" i="2" s="1"/>
  <c r="BC350" i="2" a="1"/>
  <c r="BC350" i="2" s="1"/>
  <c r="BA350" i="2" a="1"/>
  <c r="BA350" i="2" s="1"/>
  <c r="AZ350" i="2" a="1"/>
  <c r="AZ350" i="2" s="1"/>
  <c r="AY350" i="2" a="1"/>
  <c r="AY350" i="2" s="1"/>
  <c r="AX350" i="2" a="1"/>
  <c r="AX350" i="2" s="1"/>
  <c r="AW350" i="2" a="1"/>
  <c r="AW350" i="2" s="1"/>
  <c r="AV350" i="2" a="1"/>
  <c r="AV350" i="2" s="1"/>
  <c r="AU350" i="2" a="1"/>
  <c r="AU350" i="2" s="1"/>
  <c r="AT350" i="2" a="1"/>
  <c r="AT350" i="2" s="1"/>
  <c r="AS350" i="2" a="1"/>
  <c r="AS350" i="2" s="1"/>
  <c r="AR350" i="2" a="1"/>
  <c r="AR350" i="2" s="1"/>
  <c r="AQ350" i="2" a="1"/>
  <c r="AQ350" i="2" s="1"/>
  <c r="AP350" i="2" a="1"/>
  <c r="AP350" i="2" s="1"/>
  <c r="AO350" i="2" a="1"/>
  <c r="AO350" i="2" s="1"/>
  <c r="AN350" i="2" a="1"/>
  <c r="AN350" i="2" s="1"/>
  <c r="AM350" i="2" a="1"/>
  <c r="AM350" i="2" s="1"/>
  <c r="AL350" i="2" a="1"/>
  <c r="AL350" i="2" s="1"/>
  <c r="AK350" i="2" a="1"/>
  <c r="AK350" i="2" s="1"/>
  <c r="AJ350" i="2" a="1"/>
  <c r="AJ350" i="2" s="1"/>
  <c r="AI350" i="2" a="1"/>
  <c r="AI350" i="2" s="1"/>
  <c r="AH350" i="2" a="1"/>
  <c r="AH350" i="2" s="1"/>
  <c r="AG350" i="2" a="1"/>
  <c r="AG350" i="2" s="1"/>
  <c r="AF350" i="2" a="1"/>
  <c r="AF350" i="2" s="1"/>
  <c r="AE350" i="2" a="1"/>
  <c r="AE350" i="2" s="1"/>
  <c r="AD350" i="2" a="1"/>
  <c r="AD350" i="2" s="1"/>
  <c r="AC350" i="2" a="1"/>
  <c r="AC350" i="2" s="1"/>
  <c r="AB350" i="2"/>
  <c r="AA350" i="2" a="1"/>
  <c r="AA350" i="2" s="1"/>
  <c r="Z350" i="2" a="1"/>
  <c r="Z350" i="2" s="1"/>
  <c r="Y350" i="2" a="1"/>
  <c r="Y350" i="2" s="1"/>
  <c r="X350" i="2" a="1"/>
  <c r="X350" i="2" s="1"/>
  <c r="W350" i="2" a="1"/>
  <c r="W350" i="2" s="1"/>
  <c r="BB350" i="2" s="1" a="1"/>
  <c r="BB350" i="2" s="1"/>
  <c r="V350" i="2" a="1"/>
  <c r="V350" i="2" s="1"/>
  <c r="E350" i="2" s="1" a="1"/>
  <c r="E350" i="2" s="1"/>
  <c r="U350" i="2" a="1"/>
  <c r="U350" i="2" s="1"/>
  <c r="T350" i="2" a="1"/>
  <c r="T350" i="2" s="1"/>
  <c r="S350" i="2" a="1"/>
  <c r="S350" i="2" s="1"/>
  <c r="R350" i="2" a="1"/>
  <c r="R350" i="2" s="1"/>
  <c r="Q350" i="2" a="1"/>
  <c r="Q350" i="2" s="1"/>
  <c r="P350" i="2" a="1"/>
  <c r="P350" i="2" s="1"/>
  <c r="O350" i="2" a="1"/>
  <c r="O350" i="2" s="1"/>
  <c r="N350" i="2" a="1"/>
  <c r="N350" i="2" s="1"/>
  <c r="M350" i="2" a="1"/>
  <c r="M350" i="2" s="1"/>
  <c r="L350" i="2" a="1"/>
  <c r="L350" i="2" s="1"/>
  <c r="K350" i="2" a="1"/>
  <c r="K350" i="2" s="1"/>
  <c r="J350" i="2" a="1"/>
  <c r="J350" i="2" s="1"/>
  <c r="I350" i="2" a="1"/>
  <c r="I350" i="2" s="1"/>
  <c r="H350" i="2" a="1"/>
  <c r="H350" i="2" s="1"/>
  <c r="F350" i="2" a="1"/>
  <c r="F350" i="2" s="1"/>
  <c r="D350" i="2" a="1"/>
  <c r="D350" i="2" s="1"/>
  <c r="B350" i="2" a="1"/>
  <c r="B350" i="2" s="1"/>
  <c r="BD349" i="2" a="1"/>
  <c r="BD349" i="2" s="1"/>
  <c r="BC349" i="2" a="1"/>
  <c r="BC349" i="2" s="1"/>
  <c r="BA349" i="2" a="1"/>
  <c r="BA349" i="2" s="1"/>
  <c r="AZ349" i="2" a="1"/>
  <c r="AZ349" i="2" s="1"/>
  <c r="AY349" i="2" a="1"/>
  <c r="AY349" i="2" s="1"/>
  <c r="AX349" i="2" a="1"/>
  <c r="AX349" i="2" s="1"/>
  <c r="AW349" i="2" a="1"/>
  <c r="AW349" i="2" s="1"/>
  <c r="AV349" i="2" a="1"/>
  <c r="AV349" i="2" s="1"/>
  <c r="AU349" i="2" a="1"/>
  <c r="AU349" i="2" s="1"/>
  <c r="AT349" i="2" a="1"/>
  <c r="AT349" i="2" s="1"/>
  <c r="AS349" i="2" a="1"/>
  <c r="AS349" i="2" s="1"/>
  <c r="AR349" i="2" a="1"/>
  <c r="AR349" i="2" s="1"/>
  <c r="AQ349" i="2" a="1"/>
  <c r="AQ349" i="2" s="1"/>
  <c r="AP349" i="2" a="1"/>
  <c r="AP349" i="2" s="1"/>
  <c r="AO349" i="2" a="1"/>
  <c r="AO349" i="2" s="1"/>
  <c r="AN349" i="2" a="1"/>
  <c r="AN349" i="2" s="1"/>
  <c r="AM349" i="2" a="1"/>
  <c r="AM349" i="2" s="1"/>
  <c r="AL349" i="2" a="1"/>
  <c r="AL349" i="2" s="1"/>
  <c r="AK349" i="2" a="1"/>
  <c r="AK349" i="2" s="1"/>
  <c r="AJ349" i="2" a="1"/>
  <c r="AJ349" i="2" s="1"/>
  <c r="AI349" i="2" a="1"/>
  <c r="AI349" i="2" s="1"/>
  <c r="AH349" i="2" a="1"/>
  <c r="AH349" i="2" s="1"/>
  <c r="AG349" i="2" a="1"/>
  <c r="AG349" i="2" s="1"/>
  <c r="AF349" i="2" a="1"/>
  <c r="AF349" i="2" s="1"/>
  <c r="AE349" i="2" a="1"/>
  <c r="AE349" i="2" s="1"/>
  <c r="AD349" i="2" a="1"/>
  <c r="AD349" i="2" s="1"/>
  <c r="AC349" i="2" a="1"/>
  <c r="AC349" i="2" s="1"/>
  <c r="AB349" i="2"/>
  <c r="AA349" i="2" a="1"/>
  <c r="AA349" i="2" s="1"/>
  <c r="Z349" i="2" a="1"/>
  <c r="Z349" i="2" s="1"/>
  <c r="Y349" i="2" a="1"/>
  <c r="Y349" i="2" s="1"/>
  <c r="X349" i="2" a="1"/>
  <c r="X349" i="2" s="1"/>
  <c r="W349" i="2" a="1"/>
  <c r="W349" i="2" s="1"/>
  <c r="BB349" i="2" s="1" a="1"/>
  <c r="BB349" i="2" s="1"/>
  <c r="V349" i="2" a="1"/>
  <c r="V349" i="2" s="1"/>
  <c r="E349" i="2" s="1" a="1"/>
  <c r="E349" i="2" s="1"/>
  <c r="U349" i="2" a="1"/>
  <c r="U349" i="2" s="1"/>
  <c r="T349" i="2" a="1"/>
  <c r="T349" i="2" s="1"/>
  <c r="S349" i="2" a="1"/>
  <c r="S349" i="2" s="1"/>
  <c r="R349" i="2" a="1"/>
  <c r="R349" i="2" s="1"/>
  <c r="Q349" i="2" a="1"/>
  <c r="Q349" i="2" s="1"/>
  <c r="P349" i="2" a="1"/>
  <c r="P349" i="2" s="1"/>
  <c r="O349" i="2" a="1"/>
  <c r="O349" i="2" s="1"/>
  <c r="N349" i="2" a="1"/>
  <c r="N349" i="2" s="1"/>
  <c r="M349" i="2" a="1"/>
  <c r="M349" i="2" s="1"/>
  <c r="L349" i="2" a="1"/>
  <c r="L349" i="2" s="1"/>
  <c r="K349" i="2" a="1"/>
  <c r="K349" i="2" s="1"/>
  <c r="J349" i="2" a="1"/>
  <c r="J349" i="2" s="1"/>
  <c r="I349" i="2" a="1"/>
  <c r="I349" i="2" s="1"/>
  <c r="H349" i="2" a="1"/>
  <c r="H349" i="2" s="1"/>
  <c r="F349" i="2" a="1"/>
  <c r="F349" i="2" s="1"/>
  <c r="D349" i="2" a="1"/>
  <c r="D349" i="2" s="1"/>
  <c r="B349" i="2" a="1"/>
  <c r="B349" i="2" s="1"/>
  <c r="BD348" i="2" a="1"/>
  <c r="BD348" i="2" s="1"/>
  <c r="BC348" i="2" a="1"/>
  <c r="BC348" i="2" s="1"/>
  <c r="BA348" i="2" a="1"/>
  <c r="BA348" i="2" s="1"/>
  <c r="AZ348" i="2" a="1"/>
  <c r="AZ348" i="2" s="1"/>
  <c r="AY348" i="2" a="1"/>
  <c r="AY348" i="2" s="1"/>
  <c r="AX348" i="2" a="1"/>
  <c r="AX348" i="2" s="1"/>
  <c r="AW348" i="2" a="1"/>
  <c r="AW348" i="2" s="1"/>
  <c r="AV348" i="2" a="1"/>
  <c r="AV348" i="2" s="1"/>
  <c r="AU348" i="2" a="1"/>
  <c r="AU348" i="2" s="1"/>
  <c r="AT348" i="2" a="1"/>
  <c r="AT348" i="2" s="1"/>
  <c r="AS348" i="2" a="1"/>
  <c r="AS348" i="2" s="1"/>
  <c r="AR348" i="2" a="1"/>
  <c r="AR348" i="2" s="1"/>
  <c r="AQ348" i="2" a="1"/>
  <c r="AQ348" i="2" s="1"/>
  <c r="AP348" i="2" a="1"/>
  <c r="AP348" i="2" s="1"/>
  <c r="AO348" i="2" a="1"/>
  <c r="AO348" i="2" s="1"/>
  <c r="AN348" i="2" a="1"/>
  <c r="AN348" i="2" s="1"/>
  <c r="AM348" i="2" a="1"/>
  <c r="AM348" i="2" s="1"/>
  <c r="AL348" i="2" a="1"/>
  <c r="AL348" i="2" s="1"/>
  <c r="AK348" i="2" a="1"/>
  <c r="AK348" i="2" s="1"/>
  <c r="AJ348" i="2" a="1"/>
  <c r="AJ348" i="2" s="1"/>
  <c r="AI348" i="2" a="1"/>
  <c r="AI348" i="2" s="1"/>
  <c r="AH348" i="2" a="1"/>
  <c r="AH348" i="2" s="1"/>
  <c r="AG348" i="2" a="1"/>
  <c r="AG348" i="2" s="1"/>
  <c r="AF348" i="2" a="1"/>
  <c r="AF348" i="2" s="1"/>
  <c r="AE348" i="2" a="1"/>
  <c r="AE348" i="2" s="1"/>
  <c r="AD348" i="2" a="1"/>
  <c r="AD348" i="2" s="1"/>
  <c r="AC348" i="2" a="1"/>
  <c r="AC348" i="2" s="1"/>
  <c r="AB348" i="2"/>
  <c r="AA348" i="2" a="1"/>
  <c r="AA348" i="2" s="1"/>
  <c r="Z348" i="2" a="1"/>
  <c r="Z348" i="2" s="1"/>
  <c r="Y348" i="2" a="1"/>
  <c r="Y348" i="2" s="1"/>
  <c r="X348" i="2" a="1"/>
  <c r="X348" i="2" s="1"/>
  <c r="W348" i="2" a="1"/>
  <c r="W348" i="2" s="1"/>
  <c r="BB348" i="2" s="1" a="1"/>
  <c r="BB348" i="2" s="1"/>
  <c r="V348" i="2" a="1"/>
  <c r="V348" i="2" s="1"/>
  <c r="E348" i="2" s="1" a="1"/>
  <c r="E348" i="2" s="1"/>
  <c r="U348" i="2" a="1"/>
  <c r="U348" i="2" s="1"/>
  <c r="T348" i="2" a="1"/>
  <c r="T348" i="2" s="1"/>
  <c r="S348" i="2" a="1"/>
  <c r="S348" i="2" s="1"/>
  <c r="R348" i="2" a="1"/>
  <c r="R348" i="2" s="1"/>
  <c r="Q348" i="2" a="1"/>
  <c r="Q348" i="2" s="1"/>
  <c r="P348" i="2" a="1"/>
  <c r="P348" i="2" s="1"/>
  <c r="O348" i="2" a="1"/>
  <c r="O348" i="2" s="1"/>
  <c r="N348" i="2" a="1"/>
  <c r="N348" i="2" s="1"/>
  <c r="M348" i="2" a="1"/>
  <c r="M348" i="2" s="1"/>
  <c r="L348" i="2" a="1"/>
  <c r="L348" i="2" s="1"/>
  <c r="K348" i="2" a="1"/>
  <c r="K348" i="2" s="1"/>
  <c r="J348" i="2" a="1"/>
  <c r="J348" i="2" s="1"/>
  <c r="I348" i="2" a="1"/>
  <c r="I348" i="2" s="1"/>
  <c r="H348" i="2" a="1"/>
  <c r="H348" i="2" s="1"/>
  <c r="F348" i="2" a="1"/>
  <c r="F348" i="2" s="1"/>
  <c r="D348" i="2" a="1"/>
  <c r="D348" i="2" s="1"/>
  <c r="B348" i="2" a="1"/>
  <c r="B348" i="2" s="1"/>
  <c r="BD347" i="2" a="1"/>
  <c r="BD347" i="2" s="1"/>
  <c r="BC347" i="2" a="1"/>
  <c r="BC347" i="2" s="1"/>
  <c r="BA347" i="2" a="1"/>
  <c r="BA347" i="2" s="1"/>
  <c r="AZ347" i="2" a="1"/>
  <c r="AZ347" i="2" s="1"/>
  <c r="AY347" i="2" a="1"/>
  <c r="AY347" i="2" s="1"/>
  <c r="AX347" i="2" a="1"/>
  <c r="AX347" i="2" s="1"/>
  <c r="AW347" i="2" a="1"/>
  <c r="AW347" i="2" s="1"/>
  <c r="AV347" i="2" a="1"/>
  <c r="AV347" i="2" s="1"/>
  <c r="AU347" i="2" a="1"/>
  <c r="AU347" i="2" s="1"/>
  <c r="AT347" i="2" a="1"/>
  <c r="AT347" i="2" s="1"/>
  <c r="AS347" i="2" a="1"/>
  <c r="AS347" i="2" s="1"/>
  <c r="AR347" i="2" a="1"/>
  <c r="AR347" i="2" s="1"/>
  <c r="AQ347" i="2" a="1"/>
  <c r="AQ347" i="2" s="1"/>
  <c r="AP347" i="2" a="1"/>
  <c r="AP347" i="2" s="1"/>
  <c r="AO347" i="2" a="1"/>
  <c r="AO347" i="2" s="1"/>
  <c r="AN347" i="2" a="1"/>
  <c r="AN347" i="2" s="1"/>
  <c r="AM347" i="2" a="1"/>
  <c r="AM347" i="2" s="1"/>
  <c r="AL347" i="2" a="1"/>
  <c r="AL347" i="2" s="1"/>
  <c r="AK347" i="2" a="1"/>
  <c r="AK347" i="2" s="1"/>
  <c r="AJ347" i="2" a="1"/>
  <c r="AJ347" i="2" s="1"/>
  <c r="AI347" i="2" a="1"/>
  <c r="AI347" i="2" s="1"/>
  <c r="AH347" i="2" a="1"/>
  <c r="AH347" i="2" s="1"/>
  <c r="AG347" i="2" a="1"/>
  <c r="AG347" i="2" s="1"/>
  <c r="AF347" i="2" a="1"/>
  <c r="AF347" i="2" s="1"/>
  <c r="AE347" i="2" a="1"/>
  <c r="AE347" i="2" s="1"/>
  <c r="AD347" i="2" a="1"/>
  <c r="AD347" i="2" s="1"/>
  <c r="AC347" i="2" a="1"/>
  <c r="AC347" i="2" s="1"/>
  <c r="AB347" i="2"/>
  <c r="AA347" i="2" a="1"/>
  <c r="AA347" i="2" s="1"/>
  <c r="Z347" i="2" a="1"/>
  <c r="Z347" i="2" s="1"/>
  <c r="Y347" i="2" a="1"/>
  <c r="Y347" i="2" s="1"/>
  <c r="X347" i="2" a="1"/>
  <c r="X347" i="2" s="1"/>
  <c r="W347" i="2" a="1"/>
  <c r="W347" i="2" s="1"/>
  <c r="BB347" i="2" s="1" a="1"/>
  <c r="BB347" i="2" s="1"/>
  <c r="V347" i="2" a="1"/>
  <c r="V347" i="2" s="1"/>
  <c r="E347" i="2" s="1" a="1"/>
  <c r="E347" i="2" s="1"/>
  <c r="U347" i="2" a="1"/>
  <c r="U347" i="2" s="1"/>
  <c r="T347" i="2" a="1"/>
  <c r="T347" i="2" s="1"/>
  <c r="S347" i="2" a="1"/>
  <c r="S347" i="2" s="1"/>
  <c r="R347" i="2" a="1"/>
  <c r="R347" i="2" s="1"/>
  <c r="Q347" i="2" a="1"/>
  <c r="Q347" i="2" s="1"/>
  <c r="P347" i="2" a="1"/>
  <c r="P347" i="2" s="1"/>
  <c r="O347" i="2" a="1"/>
  <c r="O347" i="2" s="1"/>
  <c r="N347" i="2" a="1"/>
  <c r="N347" i="2" s="1"/>
  <c r="M347" i="2" a="1"/>
  <c r="M347" i="2" s="1"/>
  <c r="L347" i="2" a="1"/>
  <c r="L347" i="2" s="1"/>
  <c r="K347" i="2" a="1"/>
  <c r="K347" i="2" s="1"/>
  <c r="J347" i="2" a="1"/>
  <c r="J347" i="2" s="1"/>
  <c r="I347" i="2" a="1"/>
  <c r="I347" i="2" s="1"/>
  <c r="H347" i="2" a="1"/>
  <c r="H347" i="2" s="1"/>
  <c r="F347" i="2" a="1"/>
  <c r="F347" i="2" s="1"/>
  <c r="D347" i="2" a="1"/>
  <c r="D347" i="2" s="1"/>
  <c r="B347" i="2" a="1"/>
  <c r="B347" i="2" s="1"/>
  <c r="BD346" i="2" a="1"/>
  <c r="BD346" i="2" s="1"/>
  <c r="BC346" i="2" a="1"/>
  <c r="BC346" i="2" s="1"/>
  <c r="BA346" i="2" a="1"/>
  <c r="BA346" i="2" s="1"/>
  <c r="AZ346" i="2" a="1"/>
  <c r="AZ346" i="2" s="1"/>
  <c r="AY346" i="2" a="1"/>
  <c r="AY346" i="2" s="1"/>
  <c r="AX346" i="2" a="1"/>
  <c r="AX346" i="2" s="1"/>
  <c r="AW346" i="2" a="1"/>
  <c r="AW346" i="2" s="1"/>
  <c r="AV346" i="2" a="1"/>
  <c r="AV346" i="2" s="1"/>
  <c r="AU346" i="2" a="1"/>
  <c r="AU346" i="2" s="1"/>
  <c r="AT346" i="2" a="1"/>
  <c r="AT346" i="2" s="1"/>
  <c r="AS346" i="2" a="1"/>
  <c r="AS346" i="2" s="1"/>
  <c r="AR346" i="2" a="1"/>
  <c r="AR346" i="2" s="1"/>
  <c r="AQ346" i="2" a="1"/>
  <c r="AQ346" i="2" s="1"/>
  <c r="AP346" i="2" a="1"/>
  <c r="AP346" i="2" s="1"/>
  <c r="AO346" i="2" a="1"/>
  <c r="AO346" i="2" s="1"/>
  <c r="AN346" i="2" a="1"/>
  <c r="AN346" i="2" s="1"/>
  <c r="AM346" i="2" a="1"/>
  <c r="AM346" i="2" s="1"/>
  <c r="AL346" i="2" a="1"/>
  <c r="AL346" i="2" s="1"/>
  <c r="AK346" i="2" a="1"/>
  <c r="AK346" i="2" s="1"/>
  <c r="AI346" i="2" a="1"/>
  <c r="AI346" i="2" s="1"/>
  <c r="AH346" i="2" a="1"/>
  <c r="AH346" i="2" s="1"/>
  <c r="AG346" i="2" a="1"/>
  <c r="AG346" i="2" s="1"/>
  <c r="AF346" i="2" a="1"/>
  <c r="AF346" i="2" s="1"/>
  <c r="AE346" i="2" a="1"/>
  <c r="AE346" i="2" s="1"/>
  <c r="AD346" i="2" a="1"/>
  <c r="AD346" i="2" s="1"/>
  <c r="AC346" i="2" a="1"/>
  <c r="AC346" i="2" s="1"/>
  <c r="AB346" i="2"/>
  <c r="AA346" i="2" a="1"/>
  <c r="AA346" i="2" s="1"/>
  <c r="Z346" i="2" a="1"/>
  <c r="Z346" i="2" s="1"/>
  <c r="Y346" i="2" a="1"/>
  <c r="Y346" i="2" s="1"/>
  <c r="X346" i="2" a="1"/>
  <c r="X346" i="2" s="1"/>
  <c r="W346" i="2" a="1"/>
  <c r="W346" i="2" s="1"/>
  <c r="BB346" i="2" s="1" a="1"/>
  <c r="BB346" i="2" s="1"/>
  <c r="V346" i="2" a="1"/>
  <c r="V346" i="2" s="1"/>
  <c r="E346" i="2" s="1" a="1"/>
  <c r="E346" i="2" s="1"/>
  <c r="U346" i="2" a="1"/>
  <c r="U346" i="2" s="1"/>
  <c r="T346" i="2" a="1"/>
  <c r="T346" i="2" s="1"/>
  <c r="S346" i="2" a="1"/>
  <c r="S346" i="2" s="1"/>
  <c r="R346" i="2" a="1"/>
  <c r="R346" i="2" s="1"/>
  <c r="Q346" i="2" a="1"/>
  <c r="Q346" i="2" s="1"/>
  <c r="P346" i="2" a="1"/>
  <c r="P346" i="2" s="1"/>
  <c r="O346" i="2" a="1"/>
  <c r="O346" i="2" s="1"/>
  <c r="N346" i="2" a="1"/>
  <c r="N346" i="2" s="1"/>
  <c r="M346" i="2" a="1"/>
  <c r="M346" i="2" s="1"/>
  <c r="L346" i="2" a="1"/>
  <c r="L346" i="2" s="1"/>
  <c r="K346" i="2" a="1"/>
  <c r="K346" i="2" s="1"/>
  <c r="J346" i="2" a="1"/>
  <c r="J346" i="2" s="1"/>
  <c r="I346" i="2" a="1"/>
  <c r="I346" i="2" s="1"/>
  <c r="H346" i="2" a="1"/>
  <c r="H346" i="2" s="1"/>
  <c r="F346" i="2" a="1"/>
  <c r="F346" i="2" s="1"/>
  <c r="D346" i="2" a="1"/>
  <c r="D346" i="2" s="1"/>
  <c r="B346" i="2" a="1"/>
  <c r="B346" i="2" s="1"/>
  <c r="BD345" i="2" a="1"/>
  <c r="BD345" i="2" s="1"/>
  <c r="BC345" i="2" a="1"/>
  <c r="BC345" i="2" s="1"/>
  <c r="BA345" i="2" a="1"/>
  <c r="BA345" i="2" s="1"/>
  <c r="AZ345" i="2" a="1"/>
  <c r="AZ345" i="2" s="1"/>
  <c r="AY345" i="2" a="1"/>
  <c r="AY345" i="2" s="1"/>
  <c r="AX345" i="2" a="1"/>
  <c r="AX345" i="2" s="1"/>
  <c r="AW345" i="2" a="1"/>
  <c r="AW345" i="2" s="1"/>
  <c r="AV345" i="2" a="1"/>
  <c r="AV345" i="2" s="1"/>
  <c r="AU345" i="2" a="1"/>
  <c r="AU345" i="2" s="1"/>
  <c r="AT345" i="2" a="1"/>
  <c r="AT345" i="2" s="1"/>
  <c r="AS345" i="2" a="1"/>
  <c r="AS345" i="2" s="1"/>
  <c r="AR345" i="2" a="1"/>
  <c r="AR345" i="2" s="1"/>
  <c r="AQ345" i="2" a="1"/>
  <c r="AQ345" i="2" s="1"/>
  <c r="AP345" i="2" a="1"/>
  <c r="AP345" i="2" s="1"/>
  <c r="AO345" i="2" a="1"/>
  <c r="AO345" i="2" s="1"/>
  <c r="AN345" i="2" a="1"/>
  <c r="AN345" i="2" s="1"/>
  <c r="AM345" i="2" a="1"/>
  <c r="AM345" i="2" s="1"/>
  <c r="AL345" i="2" a="1"/>
  <c r="AL345" i="2" s="1"/>
  <c r="AK345" i="2" a="1"/>
  <c r="AK345" i="2" s="1"/>
  <c r="AJ345" i="2" a="1"/>
  <c r="AJ345" i="2" s="1"/>
  <c r="AI345" i="2" a="1"/>
  <c r="AI345" i="2" s="1"/>
  <c r="AH345" i="2" a="1"/>
  <c r="AH345" i="2" s="1"/>
  <c r="AG345" i="2" a="1"/>
  <c r="AG345" i="2" s="1"/>
  <c r="AF345" i="2" a="1"/>
  <c r="AF345" i="2" s="1"/>
  <c r="AE345" i="2" a="1"/>
  <c r="AE345" i="2" s="1"/>
  <c r="AD345" i="2" a="1"/>
  <c r="AD345" i="2" s="1"/>
  <c r="AC345" i="2" a="1"/>
  <c r="AC345" i="2" s="1"/>
  <c r="AB345" i="2"/>
  <c r="AA345" i="2" a="1"/>
  <c r="AA345" i="2" s="1"/>
  <c r="Z345" i="2" a="1"/>
  <c r="Z345" i="2" s="1"/>
  <c r="Y345" i="2" a="1"/>
  <c r="Y345" i="2" s="1"/>
  <c r="X345" i="2" a="1"/>
  <c r="X345" i="2" s="1"/>
  <c r="W345" i="2" a="1"/>
  <c r="W345" i="2" s="1"/>
  <c r="BB345" i="2" s="1" a="1"/>
  <c r="BB345" i="2" s="1"/>
  <c r="V345" i="2" a="1"/>
  <c r="V345" i="2" s="1"/>
  <c r="E345" i="2" s="1" a="1"/>
  <c r="E345" i="2" s="1"/>
  <c r="U345" i="2" a="1"/>
  <c r="U345" i="2" s="1"/>
  <c r="T345" i="2" a="1"/>
  <c r="T345" i="2" s="1"/>
  <c r="S345" i="2" a="1"/>
  <c r="S345" i="2" s="1"/>
  <c r="R345" i="2" a="1"/>
  <c r="R345" i="2" s="1"/>
  <c r="Q345" i="2" a="1"/>
  <c r="Q345" i="2" s="1"/>
  <c r="P345" i="2" a="1"/>
  <c r="P345" i="2" s="1"/>
  <c r="O345" i="2" a="1"/>
  <c r="O345" i="2" s="1"/>
  <c r="N345" i="2" a="1"/>
  <c r="N345" i="2" s="1"/>
  <c r="M345" i="2" a="1"/>
  <c r="M345" i="2" s="1"/>
  <c r="L345" i="2" a="1"/>
  <c r="L345" i="2" s="1"/>
  <c r="K345" i="2" a="1"/>
  <c r="K345" i="2" s="1"/>
  <c r="J345" i="2" a="1"/>
  <c r="J345" i="2" s="1"/>
  <c r="I345" i="2" a="1"/>
  <c r="I345" i="2" s="1"/>
  <c r="H345" i="2" a="1"/>
  <c r="H345" i="2" s="1"/>
  <c r="F345" i="2" a="1"/>
  <c r="F345" i="2" s="1"/>
  <c r="D345" i="2" a="1"/>
  <c r="D345" i="2" s="1"/>
  <c r="B345" i="2" a="1"/>
  <c r="B345" i="2" s="1"/>
  <c r="BD343" i="2" a="1"/>
  <c r="BD343" i="2" s="1"/>
  <c r="BC343" i="2" a="1"/>
  <c r="BC343" i="2" s="1"/>
  <c r="BA343" i="2" a="1"/>
  <c r="BA343" i="2" s="1"/>
  <c r="AZ343" i="2" a="1"/>
  <c r="AZ343" i="2" s="1"/>
  <c r="AY343" i="2" a="1"/>
  <c r="AY343" i="2" s="1"/>
  <c r="AX343" i="2" a="1"/>
  <c r="AX343" i="2" s="1"/>
  <c r="AW343" i="2" a="1"/>
  <c r="AW343" i="2" s="1"/>
  <c r="AV343" i="2" a="1"/>
  <c r="AV343" i="2" s="1"/>
  <c r="AU343" i="2" a="1"/>
  <c r="AU343" i="2" s="1"/>
  <c r="AT343" i="2" a="1"/>
  <c r="AT343" i="2" s="1"/>
  <c r="AS343" i="2" a="1"/>
  <c r="AS343" i="2" s="1"/>
  <c r="AR343" i="2" a="1"/>
  <c r="AR343" i="2" s="1"/>
  <c r="AQ343" i="2" a="1"/>
  <c r="AQ343" i="2" s="1"/>
  <c r="AP343" i="2" a="1"/>
  <c r="AP343" i="2" s="1"/>
  <c r="AO343" i="2" a="1"/>
  <c r="AO343" i="2" s="1"/>
  <c r="AN343" i="2" a="1"/>
  <c r="AN343" i="2" s="1"/>
  <c r="AM343" i="2" a="1"/>
  <c r="AM343" i="2" s="1"/>
  <c r="AL343" i="2" a="1"/>
  <c r="AL343" i="2" s="1"/>
  <c r="AK343" i="2" a="1"/>
  <c r="AK343" i="2" s="1"/>
  <c r="AJ343" i="2" a="1"/>
  <c r="AJ343" i="2" s="1"/>
  <c r="AI343" i="2" a="1"/>
  <c r="AI343" i="2" s="1"/>
  <c r="AH343" i="2" a="1"/>
  <c r="AH343" i="2" s="1"/>
  <c r="AG343" i="2" a="1"/>
  <c r="AG343" i="2" s="1"/>
  <c r="AF343" i="2" a="1"/>
  <c r="AF343" i="2" s="1"/>
  <c r="AE343" i="2" a="1"/>
  <c r="AE343" i="2" s="1"/>
  <c r="AD343" i="2" a="1"/>
  <c r="AD343" i="2" s="1"/>
  <c r="AC343" i="2" a="1"/>
  <c r="AC343" i="2" s="1"/>
  <c r="AB343" i="2"/>
  <c r="AA343" i="2" a="1"/>
  <c r="AA343" i="2" s="1"/>
  <c r="Z343" i="2" a="1"/>
  <c r="Z343" i="2" s="1"/>
  <c r="Y343" i="2" a="1"/>
  <c r="Y343" i="2" s="1"/>
  <c r="X343" i="2" a="1"/>
  <c r="X343" i="2" s="1"/>
  <c r="W343" i="2" a="1"/>
  <c r="W343" i="2" s="1"/>
  <c r="BB343" i="2" s="1" a="1"/>
  <c r="BB343" i="2" s="1"/>
  <c r="V343" i="2" a="1"/>
  <c r="V343" i="2" s="1"/>
  <c r="E343" i="2" s="1" a="1"/>
  <c r="E343" i="2" s="1"/>
  <c r="U343" i="2" a="1"/>
  <c r="U343" i="2" s="1"/>
  <c r="T343" i="2" a="1"/>
  <c r="T343" i="2" s="1"/>
  <c r="S343" i="2" a="1"/>
  <c r="S343" i="2" s="1"/>
  <c r="R343" i="2" a="1"/>
  <c r="R343" i="2" s="1"/>
  <c r="Q343" i="2" a="1"/>
  <c r="Q343" i="2" s="1"/>
  <c r="P343" i="2" a="1"/>
  <c r="P343" i="2" s="1"/>
  <c r="O343" i="2" a="1"/>
  <c r="O343" i="2" s="1"/>
  <c r="N343" i="2" a="1"/>
  <c r="N343" i="2" s="1"/>
  <c r="M343" i="2" a="1"/>
  <c r="M343" i="2" s="1"/>
  <c r="L343" i="2" a="1"/>
  <c r="L343" i="2" s="1"/>
  <c r="K343" i="2" a="1"/>
  <c r="K343" i="2" s="1"/>
  <c r="J343" i="2" a="1"/>
  <c r="J343" i="2" s="1"/>
  <c r="I343" i="2" a="1"/>
  <c r="I343" i="2" s="1"/>
  <c r="H343" i="2" a="1"/>
  <c r="H343" i="2" s="1"/>
  <c r="F343" i="2" a="1"/>
  <c r="F343" i="2" s="1"/>
  <c r="D343" i="2" a="1"/>
  <c r="D343" i="2" s="1"/>
  <c r="B343" i="2" a="1"/>
  <c r="B343" i="2" s="1"/>
  <c r="BD342" i="2" a="1"/>
  <c r="BD342" i="2" s="1"/>
  <c r="BC342" i="2" a="1"/>
  <c r="BC342" i="2" s="1"/>
  <c r="BA342" i="2" a="1"/>
  <c r="BA342" i="2" s="1"/>
  <c r="AZ342" i="2" a="1"/>
  <c r="AZ342" i="2" s="1"/>
  <c r="AY342" i="2" a="1"/>
  <c r="AY342" i="2" s="1"/>
  <c r="AX342" i="2" a="1"/>
  <c r="AX342" i="2" s="1"/>
  <c r="AW342" i="2" a="1"/>
  <c r="AW342" i="2" s="1"/>
  <c r="AV342" i="2" a="1"/>
  <c r="AV342" i="2" s="1"/>
  <c r="AU342" i="2" a="1"/>
  <c r="AU342" i="2" s="1"/>
  <c r="AT342" i="2" a="1"/>
  <c r="AT342" i="2" s="1"/>
  <c r="AS342" i="2" a="1"/>
  <c r="AS342" i="2" s="1"/>
  <c r="AR342" i="2" a="1"/>
  <c r="AR342" i="2" s="1"/>
  <c r="AQ342" i="2" a="1"/>
  <c r="AQ342" i="2" s="1"/>
  <c r="AP342" i="2" a="1"/>
  <c r="AP342" i="2" s="1"/>
  <c r="AO342" i="2" a="1"/>
  <c r="AO342" i="2" s="1"/>
  <c r="AN342" i="2" a="1"/>
  <c r="AN342" i="2" s="1"/>
  <c r="AM342" i="2" a="1"/>
  <c r="AM342" i="2" s="1"/>
  <c r="AL342" i="2" a="1"/>
  <c r="AL342" i="2" s="1"/>
  <c r="AK342" i="2" a="1"/>
  <c r="AK342" i="2" s="1"/>
  <c r="AJ342" i="2" a="1"/>
  <c r="AJ342" i="2" s="1"/>
  <c r="AI342" i="2" a="1"/>
  <c r="AI342" i="2" s="1"/>
  <c r="AH342" i="2" a="1"/>
  <c r="AH342" i="2" s="1"/>
  <c r="AG342" i="2" a="1"/>
  <c r="AG342" i="2" s="1"/>
  <c r="AF342" i="2" a="1"/>
  <c r="AF342" i="2" s="1"/>
  <c r="AE342" i="2" a="1"/>
  <c r="AE342" i="2" s="1"/>
  <c r="AD342" i="2" a="1"/>
  <c r="AD342" i="2" s="1"/>
  <c r="AC342" i="2" a="1"/>
  <c r="AC342" i="2" s="1"/>
  <c r="AB342" i="2"/>
  <c r="AA342" i="2" a="1"/>
  <c r="AA342" i="2" s="1"/>
  <c r="Z342" i="2" a="1"/>
  <c r="Z342" i="2" s="1"/>
  <c r="Y342" i="2" a="1"/>
  <c r="Y342" i="2" s="1"/>
  <c r="X342" i="2" a="1"/>
  <c r="X342" i="2" s="1"/>
  <c r="W342" i="2" a="1"/>
  <c r="W342" i="2" s="1"/>
  <c r="BB342" i="2" s="1" a="1"/>
  <c r="BB342" i="2" s="1"/>
  <c r="V342" i="2" a="1"/>
  <c r="V342" i="2" s="1"/>
  <c r="E342" i="2" s="1" a="1"/>
  <c r="E342" i="2" s="1"/>
  <c r="U342" i="2" a="1"/>
  <c r="U342" i="2" s="1"/>
  <c r="T342" i="2" a="1"/>
  <c r="T342" i="2" s="1"/>
  <c r="S342" i="2" a="1"/>
  <c r="S342" i="2" s="1"/>
  <c r="R342" i="2" a="1"/>
  <c r="R342" i="2" s="1"/>
  <c r="Q342" i="2" a="1"/>
  <c r="Q342" i="2" s="1"/>
  <c r="P342" i="2" a="1"/>
  <c r="P342" i="2" s="1"/>
  <c r="O342" i="2" a="1"/>
  <c r="O342" i="2" s="1"/>
  <c r="N342" i="2" a="1"/>
  <c r="N342" i="2" s="1"/>
  <c r="M342" i="2" a="1"/>
  <c r="M342" i="2" s="1"/>
  <c r="L342" i="2" a="1"/>
  <c r="L342" i="2" s="1"/>
  <c r="K342" i="2" a="1"/>
  <c r="K342" i="2" s="1"/>
  <c r="J342" i="2" a="1"/>
  <c r="J342" i="2" s="1"/>
  <c r="I342" i="2" a="1"/>
  <c r="I342" i="2" s="1"/>
  <c r="H342" i="2" a="1"/>
  <c r="H342" i="2" s="1"/>
  <c r="F342" i="2" a="1"/>
  <c r="F342" i="2" s="1"/>
  <c r="D342" i="2" a="1"/>
  <c r="D342" i="2" s="1"/>
  <c r="B342" i="2" a="1"/>
  <c r="B342" i="2" s="1"/>
  <c r="BD341" i="2" a="1"/>
  <c r="BD341" i="2" s="1"/>
  <c r="BC341" i="2" a="1"/>
  <c r="BC341" i="2" s="1"/>
  <c r="BA341" i="2" a="1"/>
  <c r="BA341" i="2" s="1"/>
  <c r="AZ341" i="2" a="1"/>
  <c r="AZ341" i="2" s="1"/>
  <c r="AY341" i="2" a="1"/>
  <c r="AY341" i="2" s="1"/>
  <c r="AX341" i="2" a="1"/>
  <c r="AX341" i="2" s="1"/>
  <c r="AW341" i="2" a="1"/>
  <c r="AW341" i="2" s="1"/>
  <c r="AV341" i="2" a="1"/>
  <c r="AV341" i="2" s="1"/>
  <c r="AU341" i="2" a="1"/>
  <c r="AU341" i="2" s="1"/>
  <c r="AT341" i="2" a="1"/>
  <c r="AT341" i="2" s="1"/>
  <c r="AS341" i="2" a="1"/>
  <c r="AS341" i="2" s="1"/>
  <c r="AR341" i="2" a="1"/>
  <c r="AR341" i="2" s="1"/>
  <c r="AQ341" i="2" a="1"/>
  <c r="AQ341" i="2" s="1"/>
  <c r="AP341" i="2" a="1"/>
  <c r="AP341" i="2" s="1"/>
  <c r="AO341" i="2" a="1"/>
  <c r="AO341" i="2" s="1"/>
  <c r="AN341" i="2" a="1"/>
  <c r="AN341" i="2" s="1"/>
  <c r="AM341" i="2" a="1"/>
  <c r="AM341" i="2" s="1"/>
  <c r="AL341" i="2" a="1"/>
  <c r="AL341" i="2" s="1"/>
  <c r="AK341" i="2" a="1"/>
  <c r="AK341" i="2" s="1"/>
  <c r="AJ341" i="2" a="1"/>
  <c r="AJ341" i="2" s="1"/>
  <c r="AI341" i="2" a="1"/>
  <c r="AI341" i="2" s="1"/>
  <c r="AH341" i="2" a="1"/>
  <c r="AH341" i="2" s="1"/>
  <c r="AG341" i="2" a="1"/>
  <c r="AG341" i="2" s="1"/>
  <c r="AF341" i="2" a="1"/>
  <c r="AF341" i="2" s="1"/>
  <c r="AE341" i="2" a="1"/>
  <c r="AE341" i="2" s="1"/>
  <c r="AD341" i="2" a="1"/>
  <c r="AD341" i="2" s="1"/>
  <c r="AC341" i="2" a="1"/>
  <c r="AC341" i="2" s="1"/>
  <c r="AB341" i="2"/>
  <c r="AA341" i="2" a="1"/>
  <c r="AA341" i="2" s="1"/>
  <c r="Z341" i="2" a="1"/>
  <c r="Z341" i="2" s="1"/>
  <c r="Y341" i="2" a="1"/>
  <c r="Y341" i="2" s="1"/>
  <c r="X341" i="2" a="1"/>
  <c r="X341" i="2" s="1"/>
  <c r="W341" i="2" a="1"/>
  <c r="W341" i="2" s="1"/>
  <c r="BB341" i="2" s="1" a="1"/>
  <c r="BB341" i="2" s="1"/>
  <c r="V341" i="2" a="1"/>
  <c r="V341" i="2" s="1"/>
  <c r="E341" i="2" s="1" a="1"/>
  <c r="E341" i="2" s="1"/>
  <c r="U341" i="2" a="1"/>
  <c r="U341" i="2" s="1"/>
  <c r="T341" i="2" a="1"/>
  <c r="T341" i="2" s="1"/>
  <c r="S341" i="2" a="1"/>
  <c r="S341" i="2" s="1"/>
  <c r="R341" i="2" a="1"/>
  <c r="R341" i="2" s="1"/>
  <c r="Q341" i="2" a="1"/>
  <c r="Q341" i="2" s="1"/>
  <c r="P341" i="2" a="1"/>
  <c r="P341" i="2" s="1"/>
  <c r="O341" i="2" a="1"/>
  <c r="O341" i="2" s="1"/>
  <c r="N341" i="2" a="1"/>
  <c r="N341" i="2" s="1"/>
  <c r="M341" i="2" a="1"/>
  <c r="M341" i="2" s="1"/>
  <c r="L341" i="2" a="1"/>
  <c r="L341" i="2" s="1"/>
  <c r="K341" i="2" a="1"/>
  <c r="K341" i="2" s="1"/>
  <c r="J341" i="2" a="1"/>
  <c r="J341" i="2" s="1"/>
  <c r="I341" i="2" a="1"/>
  <c r="I341" i="2" s="1"/>
  <c r="H341" i="2" a="1"/>
  <c r="H341" i="2" s="1"/>
  <c r="F341" i="2" a="1"/>
  <c r="F341" i="2" s="1"/>
  <c r="D341" i="2" a="1"/>
  <c r="D341" i="2" s="1"/>
  <c r="B341" i="2" a="1"/>
  <c r="B341" i="2" s="1"/>
  <c r="BD340" i="2" a="1"/>
  <c r="BD340" i="2" s="1"/>
  <c r="BC340" i="2" a="1"/>
  <c r="BC340" i="2" s="1"/>
  <c r="BA340" i="2" a="1"/>
  <c r="BA340" i="2" s="1"/>
  <c r="AZ340" i="2" a="1"/>
  <c r="AZ340" i="2" s="1"/>
  <c r="AY340" i="2" a="1"/>
  <c r="AY340" i="2" s="1"/>
  <c r="AX340" i="2" a="1"/>
  <c r="AX340" i="2" s="1"/>
  <c r="AW340" i="2" a="1"/>
  <c r="AW340" i="2" s="1"/>
  <c r="AV340" i="2" a="1"/>
  <c r="AV340" i="2" s="1"/>
  <c r="AU340" i="2" a="1"/>
  <c r="AU340" i="2" s="1"/>
  <c r="AT340" i="2" a="1"/>
  <c r="AT340" i="2" s="1"/>
  <c r="AS340" i="2" a="1"/>
  <c r="AS340" i="2" s="1"/>
  <c r="AR340" i="2" a="1"/>
  <c r="AR340" i="2" s="1"/>
  <c r="AQ340" i="2" a="1"/>
  <c r="AQ340" i="2" s="1"/>
  <c r="AP340" i="2" a="1"/>
  <c r="AP340" i="2" s="1"/>
  <c r="AO340" i="2" a="1"/>
  <c r="AO340" i="2" s="1"/>
  <c r="AN340" i="2" a="1"/>
  <c r="AN340" i="2" s="1"/>
  <c r="AM340" i="2" a="1"/>
  <c r="AM340" i="2" s="1"/>
  <c r="AL340" i="2" a="1"/>
  <c r="AL340" i="2" s="1"/>
  <c r="AK340" i="2" a="1"/>
  <c r="AK340" i="2" s="1"/>
  <c r="AJ340" i="2" a="1"/>
  <c r="AJ340" i="2" s="1"/>
  <c r="AI340" i="2" a="1"/>
  <c r="AI340" i="2" s="1"/>
  <c r="AH340" i="2" a="1"/>
  <c r="AH340" i="2" s="1"/>
  <c r="AG340" i="2" a="1"/>
  <c r="AG340" i="2" s="1"/>
  <c r="AF340" i="2" a="1"/>
  <c r="AF340" i="2" s="1"/>
  <c r="AE340" i="2" a="1"/>
  <c r="AE340" i="2" s="1"/>
  <c r="AD340" i="2" a="1"/>
  <c r="AD340" i="2" s="1"/>
  <c r="AC340" i="2" a="1"/>
  <c r="AC340" i="2" s="1"/>
  <c r="AB340" i="2"/>
  <c r="AA340" i="2" a="1"/>
  <c r="AA340" i="2" s="1"/>
  <c r="Z340" i="2" a="1"/>
  <c r="Z340" i="2" s="1"/>
  <c r="Y340" i="2" a="1"/>
  <c r="Y340" i="2" s="1"/>
  <c r="X340" i="2" a="1"/>
  <c r="X340" i="2" s="1"/>
  <c r="W340" i="2" a="1"/>
  <c r="W340" i="2" s="1"/>
  <c r="BB340" i="2" s="1" a="1"/>
  <c r="BB340" i="2" s="1"/>
  <c r="V340" i="2" a="1"/>
  <c r="V340" i="2" s="1"/>
  <c r="E340" i="2" s="1" a="1"/>
  <c r="E340" i="2" s="1"/>
  <c r="U340" i="2" a="1"/>
  <c r="U340" i="2" s="1"/>
  <c r="T340" i="2" a="1"/>
  <c r="T340" i="2" s="1"/>
  <c r="S340" i="2" a="1"/>
  <c r="S340" i="2" s="1"/>
  <c r="R340" i="2" a="1"/>
  <c r="R340" i="2" s="1"/>
  <c r="Q340" i="2" a="1"/>
  <c r="Q340" i="2" s="1"/>
  <c r="P340" i="2" a="1"/>
  <c r="P340" i="2" s="1"/>
  <c r="O340" i="2" a="1"/>
  <c r="O340" i="2" s="1"/>
  <c r="N340" i="2" a="1"/>
  <c r="N340" i="2" s="1"/>
  <c r="M340" i="2" a="1"/>
  <c r="M340" i="2" s="1"/>
  <c r="L340" i="2" a="1"/>
  <c r="L340" i="2" s="1"/>
  <c r="K340" i="2" a="1"/>
  <c r="K340" i="2" s="1"/>
  <c r="J340" i="2" a="1"/>
  <c r="J340" i="2" s="1"/>
  <c r="I340" i="2" a="1"/>
  <c r="I340" i="2" s="1"/>
  <c r="H340" i="2" a="1"/>
  <c r="H340" i="2" s="1"/>
  <c r="F340" i="2" a="1"/>
  <c r="F340" i="2" s="1"/>
  <c r="D340" i="2" a="1"/>
  <c r="D340" i="2" s="1"/>
  <c r="B340" i="2" a="1"/>
  <c r="B340" i="2" s="1"/>
  <c r="BD339" i="2" a="1"/>
  <c r="BD339" i="2" s="1"/>
  <c r="BC339" i="2" a="1"/>
  <c r="BC339" i="2" s="1"/>
  <c r="BA339" i="2" a="1"/>
  <c r="BA339" i="2" s="1"/>
  <c r="AZ339" i="2" a="1"/>
  <c r="AZ339" i="2" s="1"/>
  <c r="AY339" i="2" a="1"/>
  <c r="AY339" i="2" s="1"/>
  <c r="AX339" i="2" a="1"/>
  <c r="AX339" i="2" s="1"/>
  <c r="AW339" i="2" a="1"/>
  <c r="AW339" i="2" s="1"/>
  <c r="AV339" i="2" a="1"/>
  <c r="AV339" i="2" s="1"/>
  <c r="AU339" i="2" a="1"/>
  <c r="AU339" i="2" s="1"/>
  <c r="AT339" i="2" a="1"/>
  <c r="AT339" i="2" s="1"/>
  <c r="AS339" i="2" a="1"/>
  <c r="AS339" i="2" s="1"/>
  <c r="AR339" i="2" a="1"/>
  <c r="AR339" i="2" s="1"/>
  <c r="AQ339" i="2" a="1"/>
  <c r="AQ339" i="2" s="1"/>
  <c r="AP339" i="2" a="1"/>
  <c r="AP339" i="2" s="1"/>
  <c r="AO339" i="2" a="1"/>
  <c r="AO339" i="2" s="1"/>
  <c r="AN339" i="2" a="1"/>
  <c r="AN339" i="2" s="1"/>
  <c r="AM339" i="2" a="1"/>
  <c r="AM339" i="2" s="1"/>
  <c r="AL339" i="2" a="1"/>
  <c r="AL339" i="2" s="1"/>
  <c r="AK339" i="2" a="1"/>
  <c r="AK339" i="2" s="1"/>
  <c r="AJ339" i="2" a="1"/>
  <c r="AJ339" i="2" s="1"/>
  <c r="AI339" i="2" a="1"/>
  <c r="AI339" i="2" s="1"/>
  <c r="AH339" i="2" a="1"/>
  <c r="AH339" i="2" s="1"/>
  <c r="AG339" i="2" a="1"/>
  <c r="AG339" i="2" s="1"/>
  <c r="AF339" i="2" a="1"/>
  <c r="AF339" i="2" s="1"/>
  <c r="AE339" i="2" a="1"/>
  <c r="AE339" i="2" s="1"/>
  <c r="AD339" i="2" a="1"/>
  <c r="AD339" i="2" s="1"/>
  <c r="AC339" i="2" a="1"/>
  <c r="AC339" i="2" s="1"/>
  <c r="AB339" i="2"/>
  <c r="AA339" i="2" a="1"/>
  <c r="AA339" i="2" s="1"/>
  <c r="Z339" i="2" a="1"/>
  <c r="Z339" i="2" s="1"/>
  <c r="Y339" i="2" a="1"/>
  <c r="Y339" i="2" s="1"/>
  <c r="X339" i="2" a="1"/>
  <c r="X339" i="2" s="1"/>
  <c r="W339" i="2" a="1"/>
  <c r="W339" i="2" s="1"/>
  <c r="BB339" i="2" s="1" a="1"/>
  <c r="BB339" i="2" s="1"/>
  <c r="V339" i="2" a="1"/>
  <c r="V339" i="2" s="1"/>
  <c r="E339" i="2" s="1" a="1"/>
  <c r="E339" i="2" s="1"/>
  <c r="U339" i="2" a="1"/>
  <c r="U339" i="2" s="1"/>
  <c r="T339" i="2" a="1"/>
  <c r="T339" i="2" s="1"/>
  <c r="S339" i="2" a="1"/>
  <c r="S339" i="2" s="1"/>
  <c r="R339" i="2" a="1"/>
  <c r="R339" i="2" s="1"/>
  <c r="Q339" i="2" a="1"/>
  <c r="Q339" i="2" s="1"/>
  <c r="P339" i="2" a="1"/>
  <c r="P339" i="2" s="1"/>
  <c r="O339" i="2" a="1"/>
  <c r="O339" i="2" s="1"/>
  <c r="N339" i="2" a="1"/>
  <c r="N339" i="2" s="1"/>
  <c r="M339" i="2" a="1"/>
  <c r="M339" i="2" s="1"/>
  <c r="L339" i="2" a="1"/>
  <c r="L339" i="2" s="1"/>
  <c r="K339" i="2" a="1"/>
  <c r="K339" i="2" s="1"/>
  <c r="J339" i="2" a="1"/>
  <c r="J339" i="2" s="1"/>
  <c r="I339" i="2" a="1"/>
  <c r="I339" i="2" s="1"/>
  <c r="H339" i="2" a="1"/>
  <c r="H339" i="2" s="1"/>
  <c r="F339" i="2" a="1"/>
  <c r="F339" i="2" s="1"/>
  <c r="D339" i="2" a="1"/>
  <c r="D339" i="2" s="1"/>
  <c r="B339" i="2" a="1"/>
  <c r="B339" i="2" s="1"/>
  <c r="BD338" i="2" a="1"/>
  <c r="BD338" i="2" s="1"/>
  <c r="BC338" i="2" a="1"/>
  <c r="BC338" i="2" s="1"/>
  <c r="BA338" i="2" a="1"/>
  <c r="BA338" i="2" s="1"/>
  <c r="AZ338" i="2" a="1"/>
  <c r="AZ338" i="2" s="1"/>
  <c r="AY338" i="2" a="1"/>
  <c r="AY338" i="2" s="1"/>
  <c r="AX338" i="2" a="1"/>
  <c r="AX338" i="2" s="1"/>
  <c r="AW338" i="2" a="1"/>
  <c r="AW338" i="2" s="1"/>
  <c r="AV338" i="2" a="1"/>
  <c r="AV338" i="2" s="1"/>
  <c r="AU338" i="2" a="1"/>
  <c r="AU338" i="2" s="1"/>
  <c r="AT338" i="2" a="1"/>
  <c r="AT338" i="2" s="1"/>
  <c r="AS338" i="2" a="1"/>
  <c r="AS338" i="2" s="1"/>
  <c r="AR338" i="2" a="1"/>
  <c r="AR338" i="2" s="1"/>
  <c r="AQ338" i="2" a="1"/>
  <c r="AQ338" i="2" s="1"/>
  <c r="AP338" i="2" a="1"/>
  <c r="AP338" i="2" s="1"/>
  <c r="AO338" i="2" a="1"/>
  <c r="AO338" i="2" s="1"/>
  <c r="AN338" i="2" a="1"/>
  <c r="AN338" i="2" s="1"/>
  <c r="AM338" i="2" a="1"/>
  <c r="AM338" i="2" s="1"/>
  <c r="AL338" i="2" a="1"/>
  <c r="AL338" i="2" s="1"/>
  <c r="AK338" i="2" a="1"/>
  <c r="AK338" i="2" s="1"/>
  <c r="AJ338" i="2" a="1"/>
  <c r="AJ338" i="2" s="1"/>
  <c r="AI338" i="2" a="1"/>
  <c r="AI338" i="2" s="1"/>
  <c r="AH338" i="2" a="1"/>
  <c r="AH338" i="2" s="1"/>
  <c r="AG338" i="2" a="1"/>
  <c r="AG338" i="2" s="1"/>
  <c r="AF338" i="2" a="1"/>
  <c r="AF338" i="2" s="1"/>
  <c r="AE338" i="2" a="1"/>
  <c r="AE338" i="2" s="1"/>
  <c r="AD338" i="2" a="1"/>
  <c r="AD338" i="2" s="1"/>
  <c r="AC338" i="2" a="1"/>
  <c r="AC338" i="2" s="1"/>
  <c r="AB338" i="2"/>
  <c r="AA338" i="2" a="1"/>
  <c r="AA338" i="2" s="1"/>
  <c r="Z338" i="2" a="1"/>
  <c r="Z338" i="2" s="1"/>
  <c r="Y338" i="2" a="1"/>
  <c r="Y338" i="2" s="1"/>
  <c r="X338" i="2" a="1"/>
  <c r="X338" i="2" s="1"/>
  <c r="W338" i="2" a="1"/>
  <c r="W338" i="2" s="1"/>
  <c r="BB338" i="2" s="1" a="1"/>
  <c r="BB338" i="2" s="1"/>
  <c r="V338" i="2" a="1"/>
  <c r="V338" i="2" s="1"/>
  <c r="E338" i="2" s="1" a="1"/>
  <c r="E338" i="2" s="1"/>
  <c r="U338" i="2" a="1"/>
  <c r="U338" i="2" s="1"/>
  <c r="T338" i="2" a="1"/>
  <c r="T338" i="2" s="1"/>
  <c r="S338" i="2" a="1"/>
  <c r="S338" i="2" s="1"/>
  <c r="R338" i="2" a="1"/>
  <c r="R338" i="2" s="1"/>
  <c r="Q338" i="2" a="1"/>
  <c r="Q338" i="2" s="1"/>
  <c r="P338" i="2" a="1"/>
  <c r="P338" i="2" s="1"/>
  <c r="O338" i="2" a="1"/>
  <c r="O338" i="2" s="1"/>
  <c r="N338" i="2" a="1"/>
  <c r="N338" i="2" s="1"/>
  <c r="M338" i="2" a="1"/>
  <c r="M338" i="2" s="1"/>
  <c r="L338" i="2" a="1"/>
  <c r="L338" i="2" s="1"/>
  <c r="K338" i="2" a="1"/>
  <c r="K338" i="2" s="1"/>
  <c r="J338" i="2" a="1"/>
  <c r="J338" i="2" s="1"/>
  <c r="I338" i="2" a="1"/>
  <c r="I338" i="2" s="1"/>
  <c r="H338" i="2" a="1"/>
  <c r="H338" i="2" s="1"/>
  <c r="F338" i="2" a="1"/>
  <c r="F338" i="2" s="1"/>
  <c r="D338" i="2" a="1"/>
  <c r="D338" i="2" s="1"/>
  <c r="B338" i="2" a="1"/>
  <c r="B338" i="2" s="1"/>
  <c r="BD337" i="2" a="1"/>
  <c r="BD337" i="2" s="1"/>
  <c r="BC337" i="2" a="1"/>
  <c r="BC337" i="2" s="1"/>
  <c r="BA337" i="2" a="1"/>
  <c r="BA337" i="2" s="1"/>
  <c r="AZ337" i="2" a="1"/>
  <c r="AZ337" i="2" s="1"/>
  <c r="AY337" i="2" a="1"/>
  <c r="AY337" i="2" s="1"/>
  <c r="AX337" i="2" a="1"/>
  <c r="AX337" i="2" s="1"/>
  <c r="AW337" i="2" a="1"/>
  <c r="AW337" i="2" s="1"/>
  <c r="AV337" i="2" a="1"/>
  <c r="AV337" i="2" s="1"/>
  <c r="AU337" i="2" a="1"/>
  <c r="AU337" i="2" s="1"/>
  <c r="AT337" i="2" a="1"/>
  <c r="AT337" i="2" s="1"/>
  <c r="AS337" i="2" a="1"/>
  <c r="AS337" i="2" s="1"/>
  <c r="AR337" i="2" a="1"/>
  <c r="AR337" i="2" s="1"/>
  <c r="AQ337" i="2" a="1"/>
  <c r="AQ337" i="2" s="1"/>
  <c r="AP337" i="2" a="1"/>
  <c r="AP337" i="2" s="1"/>
  <c r="AO337" i="2" a="1"/>
  <c r="AO337" i="2" s="1"/>
  <c r="AN337" i="2" a="1"/>
  <c r="AN337" i="2" s="1"/>
  <c r="AM337" i="2" a="1"/>
  <c r="AM337" i="2" s="1"/>
  <c r="AL337" i="2" a="1"/>
  <c r="AL337" i="2" s="1"/>
  <c r="AK337" i="2" a="1"/>
  <c r="AK337" i="2" s="1"/>
  <c r="AJ337" i="2" a="1"/>
  <c r="AJ337" i="2" s="1"/>
  <c r="AI337" i="2" a="1"/>
  <c r="AI337" i="2" s="1"/>
  <c r="AH337" i="2" a="1"/>
  <c r="AH337" i="2" s="1"/>
  <c r="AG337" i="2" a="1"/>
  <c r="AG337" i="2" s="1"/>
  <c r="AF337" i="2" a="1"/>
  <c r="AF337" i="2" s="1"/>
  <c r="AE337" i="2" a="1"/>
  <c r="AE337" i="2" s="1"/>
  <c r="AD337" i="2" a="1"/>
  <c r="AD337" i="2" s="1"/>
  <c r="AC337" i="2" a="1"/>
  <c r="AC337" i="2" s="1"/>
  <c r="AB337" i="2"/>
  <c r="AA337" i="2" a="1"/>
  <c r="AA337" i="2" s="1"/>
  <c r="Z337" i="2" a="1"/>
  <c r="Z337" i="2" s="1"/>
  <c r="Y337" i="2" a="1"/>
  <c r="Y337" i="2" s="1"/>
  <c r="X337" i="2" a="1"/>
  <c r="X337" i="2" s="1"/>
  <c r="W337" i="2" a="1"/>
  <c r="W337" i="2" s="1"/>
  <c r="BB337" i="2" s="1" a="1"/>
  <c r="BB337" i="2" s="1"/>
  <c r="V337" i="2" a="1"/>
  <c r="V337" i="2" s="1"/>
  <c r="E337" i="2" s="1" a="1"/>
  <c r="E337" i="2" s="1"/>
  <c r="U337" i="2" a="1"/>
  <c r="U337" i="2" s="1"/>
  <c r="T337" i="2" a="1"/>
  <c r="T337" i="2" s="1"/>
  <c r="S337" i="2" a="1"/>
  <c r="S337" i="2" s="1"/>
  <c r="R337" i="2" a="1"/>
  <c r="R337" i="2" s="1"/>
  <c r="Q337" i="2" a="1"/>
  <c r="Q337" i="2" s="1"/>
  <c r="P337" i="2" a="1"/>
  <c r="P337" i="2" s="1"/>
  <c r="O337" i="2" a="1"/>
  <c r="O337" i="2" s="1"/>
  <c r="N337" i="2" a="1"/>
  <c r="N337" i="2" s="1"/>
  <c r="M337" i="2" a="1"/>
  <c r="M337" i="2" s="1"/>
  <c r="L337" i="2" a="1"/>
  <c r="L337" i="2" s="1"/>
  <c r="K337" i="2" a="1"/>
  <c r="K337" i="2" s="1"/>
  <c r="J337" i="2" a="1"/>
  <c r="J337" i="2" s="1"/>
  <c r="I337" i="2" a="1"/>
  <c r="I337" i="2" s="1"/>
  <c r="H337" i="2" a="1"/>
  <c r="H337" i="2" s="1"/>
  <c r="F337" i="2" a="1"/>
  <c r="F337" i="2" s="1"/>
  <c r="D337" i="2" a="1"/>
  <c r="D337" i="2" s="1"/>
  <c r="B337" i="2" a="1"/>
  <c r="B337" i="2" s="1"/>
  <c r="BD336" i="2" a="1"/>
  <c r="BD336" i="2" s="1"/>
  <c r="BC336" i="2" a="1"/>
  <c r="BC336" i="2" s="1"/>
  <c r="BA336" i="2" a="1"/>
  <c r="BA336" i="2" s="1"/>
  <c r="AZ336" i="2" a="1"/>
  <c r="AZ336" i="2" s="1"/>
  <c r="AY336" i="2" a="1"/>
  <c r="AY336" i="2" s="1"/>
  <c r="AX336" i="2" a="1"/>
  <c r="AX336" i="2" s="1"/>
  <c r="AW336" i="2" a="1"/>
  <c r="AW336" i="2" s="1"/>
  <c r="AV336" i="2" a="1"/>
  <c r="AV336" i="2" s="1"/>
  <c r="AU336" i="2" a="1"/>
  <c r="AU336" i="2" s="1"/>
  <c r="AT336" i="2" a="1"/>
  <c r="AT336" i="2" s="1"/>
  <c r="AS336" i="2" a="1"/>
  <c r="AS336" i="2" s="1"/>
  <c r="AR336" i="2" a="1"/>
  <c r="AR336" i="2" s="1"/>
  <c r="AQ336" i="2" a="1"/>
  <c r="AQ336" i="2" s="1"/>
  <c r="AP336" i="2" a="1"/>
  <c r="AP336" i="2" s="1"/>
  <c r="AO336" i="2" a="1"/>
  <c r="AO336" i="2" s="1"/>
  <c r="AN336" i="2" a="1"/>
  <c r="AN336" i="2" s="1"/>
  <c r="AM336" i="2" a="1"/>
  <c r="AM336" i="2" s="1"/>
  <c r="AL336" i="2" a="1"/>
  <c r="AL336" i="2" s="1"/>
  <c r="AK336" i="2" a="1"/>
  <c r="AK336" i="2" s="1"/>
  <c r="AJ336" i="2" a="1"/>
  <c r="AJ336" i="2" s="1"/>
  <c r="AI336" i="2" a="1"/>
  <c r="AI336" i="2" s="1"/>
  <c r="AH336" i="2" a="1"/>
  <c r="AH336" i="2" s="1"/>
  <c r="AG336" i="2" a="1"/>
  <c r="AG336" i="2" s="1"/>
  <c r="AF336" i="2" a="1"/>
  <c r="AF336" i="2" s="1"/>
  <c r="AE336" i="2" a="1"/>
  <c r="AE336" i="2" s="1"/>
  <c r="AD336" i="2" a="1"/>
  <c r="AD336" i="2" s="1"/>
  <c r="AC336" i="2" a="1"/>
  <c r="AC336" i="2" s="1"/>
  <c r="AB336" i="2"/>
  <c r="AA336" i="2" a="1"/>
  <c r="AA336" i="2" s="1"/>
  <c r="Z336" i="2" a="1"/>
  <c r="Z336" i="2" s="1"/>
  <c r="Y336" i="2" a="1"/>
  <c r="Y336" i="2" s="1"/>
  <c r="X336" i="2" a="1"/>
  <c r="X336" i="2" s="1"/>
  <c r="W336" i="2" a="1"/>
  <c r="W336" i="2" s="1"/>
  <c r="BB336" i="2" s="1" a="1"/>
  <c r="BB336" i="2" s="1"/>
  <c r="V336" i="2" a="1"/>
  <c r="V336" i="2" s="1"/>
  <c r="E336" i="2" s="1" a="1"/>
  <c r="E336" i="2" s="1"/>
  <c r="U336" i="2" a="1"/>
  <c r="U336" i="2" s="1"/>
  <c r="T336" i="2" a="1"/>
  <c r="T336" i="2" s="1"/>
  <c r="S336" i="2" a="1"/>
  <c r="S336" i="2" s="1"/>
  <c r="R336" i="2" a="1"/>
  <c r="R336" i="2" s="1"/>
  <c r="Q336" i="2" a="1"/>
  <c r="Q336" i="2" s="1"/>
  <c r="P336" i="2" a="1"/>
  <c r="P336" i="2" s="1"/>
  <c r="O336" i="2" a="1"/>
  <c r="O336" i="2" s="1"/>
  <c r="N336" i="2" a="1"/>
  <c r="N336" i="2" s="1"/>
  <c r="M336" i="2" a="1"/>
  <c r="M336" i="2" s="1"/>
  <c r="L336" i="2" a="1"/>
  <c r="L336" i="2" s="1"/>
  <c r="K336" i="2" a="1"/>
  <c r="K336" i="2" s="1"/>
  <c r="J336" i="2" a="1"/>
  <c r="J336" i="2" s="1"/>
  <c r="I336" i="2" a="1"/>
  <c r="I336" i="2" s="1"/>
  <c r="H336" i="2" a="1"/>
  <c r="H336" i="2" s="1"/>
  <c r="F336" i="2" a="1"/>
  <c r="F336" i="2" s="1"/>
  <c r="D336" i="2" a="1"/>
  <c r="D336" i="2" s="1"/>
  <c r="B336" i="2" a="1"/>
  <c r="B336" i="2" s="1"/>
  <c r="BD335" i="2" a="1"/>
  <c r="BD335" i="2" s="1"/>
  <c r="BC335" i="2" a="1"/>
  <c r="BC335" i="2" s="1"/>
  <c r="BA335" i="2" a="1"/>
  <c r="BA335" i="2" s="1"/>
  <c r="AZ335" i="2" a="1"/>
  <c r="AZ335" i="2" s="1"/>
  <c r="AY335" i="2" a="1"/>
  <c r="AY335" i="2" s="1"/>
  <c r="AX335" i="2" a="1"/>
  <c r="AX335" i="2" s="1"/>
  <c r="AW335" i="2" a="1"/>
  <c r="AW335" i="2" s="1"/>
  <c r="AV335" i="2" a="1"/>
  <c r="AV335" i="2" s="1"/>
  <c r="AU335" i="2" a="1"/>
  <c r="AU335" i="2" s="1"/>
  <c r="AT335" i="2" a="1"/>
  <c r="AT335" i="2" s="1"/>
  <c r="AS335" i="2" a="1"/>
  <c r="AS335" i="2" s="1"/>
  <c r="AR335" i="2" a="1"/>
  <c r="AR335" i="2" s="1"/>
  <c r="AQ335" i="2" a="1"/>
  <c r="AQ335" i="2" s="1"/>
  <c r="AP335" i="2" a="1"/>
  <c r="AP335" i="2" s="1"/>
  <c r="AO335" i="2" a="1"/>
  <c r="AO335" i="2" s="1"/>
  <c r="AN335" i="2" a="1"/>
  <c r="AN335" i="2" s="1"/>
  <c r="AM335" i="2" a="1"/>
  <c r="AM335" i="2" s="1"/>
  <c r="AL335" i="2" a="1"/>
  <c r="AL335" i="2" s="1"/>
  <c r="AK335" i="2" a="1"/>
  <c r="AK335" i="2" s="1"/>
  <c r="AJ335" i="2" a="1"/>
  <c r="AJ335" i="2" s="1"/>
  <c r="AI335" i="2" a="1"/>
  <c r="AI335" i="2" s="1"/>
  <c r="AH335" i="2" a="1"/>
  <c r="AH335" i="2" s="1"/>
  <c r="AG335" i="2" a="1"/>
  <c r="AG335" i="2" s="1"/>
  <c r="AF335" i="2" a="1"/>
  <c r="AF335" i="2" s="1"/>
  <c r="AE335" i="2" a="1"/>
  <c r="AE335" i="2" s="1"/>
  <c r="AD335" i="2" a="1"/>
  <c r="AD335" i="2" s="1"/>
  <c r="AC335" i="2" a="1"/>
  <c r="AC335" i="2" s="1"/>
  <c r="AB335" i="2"/>
  <c r="AA335" i="2" a="1"/>
  <c r="AA335" i="2" s="1"/>
  <c r="Z335" i="2" a="1"/>
  <c r="Z335" i="2" s="1"/>
  <c r="Y335" i="2" a="1"/>
  <c r="Y335" i="2" s="1"/>
  <c r="X335" i="2" a="1"/>
  <c r="X335" i="2" s="1"/>
  <c r="W335" i="2" a="1"/>
  <c r="W335" i="2" s="1"/>
  <c r="BB335" i="2" s="1" a="1"/>
  <c r="BB335" i="2" s="1"/>
  <c r="V335" i="2" a="1"/>
  <c r="V335" i="2" s="1"/>
  <c r="E335" i="2" s="1" a="1"/>
  <c r="E335" i="2" s="1"/>
  <c r="U335" i="2" a="1"/>
  <c r="U335" i="2" s="1"/>
  <c r="T335" i="2" a="1"/>
  <c r="T335" i="2" s="1"/>
  <c r="S335" i="2" a="1"/>
  <c r="S335" i="2" s="1"/>
  <c r="R335" i="2" a="1"/>
  <c r="R335" i="2" s="1"/>
  <c r="Q335" i="2" a="1"/>
  <c r="Q335" i="2" s="1"/>
  <c r="P335" i="2" a="1"/>
  <c r="P335" i="2" s="1"/>
  <c r="O335" i="2" a="1"/>
  <c r="O335" i="2" s="1"/>
  <c r="N335" i="2" a="1"/>
  <c r="N335" i="2" s="1"/>
  <c r="M335" i="2" a="1"/>
  <c r="M335" i="2" s="1"/>
  <c r="L335" i="2" a="1"/>
  <c r="L335" i="2" s="1"/>
  <c r="K335" i="2" a="1"/>
  <c r="K335" i="2" s="1"/>
  <c r="J335" i="2" a="1"/>
  <c r="J335" i="2" s="1"/>
  <c r="I335" i="2" a="1"/>
  <c r="I335" i="2" s="1"/>
  <c r="H335" i="2" a="1"/>
  <c r="H335" i="2" s="1"/>
  <c r="F335" i="2" a="1"/>
  <c r="F335" i="2" s="1"/>
  <c r="D335" i="2" a="1"/>
  <c r="D335" i="2" s="1"/>
  <c r="B335" i="2" a="1"/>
  <c r="B335" i="2" s="1"/>
  <c r="BD334" i="2" a="1"/>
  <c r="BD334" i="2" s="1"/>
  <c r="BC334" i="2" a="1"/>
  <c r="BC334" i="2" s="1"/>
  <c r="BA334" i="2" a="1"/>
  <c r="BA334" i="2" s="1"/>
  <c r="AZ334" i="2" a="1"/>
  <c r="AZ334" i="2" s="1"/>
  <c r="AY334" i="2" a="1"/>
  <c r="AY334" i="2" s="1"/>
  <c r="AX334" i="2" a="1"/>
  <c r="AX334" i="2" s="1"/>
  <c r="AW334" i="2" a="1"/>
  <c r="AW334" i="2" s="1"/>
  <c r="AV334" i="2" a="1"/>
  <c r="AV334" i="2" s="1"/>
  <c r="AU334" i="2" a="1"/>
  <c r="AU334" i="2" s="1"/>
  <c r="AT334" i="2" a="1"/>
  <c r="AT334" i="2" s="1"/>
  <c r="AS334" i="2" a="1"/>
  <c r="AS334" i="2" s="1"/>
  <c r="AR334" i="2" a="1"/>
  <c r="AR334" i="2" s="1"/>
  <c r="AQ334" i="2" a="1"/>
  <c r="AQ334" i="2" s="1"/>
  <c r="AP334" i="2" a="1"/>
  <c r="AP334" i="2" s="1"/>
  <c r="AO334" i="2" a="1"/>
  <c r="AO334" i="2" s="1"/>
  <c r="AN334" i="2" a="1"/>
  <c r="AN334" i="2" s="1"/>
  <c r="AM334" i="2" a="1"/>
  <c r="AM334" i="2" s="1"/>
  <c r="AL334" i="2" a="1"/>
  <c r="AL334" i="2" s="1"/>
  <c r="AK334" i="2" a="1"/>
  <c r="AK334" i="2" s="1"/>
  <c r="AJ334" i="2" a="1"/>
  <c r="AJ334" i="2" s="1"/>
  <c r="AI334" i="2" a="1"/>
  <c r="AI334" i="2" s="1"/>
  <c r="AH334" i="2" a="1"/>
  <c r="AH334" i="2" s="1"/>
  <c r="AG334" i="2" a="1"/>
  <c r="AG334" i="2" s="1"/>
  <c r="AF334" i="2" a="1"/>
  <c r="AF334" i="2" s="1"/>
  <c r="AE334" i="2" a="1"/>
  <c r="AE334" i="2" s="1"/>
  <c r="AD334" i="2" a="1"/>
  <c r="AD334" i="2" s="1"/>
  <c r="AC334" i="2" a="1"/>
  <c r="AC334" i="2" s="1"/>
  <c r="AB334" i="2"/>
  <c r="AA334" i="2" a="1"/>
  <c r="AA334" i="2" s="1"/>
  <c r="Z334" i="2" a="1"/>
  <c r="Z334" i="2" s="1"/>
  <c r="Y334" i="2" a="1"/>
  <c r="Y334" i="2" s="1"/>
  <c r="X334" i="2" a="1"/>
  <c r="X334" i="2" s="1"/>
  <c r="W334" i="2" a="1"/>
  <c r="W334" i="2" s="1"/>
  <c r="BB334" i="2" s="1" a="1"/>
  <c r="BB334" i="2" s="1"/>
  <c r="V334" i="2" a="1"/>
  <c r="V334" i="2" s="1"/>
  <c r="E334" i="2" s="1" a="1"/>
  <c r="E334" i="2" s="1"/>
  <c r="U334" i="2" a="1"/>
  <c r="U334" i="2" s="1"/>
  <c r="T334" i="2" a="1"/>
  <c r="T334" i="2" s="1"/>
  <c r="S334" i="2" a="1"/>
  <c r="S334" i="2" s="1"/>
  <c r="R334" i="2" a="1"/>
  <c r="R334" i="2" s="1"/>
  <c r="Q334" i="2" a="1"/>
  <c r="Q334" i="2" s="1"/>
  <c r="P334" i="2" a="1"/>
  <c r="P334" i="2" s="1"/>
  <c r="O334" i="2" a="1"/>
  <c r="O334" i="2" s="1"/>
  <c r="N334" i="2" a="1"/>
  <c r="N334" i="2" s="1"/>
  <c r="M334" i="2" a="1"/>
  <c r="M334" i="2" s="1"/>
  <c r="L334" i="2" a="1"/>
  <c r="L334" i="2" s="1"/>
  <c r="K334" i="2" a="1"/>
  <c r="K334" i="2" s="1"/>
  <c r="J334" i="2" a="1"/>
  <c r="J334" i="2" s="1"/>
  <c r="I334" i="2" a="1"/>
  <c r="I334" i="2" s="1"/>
  <c r="H334" i="2" a="1"/>
  <c r="H334" i="2" s="1"/>
  <c r="F334" i="2" a="1"/>
  <c r="F334" i="2" s="1"/>
  <c r="D334" i="2" a="1"/>
  <c r="D334" i="2" s="1"/>
  <c r="B334" i="2" a="1"/>
  <c r="B334" i="2" s="1"/>
  <c r="BD333" i="2" a="1"/>
  <c r="BD333" i="2" s="1"/>
  <c r="BC333" i="2" a="1"/>
  <c r="BC333" i="2" s="1"/>
  <c r="BA333" i="2" a="1"/>
  <c r="BA333" i="2" s="1"/>
  <c r="AZ333" i="2" a="1"/>
  <c r="AZ333" i="2" s="1"/>
  <c r="AY333" i="2" a="1"/>
  <c r="AY333" i="2" s="1"/>
  <c r="AX333" i="2" a="1"/>
  <c r="AX333" i="2" s="1"/>
  <c r="AW333" i="2" a="1"/>
  <c r="AW333" i="2" s="1"/>
  <c r="AV333" i="2" a="1"/>
  <c r="AV333" i="2" s="1"/>
  <c r="AU333" i="2" a="1"/>
  <c r="AU333" i="2" s="1"/>
  <c r="AT333" i="2" a="1"/>
  <c r="AT333" i="2" s="1"/>
  <c r="AS333" i="2" a="1"/>
  <c r="AS333" i="2" s="1"/>
  <c r="AR333" i="2" a="1"/>
  <c r="AR333" i="2" s="1"/>
  <c r="AQ333" i="2" a="1"/>
  <c r="AQ333" i="2" s="1"/>
  <c r="AP333" i="2" a="1"/>
  <c r="AP333" i="2" s="1"/>
  <c r="AO333" i="2" a="1"/>
  <c r="AO333" i="2" s="1"/>
  <c r="AN333" i="2" a="1"/>
  <c r="AN333" i="2" s="1"/>
  <c r="AM333" i="2" a="1"/>
  <c r="AM333" i="2" s="1"/>
  <c r="AL333" i="2" a="1"/>
  <c r="AL333" i="2" s="1"/>
  <c r="AK333" i="2" a="1"/>
  <c r="AK333" i="2" s="1"/>
  <c r="AJ333" i="2" a="1"/>
  <c r="AJ333" i="2" s="1"/>
  <c r="AI333" i="2" a="1"/>
  <c r="AI333" i="2" s="1"/>
  <c r="AH333" i="2" a="1"/>
  <c r="AH333" i="2" s="1"/>
  <c r="AG333" i="2" a="1"/>
  <c r="AG333" i="2" s="1"/>
  <c r="AF333" i="2" a="1"/>
  <c r="AF333" i="2" s="1"/>
  <c r="AE333" i="2" a="1"/>
  <c r="AE333" i="2" s="1"/>
  <c r="AD333" i="2" a="1"/>
  <c r="AD333" i="2" s="1"/>
  <c r="AC333" i="2" a="1"/>
  <c r="AC333" i="2" s="1"/>
  <c r="AB333" i="2"/>
  <c r="AA333" i="2" a="1"/>
  <c r="AA333" i="2" s="1"/>
  <c r="Z333" i="2" a="1"/>
  <c r="Z333" i="2" s="1"/>
  <c r="Y333" i="2" a="1"/>
  <c r="Y333" i="2" s="1"/>
  <c r="X333" i="2" a="1"/>
  <c r="X333" i="2" s="1"/>
  <c r="W333" i="2" a="1"/>
  <c r="W333" i="2" s="1"/>
  <c r="BB333" i="2" s="1" a="1"/>
  <c r="BB333" i="2" s="1"/>
  <c r="V333" i="2" a="1"/>
  <c r="V333" i="2" s="1"/>
  <c r="E333" i="2" s="1" a="1"/>
  <c r="E333" i="2" s="1"/>
  <c r="U333" i="2" a="1"/>
  <c r="U333" i="2" s="1"/>
  <c r="T333" i="2" a="1"/>
  <c r="T333" i="2" s="1"/>
  <c r="S333" i="2" a="1"/>
  <c r="S333" i="2" s="1"/>
  <c r="R333" i="2" a="1"/>
  <c r="R333" i="2" s="1"/>
  <c r="Q333" i="2" a="1"/>
  <c r="Q333" i="2" s="1"/>
  <c r="P333" i="2" a="1"/>
  <c r="P333" i="2" s="1"/>
  <c r="O333" i="2" a="1"/>
  <c r="O333" i="2" s="1"/>
  <c r="N333" i="2" a="1"/>
  <c r="N333" i="2" s="1"/>
  <c r="M333" i="2" a="1"/>
  <c r="M333" i="2" s="1"/>
  <c r="L333" i="2" a="1"/>
  <c r="L333" i="2" s="1"/>
  <c r="K333" i="2" a="1"/>
  <c r="K333" i="2" s="1"/>
  <c r="J333" i="2" a="1"/>
  <c r="J333" i="2" s="1"/>
  <c r="I333" i="2" a="1"/>
  <c r="I333" i="2" s="1"/>
  <c r="H333" i="2" a="1"/>
  <c r="H333" i="2" s="1"/>
  <c r="F333" i="2" a="1"/>
  <c r="F333" i="2" s="1"/>
  <c r="D333" i="2" a="1"/>
  <c r="D333" i="2" s="1"/>
  <c r="B333" i="2" a="1"/>
  <c r="B333" i="2" s="1"/>
  <c r="BD331" i="2" a="1"/>
  <c r="BD331" i="2" s="1"/>
  <c r="BC331" i="2" a="1"/>
  <c r="BC331" i="2" s="1"/>
  <c r="BA331" i="2" a="1"/>
  <c r="BA331" i="2" s="1"/>
  <c r="AZ331" i="2" a="1"/>
  <c r="AZ331" i="2" s="1"/>
  <c r="AY331" i="2" a="1"/>
  <c r="AY331" i="2" s="1"/>
  <c r="AX331" i="2" a="1"/>
  <c r="AX331" i="2" s="1"/>
  <c r="AW331" i="2" a="1"/>
  <c r="AW331" i="2" s="1"/>
  <c r="AV331" i="2" a="1"/>
  <c r="AV331" i="2" s="1"/>
  <c r="AU331" i="2" a="1"/>
  <c r="AU331" i="2" s="1"/>
  <c r="AT331" i="2" a="1"/>
  <c r="AT331" i="2" s="1"/>
  <c r="AS331" i="2" a="1"/>
  <c r="AS331" i="2" s="1"/>
  <c r="AR331" i="2" a="1"/>
  <c r="AR331" i="2" s="1"/>
  <c r="AQ331" i="2" a="1"/>
  <c r="AQ331" i="2" s="1"/>
  <c r="AP331" i="2" a="1"/>
  <c r="AP331" i="2" s="1"/>
  <c r="AO331" i="2" a="1"/>
  <c r="AO331" i="2" s="1"/>
  <c r="AN331" i="2" a="1"/>
  <c r="AN331" i="2" s="1"/>
  <c r="AM331" i="2" a="1"/>
  <c r="AM331" i="2" s="1"/>
  <c r="AL331" i="2" a="1"/>
  <c r="AL331" i="2" s="1"/>
  <c r="AK331" i="2" a="1"/>
  <c r="AK331" i="2" s="1"/>
  <c r="AJ331" i="2" a="1"/>
  <c r="AJ331" i="2" s="1"/>
  <c r="AI331" i="2" a="1"/>
  <c r="AI331" i="2" s="1"/>
  <c r="AH331" i="2" a="1"/>
  <c r="AH331" i="2" s="1"/>
  <c r="AG331" i="2" a="1"/>
  <c r="AG331" i="2" s="1"/>
  <c r="AF331" i="2" a="1"/>
  <c r="AF331" i="2" s="1"/>
  <c r="AE331" i="2" a="1"/>
  <c r="AE331" i="2" s="1"/>
  <c r="AD331" i="2" a="1"/>
  <c r="AD331" i="2" s="1"/>
  <c r="AC331" i="2" a="1"/>
  <c r="AC331" i="2" s="1"/>
  <c r="AB331" i="2"/>
  <c r="AA331" i="2" a="1"/>
  <c r="AA331" i="2" s="1"/>
  <c r="Z331" i="2" a="1"/>
  <c r="Z331" i="2" s="1"/>
  <c r="Y331" i="2" a="1"/>
  <c r="Y331" i="2" s="1"/>
  <c r="X331" i="2" a="1"/>
  <c r="X331" i="2" s="1"/>
  <c r="W331" i="2" a="1"/>
  <c r="W331" i="2" s="1"/>
  <c r="BB331" i="2" s="1" a="1"/>
  <c r="BB331" i="2" s="1"/>
  <c r="V331" i="2" a="1"/>
  <c r="V331" i="2" s="1"/>
  <c r="E331" i="2" s="1" a="1"/>
  <c r="E331" i="2" s="1"/>
  <c r="U331" i="2" a="1"/>
  <c r="U331" i="2" s="1"/>
  <c r="T331" i="2" a="1"/>
  <c r="T331" i="2" s="1"/>
  <c r="S331" i="2" a="1"/>
  <c r="S331" i="2" s="1"/>
  <c r="R331" i="2" a="1"/>
  <c r="R331" i="2" s="1"/>
  <c r="Q331" i="2" a="1"/>
  <c r="Q331" i="2" s="1"/>
  <c r="P331" i="2" a="1"/>
  <c r="P331" i="2" s="1"/>
  <c r="O331" i="2" a="1"/>
  <c r="O331" i="2" s="1"/>
  <c r="N331" i="2" a="1"/>
  <c r="N331" i="2" s="1"/>
  <c r="M331" i="2" a="1"/>
  <c r="M331" i="2" s="1"/>
  <c r="L331" i="2" a="1"/>
  <c r="L331" i="2" s="1"/>
  <c r="K331" i="2" a="1"/>
  <c r="K331" i="2" s="1"/>
  <c r="J331" i="2" a="1"/>
  <c r="J331" i="2" s="1"/>
  <c r="I331" i="2" a="1"/>
  <c r="I331" i="2" s="1"/>
  <c r="H331" i="2" a="1"/>
  <c r="H331" i="2" s="1"/>
  <c r="F331" i="2" a="1"/>
  <c r="F331" i="2" s="1"/>
  <c r="D331" i="2" a="1"/>
  <c r="D331" i="2" s="1"/>
  <c r="B331" i="2" a="1"/>
  <c r="B331" i="2" s="1"/>
  <c r="BD330" i="2" a="1"/>
  <c r="BD330" i="2" s="1"/>
  <c r="BC330" i="2" a="1"/>
  <c r="BC330" i="2" s="1"/>
  <c r="BA330" i="2" a="1"/>
  <c r="BA330" i="2" s="1"/>
  <c r="AZ330" i="2" a="1"/>
  <c r="AZ330" i="2" s="1"/>
  <c r="AY330" i="2" a="1"/>
  <c r="AY330" i="2" s="1"/>
  <c r="AX330" i="2" a="1"/>
  <c r="AX330" i="2" s="1"/>
  <c r="AW330" i="2" a="1"/>
  <c r="AW330" i="2" s="1"/>
  <c r="AV330" i="2" a="1"/>
  <c r="AV330" i="2" s="1"/>
  <c r="AU330" i="2" a="1"/>
  <c r="AU330" i="2" s="1"/>
  <c r="AT330" i="2" a="1"/>
  <c r="AT330" i="2" s="1"/>
  <c r="AS330" i="2" a="1"/>
  <c r="AS330" i="2" s="1"/>
  <c r="AR330" i="2" a="1"/>
  <c r="AR330" i="2" s="1"/>
  <c r="AQ330" i="2" a="1"/>
  <c r="AQ330" i="2" s="1"/>
  <c r="AP330" i="2" a="1"/>
  <c r="AP330" i="2" s="1"/>
  <c r="AO330" i="2" a="1"/>
  <c r="AO330" i="2" s="1"/>
  <c r="AN330" i="2" a="1"/>
  <c r="AN330" i="2" s="1"/>
  <c r="AM330" i="2" a="1"/>
  <c r="AM330" i="2" s="1"/>
  <c r="AL330" i="2" a="1"/>
  <c r="AL330" i="2" s="1"/>
  <c r="AK330" i="2" a="1"/>
  <c r="AK330" i="2" s="1"/>
  <c r="AJ330" i="2" a="1"/>
  <c r="AJ330" i="2" s="1"/>
  <c r="AI330" i="2" a="1"/>
  <c r="AI330" i="2" s="1"/>
  <c r="AH330" i="2" a="1"/>
  <c r="AH330" i="2" s="1"/>
  <c r="AG330" i="2" a="1"/>
  <c r="AG330" i="2" s="1"/>
  <c r="AF330" i="2" a="1"/>
  <c r="AF330" i="2" s="1"/>
  <c r="AE330" i="2" a="1"/>
  <c r="AE330" i="2" s="1"/>
  <c r="AD330" i="2" a="1"/>
  <c r="AD330" i="2" s="1"/>
  <c r="AC330" i="2" a="1"/>
  <c r="AC330" i="2" s="1"/>
  <c r="AB330" i="2"/>
  <c r="AA330" i="2" a="1"/>
  <c r="AA330" i="2" s="1"/>
  <c r="Z330" i="2" a="1"/>
  <c r="Z330" i="2" s="1"/>
  <c r="Y330" i="2" a="1"/>
  <c r="Y330" i="2" s="1"/>
  <c r="X330" i="2" a="1"/>
  <c r="X330" i="2" s="1"/>
  <c r="W330" i="2" a="1"/>
  <c r="W330" i="2" s="1"/>
  <c r="BB330" i="2" s="1" a="1"/>
  <c r="BB330" i="2" s="1"/>
  <c r="V330" i="2" a="1"/>
  <c r="V330" i="2" s="1"/>
  <c r="E330" i="2" s="1" a="1"/>
  <c r="E330" i="2" s="1"/>
  <c r="U330" i="2" a="1"/>
  <c r="U330" i="2" s="1"/>
  <c r="T330" i="2" a="1"/>
  <c r="T330" i="2" s="1"/>
  <c r="S330" i="2" a="1"/>
  <c r="S330" i="2" s="1"/>
  <c r="R330" i="2" a="1"/>
  <c r="R330" i="2" s="1"/>
  <c r="Q330" i="2" a="1"/>
  <c r="Q330" i="2" s="1"/>
  <c r="P330" i="2" a="1"/>
  <c r="P330" i="2" s="1"/>
  <c r="O330" i="2" a="1"/>
  <c r="O330" i="2" s="1"/>
  <c r="N330" i="2" a="1"/>
  <c r="N330" i="2" s="1"/>
  <c r="M330" i="2" a="1"/>
  <c r="M330" i="2" s="1"/>
  <c r="L330" i="2" a="1"/>
  <c r="L330" i="2" s="1"/>
  <c r="K330" i="2" a="1"/>
  <c r="K330" i="2" s="1"/>
  <c r="J330" i="2" a="1"/>
  <c r="J330" i="2" s="1"/>
  <c r="I330" i="2" a="1"/>
  <c r="I330" i="2" s="1"/>
  <c r="H330" i="2" a="1"/>
  <c r="H330" i="2" s="1"/>
  <c r="F330" i="2" a="1"/>
  <c r="F330" i="2" s="1"/>
  <c r="D330" i="2" a="1"/>
  <c r="D330" i="2" s="1"/>
  <c r="B330" i="2" a="1"/>
  <c r="B330" i="2" s="1"/>
  <c r="BD329" i="2" a="1"/>
  <c r="BD329" i="2" s="1"/>
  <c r="BC329" i="2" a="1"/>
  <c r="BC329" i="2" s="1"/>
  <c r="BA329" i="2" a="1"/>
  <c r="BA329" i="2" s="1"/>
  <c r="AZ329" i="2" a="1"/>
  <c r="AZ329" i="2" s="1"/>
  <c r="AY329" i="2" a="1"/>
  <c r="AY329" i="2" s="1"/>
  <c r="AX329" i="2" a="1"/>
  <c r="AX329" i="2" s="1"/>
  <c r="AW329" i="2" a="1"/>
  <c r="AW329" i="2" s="1"/>
  <c r="AV329" i="2" a="1"/>
  <c r="AV329" i="2" s="1"/>
  <c r="AU329" i="2" a="1"/>
  <c r="AU329" i="2" s="1"/>
  <c r="AT329" i="2" a="1"/>
  <c r="AT329" i="2" s="1"/>
  <c r="AS329" i="2" a="1"/>
  <c r="AS329" i="2" s="1"/>
  <c r="AR329" i="2" a="1"/>
  <c r="AR329" i="2" s="1"/>
  <c r="AQ329" i="2" a="1"/>
  <c r="AQ329" i="2" s="1"/>
  <c r="AP329" i="2" a="1"/>
  <c r="AP329" i="2" s="1"/>
  <c r="AO329" i="2" a="1"/>
  <c r="AO329" i="2" s="1"/>
  <c r="AN329" i="2" a="1"/>
  <c r="AN329" i="2" s="1"/>
  <c r="AM329" i="2" a="1"/>
  <c r="AM329" i="2" s="1"/>
  <c r="AL329" i="2" a="1"/>
  <c r="AL329" i="2" s="1"/>
  <c r="AK329" i="2" a="1"/>
  <c r="AK329" i="2" s="1"/>
  <c r="AJ329" i="2" a="1"/>
  <c r="AJ329" i="2" s="1"/>
  <c r="AI329" i="2" a="1"/>
  <c r="AI329" i="2" s="1"/>
  <c r="AH329" i="2" a="1"/>
  <c r="AH329" i="2" s="1"/>
  <c r="AG329" i="2" a="1"/>
  <c r="AG329" i="2" s="1"/>
  <c r="AF329" i="2" a="1"/>
  <c r="AF329" i="2" s="1"/>
  <c r="AE329" i="2" a="1"/>
  <c r="AE329" i="2" s="1"/>
  <c r="AD329" i="2" a="1"/>
  <c r="AD329" i="2" s="1"/>
  <c r="AC329" i="2" a="1"/>
  <c r="AC329" i="2" s="1"/>
  <c r="AB329" i="2"/>
  <c r="AA329" i="2" a="1"/>
  <c r="AA329" i="2" s="1"/>
  <c r="Z329" i="2" a="1"/>
  <c r="Z329" i="2" s="1"/>
  <c r="Y329" i="2" a="1"/>
  <c r="Y329" i="2" s="1"/>
  <c r="X329" i="2" a="1"/>
  <c r="X329" i="2" s="1"/>
  <c r="W329" i="2" a="1"/>
  <c r="W329" i="2" s="1"/>
  <c r="BB329" i="2" s="1" a="1"/>
  <c r="BB329" i="2" s="1"/>
  <c r="V329" i="2" a="1"/>
  <c r="V329" i="2" s="1"/>
  <c r="E329" i="2" s="1" a="1"/>
  <c r="E329" i="2" s="1"/>
  <c r="U329" i="2" a="1"/>
  <c r="U329" i="2" s="1"/>
  <c r="T329" i="2" a="1"/>
  <c r="T329" i="2" s="1"/>
  <c r="S329" i="2" a="1"/>
  <c r="S329" i="2" s="1"/>
  <c r="R329" i="2" a="1"/>
  <c r="R329" i="2" s="1"/>
  <c r="Q329" i="2" a="1"/>
  <c r="Q329" i="2" s="1"/>
  <c r="P329" i="2" a="1"/>
  <c r="P329" i="2" s="1"/>
  <c r="O329" i="2" a="1"/>
  <c r="O329" i="2" s="1"/>
  <c r="N329" i="2" a="1"/>
  <c r="N329" i="2" s="1"/>
  <c r="M329" i="2" a="1"/>
  <c r="M329" i="2" s="1"/>
  <c r="L329" i="2" a="1"/>
  <c r="L329" i="2" s="1"/>
  <c r="K329" i="2" a="1"/>
  <c r="K329" i="2" s="1"/>
  <c r="J329" i="2" a="1"/>
  <c r="J329" i="2" s="1"/>
  <c r="I329" i="2" a="1"/>
  <c r="I329" i="2" s="1"/>
  <c r="H329" i="2" a="1"/>
  <c r="H329" i="2" s="1"/>
  <c r="F329" i="2" a="1"/>
  <c r="F329" i="2" s="1"/>
  <c r="D329" i="2" a="1"/>
  <c r="D329" i="2" s="1"/>
  <c r="B329" i="2" a="1"/>
  <c r="B329" i="2" s="1"/>
  <c r="BD328" i="2" a="1"/>
  <c r="BD328" i="2" s="1"/>
  <c r="BC328" i="2" a="1"/>
  <c r="BC328" i="2" s="1"/>
  <c r="BA328" i="2" a="1"/>
  <c r="BA328" i="2" s="1"/>
  <c r="AZ328" i="2" a="1"/>
  <c r="AZ328" i="2" s="1"/>
  <c r="AY328" i="2" a="1"/>
  <c r="AY328" i="2" s="1"/>
  <c r="AX328" i="2" a="1"/>
  <c r="AX328" i="2" s="1"/>
  <c r="AW328" i="2" a="1"/>
  <c r="AW328" i="2" s="1"/>
  <c r="AV328" i="2" a="1"/>
  <c r="AV328" i="2" s="1"/>
  <c r="AU328" i="2" a="1"/>
  <c r="AU328" i="2" s="1"/>
  <c r="AT328" i="2" a="1"/>
  <c r="AT328" i="2" s="1"/>
  <c r="AS328" i="2" a="1"/>
  <c r="AS328" i="2" s="1"/>
  <c r="AR328" i="2" a="1"/>
  <c r="AR328" i="2" s="1"/>
  <c r="AQ328" i="2" a="1"/>
  <c r="AQ328" i="2" s="1"/>
  <c r="AP328" i="2" a="1"/>
  <c r="AP328" i="2" s="1"/>
  <c r="AO328" i="2" a="1"/>
  <c r="AO328" i="2" s="1"/>
  <c r="AN328" i="2" a="1"/>
  <c r="AN328" i="2" s="1"/>
  <c r="AM328" i="2" a="1"/>
  <c r="AM328" i="2" s="1"/>
  <c r="AL328" i="2" a="1"/>
  <c r="AL328" i="2" s="1"/>
  <c r="AK328" i="2" a="1"/>
  <c r="AK328" i="2" s="1"/>
  <c r="AJ328" i="2" a="1"/>
  <c r="AJ328" i="2" s="1"/>
  <c r="AI328" i="2" a="1"/>
  <c r="AI328" i="2" s="1"/>
  <c r="AH328" i="2" a="1"/>
  <c r="AH328" i="2" s="1"/>
  <c r="AG328" i="2" a="1"/>
  <c r="AG328" i="2" s="1"/>
  <c r="AF328" i="2" a="1"/>
  <c r="AF328" i="2" s="1"/>
  <c r="AE328" i="2" a="1"/>
  <c r="AE328" i="2" s="1"/>
  <c r="AD328" i="2" a="1"/>
  <c r="AD328" i="2" s="1"/>
  <c r="AC328" i="2" a="1"/>
  <c r="AC328" i="2" s="1"/>
  <c r="AB328" i="2"/>
  <c r="AA328" i="2" a="1"/>
  <c r="AA328" i="2" s="1"/>
  <c r="Z328" i="2" a="1"/>
  <c r="Z328" i="2" s="1"/>
  <c r="Y328" i="2" a="1"/>
  <c r="Y328" i="2" s="1"/>
  <c r="X328" i="2" a="1"/>
  <c r="X328" i="2" s="1"/>
  <c r="W328" i="2" a="1"/>
  <c r="W328" i="2" s="1"/>
  <c r="BB328" i="2" s="1" a="1"/>
  <c r="BB328" i="2" s="1"/>
  <c r="V328" i="2" a="1"/>
  <c r="V328" i="2" s="1"/>
  <c r="E328" i="2" s="1" a="1"/>
  <c r="E328" i="2" s="1"/>
  <c r="U328" i="2" a="1"/>
  <c r="U328" i="2" s="1"/>
  <c r="T328" i="2" a="1"/>
  <c r="T328" i="2" s="1"/>
  <c r="S328" i="2" a="1"/>
  <c r="S328" i="2" s="1"/>
  <c r="R328" i="2" a="1"/>
  <c r="R328" i="2" s="1"/>
  <c r="Q328" i="2" a="1"/>
  <c r="Q328" i="2" s="1"/>
  <c r="P328" i="2" a="1"/>
  <c r="P328" i="2" s="1"/>
  <c r="O328" i="2" a="1"/>
  <c r="O328" i="2" s="1"/>
  <c r="N328" i="2" a="1"/>
  <c r="N328" i="2" s="1"/>
  <c r="M328" i="2" a="1"/>
  <c r="M328" i="2" s="1"/>
  <c r="L328" i="2" a="1"/>
  <c r="L328" i="2" s="1"/>
  <c r="K328" i="2" a="1"/>
  <c r="K328" i="2" s="1"/>
  <c r="J328" i="2" a="1"/>
  <c r="J328" i="2" s="1"/>
  <c r="I328" i="2" a="1"/>
  <c r="I328" i="2" s="1"/>
  <c r="H328" i="2" a="1"/>
  <c r="H328" i="2" s="1"/>
  <c r="F328" i="2" a="1"/>
  <c r="F328" i="2" s="1"/>
  <c r="D328" i="2" a="1"/>
  <c r="D328" i="2" s="1"/>
  <c r="B328" i="2" a="1"/>
  <c r="B328" i="2" s="1"/>
  <c r="BD327" i="2" a="1"/>
  <c r="BD327" i="2" s="1"/>
  <c r="BC327" i="2" a="1"/>
  <c r="BC327" i="2" s="1"/>
  <c r="BA327" i="2" a="1"/>
  <c r="BA327" i="2" s="1"/>
  <c r="AZ327" i="2" a="1"/>
  <c r="AZ327" i="2" s="1"/>
  <c r="AY327" i="2" a="1"/>
  <c r="AY327" i="2" s="1"/>
  <c r="AX327" i="2" a="1"/>
  <c r="AX327" i="2" s="1"/>
  <c r="AW327" i="2" a="1"/>
  <c r="AW327" i="2" s="1"/>
  <c r="AV327" i="2" a="1"/>
  <c r="AV327" i="2" s="1"/>
  <c r="AU327" i="2" a="1"/>
  <c r="AU327" i="2" s="1"/>
  <c r="AT327" i="2" a="1"/>
  <c r="AT327" i="2" s="1"/>
  <c r="AS327" i="2" a="1"/>
  <c r="AS327" i="2" s="1"/>
  <c r="AR327" i="2" a="1"/>
  <c r="AR327" i="2" s="1"/>
  <c r="AQ327" i="2" a="1"/>
  <c r="AQ327" i="2" s="1"/>
  <c r="AP327" i="2" a="1"/>
  <c r="AP327" i="2" s="1"/>
  <c r="AO327" i="2" a="1"/>
  <c r="AO327" i="2" s="1"/>
  <c r="AN327" i="2" a="1"/>
  <c r="AN327" i="2" s="1"/>
  <c r="AM327" i="2" a="1"/>
  <c r="AM327" i="2" s="1"/>
  <c r="AL327" i="2" a="1"/>
  <c r="AL327" i="2" s="1"/>
  <c r="AK327" i="2" a="1"/>
  <c r="AK327" i="2" s="1"/>
  <c r="AJ327" i="2" a="1"/>
  <c r="AJ327" i="2" s="1"/>
  <c r="AI327" i="2" a="1"/>
  <c r="AI327" i="2" s="1"/>
  <c r="AH327" i="2" a="1"/>
  <c r="AH327" i="2" s="1"/>
  <c r="AG327" i="2" a="1"/>
  <c r="AG327" i="2" s="1"/>
  <c r="AF327" i="2" a="1"/>
  <c r="AF327" i="2" s="1"/>
  <c r="AE327" i="2" a="1"/>
  <c r="AE327" i="2" s="1"/>
  <c r="AD327" i="2" a="1"/>
  <c r="AD327" i="2" s="1"/>
  <c r="AC327" i="2" a="1"/>
  <c r="AC327" i="2" s="1"/>
  <c r="AB327" i="2"/>
  <c r="AA327" i="2" a="1"/>
  <c r="AA327" i="2" s="1"/>
  <c r="Z327" i="2" a="1"/>
  <c r="Z327" i="2" s="1"/>
  <c r="Y327" i="2" a="1"/>
  <c r="Y327" i="2" s="1"/>
  <c r="X327" i="2" a="1"/>
  <c r="X327" i="2" s="1"/>
  <c r="W327" i="2" a="1"/>
  <c r="W327" i="2" s="1"/>
  <c r="BB327" i="2" s="1" a="1"/>
  <c r="BB327" i="2" s="1"/>
  <c r="V327" i="2" a="1"/>
  <c r="V327" i="2" s="1"/>
  <c r="E327" i="2" s="1" a="1"/>
  <c r="E327" i="2" s="1"/>
  <c r="U327" i="2" a="1"/>
  <c r="U327" i="2" s="1"/>
  <c r="T327" i="2" a="1"/>
  <c r="T327" i="2" s="1"/>
  <c r="S327" i="2" a="1"/>
  <c r="S327" i="2" s="1"/>
  <c r="R327" i="2" a="1"/>
  <c r="R327" i="2" s="1"/>
  <c r="Q327" i="2" a="1"/>
  <c r="Q327" i="2" s="1"/>
  <c r="P327" i="2" a="1"/>
  <c r="P327" i="2" s="1"/>
  <c r="O327" i="2" a="1"/>
  <c r="O327" i="2" s="1"/>
  <c r="N327" i="2" a="1"/>
  <c r="N327" i="2" s="1"/>
  <c r="M327" i="2" a="1"/>
  <c r="M327" i="2" s="1"/>
  <c r="L327" i="2" a="1"/>
  <c r="L327" i="2" s="1"/>
  <c r="K327" i="2" a="1"/>
  <c r="K327" i="2" s="1"/>
  <c r="J327" i="2" a="1"/>
  <c r="J327" i="2" s="1"/>
  <c r="I327" i="2" a="1"/>
  <c r="I327" i="2" s="1"/>
  <c r="H327" i="2" a="1"/>
  <c r="H327" i="2" s="1"/>
  <c r="F327" i="2" a="1"/>
  <c r="F327" i="2" s="1"/>
  <c r="D327" i="2" a="1"/>
  <c r="D327" i="2" s="1"/>
  <c r="B327" i="2" a="1"/>
  <c r="B327" i="2" s="1"/>
  <c r="BD323" i="2" a="1"/>
  <c r="BD323" i="2" s="1"/>
  <c r="BC323" i="2" a="1"/>
  <c r="BC323" i="2" s="1"/>
  <c r="AZ323" i="2" a="1"/>
  <c r="AZ323" i="2" s="1"/>
  <c r="AY323" i="2" a="1"/>
  <c r="AY323" i="2" s="1"/>
  <c r="AX323" i="2" a="1"/>
  <c r="AX323" i="2" s="1"/>
  <c r="AW323" i="2" a="1"/>
  <c r="AW323" i="2" s="1"/>
  <c r="AV323" i="2" a="1"/>
  <c r="AV323" i="2" s="1"/>
  <c r="AU323" i="2" a="1"/>
  <c r="AU323" i="2" s="1"/>
  <c r="AT323" i="2" a="1"/>
  <c r="AT323" i="2" s="1"/>
  <c r="AS323" i="2" a="1"/>
  <c r="AS323" i="2" s="1"/>
  <c r="AR323" i="2" a="1"/>
  <c r="AR323" i="2" s="1"/>
  <c r="AQ323" i="2" a="1"/>
  <c r="AQ323" i="2" s="1"/>
  <c r="AP323" i="2" a="1"/>
  <c r="AP323" i="2" s="1"/>
  <c r="AO323" i="2" a="1"/>
  <c r="AO323" i="2" s="1"/>
  <c r="AN323" i="2" a="1"/>
  <c r="AN323" i="2" s="1"/>
  <c r="AM323" i="2" a="1"/>
  <c r="AM323" i="2" s="1"/>
  <c r="AL323" i="2" a="1"/>
  <c r="AL323" i="2" s="1"/>
  <c r="AK323" i="2" a="1"/>
  <c r="AK323" i="2" s="1"/>
  <c r="AJ323" i="2" a="1"/>
  <c r="AJ323" i="2" s="1"/>
  <c r="AI323" i="2" a="1"/>
  <c r="AI323" i="2" s="1"/>
  <c r="AH323" i="2" a="1"/>
  <c r="AH323" i="2" s="1"/>
  <c r="AG323" i="2" a="1"/>
  <c r="AG323" i="2" s="1"/>
  <c r="AF323" i="2" a="1"/>
  <c r="AF323" i="2" s="1"/>
  <c r="AE323" i="2" a="1"/>
  <c r="AE323" i="2" s="1"/>
  <c r="AD323" i="2" a="1"/>
  <c r="AD323" i="2" s="1"/>
  <c r="AC323" i="2" a="1"/>
  <c r="AC323" i="2" s="1"/>
  <c r="AB323" i="2" a="1"/>
  <c r="AB323" i="2" s="1"/>
  <c r="AA323" i="2" a="1"/>
  <c r="AA323" i="2" s="1"/>
  <c r="Z323" i="2" a="1"/>
  <c r="Z323" i="2" s="1"/>
  <c r="Y323" i="2" a="1"/>
  <c r="Y323" i="2" s="1"/>
  <c r="X323" i="2" a="1"/>
  <c r="X323" i="2" s="1"/>
  <c r="W323" i="2" a="1"/>
  <c r="W323" i="2" s="1"/>
  <c r="BB323" i="2" s="1" a="1"/>
  <c r="BB323" i="2" s="1"/>
  <c r="V323" i="2" a="1"/>
  <c r="V323" i="2" s="1"/>
  <c r="E323" i="2" s="1" a="1"/>
  <c r="E323" i="2" s="1"/>
  <c r="U323" i="2" a="1"/>
  <c r="U323" i="2" s="1"/>
  <c r="T323" i="2" a="1"/>
  <c r="T323" i="2" s="1"/>
  <c r="S323" i="2" a="1"/>
  <c r="S323" i="2" s="1"/>
  <c r="R323" i="2" a="1"/>
  <c r="R323" i="2" s="1"/>
  <c r="Q323" i="2" a="1"/>
  <c r="Q323" i="2" s="1"/>
  <c r="P323" i="2" a="1"/>
  <c r="P323" i="2" s="1"/>
  <c r="O323" i="2" a="1"/>
  <c r="O323" i="2" s="1"/>
  <c r="N323" i="2" a="1"/>
  <c r="N323" i="2" s="1"/>
  <c r="M323" i="2" a="1"/>
  <c r="M323" i="2" s="1"/>
  <c r="L323" i="2" a="1"/>
  <c r="L323" i="2" s="1"/>
  <c r="K323" i="2" a="1"/>
  <c r="K323" i="2" s="1"/>
  <c r="J323" i="2" a="1"/>
  <c r="J323" i="2" s="1"/>
  <c r="I323" i="2" a="1"/>
  <c r="I323" i="2" s="1"/>
  <c r="H323" i="2" a="1"/>
  <c r="H323" i="2" s="1"/>
  <c r="F323" i="2" a="1"/>
  <c r="F323" i="2" s="1"/>
  <c r="D323" i="2" a="1"/>
  <c r="D323" i="2" s="1"/>
  <c r="B323" i="2" a="1"/>
  <c r="B323" i="2" s="1"/>
  <c r="AC319" i="2" a="1"/>
  <c r="AC319" i="2" s="1"/>
  <c r="AC318" i="2" a="1"/>
  <c r="AC318" i="2" s="1"/>
  <c r="AC317" i="2" a="1"/>
  <c r="AC317" i="2" s="1"/>
  <c r="AC316" i="2" a="1"/>
  <c r="AC316" i="2" s="1"/>
  <c r="AC315" i="2" a="1"/>
  <c r="AC315" i="2" s="1"/>
  <c r="AC314" i="2" a="1"/>
  <c r="AC314" i="2" s="1"/>
  <c r="AC313" i="2" a="1"/>
  <c r="AC313" i="2" s="1"/>
  <c r="AC312" i="2" a="1"/>
  <c r="AC312" i="2" s="1"/>
  <c r="AC310" i="2" a="1"/>
  <c r="AC310" i="2" s="1"/>
  <c r="AC309" i="2" a="1"/>
  <c r="AC309" i="2" s="1"/>
  <c r="AC308" i="2" a="1"/>
  <c r="AC308" i="2" s="1"/>
  <c r="AC307" i="2" a="1"/>
  <c r="AC307" i="2" s="1"/>
  <c r="AC306" i="2" a="1"/>
  <c r="AC306" i="2" s="1"/>
  <c r="AC305" i="2" a="1"/>
  <c r="AC305" i="2" s="1"/>
  <c r="AC304" i="2" a="1"/>
  <c r="AC304" i="2" s="1"/>
  <c r="AC303" i="2" a="1"/>
  <c r="AC303" i="2" s="1"/>
  <c r="AC302" i="2" a="1"/>
  <c r="AC302" i="2" s="1"/>
  <c r="AC301" i="2" a="1"/>
  <c r="AC301" i="2" s="1"/>
  <c r="AC300" i="2" a="1"/>
  <c r="AC300" i="2" s="1"/>
  <c r="AC298" i="2" a="1"/>
  <c r="AC298" i="2" s="1"/>
  <c r="AC297" i="2" a="1"/>
  <c r="AC297" i="2" s="1"/>
  <c r="AC296" i="2" a="1"/>
  <c r="AC296" i="2" s="1"/>
  <c r="AC295" i="2" a="1"/>
  <c r="AC295" i="2" s="1"/>
  <c r="AC294" i="2" a="1"/>
  <c r="AC294" i="2" s="1"/>
  <c r="AA319" i="2" a="1"/>
  <c r="AA319" i="2" s="1"/>
  <c r="AA318" i="2" a="1"/>
  <c r="AA318" i="2" s="1"/>
  <c r="AA317" i="2" a="1"/>
  <c r="AA317" i="2" s="1"/>
  <c r="AA316" i="2" a="1"/>
  <c r="AA316" i="2" s="1"/>
  <c r="AA315" i="2" a="1"/>
  <c r="AA315" i="2" s="1"/>
  <c r="AA314" i="2" a="1"/>
  <c r="AA314" i="2" s="1"/>
  <c r="AA313" i="2" a="1"/>
  <c r="AA313" i="2" s="1"/>
  <c r="AA312" i="2" a="1"/>
  <c r="AA312" i="2" s="1"/>
  <c r="AA310" i="2" a="1"/>
  <c r="AA310" i="2" s="1"/>
  <c r="AA309" i="2" a="1"/>
  <c r="AA309" i="2" s="1"/>
  <c r="AA308" i="2" a="1"/>
  <c r="AA308" i="2" s="1"/>
  <c r="AA307" i="2" a="1"/>
  <c r="AA307" i="2" s="1"/>
  <c r="AA306" i="2" a="1"/>
  <c r="AA306" i="2" s="1"/>
  <c r="AA305" i="2" a="1"/>
  <c r="AA305" i="2" s="1"/>
  <c r="AA304" i="2" a="1"/>
  <c r="AA304" i="2" s="1"/>
  <c r="AA303" i="2" a="1"/>
  <c r="AA303" i="2" s="1"/>
  <c r="AA302" i="2" a="1"/>
  <c r="AA302" i="2" s="1"/>
  <c r="AA301" i="2" a="1"/>
  <c r="AA301" i="2" s="1"/>
  <c r="AA300" i="2" a="1"/>
  <c r="AA300" i="2" s="1"/>
  <c r="AA298" i="2" a="1"/>
  <c r="AA298" i="2" s="1"/>
  <c r="AA297" i="2" a="1"/>
  <c r="AA297" i="2" s="1"/>
  <c r="AA296" i="2" a="1"/>
  <c r="AA296" i="2" s="1"/>
  <c r="AA295" i="2" a="1"/>
  <c r="AA295" i="2" s="1"/>
  <c r="AA294" i="2" a="1"/>
  <c r="AA294" i="2" s="1"/>
  <c r="AA286" i="2" a="1"/>
  <c r="AA286" i="2" s="1"/>
  <c r="AA285" i="2" a="1"/>
  <c r="AA285" i="2" s="1"/>
  <c r="AA284" i="2" a="1"/>
  <c r="AA284" i="2" s="1"/>
  <c r="AA283" i="2" a="1"/>
  <c r="AA283" i="2" s="1"/>
  <c r="AA282" i="2" a="1"/>
  <c r="AA282" i="2" s="1"/>
  <c r="AA281" i="2" a="1"/>
  <c r="AA281" i="2" s="1"/>
  <c r="AA280" i="2" a="1"/>
  <c r="AA280" i="2" s="1"/>
  <c r="AA279" i="2" a="1"/>
  <c r="AA279" i="2" s="1"/>
  <c r="AA277" i="2" a="1"/>
  <c r="AA277" i="2" s="1"/>
  <c r="AA276" i="2" a="1"/>
  <c r="AA276" i="2" s="1"/>
  <c r="AA275" i="2" a="1"/>
  <c r="AA275" i="2" s="1"/>
  <c r="AA274" i="2" a="1"/>
  <c r="AA274" i="2" s="1"/>
  <c r="AA273" i="2" a="1"/>
  <c r="AA273" i="2" s="1"/>
  <c r="AA272" i="2" a="1"/>
  <c r="AA272" i="2" s="1"/>
  <c r="AA271" i="2" a="1"/>
  <c r="AA271" i="2" s="1"/>
  <c r="AA270" i="2" a="1"/>
  <c r="AA270" i="2" s="1"/>
  <c r="AA269" i="2" a="1"/>
  <c r="AA269" i="2" s="1"/>
  <c r="AA268" i="2" a="1"/>
  <c r="AA268" i="2" s="1"/>
  <c r="AA267" i="2" a="1"/>
  <c r="AA267" i="2" s="1"/>
  <c r="AA264" i="2" a="1"/>
  <c r="AA264" i="2" s="1"/>
  <c r="AA265" i="2" a="1"/>
  <c r="AA265" i="2" s="1"/>
  <c r="AA263" i="2" a="1"/>
  <c r="AA263" i="2" s="1"/>
  <c r="AC286" i="2" a="1"/>
  <c r="AC286" i="2" s="1"/>
  <c r="AC285" i="2" a="1"/>
  <c r="AC285" i="2" s="1"/>
  <c r="AC284" i="2" a="1"/>
  <c r="AC284" i="2" s="1"/>
  <c r="AC283" i="2" a="1"/>
  <c r="AC283" i="2" s="1"/>
  <c r="AC282" i="2" a="1"/>
  <c r="AC282" i="2" s="1"/>
  <c r="AC281" i="2" a="1"/>
  <c r="AC281" i="2" s="1"/>
  <c r="AC280" i="2" a="1"/>
  <c r="AC280" i="2" s="1"/>
  <c r="AC279" i="2" a="1"/>
  <c r="AC279" i="2" s="1"/>
  <c r="AC277" i="2" a="1"/>
  <c r="AC277" i="2" s="1"/>
  <c r="AC276" i="2" a="1"/>
  <c r="AC276" i="2" s="1"/>
  <c r="AC275" i="2" a="1"/>
  <c r="AC275" i="2" s="1"/>
  <c r="AC274" i="2" a="1"/>
  <c r="AC274" i="2" s="1"/>
  <c r="AC273" i="2" a="1"/>
  <c r="AC273" i="2" s="1"/>
  <c r="AC272" i="2" a="1"/>
  <c r="AC272" i="2" s="1"/>
  <c r="AC271" i="2" a="1"/>
  <c r="AC271" i="2" s="1"/>
  <c r="AC270" i="2" a="1"/>
  <c r="AC270" i="2" s="1"/>
  <c r="AC269" i="2" a="1"/>
  <c r="AC269" i="2" s="1"/>
  <c r="AC268" i="2" a="1"/>
  <c r="AC268" i="2" s="1"/>
  <c r="AC267" i="2" a="1"/>
  <c r="AC267" i="2" s="1"/>
  <c r="AC264" i="2" a="1"/>
  <c r="AC264" i="2" s="1"/>
  <c r="AC265" i="2" a="1"/>
  <c r="AC265" i="2" s="1"/>
  <c r="AC263" i="2" a="1"/>
  <c r="AC263" i="2" s="1"/>
  <c r="AA231" i="2" a="1"/>
  <c r="AA231" i="2" s="1"/>
  <c r="AA232" i="2" a="1"/>
  <c r="AA232" i="2" s="1"/>
  <c r="AA233" i="2" a="1"/>
  <c r="AA233" i="2" s="1"/>
  <c r="AA234" i="2" a="1"/>
  <c r="AA234" i="2" s="1"/>
  <c r="AA235" i="2" a="1"/>
  <c r="AA235" i="2" s="1"/>
  <c r="AA236" i="2" a="1"/>
  <c r="AA236" i="2" s="1"/>
  <c r="AA230" i="2" a="1"/>
  <c r="AA230" i="2" s="1"/>
  <c r="B296" i="2" a="1"/>
  <c r="B296" i="2" s="1"/>
  <c r="B295" i="2" a="1"/>
  <c r="B295" i="2" s="1"/>
  <c r="D295" i="2" a="1"/>
  <c r="D295" i="2" s="1"/>
  <c r="F295" i="2" a="1"/>
  <c r="F295" i="2" s="1"/>
  <c r="H295" i="2" a="1"/>
  <c r="H295" i="2" s="1"/>
  <c r="I295" i="2" a="1"/>
  <c r="I295" i="2" s="1"/>
  <c r="J295" i="2" a="1"/>
  <c r="J295" i="2" s="1"/>
  <c r="K295" i="2" a="1"/>
  <c r="K295" i="2" s="1"/>
  <c r="L295" i="2" a="1"/>
  <c r="L295" i="2" s="1"/>
  <c r="M295" i="2" a="1"/>
  <c r="M295" i="2" s="1"/>
  <c r="N295" i="2" a="1"/>
  <c r="N295" i="2" s="1"/>
  <c r="O295" i="2" a="1"/>
  <c r="O295" i="2" s="1"/>
  <c r="P295" i="2" a="1"/>
  <c r="P295" i="2" s="1"/>
  <c r="Q295" i="2" a="1"/>
  <c r="Q295" i="2" s="1"/>
  <c r="R295" i="2" a="1"/>
  <c r="R295" i="2" s="1"/>
  <c r="S295" i="2" a="1"/>
  <c r="S295" i="2" s="1"/>
  <c r="T295" i="2" a="1"/>
  <c r="T295" i="2" s="1"/>
  <c r="U295" i="2" a="1"/>
  <c r="U295" i="2" s="1"/>
  <c r="V295" i="2" a="1"/>
  <c r="V295" i="2" s="1"/>
  <c r="E295" i="2" s="1" a="1"/>
  <c r="E295" i="2" s="1"/>
  <c r="W295" i="2" a="1"/>
  <c r="W295" i="2" s="1"/>
  <c r="BB295" i="2" s="1" a="1"/>
  <c r="BB295" i="2" s="1"/>
  <c r="X295" i="2" a="1"/>
  <c r="X295" i="2" s="1"/>
  <c r="Y295" i="2" a="1"/>
  <c r="Y295" i="2" s="1"/>
  <c r="Z295" i="2" a="1"/>
  <c r="Z295" i="2" s="1"/>
  <c r="AB295" i="2"/>
  <c r="AD295" i="2" a="1"/>
  <c r="AD295" i="2" s="1"/>
  <c r="AE295" i="2" a="1"/>
  <c r="AE295" i="2" s="1"/>
  <c r="AF295" i="2" a="1"/>
  <c r="AF295" i="2" s="1"/>
  <c r="AG295" i="2" a="1"/>
  <c r="AG295" i="2" s="1"/>
  <c r="AH295" i="2" a="1"/>
  <c r="AH295" i="2" s="1"/>
  <c r="AI295" i="2" a="1"/>
  <c r="AI295" i="2" s="1"/>
  <c r="AJ295" i="2" a="1"/>
  <c r="AJ295" i="2" s="1"/>
  <c r="AK295" i="2" a="1"/>
  <c r="AK295" i="2" s="1"/>
  <c r="AL295" i="2" a="1"/>
  <c r="AL295" i="2" s="1"/>
  <c r="AM295" i="2" a="1"/>
  <c r="AM295" i="2" s="1"/>
  <c r="AN295" i="2" a="1"/>
  <c r="AN295" i="2" s="1"/>
  <c r="AO295" i="2" a="1"/>
  <c r="AO295" i="2" s="1"/>
  <c r="AP295" i="2" a="1"/>
  <c r="AP295" i="2" s="1"/>
  <c r="AQ295" i="2" a="1"/>
  <c r="AQ295" i="2" s="1"/>
  <c r="AR295" i="2" a="1"/>
  <c r="AR295" i="2" s="1"/>
  <c r="AS295" i="2" a="1"/>
  <c r="AS295" i="2" s="1"/>
  <c r="AT295" i="2" a="1"/>
  <c r="AT295" i="2" s="1"/>
  <c r="AU295" i="2" a="1"/>
  <c r="AU295" i="2" s="1"/>
  <c r="AV295" i="2" a="1"/>
  <c r="AV295" i="2" s="1"/>
  <c r="AW295" i="2" a="1"/>
  <c r="AW295" i="2" s="1"/>
  <c r="AX295" i="2" a="1"/>
  <c r="AX295" i="2" s="1"/>
  <c r="AY295" i="2" a="1"/>
  <c r="AY295" i="2" s="1"/>
  <c r="AZ295" i="2" a="1"/>
  <c r="AZ295" i="2" s="1"/>
  <c r="BA295" i="2" a="1"/>
  <c r="BA295" i="2" s="1"/>
  <c r="BC295" i="2" a="1"/>
  <c r="BC295" i="2" s="1"/>
  <c r="BD295" i="2" a="1"/>
  <c r="BD295" i="2" s="1"/>
  <c r="D296" i="2" a="1"/>
  <c r="D296" i="2" s="1"/>
  <c r="F296" i="2" a="1"/>
  <c r="F296" i="2" s="1"/>
  <c r="H296" i="2" a="1"/>
  <c r="H296" i="2" s="1"/>
  <c r="I296" i="2" a="1"/>
  <c r="I296" i="2" s="1"/>
  <c r="J296" i="2" a="1"/>
  <c r="J296" i="2" s="1"/>
  <c r="K296" i="2" a="1"/>
  <c r="K296" i="2" s="1"/>
  <c r="L296" i="2" a="1"/>
  <c r="L296" i="2" s="1"/>
  <c r="M296" i="2" a="1"/>
  <c r="M296" i="2" s="1"/>
  <c r="N296" i="2" a="1"/>
  <c r="N296" i="2" s="1"/>
  <c r="O296" i="2" a="1"/>
  <c r="O296" i="2" s="1"/>
  <c r="P296" i="2" a="1"/>
  <c r="P296" i="2" s="1"/>
  <c r="Q296" i="2" a="1"/>
  <c r="Q296" i="2" s="1"/>
  <c r="R296" i="2" a="1"/>
  <c r="R296" i="2" s="1"/>
  <c r="S296" i="2" a="1"/>
  <c r="S296" i="2" s="1"/>
  <c r="T296" i="2" a="1"/>
  <c r="T296" i="2" s="1"/>
  <c r="U296" i="2" a="1"/>
  <c r="U296" i="2" s="1"/>
  <c r="V296" i="2" a="1"/>
  <c r="V296" i="2" s="1"/>
  <c r="E296" i="2" s="1" a="1"/>
  <c r="E296" i="2" s="1"/>
  <c r="W296" i="2" a="1"/>
  <c r="W296" i="2" s="1"/>
  <c r="BB296" i="2" s="1" a="1"/>
  <c r="BB296" i="2" s="1"/>
  <c r="X296" i="2" a="1"/>
  <c r="X296" i="2" s="1"/>
  <c r="Y296" i="2" a="1"/>
  <c r="Y296" i="2" s="1"/>
  <c r="Z296" i="2" a="1"/>
  <c r="Z296" i="2" s="1"/>
  <c r="AB296" i="2"/>
  <c r="AD296" i="2" a="1"/>
  <c r="AD296" i="2" s="1"/>
  <c r="AE296" i="2" a="1"/>
  <c r="AE296" i="2" s="1"/>
  <c r="AF296" i="2" a="1"/>
  <c r="AF296" i="2" s="1"/>
  <c r="AG296" i="2" a="1"/>
  <c r="AG296" i="2" s="1"/>
  <c r="AH296" i="2" a="1"/>
  <c r="AH296" i="2" s="1"/>
  <c r="AI296" i="2" a="1"/>
  <c r="AI296" i="2" s="1"/>
  <c r="AJ296" i="2" a="1"/>
  <c r="AJ296" i="2" s="1"/>
  <c r="AK296" i="2" a="1"/>
  <c r="AK296" i="2" s="1"/>
  <c r="AL296" i="2" a="1"/>
  <c r="AL296" i="2" s="1"/>
  <c r="AM296" i="2" a="1"/>
  <c r="AM296" i="2" s="1"/>
  <c r="AN296" i="2" a="1"/>
  <c r="AN296" i="2" s="1"/>
  <c r="AO296" i="2" a="1"/>
  <c r="AO296" i="2" s="1"/>
  <c r="AP296" i="2" a="1"/>
  <c r="AP296" i="2" s="1"/>
  <c r="AQ296" i="2" a="1"/>
  <c r="AQ296" i="2" s="1"/>
  <c r="AR296" i="2" a="1"/>
  <c r="AR296" i="2" s="1"/>
  <c r="AS296" i="2" a="1"/>
  <c r="AS296" i="2" s="1"/>
  <c r="AT296" i="2" a="1"/>
  <c r="AT296" i="2" s="1"/>
  <c r="AU296" i="2" a="1"/>
  <c r="AU296" i="2" s="1"/>
  <c r="AV296" i="2" a="1"/>
  <c r="AV296" i="2" s="1"/>
  <c r="AW296" i="2" a="1"/>
  <c r="AW296" i="2" s="1"/>
  <c r="AX296" i="2" a="1"/>
  <c r="AX296" i="2" s="1"/>
  <c r="AY296" i="2" a="1"/>
  <c r="AY296" i="2" s="1"/>
  <c r="AZ296" i="2" a="1"/>
  <c r="AZ296" i="2" s="1"/>
  <c r="BA296" i="2" a="1"/>
  <c r="BA296" i="2" s="1"/>
  <c r="BC296" i="2" a="1"/>
  <c r="BC296" i="2" s="1"/>
  <c r="BD296" i="2" a="1"/>
  <c r="BD296" i="2" s="1"/>
  <c r="BD319" i="2" a="1"/>
  <c r="BD319" i="2" s="1"/>
  <c r="BC319" i="2" a="1"/>
  <c r="BC319" i="2" s="1"/>
  <c r="BA319" i="2" a="1"/>
  <c r="BA319" i="2" s="1"/>
  <c r="AZ319" i="2" a="1"/>
  <c r="AZ319" i="2" s="1"/>
  <c r="AY319" i="2" a="1"/>
  <c r="AY319" i="2" s="1"/>
  <c r="AX319" i="2" a="1"/>
  <c r="AX319" i="2" s="1"/>
  <c r="AW319" i="2" a="1"/>
  <c r="AW319" i="2" s="1"/>
  <c r="AV319" i="2" a="1"/>
  <c r="AV319" i="2" s="1"/>
  <c r="AU319" i="2" a="1"/>
  <c r="AU319" i="2" s="1"/>
  <c r="AT319" i="2" a="1"/>
  <c r="AT319" i="2" s="1"/>
  <c r="AS319" i="2" a="1"/>
  <c r="AS319" i="2" s="1"/>
  <c r="AR319" i="2" a="1"/>
  <c r="AR319" i="2" s="1"/>
  <c r="AQ319" i="2" a="1"/>
  <c r="AQ319" i="2" s="1"/>
  <c r="AP319" i="2" a="1"/>
  <c r="AP319" i="2" s="1"/>
  <c r="AO319" i="2" a="1"/>
  <c r="AO319" i="2" s="1"/>
  <c r="AN319" i="2" a="1"/>
  <c r="AN319" i="2" s="1"/>
  <c r="AM319" i="2" a="1"/>
  <c r="AM319" i="2" s="1"/>
  <c r="AL319" i="2" a="1"/>
  <c r="AL319" i="2" s="1"/>
  <c r="AK319" i="2" a="1"/>
  <c r="AK319" i="2" s="1"/>
  <c r="AJ319" i="2" a="1"/>
  <c r="AJ319" i="2" s="1"/>
  <c r="AI319" i="2" a="1"/>
  <c r="AI319" i="2" s="1"/>
  <c r="AH319" i="2" a="1"/>
  <c r="AH319" i="2" s="1"/>
  <c r="AG319" i="2" a="1"/>
  <c r="AG319" i="2" s="1"/>
  <c r="AF319" i="2" a="1"/>
  <c r="AF319" i="2" s="1"/>
  <c r="AE319" i="2" a="1"/>
  <c r="AE319" i="2" s="1"/>
  <c r="AD319" i="2" a="1"/>
  <c r="AD319" i="2" s="1"/>
  <c r="AB319" i="2"/>
  <c r="Z319" i="2" a="1"/>
  <c r="Z319" i="2" s="1"/>
  <c r="Y319" i="2" a="1"/>
  <c r="Y319" i="2" s="1"/>
  <c r="X319" i="2" a="1"/>
  <c r="X319" i="2" s="1"/>
  <c r="W319" i="2" a="1"/>
  <c r="W319" i="2" s="1"/>
  <c r="BB319" i="2" s="1" a="1"/>
  <c r="BB319" i="2" s="1"/>
  <c r="V319" i="2" a="1"/>
  <c r="V319" i="2" s="1"/>
  <c r="E319" i="2" s="1" a="1"/>
  <c r="E319" i="2" s="1"/>
  <c r="U319" i="2" a="1"/>
  <c r="U319" i="2" s="1"/>
  <c r="T319" i="2" a="1"/>
  <c r="T319" i="2" s="1"/>
  <c r="S319" i="2" a="1"/>
  <c r="S319" i="2" s="1"/>
  <c r="R319" i="2" a="1"/>
  <c r="R319" i="2" s="1"/>
  <c r="Q319" i="2" a="1"/>
  <c r="Q319" i="2" s="1"/>
  <c r="P319" i="2" a="1"/>
  <c r="P319" i="2" s="1"/>
  <c r="O319" i="2" a="1"/>
  <c r="O319" i="2" s="1"/>
  <c r="N319" i="2" a="1"/>
  <c r="N319" i="2" s="1"/>
  <c r="M319" i="2" a="1"/>
  <c r="M319" i="2" s="1"/>
  <c r="L319" i="2" a="1"/>
  <c r="L319" i="2" s="1"/>
  <c r="K319" i="2" a="1"/>
  <c r="K319" i="2" s="1"/>
  <c r="J319" i="2" a="1"/>
  <c r="J319" i="2" s="1"/>
  <c r="I319" i="2" a="1"/>
  <c r="I319" i="2" s="1"/>
  <c r="H319" i="2" a="1"/>
  <c r="H319" i="2" s="1"/>
  <c r="F319" i="2" a="1"/>
  <c r="F319" i="2" s="1"/>
  <c r="D319" i="2" a="1"/>
  <c r="D319" i="2" s="1"/>
  <c r="B319" i="2" a="1"/>
  <c r="B319" i="2" s="1"/>
  <c r="BD318" i="2" a="1"/>
  <c r="BD318" i="2" s="1"/>
  <c r="BC318" i="2" a="1"/>
  <c r="BC318" i="2" s="1"/>
  <c r="BA318" i="2" a="1"/>
  <c r="BA318" i="2" s="1"/>
  <c r="AZ318" i="2" a="1"/>
  <c r="AZ318" i="2" s="1"/>
  <c r="AY318" i="2" a="1"/>
  <c r="AY318" i="2" s="1"/>
  <c r="AX318" i="2" a="1"/>
  <c r="AX318" i="2" s="1"/>
  <c r="AW318" i="2" a="1"/>
  <c r="AW318" i="2" s="1"/>
  <c r="AV318" i="2" a="1"/>
  <c r="AV318" i="2" s="1"/>
  <c r="AU318" i="2" a="1"/>
  <c r="AU318" i="2" s="1"/>
  <c r="AT318" i="2" a="1"/>
  <c r="AT318" i="2" s="1"/>
  <c r="AS318" i="2" a="1"/>
  <c r="AS318" i="2" s="1"/>
  <c r="AR318" i="2" a="1"/>
  <c r="AR318" i="2" s="1"/>
  <c r="AQ318" i="2" a="1"/>
  <c r="AQ318" i="2" s="1"/>
  <c r="AP318" i="2" a="1"/>
  <c r="AP318" i="2" s="1"/>
  <c r="AO318" i="2" a="1"/>
  <c r="AO318" i="2" s="1"/>
  <c r="AN318" i="2" a="1"/>
  <c r="AN318" i="2" s="1"/>
  <c r="AM318" i="2" a="1"/>
  <c r="AM318" i="2" s="1"/>
  <c r="AL318" i="2" a="1"/>
  <c r="AL318" i="2" s="1"/>
  <c r="AK318" i="2" a="1"/>
  <c r="AK318" i="2" s="1"/>
  <c r="AJ318" i="2" a="1"/>
  <c r="AJ318" i="2" s="1"/>
  <c r="AI318" i="2" a="1"/>
  <c r="AI318" i="2" s="1"/>
  <c r="AH318" i="2" a="1"/>
  <c r="AH318" i="2" s="1"/>
  <c r="AG318" i="2" a="1"/>
  <c r="AG318" i="2" s="1"/>
  <c r="AF318" i="2" a="1"/>
  <c r="AF318" i="2" s="1"/>
  <c r="AE318" i="2" a="1"/>
  <c r="AE318" i="2" s="1"/>
  <c r="AD318" i="2" a="1"/>
  <c r="AD318" i="2" s="1"/>
  <c r="AB318" i="2"/>
  <c r="Z318" i="2" a="1"/>
  <c r="Z318" i="2" s="1"/>
  <c r="Y318" i="2" a="1"/>
  <c r="Y318" i="2" s="1"/>
  <c r="X318" i="2" a="1"/>
  <c r="X318" i="2" s="1"/>
  <c r="W318" i="2" a="1"/>
  <c r="W318" i="2" s="1"/>
  <c r="BB318" i="2" s="1" a="1"/>
  <c r="BB318" i="2" s="1"/>
  <c r="V318" i="2" a="1"/>
  <c r="V318" i="2" s="1"/>
  <c r="E318" i="2" s="1" a="1"/>
  <c r="E318" i="2" s="1"/>
  <c r="U318" i="2" a="1"/>
  <c r="U318" i="2" s="1"/>
  <c r="T318" i="2" a="1"/>
  <c r="T318" i="2" s="1"/>
  <c r="S318" i="2" a="1"/>
  <c r="S318" i="2" s="1"/>
  <c r="R318" i="2" a="1"/>
  <c r="R318" i="2" s="1"/>
  <c r="Q318" i="2" a="1"/>
  <c r="Q318" i="2" s="1"/>
  <c r="P318" i="2" a="1"/>
  <c r="P318" i="2" s="1"/>
  <c r="O318" i="2" a="1"/>
  <c r="O318" i="2" s="1"/>
  <c r="N318" i="2" a="1"/>
  <c r="N318" i="2" s="1"/>
  <c r="M318" i="2" a="1"/>
  <c r="M318" i="2" s="1"/>
  <c r="L318" i="2" a="1"/>
  <c r="L318" i="2" s="1"/>
  <c r="K318" i="2" a="1"/>
  <c r="K318" i="2" s="1"/>
  <c r="J318" i="2" a="1"/>
  <c r="J318" i="2" s="1"/>
  <c r="I318" i="2" a="1"/>
  <c r="I318" i="2" s="1"/>
  <c r="H318" i="2" a="1"/>
  <c r="H318" i="2" s="1"/>
  <c r="F318" i="2" a="1"/>
  <c r="F318" i="2" s="1"/>
  <c r="D318" i="2" a="1"/>
  <c r="D318" i="2" s="1"/>
  <c r="B318" i="2" a="1"/>
  <c r="B318" i="2" s="1"/>
  <c r="BD317" i="2" a="1"/>
  <c r="BD317" i="2" s="1"/>
  <c r="BC317" i="2" a="1"/>
  <c r="BC317" i="2" s="1"/>
  <c r="BA317" i="2" a="1"/>
  <c r="BA317" i="2" s="1"/>
  <c r="AZ317" i="2" a="1"/>
  <c r="AZ317" i="2" s="1"/>
  <c r="AY317" i="2" a="1"/>
  <c r="AY317" i="2" s="1"/>
  <c r="AX317" i="2" a="1"/>
  <c r="AX317" i="2" s="1"/>
  <c r="AW317" i="2" a="1"/>
  <c r="AW317" i="2" s="1"/>
  <c r="AV317" i="2" a="1"/>
  <c r="AV317" i="2" s="1"/>
  <c r="AU317" i="2" a="1"/>
  <c r="AU317" i="2" s="1"/>
  <c r="AT317" i="2" a="1"/>
  <c r="AT317" i="2" s="1"/>
  <c r="AS317" i="2" a="1"/>
  <c r="AS317" i="2" s="1"/>
  <c r="AR317" i="2" a="1"/>
  <c r="AR317" i="2" s="1"/>
  <c r="AQ317" i="2" a="1"/>
  <c r="AQ317" i="2" s="1"/>
  <c r="AP317" i="2" a="1"/>
  <c r="AP317" i="2" s="1"/>
  <c r="AO317" i="2" a="1"/>
  <c r="AO317" i="2" s="1"/>
  <c r="AN317" i="2" a="1"/>
  <c r="AN317" i="2" s="1"/>
  <c r="AM317" i="2" a="1"/>
  <c r="AM317" i="2" s="1"/>
  <c r="AL317" i="2" a="1"/>
  <c r="AL317" i="2" s="1"/>
  <c r="AK317" i="2" a="1"/>
  <c r="AK317" i="2" s="1"/>
  <c r="AJ317" i="2" a="1"/>
  <c r="AJ317" i="2" s="1"/>
  <c r="AI317" i="2" a="1"/>
  <c r="AI317" i="2" s="1"/>
  <c r="AH317" i="2" a="1"/>
  <c r="AH317" i="2" s="1"/>
  <c r="AG317" i="2" a="1"/>
  <c r="AG317" i="2" s="1"/>
  <c r="AF317" i="2" a="1"/>
  <c r="AF317" i="2" s="1"/>
  <c r="AE317" i="2" a="1"/>
  <c r="AE317" i="2" s="1"/>
  <c r="AD317" i="2" a="1"/>
  <c r="AD317" i="2" s="1"/>
  <c r="AB317" i="2"/>
  <c r="Z317" i="2" a="1"/>
  <c r="Z317" i="2" s="1"/>
  <c r="Y317" i="2" a="1"/>
  <c r="Y317" i="2" s="1"/>
  <c r="X317" i="2" a="1"/>
  <c r="X317" i="2" s="1"/>
  <c r="W317" i="2" a="1"/>
  <c r="W317" i="2" s="1"/>
  <c r="BB317" i="2" s="1" a="1"/>
  <c r="BB317" i="2" s="1"/>
  <c r="V317" i="2" a="1"/>
  <c r="V317" i="2" s="1"/>
  <c r="E317" i="2" s="1" a="1"/>
  <c r="E317" i="2" s="1"/>
  <c r="U317" i="2" a="1"/>
  <c r="U317" i="2" s="1"/>
  <c r="T317" i="2" a="1"/>
  <c r="T317" i="2" s="1"/>
  <c r="S317" i="2" a="1"/>
  <c r="S317" i="2" s="1"/>
  <c r="R317" i="2" a="1"/>
  <c r="R317" i="2" s="1"/>
  <c r="Q317" i="2" a="1"/>
  <c r="Q317" i="2" s="1"/>
  <c r="P317" i="2" a="1"/>
  <c r="P317" i="2" s="1"/>
  <c r="O317" i="2" a="1"/>
  <c r="O317" i="2" s="1"/>
  <c r="N317" i="2" a="1"/>
  <c r="N317" i="2" s="1"/>
  <c r="M317" i="2" a="1"/>
  <c r="M317" i="2" s="1"/>
  <c r="L317" i="2" a="1"/>
  <c r="L317" i="2" s="1"/>
  <c r="K317" i="2" a="1"/>
  <c r="K317" i="2" s="1"/>
  <c r="J317" i="2" a="1"/>
  <c r="J317" i="2" s="1"/>
  <c r="I317" i="2" a="1"/>
  <c r="I317" i="2" s="1"/>
  <c r="H317" i="2" a="1"/>
  <c r="H317" i="2" s="1"/>
  <c r="F317" i="2" a="1"/>
  <c r="F317" i="2" s="1"/>
  <c r="D317" i="2" a="1"/>
  <c r="D317" i="2" s="1"/>
  <c r="B317" i="2" a="1"/>
  <c r="B317" i="2" s="1"/>
  <c r="BD316" i="2" a="1"/>
  <c r="BD316" i="2" s="1"/>
  <c r="BC316" i="2" a="1"/>
  <c r="BC316" i="2" s="1"/>
  <c r="BA316" i="2" a="1"/>
  <c r="BA316" i="2" s="1"/>
  <c r="AZ316" i="2" a="1"/>
  <c r="AZ316" i="2" s="1"/>
  <c r="AY316" i="2" a="1"/>
  <c r="AY316" i="2" s="1"/>
  <c r="AX316" i="2" a="1"/>
  <c r="AX316" i="2" s="1"/>
  <c r="AW316" i="2" a="1"/>
  <c r="AW316" i="2" s="1"/>
  <c r="AV316" i="2" a="1"/>
  <c r="AV316" i="2" s="1"/>
  <c r="AU316" i="2" a="1"/>
  <c r="AU316" i="2" s="1"/>
  <c r="AT316" i="2" a="1"/>
  <c r="AT316" i="2" s="1"/>
  <c r="AS316" i="2" a="1"/>
  <c r="AS316" i="2" s="1"/>
  <c r="AR316" i="2" a="1"/>
  <c r="AR316" i="2" s="1"/>
  <c r="AQ316" i="2" a="1"/>
  <c r="AQ316" i="2" s="1"/>
  <c r="AP316" i="2" a="1"/>
  <c r="AP316" i="2" s="1"/>
  <c r="AO316" i="2" a="1"/>
  <c r="AO316" i="2" s="1"/>
  <c r="AN316" i="2" a="1"/>
  <c r="AN316" i="2" s="1"/>
  <c r="AM316" i="2" a="1"/>
  <c r="AM316" i="2" s="1"/>
  <c r="AL316" i="2" a="1"/>
  <c r="AL316" i="2" s="1"/>
  <c r="AK316" i="2" a="1"/>
  <c r="AK316" i="2" s="1"/>
  <c r="AJ316" i="2" a="1"/>
  <c r="AJ316" i="2" s="1"/>
  <c r="AI316" i="2" a="1"/>
  <c r="AI316" i="2" s="1"/>
  <c r="AH316" i="2" a="1"/>
  <c r="AH316" i="2" s="1"/>
  <c r="AG316" i="2" a="1"/>
  <c r="AG316" i="2" s="1"/>
  <c r="AF316" i="2" a="1"/>
  <c r="AF316" i="2" s="1"/>
  <c r="AE316" i="2" a="1"/>
  <c r="AE316" i="2" s="1"/>
  <c r="AD316" i="2" a="1"/>
  <c r="AD316" i="2" s="1"/>
  <c r="AB316" i="2"/>
  <c r="Z316" i="2" a="1"/>
  <c r="Z316" i="2" s="1"/>
  <c r="Y316" i="2" a="1"/>
  <c r="Y316" i="2" s="1"/>
  <c r="X316" i="2" a="1"/>
  <c r="X316" i="2" s="1"/>
  <c r="W316" i="2" a="1"/>
  <c r="W316" i="2" s="1"/>
  <c r="BB316" i="2" s="1" a="1"/>
  <c r="BB316" i="2" s="1"/>
  <c r="V316" i="2" a="1"/>
  <c r="V316" i="2" s="1"/>
  <c r="E316" i="2" s="1" a="1"/>
  <c r="E316" i="2" s="1"/>
  <c r="U316" i="2" a="1"/>
  <c r="U316" i="2" s="1"/>
  <c r="T316" i="2" a="1"/>
  <c r="T316" i="2" s="1"/>
  <c r="S316" i="2" a="1"/>
  <c r="S316" i="2" s="1"/>
  <c r="R316" i="2" a="1"/>
  <c r="R316" i="2" s="1"/>
  <c r="Q316" i="2" a="1"/>
  <c r="Q316" i="2" s="1"/>
  <c r="P316" i="2" a="1"/>
  <c r="P316" i="2" s="1"/>
  <c r="O316" i="2" a="1"/>
  <c r="O316" i="2" s="1"/>
  <c r="N316" i="2" a="1"/>
  <c r="N316" i="2" s="1"/>
  <c r="M316" i="2" a="1"/>
  <c r="M316" i="2" s="1"/>
  <c r="L316" i="2" a="1"/>
  <c r="L316" i="2" s="1"/>
  <c r="K316" i="2" a="1"/>
  <c r="K316" i="2" s="1"/>
  <c r="J316" i="2" a="1"/>
  <c r="J316" i="2" s="1"/>
  <c r="I316" i="2" a="1"/>
  <c r="I316" i="2" s="1"/>
  <c r="H316" i="2" a="1"/>
  <c r="H316" i="2" s="1"/>
  <c r="F316" i="2" a="1"/>
  <c r="F316" i="2" s="1"/>
  <c r="D316" i="2" a="1"/>
  <c r="D316" i="2" s="1"/>
  <c r="B316" i="2" a="1"/>
  <c r="B316" i="2" s="1"/>
  <c r="BD315" i="2" a="1"/>
  <c r="BD315" i="2" s="1"/>
  <c r="BC315" i="2" a="1"/>
  <c r="BC315" i="2" s="1"/>
  <c r="BA315" i="2" a="1"/>
  <c r="BA315" i="2" s="1"/>
  <c r="AZ315" i="2" a="1"/>
  <c r="AZ315" i="2" s="1"/>
  <c r="AY315" i="2" a="1"/>
  <c r="AY315" i="2" s="1"/>
  <c r="AX315" i="2" a="1"/>
  <c r="AX315" i="2" s="1"/>
  <c r="AW315" i="2" a="1"/>
  <c r="AW315" i="2" s="1"/>
  <c r="AV315" i="2" a="1"/>
  <c r="AV315" i="2" s="1"/>
  <c r="AU315" i="2" a="1"/>
  <c r="AU315" i="2" s="1"/>
  <c r="AT315" i="2" a="1"/>
  <c r="AT315" i="2" s="1"/>
  <c r="AS315" i="2" a="1"/>
  <c r="AS315" i="2" s="1"/>
  <c r="AR315" i="2" a="1"/>
  <c r="AR315" i="2" s="1"/>
  <c r="AQ315" i="2" a="1"/>
  <c r="AQ315" i="2" s="1"/>
  <c r="AP315" i="2" a="1"/>
  <c r="AP315" i="2" s="1"/>
  <c r="AO315" i="2" a="1"/>
  <c r="AO315" i="2" s="1"/>
  <c r="AN315" i="2" a="1"/>
  <c r="AN315" i="2" s="1"/>
  <c r="AM315" i="2" a="1"/>
  <c r="AM315" i="2" s="1"/>
  <c r="AL315" i="2" a="1"/>
  <c r="AL315" i="2" s="1"/>
  <c r="AK315" i="2" a="1"/>
  <c r="AK315" i="2" s="1"/>
  <c r="AJ315" i="2" a="1"/>
  <c r="AJ315" i="2" s="1"/>
  <c r="AI315" i="2" a="1"/>
  <c r="AI315" i="2" s="1"/>
  <c r="AH315" i="2" a="1"/>
  <c r="AH315" i="2" s="1"/>
  <c r="AG315" i="2" a="1"/>
  <c r="AG315" i="2" s="1"/>
  <c r="AF315" i="2" a="1"/>
  <c r="AF315" i="2" s="1"/>
  <c r="AE315" i="2" a="1"/>
  <c r="AE315" i="2" s="1"/>
  <c r="AD315" i="2" a="1"/>
  <c r="AD315" i="2" s="1"/>
  <c r="AB315" i="2"/>
  <c r="Z315" i="2" a="1"/>
  <c r="Z315" i="2" s="1"/>
  <c r="Y315" i="2" a="1"/>
  <c r="Y315" i="2" s="1"/>
  <c r="X315" i="2" a="1"/>
  <c r="X315" i="2" s="1"/>
  <c r="W315" i="2" a="1"/>
  <c r="W315" i="2" s="1"/>
  <c r="BB315" i="2" s="1" a="1"/>
  <c r="BB315" i="2" s="1"/>
  <c r="V315" i="2" a="1"/>
  <c r="V315" i="2" s="1"/>
  <c r="E315" i="2" s="1" a="1"/>
  <c r="E315" i="2" s="1"/>
  <c r="U315" i="2" a="1"/>
  <c r="U315" i="2" s="1"/>
  <c r="T315" i="2" a="1"/>
  <c r="T315" i="2" s="1"/>
  <c r="S315" i="2" a="1"/>
  <c r="S315" i="2" s="1"/>
  <c r="R315" i="2" a="1"/>
  <c r="R315" i="2" s="1"/>
  <c r="Q315" i="2" a="1"/>
  <c r="Q315" i="2" s="1"/>
  <c r="P315" i="2" a="1"/>
  <c r="P315" i="2" s="1"/>
  <c r="O315" i="2" a="1"/>
  <c r="O315" i="2" s="1"/>
  <c r="N315" i="2" a="1"/>
  <c r="N315" i="2" s="1"/>
  <c r="M315" i="2" a="1"/>
  <c r="M315" i="2" s="1"/>
  <c r="L315" i="2" a="1"/>
  <c r="L315" i="2" s="1"/>
  <c r="K315" i="2" a="1"/>
  <c r="K315" i="2" s="1"/>
  <c r="J315" i="2" a="1"/>
  <c r="J315" i="2" s="1"/>
  <c r="I315" i="2" a="1"/>
  <c r="I315" i="2" s="1"/>
  <c r="H315" i="2" a="1"/>
  <c r="H315" i="2" s="1"/>
  <c r="F315" i="2" a="1"/>
  <c r="F315" i="2" s="1"/>
  <c r="D315" i="2" a="1"/>
  <c r="D315" i="2" s="1"/>
  <c r="B315" i="2" a="1"/>
  <c r="B315" i="2" s="1"/>
  <c r="BD314" i="2" a="1"/>
  <c r="BD314" i="2" s="1"/>
  <c r="BC314" i="2" a="1"/>
  <c r="BC314" i="2" s="1"/>
  <c r="BA314" i="2" a="1"/>
  <c r="BA314" i="2" s="1"/>
  <c r="AZ314" i="2" a="1"/>
  <c r="AZ314" i="2" s="1"/>
  <c r="AY314" i="2" a="1"/>
  <c r="AY314" i="2" s="1"/>
  <c r="AX314" i="2" a="1"/>
  <c r="AX314" i="2" s="1"/>
  <c r="AW314" i="2" a="1"/>
  <c r="AW314" i="2" s="1"/>
  <c r="AV314" i="2" a="1"/>
  <c r="AV314" i="2" s="1"/>
  <c r="AU314" i="2" a="1"/>
  <c r="AU314" i="2" s="1"/>
  <c r="AT314" i="2" a="1"/>
  <c r="AT314" i="2" s="1"/>
  <c r="AS314" i="2" a="1"/>
  <c r="AS314" i="2" s="1"/>
  <c r="AR314" i="2" a="1"/>
  <c r="AR314" i="2" s="1"/>
  <c r="AQ314" i="2" a="1"/>
  <c r="AQ314" i="2" s="1"/>
  <c r="AP314" i="2" a="1"/>
  <c r="AP314" i="2" s="1"/>
  <c r="AO314" i="2" a="1"/>
  <c r="AO314" i="2" s="1"/>
  <c r="AN314" i="2" a="1"/>
  <c r="AN314" i="2" s="1"/>
  <c r="AM314" i="2" a="1"/>
  <c r="AM314" i="2" s="1"/>
  <c r="AL314" i="2" a="1"/>
  <c r="AL314" i="2" s="1"/>
  <c r="AK314" i="2" a="1"/>
  <c r="AK314" i="2" s="1"/>
  <c r="AJ314" i="2" a="1"/>
  <c r="AJ314" i="2" s="1"/>
  <c r="AI314" i="2" a="1"/>
  <c r="AI314" i="2" s="1"/>
  <c r="AH314" i="2" a="1"/>
  <c r="AH314" i="2" s="1"/>
  <c r="AG314" i="2" a="1"/>
  <c r="AG314" i="2" s="1"/>
  <c r="AF314" i="2" a="1"/>
  <c r="AF314" i="2" s="1"/>
  <c r="AE314" i="2" a="1"/>
  <c r="AE314" i="2" s="1"/>
  <c r="AD314" i="2" a="1"/>
  <c r="AD314" i="2" s="1"/>
  <c r="AB314" i="2"/>
  <c r="Z314" i="2" a="1"/>
  <c r="Z314" i="2" s="1"/>
  <c r="Y314" i="2" a="1"/>
  <c r="Y314" i="2" s="1"/>
  <c r="X314" i="2" a="1"/>
  <c r="X314" i="2" s="1"/>
  <c r="W314" i="2" a="1"/>
  <c r="W314" i="2" s="1"/>
  <c r="BB314" i="2" s="1" a="1"/>
  <c r="BB314" i="2" s="1"/>
  <c r="V314" i="2" a="1"/>
  <c r="V314" i="2" s="1"/>
  <c r="E314" i="2" s="1" a="1"/>
  <c r="E314" i="2" s="1"/>
  <c r="U314" i="2" a="1"/>
  <c r="U314" i="2" s="1"/>
  <c r="T314" i="2" a="1"/>
  <c r="T314" i="2" s="1"/>
  <c r="S314" i="2" a="1"/>
  <c r="S314" i="2" s="1"/>
  <c r="R314" i="2" a="1"/>
  <c r="R314" i="2" s="1"/>
  <c r="Q314" i="2" a="1"/>
  <c r="Q314" i="2" s="1"/>
  <c r="P314" i="2" a="1"/>
  <c r="P314" i="2" s="1"/>
  <c r="O314" i="2" a="1"/>
  <c r="O314" i="2" s="1"/>
  <c r="N314" i="2" a="1"/>
  <c r="N314" i="2" s="1"/>
  <c r="M314" i="2" a="1"/>
  <c r="M314" i="2" s="1"/>
  <c r="L314" i="2" a="1"/>
  <c r="L314" i="2" s="1"/>
  <c r="K314" i="2" a="1"/>
  <c r="K314" i="2" s="1"/>
  <c r="J314" i="2" a="1"/>
  <c r="J314" i="2" s="1"/>
  <c r="I314" i="2" a="1"/>
  <c r="I314" i="2" s="1"/>
  <c r="H314" i="2" a="1"/>
  <c r="H314" i="2" s="1"/>
  <c r="F314" i="2" a="1"/>
  <c r="F314" i="2" s="1"/>
  <c r="D314" i="2" a="1"/>
  <c r="D314" i="2" s="1"/>
  <c r="B314" i="2" a="1"/>
  <c r="B314" i="2" s="1"/>
  <c r="BD313" i="2" a="1"/>
  <c r="BD313" i="2" s="1"/>
  <c r="BC313" i="2" a="1"/>
  <c r="BC313" i="2" s="1"/>
  <c r="BA313" i="2" a="1"/>
  <c r="BA313" i="2" s="1"/>
  <c r="AZ313" i="2" a="1"/>
  <c r="AZ313" i="2" s="1"/>
  <c r="AY313" i="2" a="1"/>
  <c r="AY313" i="2" s="1"/>
  <c r="AX313" i="2" a="1"/>
  <c r="AX313" i="2" s="1"/>
  <c r="AW313" i="2" a="1"/>
  <c r="AW313" i="2" s="1"/>
  <c r="AV313" i="2" a="1"/>
  <c r="AV313" i="2" s="1"/>
  <c r="AU313" i="2" a="1"/>
  <c r="AU313" i="2" s="1"/>
  <c r="AT313" i="2" a="1"/>
  <c r="AT313" i="2" s="1"/>
  <c r="AS313" i="2" a="1"/>
  <c r="AS313" i="2" s="1"/>
  <c r="AR313" i="2" a="1"/>
  <c r="AR313" i="2" s="1"/>
  <c r="AQ313" i="2" a="1"/>
  <c r="AQ313" i="2" s="1"/>
  <c r="AP313" i="2" a="1"/>
  <c r="AP313" i="2" s="1"/>
  <c r="AO313" i="2" a="1"/>
  <c r="AO313" i="2" s="1"/>
  <c r="AN313" i="2" a="1"/>
  <c r="AN313" i="2" s="1"/>
  <c r="AM313" i="2" a="1"/>
  <c r="AM313" i="2" s="1"/>
  <c r="AL313" i="2" a="1"/>
  <c r="AL313" i="2" s="1"/>
  <c r="AK313" i="2" a="1"/>
  <c r="AK313" i="2" s="1"/>
  <c r="AI313" i="2" a="1"/>
  <c r="AI313" i="2" s="1"/>
  <c r="AH313" i="2" a="1"/>
  <c r="AH313" i="2" s="1"/>
  <c r="AG313" i="2" a="1"/>
  <c r="AG313" i="2" s="1"/>
  <c r="AF313" i="2" a="1"/>
  <c r="AF313" i="2" s="1"/>
  <c r="AE313" i="2" a="1"/>
  <c r="AE313" i="2" s="1"/>
  <c r="AD313" i="2" a="1"/>
  <c r="AD313" i="2" s="1"/>
  <c r="AB313" i="2"/>
  <c r="Z313" i="2" a="1"/>
  <c r="Z313" i="2" s="1"/>
  <c r="Y313" i="2" a="1"/>
  <c r="Y313" i="2" s="1"/>
  <c r="X313" i="2" a="1"/>
  <c r="X313" i="2" s="1"/>
  <c r="W313" i="2" a="1"/>
  <c r="W313" i="2" s="1"/>
  <c r="BB313" i="2" s="1" a="1"/>
  <c r="BB313" i="2" s="1"/>
  <c r="V313" i="2" a="1"/>
  <c r="V313" i="2" s="1"/>
  <c r="E313" i="2" s="1" a="1"/>
  <c r="E313" i="2" s="1"/>
  <c r="U313" i="2" a="1"/>
  <c r="U313" i="2" s="1"/>
  <c r="T313" i="2" a="1"/>
  <c r="T313" i="2" s="1"/>
  <c r="S313" i="2" a="1"/>
  <c r="S313" i="2" s="1"/>
  <c r="R313" i="2" a="1"/>
  <c r="R313" i="2" s="1"/>
  <c r="Q313" i="2" a="1"/>
  <c r="Q313" i="2" s="1"/>
  <c r="P313" i="2" a="1"/>
  <c r="P313" i="2" s="1"/>
  <c r="O313" i="2" a="1"/>
  <c r="O313" i="2" s="1"/>
  <c r="N313" i="2" a="1"/>
  <c r="N313" i="2" s="1"/>
  <c r="M313" i="2" a="1"/>
  <c r="M313" i="2" s="1"/>
  <c r="L313" i="2" a="1"/>
  <c r="L313" i="2" s="1"/>
  <c r="K313" i="2" a="1"/>
  <c r="K313" i="2" s="1"/>
  <c r="J313" i="2" a="1"/>
  <c r="J313" i="2" s="1"/>
  <c r="I313" i="2" a="1"/>
  <c r="I313" i="2" s="1"/>
  <c r="H313" i="2" a="1"/>
  <c r="H313" i="2" s="1"/>
  <c r="F313" i="2" a="1"/>
  <c r="F313" i="2" s="1"/>
  <c r="D313" i="2" a="1"/>
  <c r="D313" i="2" s="1"/>
  <c r="B313" i="2" a="1"/>
  <c r="B313" i="2" s="1"/>
  <c r="BD312" i="2" a="1"/>
  <c r="BD312" i="2" s="1"/>
  <c r="BC312" i="2" a="1"/>
  <c r="BC312" i="2" s="1"/>
  <c r="BA312" i="2" a="1"/>
  <c r="BA312" i="2" s="1"/>
  <c r="AZ312" i="2" a="1"/>
  <c r="AZ312" i="2" s="1"/>
  <c r="AY312" i="2" a="1"/>
  <c r="AY312" i="2" s="1"/>
  <c r="AX312" i="2" a="1"/>
  <c r="AX312" i="2" s="1"/>
  <c r="AW312" i="2" a="1"/>
  <c r="AW312" i="2" s="1"/>
  <c r="AV312" i="2" a="1"/>
  <c r="AV312" i="2" s="1"/>
  <c r="AU312" i="2" a="1"/>
  <c r="AU312" i="2" s="1"/>
  <c r="AT312" i="2" a="1"/>
  <c r="AT312" i="2" s="1"/>
  <c r="AS312" i="2" a="1"/>
  <c r="AS312" i="2" s="1"/>
  <c r="AR312" i="2" a="1"/>
  <c r="AR312" i="2" s="1"/>
  <c r="AQ312" i="2" a="1"/>
  <c r="AQ312" i="2" s="1"/>
  <c r="AP312" i="2" a="1"/>
  <c r="AP312" i="2" s="1"/>
  <c r="AO312" i="2" a="1"/>
  <c r="AO312" i="2" s="1"/>
  <c r="AN312" i="2" a="1"/>
  <c r="AN312" i="2" s="1"/>
  <c r="AM312" i="2" a="1"/>
  <c r="AM312" i="2" s="1"/>
  <c r="AL312" i="2" a="1"/>
  <c r="AL312" i="2" s="1"/>
  <c r="AK312" i="2" a="1"/>
  <c r="AK312" i="2" s="1"/>
  <c r="AJ312" i="2" a="1"/>
  <c r="AJ312" i="2" s="1"/>
  <c r="AI312" i="2" a="1"/>
  <c r="AI312" i="2" s="1"/>
  <c r="AH312" i="2" a="1"/>
  <c r="AH312" i="2" s="1"/>
  <c r="AG312" i="2" a="1"/>
  <c r="AG312" i="2" s="1"/>
  <c r="AF312" i="2" a="1"/>
  <c r="AF312" i="2" s="1"/>
  <c r="AE312" i="2" a="1"/>
  <c r="AE312" i="2" s="1"/>
  <c r="AD312" i="2" a="1"/>
  <c r="AD312" i="2" s="1"/>
  <c r="AB312" i="2"/>
  <c r="Z312" i="2" a="1"/>
  <c r="Z312" i="2" s="1"/>
  <c r="Y312" i="2" a="1"/>
  <c r="Y312" i="2" s="1"/>
  <c r="X312" i="2" a="1"/>
  <c r="X312" i="2" s="1"/>
  <c r="W312" i="2" a="1"/>
  <c r="W312" i="2" s="1"/>
  <c r="BB312" i="2" s="1" a="1"/>
  <c r="BB312" i="2" s="1"/>
  <c r="V312" i="2" a="1"/>
  <c r="V312" i="2" s="1"/>
  <c r="E312" i="2" s="1" a="1"/>
  <c r="E312" i="2" s="1"/>
  <c r="U312" i="2" a="1"/>
  <c r="U312" i="2" s="1"/>
  <c r="T312" i="2" a="1"/>
  <c r="T312" i="2" s="1"/>
  <c r="S312" i="2" a="1"/>
  <c r="S312" i="2" s="1"/>
  <c r="R312" i="2" a="1"/>
  <c r="R312" i="2" s="1"/>
  <c r="Q312" i="2" a="1"/>
  <c r="Q312" i="2" s="1"/>
  <c r="P312" i="2" a="1"/>
  <c r="P312" i="2" s="1"/>
  <c r="O312" i="2" a="1"/>
  <c r="O312" i="2" s="1"/>
  <c r="N312" i="2" a="1"/>
  <c r="N312" i="2" s="1"/>
  <c r="M312" i="2" a="1"/>
  <c r="M312" i="2" s="1"/>
  <c r="L312" i="2" a="1"/>
  <c r="L312" i="2" s="1"/>
  <c r="K312" i="2" a="1"/>
  <c r="K312" i="2" s="1"/>
  <c r="J312" i="2" a="1"/>
  <c r="J312" i="2" s="1"/>
  <c r="I312" i="2" a="1"/>
  <c r="I312" i="2" s="1"/>
  <c r="H312" i="2" a="1"/>
  <c r="H312" i="2" s="1"/>
  <c r="F312" i="2" a="1"/>
  <c r="F312" i="2" s="1"/>
  <c r="D312" i="2" a="1"/>
  <c r="D312" i="2" s="1"/>
  <c r="B312" i="2" a="1"/>
  <c r="B312" i="2" s="1"/>
  <c r="BD310" i="2" a="1"/>
  <c r="BD310" i="2" s="1"/>
  <c r="BC310" i="2" a="1"/>
  <c r="BC310" i="2" s="1"/>
  <c r="BA310" i="2" a="1"/>
  <c r="BA310" i="2" s="1"/>
  <c r="AZ310" i="2" a="1"/>
  <c r="AZ310" i="2" s="1"/>
  <c r="AY310" i="2" a="1"/>
  <c r="AY310" i="2" s="1"/>
  <c r="AX310" i="2" a="1"/>
  <c r="AX310" i="2" s="1"/>
  <c r="AW310" i="2" a="1"/>
  <c r="AW310" i="2" s="1"/>
  <c r="AV310" i="2" a="1"/>
  <c r="AV310" i="2" s="1"/>
  <c r="AU310" i="2" a="1"/>
  <c r="AU310" i="2" s="1"/>
  <c r="AT310" i="2" a="1"/>
  <c r="AT310" i="2" s="1"/>
  <c r="AS310" i="2" a="1"/>
  <c r="AS310" i="2" s="1"/>
  <c r="AR310" i="2" a="1"/>
  <c r="AR310" i="2" s="1"/>
  <c r="AQ310" i="2" a="1"/>
  <c r="AQ310" i="2" s="1"/>
  <c r="AP310" i="2" a="1"/>
  <c r="AP310" i="2" s="1"/>
  <c r="AO310" i="2" a="1"/>
  <c r="AO310" i="2" s="1"/>
  <c r="AN310" i="2" a="1"/>
  <c r="AN310" i="2" s="1"/>
  <c r="AM310" i="2" a="1"/>
  <c r="AM310" i="2" s="1"/>
  <c r="AL310" i="2" a="1"/>
  <c r="AL310" i="2" s="1"/>
  <c r="AK310" i="2" a="1"/>
  <c r="AK310" i="2" s="1"/>
  <c r="AJ310" i="2" a="1"/>
  <c r="AJ310" i="2" s="1"/>
  <c r="AI310" i="2" a="1"/>
  <c r="AI310" i="2" s="1"/>
  <c r="AH310" i="2" a="1"/>
  <c r="AH310" i="2" s="1"/>
  <c r="AG310" i="2" a="1"/>
  <c r="AG310" i="2" s="1"/>
  <c r="AF310" i="2" a="1"/>
  <c r="AF310" i="2" s="1"/>
  <c r="AE310" i="2" a="1"/>
  <c r="AE310" i="2" s="1"/>
  <c r="AD310" i="2" a="1"/>
  <c r="AD310" i="2" s="1"/>
  <c r="AB310" i="2"/>
  <c r="Z310" i="2" a="1"/>
  <c r="Z310" i="2" s="1"/>
  <c r="Y310" i="2" a="1"/>
  <c r="Y310" i="2" s="1"/>
  <c r="X310" i="2" a="1"/>
  <c r="X310" i="2" s="1"/>
  <c r="W310" i="2" a="1"/>
  <c r="W310" i="2" s="1"/>
  <c r="BB310" i="2" s="1" a="1"/>
  <c r="BB310" i="2" s="1"/>
  <c r="V310" i="2" a="1"/>
  <c r="V310" i="2" s="1"/>
  <c r="E310" i="2" s="1" a="1"/>
  <c r="E310" i="2" s="1"/>
  <c r="U310" i="2" a="1"/>
  <c r="U310" i="2" s="1"/>
  <c r="T310" i="2" a="1"/>
  <c r="T310" i="2" s="1"/>
  <c r="S310" i="2" a="1"/>
  <c r="S310" i="2" s="1"/>
  <c r="R310" i="2" a="1"/>
  <c r="R310" i="2" s="1"/>
  <c r="Q310" i="2" a="1"/>
  <c r="Q310" i="2" s="1"/>
  <c r="P310" i="2" a="1"/>
  <c r="P310" i="2" s="1"/>
  <c r="O310" i="2" a="1"/>
  <c r="O310" i="2" s="1"/>
  <c r="N310" i="2" a="1"/>
  <c r="N310" i="2" s="1"/>
  <c r="M310" i="2" a="1"/>
  <c r="M310" i="2" s="1"/>
  <c r="L310" i="2" a="1"/>
  <c r="L310" i="2" s="1"/>
  <c r="K310" i="2" a="1"/>
  <c r="K310" i="2" s="1"/>
  <c r="J310" i="2" a="1"/>
  <c r="J310" i="2" s="1"/>
  <c r="I310" i="2" a="1"/>
  <c r="I310" i="2" s="1"/>
  <c r="H310" i="2" a="1"/>
  <c r="H310" i="2" s="1"/>
  <c r="F310" i="2" a="1"/>
  <c r="F310" i="2" s="1"/>
  <c r="D310" i="2" a="1"/>
  <c r="D310" i="2" s="1"/>
  <c r="B310" i="2" a="1"/>
  <c r="B310" i="2" s="1"/>
  <c r="BD309" i="2" a="1"/>
  <c r="BD309" i="2" s="1"/>
  <c r="BC309" i="2" a="1"/>
  <c r="BC309" i="2" s="1"/>
  <c r="BA309" i="2" a="1"/>
  <c r="BA309" i="2" s="1"/>
  <c r="AZ309" i="2" a="1"/>
  <c r="AZ309" i="2" s="1"/>
  <c r="AY309" i="2" a="1"/>
  <c r="AY309" i="2" s="1"/>
  <c r="AX309" i="2" a="1"/>
  <c r="AX309" i="2" s="1"/>
  <c r="AW309" i="2" a="1"/>
  <c r="AW309" i="2" s="1"/>
  <c r="AV309" i="2" a="1"/>
  <c r="AV309" i="2" s="1"/>
  <c r="AU309" i="2" a="1"/>
  <c r="AU309" i="2" s="1"/>
  <c r="AT309" i="2" a="1"/>
  <c r="AT309" i="2" s="1"/>
  <c r="AS309" i="2" a="1"/>
  <c r="AS309" i="2" s="1"/>
  <c r="AR309" i="2" a="1"/>
  <c r="AR309" i="2" s="1"/>
  <c r="AQ309" i="2" a="1"/>
  <c r="AQ309" i="2" s="1"/>
  <c r="AP309" i="2" a="1"/>
  <c r="AP309" i="2" s="1"/>
  <c r="AO309" i="2" a="1"/>
  <c r="AO309" i="2" s="1"/>
  <c r="AN309" i="2" a="1"/>
  <c r="AN309" i="2" s="1"/>
  <c r="AM309" i="2" a="1"/>
  <c r="AM309" i="2" s="1"/>
  <c r="AL309" i="2" a="1"/>
  <c r="AL309" i="2" s="1"/>
  <c r="AK309" i="2" a="1"/>
  <c r="AK309" i="2" s="1"/>
  <c r="AJ309" i="2" a="1"/>
  <c r="AJ309" i="2" s="1"/>
  <c r="AI309" i="2" a="1"/>
  <c r="AI309" i="2" s="1"/>
  <c r="AH309" i="2" a="1"/>
  <c r="AH309" i="2" s="1"/>
  <c r="AG309" i="2" a="1"/>
  <c r="AG309" i="2" s="1"/>
  <c r="AF309" i="2" a="1"/>
  <c r="AF309" i="2" s="1"/>
  <c r="AE309" i="2" a="1"/>
  <c r="AE309" i="2" s="1"/>
  <c r="AD309" i="2" a="1"/>
  <c r="AD309" i="2" s="1"/>
  <c r="AB309" i="2"/>
  <c r="Z309" i="2" a="1"/>
  <c r="Z309" i="2" s="1"/>
  <c r="Y309" i="2" a="1"/>
  <c r="Y309" i="2" s="1"/>
  <c r="X309" i="2" a="1"/>
  <c r="X309" i="2" s="1"/>
  <c r="W309" i="2" a="1"/>
  <c r="W309" i="2" s="1"/>
  <c r="BB309" i="2" s="1" a="1"/>
  <c r="BB309" i="2" s="1"/>
  <c r="V309" i="2" a="1"/>
  <c r="V309" i="2" s="1"/>
  <c r="E309" i="2" s="1" a="1"/>
  <c r="E309" i="2" s="1"/>
  <c r="U309" i="2" a="1"/>
  <c r="U309" i="2" s="1"/>
  <c r="T309" i="2" a="1"/>
  <c r="T309" i="2" s="1"/>
  <c r="S309" i="2" a="1"/>
  <c r="S309" i="2" s="1"/>
  <c r="R309" i="2" a="1"/>
  <c r="R309" i="2" s="1"/>
  <c r="Q309" i="2" a="1"/>
  <c r="Q309" i="2" s="1"/>
  <c r="P309" i="2" a="1"/>
  <c r="P309" i="2" s="1"/>
  <c r="O309" i="2" a="1"/>
  <c r="O309" i="2" s="1"/>
  <c r="N309" i="2" a="1"/>
  <c r="N309" i="2" s="1"/>
  <c r="M309" i="2" a="1"/>
  <c r="M309" i="2" s="1"/>
  <c r="L309" i="2" a="1"/>
  <c r="L309" i="2" s="1"/>
  <c r="K309" i="2" a="1"/>
  <c r="K309" i="2" s="1"/>
  <c r="J309" i="2" a="1"/>
  <c r="J309" i="2" s="1"/>
  <c r="I309" i="2" a="1"/>
  <c r="I309" i="2" s="1"/>
  <c r="H309" i="2" a="1"/>
  <c r="H309" i="2" s="1"/>
  <c r="F309" i="2" a="1"/>
  <c r="F309" i="2" s="1"/>
  <c r="D309" i="2" a="1"/>
  <c r="D309" i="2" s="1"/>
  <c r="B309" i="2" a="1"/>
  <c r="B309" i="2" s="1"/>
  <c r="BD308" i="2" a="1"/>
  <c r="BD308" i="2" s="1"/>
  <c r="BC308" i="2" a="1"/>
  <c r="BC308" i="2" s="1"/>
  <c r="BA308" i="2" a="1"/>
  <c r="BA308" i="2" s="1"/>
  <c r="AZ308" i="2" a="1"/>
  <c r="AZ308" i="2" s="1"/>
  <c r="AY308" i="2" a="1"/>
  <c r="AY308" i="2" s="1"/>
  <c r="AX308" i="2" a="1"/>
  <c r="AX308" i="2" s="1"/>
  <c r="AW308" i="2" a="1"/>
  <c r="AW308" i="2" s="1"/>
  <c r="AV308" i="2" a="1"/>
  <c r="AV308" i="2" s="1"/>
  <c r="AU308" i="2" a="1"/>
  <c r="AU308" i="2" s="1"/>
  <c r="AT308" i="2" a="1"/>
  <c r="AT308" i="2" s="1"/>
  <c r="AS308" i="2" a="1"/>
  <c r="AS308" i="2" s="1"/>
  <c r="AR308" i="2" a="1"/>
  <c r="AR308" i="2" s="1"/>
  <c r="AQ308" i="2" a="1"/>
  <c r="AQ308" i="2" s="1"/>
  <c r="AP308" i="2" a="1"/>
  <c r="AP308" i="2" s="1"/>
  <c r="AO308" i="2" a="1"/>
  <c r="AO308" i="2" s="1"/>
  <c r="AN308" i="2" a="1"/>
  <c r="AN308" i="2" s="1"/>
  <c r="AM308" i="2" a="1"/>
  <c r="AM308" i="2" s="1"/>
  <c r="AL308" i="2" a="1"/>
  <c r="AL308" i="2" s="1"/>
  <c r="AK308" i="2" a="1"/>
  <c r="AK308" i="2" s="1"/>
  <c r="AJ308" i="2" a="1"/>
  <c r="AJ308" i="2" s="1"/>
  <c r="AI308" i="2" a="1"/>
  <c r="AI308" i="2" s="1"/>
  <c r="AH308" i="2" a="1"/>
  <c r="AH308" i="2" s="1"/>
  <c r="AG308" i="2" a="1"/>
  <c r="AG308" i="2" s="1"/>
  <c r="AF308" i="2" a="1"/>
  <c r="AF308" i="2" s="1"/>
  <c r="AE308" i="2" a="1"/>
  <c r="AE308" i="2" s="1"/>
  <c r="AD308" i="2" a="1"/>
  <c r="AD308" i="2" s="1"/>
  <c r="AB308" i="2"/>
  <c r="Z308" i="2" a="1"/>
  <c r="Z308" i="2" s="1"/>
  <c r="Y308" i="2" a="1"/>
  <c r="Y308" i="2" s="1"/>
  <c r="X308" i="2" a="1"/>
  <c r="X308" i="2" s="1"/>
  <c r="W308" i="2" a="1"/>
  <c r="W308" i="2" s="1"/>
  <c r="BB308" i="2" s="1" a="1"/>
  <c r="BB308" i="2" s="1"/>
  <c r="V308" i="2" a="1"/>
  <c r="V308" i="2" s="1"/>
  <c r="E308" i="2" s="1" a="1"/>
  <c r="E308" i="2" s="1"/>
  <c r="U308" i="2" a="1"/>
  <c r="U308" i="2" s="1"/>
  <c r="T308" i="2" a="1"/>
  <c r="T308" i="2" s="1"/>
  <c r="S308" i="2" a="1"/>
  <c r="S308" i="2" s="1"/>
  <c r="R308" i="2" a="1"/>
  <c r="R308" i="2" s="1"/>
  <c r="Q308" i="2" a="1"/>
  <c r="Q308" i="2" s="1"/>
  <c r="P308" i="2" a="1"/>
  <c r="P308" i="2" s="1"/>
  <c r="O308" i="2" a="1"/>
  <c r="O308" i="2" s="1"/>
  <c r="N308" i="2" a="1"/>
  <c r="N308" i="2" s="1"/>
  <c r="M308" i="2" a="1"/>
  <c r="M308" i="2" s="1"/>
  <c r="L308" i="2" a="1"/>
  <c r="L308" i="2" s="1"/>
  <c r="K308" i="2" a="1"/>
  <c r="K308" i="2" s="1"/>
  <c r="J308" i="2" a="1"/>
  <c r="J308" i="2" s="1"/>
  <c r="I308" i="2" a="1"/>
  <c r="I308" i="2" s="1"/>
  <c r="H308" i="2" a="1"/>
  <c r="H308" i="2" s="1"/>
  <c r="F308" i="2" a="1"/>
  <c r="F308" i="2" s="1"/>
  <c r="D308" i="2" a="1"/>
  <c r="D308" i="2" s="1"/>
  <c r="B308" i="2" a="1"/>
  <c r="B308" i="2" s="1"/>
  <c r="BD307" i="2" a="1"/>
  <c r="BD307" i="2" s="1"/>
  <c r="BC307" i="2" a="1"/>
  <c r="BC307" i="2" s="1"/>
  <c r="BA307" i="2" a="1"/>
  <c r="BA307" i="2" s="1"/>
  <c r="AZ307" i="2" a="1"/>
  <c r="AZ307" i="2" s="1"/>
  <c r="AY307" i="2" a="1"/>
  <c r="AY307" i="2" s="1"/>
  <c r="AX307" i="2" a="1"/>
  <c r="AX307" i="2" s="1"/>
  <c r="AW307" i="2" a="1"/>
  <c r="AW307" i="2" s="1"/>
  <c r="AV307" i="2" a="1"/>
  <c r="AV307" i="2" s="1"/>
  <c r="AU307" i="2" a="1"/>
  <c r="AU307" i="2" s="1"/>
  <c r="AT307" i="2" a="1"/>
  <c r="AT307" i="2" s="1"/>
  <c r="AS307" i="2" a="1"/>
  <c r="AS307" i="2" s="1"/>
  <c r="AR307" i="2" a="1"/>
  <c r="AR307" i="2" s="1"/>
  <c r="AQ307" i="2" a="1"/>
  <c r="AQ307" i="2" s="1"/>
  <c r="AP307" i="2" a="1"/>
  <c r="AP307" i="2" s="1"/>
  <c r="AO307" i="2" a="1"/>
  <c r="AO307" i="2" s="1"/>
  <c r="AN307" i="2" a="1"/>
  <c r="AN307" i="2" s="1"/>
  <c r="AM307" i="2" a="1"/>
  <c r="AM307" i="2" s="1"/>
  <c r="AL307" i="2" a="1"/>
  <c r="AL307" i="2" s="1"/>
  <c r="AK307" i="2" a="1"/>
  <c r="AK307" i="2" s="1"/>
  <c r="AJ307" i="2" a="1"/>
  <c r="AJ307" i="2" s="1"/>
  <c r="AI307" i="2" a="1"/>
  <c r="AI307" i="2" s="1"/>
  <c r="AH307" i="2" a="1"/>
  <c r="AH307" i="2" s="1"/>
  <c r="AG307" i="2" a="1"/>
  <c r="AG307" i="2" s="1"/>
  <c r="AF307" i="2" a="1"/>
  <c r="AF307" i="2" s="1"/>
  <c r="AE307" i="2" a="1"/>
  <c r="AE307" i="2" s="1"/>
  <c r="AD307" i="2" a="1"/>
  <c r="AD307" i="2" s="1"/>
  <c r="AB307" i="2"/>
  <c r="Z307" i="2" a="1"/>
  <c r="Z307" i="2" s="1"/>
  <c r="Y307" i="2" a="1"/>
  <c r="Y307" i="2" s="1"/>
  <c r="X307" i="2" a="1"/>
  <c r="X307" i="2" s="1"/>
  <c r="W307" i="2" a="1"/>
  <c r="W307" i="2" s="1"/>
  <c r="BB307" i="2" s="1" a="1"/>
  <c r="BB307" i="2" s="1"/>
  <c r="V307" i="2" a="1"/>
  <c r="V307" i="2" s="1"/>
  <c r="E307" i="2" s="1" a="1"/>
  <c r="E307" i="2" s="1"/>
  <c r="U307" i="2" a="1"/>
  <c r="U307" i="2" s="1"/>
  <c r="T307" i="2" a="1"/>
  <c r="T307" i="2" s="1"/>
  <c r="S307" i="2" a="1"/>
  <c r="S307" i="2" s="1"/>
  <c r="R307" i="2" a="1"/>
  <c r="R307" i="2" s="1"/>
  <c r="Q307" i="2" a="1"/>
  <c r="Q307" i="2" s="1"/>
  <c r="P307" i="2" a="1"/>
  <c r="P307" i="2" s="1"/>
  <c r="O307" i="2" a="1"/>
  <c r="O307" i="2" s="1"/>
  <c r="N307" i="2" a="1"/>
  <c r="N307" i="2" s="1"/>
  <c r="M307" i="2" a="1"/>
  <c r="M307" i="2" s="1"/>
  <c r="L307" i="2" a="1"/>
  <c r="L307" i="2" s="1"/>
  <c r="K307" i="2" a="1"/>
  <c r="K307" i="2" s="1"/>
  <c r="J307" i="2" a="1"/>
  <c r="J307" i="2" s="1"/>
  <c r="I307" i="2" a="1"/>
  <c r="I307" i="2" s="1"/>
  <c r="H307" i="2" a="1"/>
  <c r="H307" i="2" s="1"/>
  <c r="F307" i="2" a="1"/>
  <c r="F307" i="2" s="1"/>
  <c r="D307" i="2" a="1"/>
  <c r="D307" i="2" s="1"/>
  <c r="B307" i="2" a="1"/>
  <c r="B307" i="2" s="1"/>
  <c r="BD306" i="2" a="1"/>
  <c r="BD306" i="2" s="1"/>
  <c r="BC306" i="2" a="1"/>
  <c r="BC306" i="2" s="1"/>
  <c r="BA306" i="2" a="1"/>
  <c r="BA306" i="2" s="1"/>
  <c r="AZ306" i="2" a="1"/>
  <c r="AZ306" i="2" s="1"/>
  <c r="AY306" i="2" a="1"/>
  <c r="AY306" i="2" s="1"/>
  <c r="AX306" i="2" a="1"/>
  <c r="AX306" i="2" s="1"/>
  <c r="AW306" i="2" a="1"/>
  <c r="AW306" i="2" s="1"/>
  <c r="AV306" i="2" a="1"/>
  <c r="AV306" i="2" s="1"/>
  <c r="AU306" i="2" a="1"/>
  <c r="AU306" i="2" s="1"/>
  <c r="AT306" i="2" a="1"/>
  <c r="AT306" i="2" s="1"/>
  <c r="AS306" i="2" a="1"/>
  <c r="AS306" i="2" s="1"/>
  <c r="AR306" i="2" a="1"/>
  <c r="AR306" i="2" s="1"/>
  <c r="AQ306" i="2" a="1"/>
  <c r="AQ306" i="2" s="1"/>
  <c r="AP306" i="2" a="1"/>
  <c r="AP306" i="2" s="1"/>
  <c r="AO306" i="2" a="1"/>
  <c r="AO306" i="2" s="1"/>
  <c r="AN306" i="2" a="1"/>
  <c r="AN306" i="2" s="1"/>
  <c r="AM306" i="2" a="1"/>
  <c r="AM306" i="2" s="1"/>
  <c r="AL306" i="2" a="1"/>
  <c r="AL306" i="2" s="1"/>
  <c r="AK306" i="2" a="1"/>
  <c r="AK306" i="2" s="1"/>
  <c r="AJ306" i="2" a="1"/>
  <c r="AJ306" i="2" s="1"/>
  <c r="AI306" i="2" a="1"/>
  <c r="AI306" i="2" s="1"/>
  <c r="AH306" i="2" a="1"/>
  <c r="AH306" i="2" s="1"/>
  <c r="AG306" i="2" a="1"/>
  <c r="AG306" i="2" s="1"/>
  <c r="AF306" i="2" a="1"/>
  <c r="AF306" i="2" s="1"/>
  <c r="AE306" i="2" a="1"/>
  <c r="AE306" i="2" s="1"/>
  <c r="AD306" i="2" a="1"/>
  <c r="AD306" i="2" s="1"/>
  <c r="AB306" i="2"/>
  <c r="Z306" i="2" a="1"/>
  <c r="Z306" i="2" s="1"/>
  <c r="Y306" i="2" a="1"/>
  <c r="Y306" i="2" s="1"/>
  <c r="X306" i="2" a="1"/>
  <c r="X306" i="2" s="1"/>
  <c r="W306" i="2" a="1"/>
  <c r="W306" i="2" s="1"/>
  <c r="BB306" i="2" s="1" a="1"/>
  <c r="BB306" i="2" s="1"/>
  <c r="V306" i="2" a="1"/>
  <c r="V306" i="2" s="1"/>
  <c r="E306" i="2" s="1" a="1"/>
  <c r="E306" i="2" s="1"/>
  <c r="U306" i="2" a="1"/>
  <c r="U306" i="2" s="1"/>
  <c r="T306" i="2" a="1"/>
  <c r="T306" i="2" s="1"/>
  <c r="S306" i="2" a="1"/>
  <c r="S306" i="2" s="1"/>
  <c r="R306" i="2" a="1"/>
  <c r="R306" i="2" s="1"/>
  <c r="Q306" i="2" a="1"/>
  <c r="Q306" i="2" s="1"/>
  <c r="P306" i="2" a="1"/>
  <c r="P306" i="2" s="1"/>
  <c r="O306" i="2" a="1"/>
  <c r="O306" i="2" s="1"/>
  <c r="N306" i="2" a="1"/>
  <c r="N306" i="2" s="1"/>
  <c r="M306" i="2" a="1"/>
  <c r="M306" i="2" s="1"/>
  <c r="L306" i="2" a="1"/>
  <c r="L306" i="2" s="1"/>
  <c r="K306" i="2" a="1"/>
  <c r="K306" i="2" s="1"/>
  <c r="J306" i="2" a="1"/>
  <c r="J306" i="2" s="1"/>
  <c r="I306" i="2" a="1"/>
  <c r="I306" i="2" s="1"/>
  <c r="H306" i="2" a="1"/>
  <c r="H306" i="2" s="1"/>
  <c r="F306" i="2" a="1"/>
  <c r="F306" i="2" s="1"/>
  <c r="D306" i="2" a="1"/>
  <c r="D306" i="2" s="1"/>
  <c r="B306" i="2" a="1"/>
  <c r="B306" i="2" s="1"/>
  <c r="BD305" i="2" a="1"/>
  <c r="BD305" i="2" s="1"/>
  <c r="BC305" i="2" a="1"/>
  <c r="BC305" i="2" s="1"/>
  <c r="BA305" i="2" a="1"/>
  <c r="BA305" i="2" s="1"/>
  <c r="AZ305" i="2" a="1"/>
  <c r="AZ305" i="2" s="1"/>
  <c r="AY305" i="2" a="1"/>
  <c r="AY305" i="2" s="1"/>
  <c r="AX305" i="2" a="1"/>
  <c r="AX305" i="2" s="1"/>
  <c r="AW305" i="2" a="1"/>
  <c r="AW305" i="2" s="1"/>
  <c r="AV305" i="2" a="1"/>
  <c r="AV305" i="2" s="1"/>
  <c r="AU305" i="2" a="1"/>
  <c r="AU305" i="2" s="1"/>
  <c r="AT305" i="2" a="1"/>
  <c r="AT305" i="2" s="1"/>
  <c r="AS305" i="2" a="1"/>
  <c r="AS305" i="2" s="1"/>
  <c r="AR305" i="2" a="1"/>
  <c r="AR305" i="2" s="1"/>
  <c r="AQ305" i="2" a="1"/>
  <c r="AQ305" i="2" s="1"/>
  <c r="AP305" i="2" a="1"/>
  <c r="AP305" i="2" s="1"/>
  <c r="AO305" i="2" a="1"/>
  <c r="AO305" i="2" s="1"/>
  <c r="AN305" i="2" a="1"/>
  <c r="AN305" i="2" s="1"/>
  <c r="AM305" i="2" a="1"/>
  <c r="AM305" i="2" s="1"/>
  <c r="AL305" i="2" a="1"/>
  <c r="AL305" i="2" s="1"/>
  <c r="AK305" i="2" a="1"/>
  <c r="AK305" i="2" s="1"/>
  <c r="AJ305" i="2" a="1"/>
  <c r="AJ305" i="2" s="1"/>
  <c r="AI305" i="2" a="1"/>
  <c r="AI305" i="2" s="1"/>
  <c r="AH305" i="2" a="1"/>
  <c r="AH305" i="2" s="1"/>
  <c r="AG305" i="2" a="1"/>
  <c r="AG305" i="2" s="1"/>
  <c r="AF305" i="2" a="1"/>
  <c r="AF305" i="2" s="1"/>
  <c r="AE305" i="2" a="1"/>
  <c r="AE305" i="2" s="1"/>
  <c r="AD305" i="2" a="1"/>
  <c r="AD305" i="2" s="1"/>
  <c r="AB305" i="2"/>
  <c r="Z305" i="2" a="1"/>
  <c r="Z305" i="2" s="1"/>
  <c r="Y305" i="2" a="1"/>
  <c r="Y305" i="2" s="1"/>
  <c r="X305" i="2" a="1"/>
  <c r="X305" i="2" s="1"/>
  <c r="W305" i="2" a="1"/>
  <c r="W305" i="2" s="1"/>
  <c r="BB305" i="2" s="1" a="1"/>
  <c r="BB305" i="2" s="1"/>
  <c r="V305" i="2" a="1"/>
  <c r="V305" i="2" s="1"/>
  <c r="E305" i="2" s="1" a="1"/>
  <c r="E305" i="2" s="1"/>
  <c r="U305" i="2" a="1"/>
  <c r="U305" i="2" s="1"/>
  <c r="T305" i="2" a="1"/>
  <c r="T305" i="2" s="1"/>
  <c r="S305" i="2" a="1"/>
  <c r="S305" i="2" s="1"/>
  <c r="R305" i="2" a="1"/>
  <c r="R305" i="2" s="1"/>
  <c r="Q305" i="2" a="1"/>
  <c r="Q305" i="2" s="1"/>
  <c r="P305" i="2" a="1"/>
  <c r="P305" i="2" s="1"/>
  <c r="O305" i="2" a="1"/>
  <c r="O305" i="2" s="1"/>
  <c r="N305" i="2" a="1"/>
  <c r="N305" i="2" s="1"/>
  <c r="M305" i="2" a="1"/>
  <c r="M305" i="2" s="1"/>
  <c r="L305" i="2" a="1"/>
  <c r="L305" i="2" s="1"/>
  <c r="K305" i="2" a="1"/>
  <c r="K305" i="2" s="1"/>
  <c r="J305" i="2" a="1"/>
  <c r="J305" i="2" s="1"/>
  <c r="I305" i="2" a="1"/>
  <c r="I305" i="2" s="1"/>
  <c r="H305" i="2" a="1"/>
  <c r="H305" i="2" s="1"/>
  <c r="F305" i="2" a="1"/>
  <c r="F305" i="2" s="1"/>
  <c r="D305" i="2" a="1"/>
  <c r="D305" i="2" s="1"/>
  <c r="B305" i="2" a="1"/>
  <c r="B305" i="2" s="1"/>
  <c r="BD304" i="2" a="1"/>
  <c r="BD304" i="2" s="1"/>
  <c r="BC304" i="2" a="1"/>
  <c r="BC304" i="2" s="1"/>
  <c r="BA304" i="2" a="1"/>
  <c r="BA304" i="2" s="1"/>
  <c r="AZ304" i="2" a="1"/>
  <c r="AZ304" i="2" s="1"/>
  <c r="AY304" i="2" a="1"/>
  <c r="AY304" i="2" s="1"/>
  <c r="AX304" i="2" a="1"/>
  <c r="AX304" i="2" s="1"/>
  <c r="AW304" i="2" a="1"/>
  <c r="AW304" i="2" s="1"/>
  <c r="AV304" i="2" a="1"/>
  <c r="AV304" i="2" s="1"/>
  <c r="AU304" i="2" a="1"/>
  <c r="AU304" i="2" s="1"/>
  <c r="AT304" i="2" a="1"/>
  <c r="AT304" i="2" s="1"/>
  <c r="AS304" i="2" a="1"/>
  <c r="AS304" i="2" s="1"/>
  <c r="AR304" i="2" a="1"/>
  <c r="AR304" i="2" s="1"/>
  <c r="AQ304" i="2" a="1"/>
  <c r="AQ304" i="2" s="1"/>
  <c r="AP304" i="2" a="1"/>
  <c r="AP304" i="2" s="1"/>
  <c r="AO304" i="2" a="1"/>
  <c r="AO304" i="2" s="1"/>
  <c r="AN304" i="2" a="1"/>
  <c r="AN304" i="2" s="1"/>
  <c r="AM304" i="2" a="1"/>
  <c r="AM304" i="2" s="1"/>
  <c r="AL304" i="2" a="1"/>
  <c r="AL304" i="2" s="1"/>
  <c r="AK304" i="2" a="1"/>
  <c r="AK304" i="2" s="1"/>
  <c r="AJ304" i="2" a="1"/>
  <c r="AJ304" i="2" s="1"/>
  <c r="AI304" i="2" a="1"/>
  <c r="AI304" i="2" s="1"/>
  <c r="AH304" i="2" a="1"/>
  <c r="AH304" i="2" s="1"/>
  <c r="AG304" i="2" a="1"/>
  <c r="AG304" i="2" s="1"/>
  <c r="AF304" i="2" a="1"/>
  <c r="AF304" i="2" s="1"/>
  <c r="AE304" i="2" a="1"/>
  <c r="AE304" i="2" s="1"/>
  <c r="AD304" i="2" a="1"/>
  <c r="AD304" i="2" s="1"/>
  <c r="AB304" i="2"/>
  <c r="Z304" i="2" a="1"/>
  <c r="Z304" i="2" s="1"/>
  <c r="Y304" i="2" a="1"/>
  <c r="Y304" i="2" s="1"/>
  <c r="X304" i="2" a="1"/>
  <c r="X304" i="2" s="1"/>
  <c r="W304" i="2" a="1"/>
  <c r="W304" i="2" s="1"/>
  <c r="BB304" i="2" s="1" a="1"/>
  <c r="BB304" i="2" s="1"/>
  <c r="V304" i="2" a="1"/>
  <c r="V304" i="2" s="1"/>
  <c r="E304" i="2" s="1" a="1"/>
  <c r="E304" i="2" s="1"/>
  <c r="U304" i="2" a="1"/>
  <c r="U304" i="2" s="1"/>
  <c r="T304" i="2" a="1"/>
  <c r="T304" i="2" s="1"/>
  <c r="S304" i="2" a="1"/>
  <c r="S304" i="2" s="1"/>
  <c r="R304" i="2" a="1"/>
  <c r="R304" i="2" s="1"/>
  <c r="Q304" i="2" a="1"/>
  <c r="Q304" i="2" s="1"/>
  <c r="P304" i="2" a="1"/>
  <c r="P304" i="2" s="1"/>
  <c r="O304" i="2" a="1"/>
  <c r="O304" i="2" s="1"/>
  <c r="N304" i="2" a="1"/>
  <c r="N304" i="2" s="1"/>
  <c r="M304" i="2" a="1"/>
  <c r="M304" i="2" s="1"/>
  <c r="L304" i="2" a="1"/>
  <c r="L304" i="2" s="1"/>
  <c r="K304" i="2" a="1"/>
  <c r="K304" i="2" s="1"/>
  <c r="J304" i="2" a="1"/>
  <c r="J304" i="2" s="1"/>
  <c r="I304" i="2" a="1"/>
  <c r="I304" i="2" s="1"/>
  <c r="H304" i="2" a="1"/>
  <c r="H304" i="2" s="1"/>
  <c r="F304" i="2" a="1"/>
  <c r="F304" i="2" s="1"/>
  <c r="D304" i="2" a="1"/>
  <c r="D304" i="2" s="1"/>
  <c r="B304" i="2" a="1"/>
  <c r="B304" i="2" s="1"/>
  <c r="BD303" i="2" a="1"/>
  <c r="BD303" i="2" s="1"/>
  <c r="BC303" i="2" a="1"/>
  <c r="BC303" i="2" s="1"/>
  <c r="BA303" i="2" a="1"/>
  <c r="BA303" i="2" s="1"/>
  <c r="AZ303" i="2" a="1"/>
  <c r="AZ303" i="2" s="1"/>
  <c r="AY303" i="2" a="1"/>
  <c r="AY303" i="2" s="1"/>
  <c r="AX303" i="2" a="1"/>
  <c r="AX303" i="2" s="1"/>
  <c r="AW303" i="2" a="1"/>
  <c r="AW303" i="2" s="1"/>
  <c r="AV303" i="2" a="1"/>
  <c r="AV303" i="2" s="1"/>
  <c r="AU303" i="2" a="1"/>
  <c r="AU303" i="2" s="1"/>
  <c r="AT303" i="2" a="1"/>
  <c r="AT303" i="2" s="1"/>
  <c r="AS303" i="2" a="1"/>
  <c r="AS303" i="2" s="1"/>
  <c r="AR303" i="2" a="1"/>
  <c r="AR303" i="2" s="1"/>
  <c r="AQ303" i="2" a="1"/>
  <c r="AQ303" i="2" s="1"/>
  <c r="AP303" i="2" a="1"/>
  <c r="AP303" i="2" s="1"/>
  <c r="AO303" i="2" a="1"/>
  <c r="AO303" i="2" s="1"/>
  <c r="AN303" i="2" a="1"/>
  <c r="AN303" i="2" s="1"/>
  <c r="AM303" i="2" a="1"/>
  <c r="AM303" i="2" s="1"/>
  <c r="AL303" i="2" a="1"/>
  <c r="AL303" i="2" s="1"/>
  <c r="AK303" i="2" a="1"/>
  <c r="AK303" i="2" s="1"/>
  <c r="AJ303" i="2" a="1"/>
  <c r="AJ303" i="2" s="1"/>
  <c r="AI303" i="2" a="1"/>
  <c r="AI303" i="2" s="1"/>
  <c r="AH303" i="2" a="1"/>
  <c r="AH303" i="2" s="1"/>
  <c r="AG303" i="2" a="1"/>
  <c r="AG303" i="2" s="1"/>
  <c r="AF303" i="2" a="1"/>
  <c r="AF303" i="2" s="1"/>
  <c r="AE303" i="2" a="1"/>
  <c r="AE303" i="2" s="1"/>
  <c r="AD303" i="2" a="1"/>
  <c r="AD303" i="2" s="1"/>
  <c r="AB303" i="2"/>
  <c r="Z303" i="2" a="1"/>
  <c r="Z303" i="2" s="1"/>
  <c r="Y303" i="2" a="1"/>
  <c r="Y303" i="2" s="1"/>
  <c r="X303" i="2" a="1"/>
  <c r="X303" i="2" s="1"/>
  <c r="W303" i="2" a="1"/>
  <c r="W303" i="2" s="1"/>
  <c r="BB303" i="2" s="1" a="1"/>
  <c r="BB303" i="2" s="1"/>
  <c r="V303" i="2" a="1"/>
  <c r="V303" i="2" s="1"/>
  <c r="E303" i="2" s="1" a="1"/>
  <c r="E303" i="2" s="1"/>
  <c r="U303" i="2" a="1"/>
  <c r="U303" i="2" s="1"/>
  <c r="T303" i="2" a="1"/>
  <c r="T303" i="2" s="1"/>
  <c r="S303" i="2" a="1"/>
  <c r="S303" i="2" s="1"/>
  <c r="R303" i="2" a="1"/>
  <c r="R303" i="2" s="1"/>
  <c r="Q303" i="2" a="1"/>
  <c r="Q303" i="2" s="1"/>
  <c r="P303" i="2" a="1"/>
  <c r="P303" i="2" s="1"/>
  <c r="O303" i="2" a="1"/>
  <c r="O303" i="2" s="1"/>
  <c r="N303" i="2" a="1"/>
  <c r="N303" i="2" s="1"/>
  <c r="M303" i="2" a="1"/>
  <c r="M303" i="2" s="1"/>
  <c r="L303" i="2" a="1"/>
  <c r="L303" i="2" s="1"/>
  <c r="K303" i="2" a="1"/>
  <c r="K303" i="2" s="1"/>
  <c r="J303" i="2" a="1"/>
  <c r="J303" i="2" s="1"/>
  <c r="I303" i="2" a="1"/>
  <c r="I303" i="2" s="1"/>
  <c r="H303" i="2" a="1"/>
  <c r="H303" i="2" s="1"/>
  <c r="F303" i="2" a="1"/>
  <c r="F303" i="2" s="1"/>
  <c r="D303" i="2" a="1"/>
  <c r="D303" i="2" s="1"/>
  <c r="B303" i="2" a="1"/>
  <c r="B303" i="2" s="1"/>
  <c r="BD302" i="2" a="1"/>
  <c r="BD302" i="2" s="1"/>
  <c r="BC302" i="2" a="1"/>
  <c r="BC302" i="2" s="1"/>
  <c r="BA302" i="2" a="1"/>
  <c r="BA302" i="2" s="1"/>
  <c r="AZ302" i="2" a="1"/>
  <c r="AZ302" i="2" s="1"/>
  <c r="AY302" i="2" a="1"/>
  <c r="AY302" i="2" s="1"/>
  <c r="AX302" i="2" a="1"/>
  <c r="AX302" i="2" s="1"/>
  <c r="AW302" i="2" a="1"/>
  <c r="AW302" i="2" s="1"/>
  <c r="AV302" i="2" a="1"/>
  <c r="AV302" i="2" s="1"/>
  <c r="AU302" i="2" a="1"/>
  <c r="AU302" i="2" s="1"/>
  <c r="AT302" i="2" a="1"/>
  <c r="AT302" i="2" s="1"/>
  <c r="AS302" i="2" a="1"/>
  <c r="AS302" i="2" s="1"/>
  <c r="AR302" i="2" a="1"/>
  <c r="AR302" i="2" s="1"/>
  <c r="AQ302" i="2" a="1"/>
  <c r="AQ302" i="2" s="1"/>
  <c r="AP302" i="2" a="1"/>
  <c r="AP302" i="2" s="1"/>
  <c r="AO302" i="2" a="1"/>
  <c r="AO302" i="2" s="1"/>
  <c r="AN302" i="2" a="1"/>
  <c r="AN302" i="2" s="1"/>
  <c r="AM302" i="2" a="1"/>
  <c r="AM302" i="2" s="1"/>
  <c r="AL302" i="2" a="1"/>
  <c r="AL302" i="2" s="1"/>
  <c r="AK302" i="2" a="1"/>
  <c r="AK302" i="2" s="1"/>
  <c r="AJ302" i="2" a="1"/>
  <c r="AJ302" i="2" s="1"/>
  <c r="AI302" i="2" a="1"/>
  <c r="AI302" i="2" s="1"/>
  <c r="AH302" i="2" a="1"/>
  <c r="AH302" i="2" s="1"/>
  <c r="AG302" i="2" a="1"/>
  <c r="AG302" i="2" s="1"/>
  <c r="AF302" i="2" a="1"/>
  <c r="AF302" i="2" s="1"/>
  <c r="AE302" i="2" a="1"/>
  <c r="AE302" i="2" s="1"/>
  <c r="AD302" i="2" a="1"/>
  <c r="AD302" i="2" s="1"/>
  <c r="AB302" i="2"/>
  <c r="Z302" i="2" a="1"/>
  <c r="Z302" i="2" s="1"/>
  <c r="Y302" i="2" a="1"/>
  <c r="Y302" i="2" s="1"/>
  <c r="X302" i="2" a="1"/>
  <c r="X302" i="2" s="1"/>
  <c r="W302" i="2" a="1"/>
  <c r="W302" i="2" s="1"/>
  <c r="BB302" i="2" s="1" a="1"/>
  <c r="BB302" i="2" s="1"/>
  <c r="V302" i="2" a="1"/>
  <c r="V302" i="2" s="1"/>
  <c r="E302" i="2" s="1" a="1"/>
  <c r="E302" i="2" s="1"/>
  <c r="U302" i="2" a="1"/>
  <c r="U302" i="2" s="1"/>
  <c r="T302" i="2" a="1"/>
  <c r="T302" i="2" s="1"/>
  <c r="S302" i="2" a="1"/>
  <c r="S302" i="2" s="1"/>
  <c r="R302" i="2" a="1"/>
  <c r="R302" i="2" s="1"/>
  <c r="Q302" i="2" a="1"/>
  <c r="Q302" i="2" s="1"/>
  <c r="P302" i="2" a="1"/>
  <c r="P302" i="2" s="1"/>
  <c r="O302" i="2" a="1"/>
  <c r="O302" i="2" s="1"/>
  <c r="N302" i="2" a="1"/>
  <c r="N302" i="2" s="1"/>
  <c r="M302" i="2" a="1"/>
  <c r="M302" i="2" s="1"/>
  <c r="L302" i="2" a="1"/>
  <c r="L302" i="2" s="1"/>
  <c r="K302" i="2" a="1"/>
  <c r="K302" i="2" s="1"/>
  <c r="J302" i="2" a="1"/>
  <c r="J302" i="2" s="1"/>
  <c r="I302" i="2" a="1"/>
  <c r="I302" i="2" s="1"/>
  <c r="H302" i="2" a="1"/>
  <c r="H302" i="2" s="1"/>
  <c r="F302" i="2" a="1"/>
  <c r="F302" i="2" s="1"/>
  <c r="D302" i="2" a="1"/>
  <c r="D302" i="2" s="1"/>
  <c r="B302" i="2" a="1"/>
  <c r="B302" i="2" s="1"/>
  <c r="BD301" i="2" a="1"/>
  <c r="BD301" i="2" s="1"/>
  <c r="BC301" i="2" a="1"/>
  <c r="BC301" i="2" s="1"/>
  <c r="BA301" i="2" a="1"/>
  <c r="BA301" i="2" s="1"/>
  <c r="AZ301" i="2" a="1"/>
  <c r="AZ301" i="2" s="1"/>
  <c r="AY301" i="2" a="1"/>
  <c r="AY301" i="2" s="1"/>
  <c r="AX301" i="2" a="1"/>
  <c r="AX301" i="2" s="1"/>
  <c r="AW301" i="2" a="1"/>
  <c r="AW301" i="2" s="1"/>
  <c r="AV301" i="2" a="1"/>
  <c r="AV301" i="2" s="1"/>
  <c r="AU301" i="2" a="1"/>
  <c r="AU301" i="2" s="1"/>
  <c r="AT301" i="2" a="1"/>
  <c r="AT301" i="2" s="1"/>
  <c r="AS301" i="2" a="1"/>
  <c r="AS301" i="2" s="1"/>
  <c r="AR301" i="2" a="1"/>
  <c r="AR301" i="2" s="1"/>
  <c r="AQ301" i="2" a="1"/>
  <c r="AQ301" i="2" s="1"/>
  <c r="AP301" i="2" a="1"/>
  <c r="AP301" i="2" s="1"/>
  <c r="AO301" i="2" a="1"/>
  <c r="AO301" i="2" s="1"/>
  <c r="AN301" i="2" a="1"/>
  <c r="AN301" i="2" s="1"/>
  <c r="AM301" i="2" a="1"/>
  <c r="AM301" i="2" s="1"/>
  <c r="AL301" i="2" a="1"/>
  <c r="AL301" i="2" s="1"/>
  <c r="AK301" i="2" a="1"/>
  <c r="AK301" i="2" s="1"/>
  <c r="AJ301" i="2" a="1"/>
  <c r="AJ301" i="2" s="1"/>
  <c r="AI301" i="2" a="1"/>
  <c r="AI301" i="2" s="1"/>
  <c r="AH301" i="2" a="1"/>
  <c r="AH301" i="2" s="1"/>
  <c r="AG301" i="2" a="1"/>
  <c r="AG301" i="2" s="1"/>
  <c r="AF301" i="2" a="1"/>
  <c r="AF301" i="2" s="1"/>
  <c r="AE301" i="2" a="1"/>
  <c r="AE301" i="2" s="1"/>
  <c r="AD301" i="2" a="1"/>
  <c r="AD301" i="2" s="1"/>
  <c r="AB301" i="2"/>
  <c r="Z301" i="2" a="1"/>
  <c r="Z301" i="2" s="1"/>
  <c r="Y301" i="2" a="1"/>
  <c r="Y301" i="2" s="1"/>
  <c r="X301" i="2" a="1"/>
  <c r="X301" i="2" s="1"/>
  <c r="W301" i="2" a="1"/>
  <c r="W301" i="2" s="1"/>
  <c r="BB301" i="2" s="1" a="1"/>
  <c r="BB301" i="2" s="1"/>
  <c r="V301" i="2" a="1"/>
  <c r="V301" i="2" s="1"/>
  <c r="E301" i="2" s="1" a="1"/>
  <c r="E301" i="2" s="1"/>
  <c r="U301" i="2" a="1"/>
  <c r="U301" i="2" s="1"/>
  <c r="T301" i="2" a="1"/>
  <c r="T301" i="2" s="1"/>
  <c r="S301" i="2" a="1"/>
  <c r="S301" i="2" s="1"/>
  <c r="R301" i="2" a="1"/>
  <c r="R301" i="2" s="1"/>
  <c r="Q301" i="2" a="1"/>
  <c r="Q301" i="2" s="1"/>
  <c r="P301" i="2" a="1"/>
  <c r="P301" i="2" s="1"/>
  <c r="O301" i="2" a="1"/>
  <c r="O301" i="2" s="1"/>
  <c r="N301" i="2" a="1"/>
  <c r="N301" i="2" s="1"/>
  <c r="M301" i="2" a="1"/>
  <c r="M301" i="2" s="1"/>
  <c r="L301" i="2" a="1"/>
  <c r="L301" i="2" s="1"/>
  <c r="K301" i="2" a="1"/>
  <c r="K301" i="2" s="1"/>
  <c r="J301" i="2" a="1"/>
  <c r="J301" i="2" s="1"/>
  <c r="I301" i="2" a="1"/>
  <c r="I301" i="2" s="1"/>
  <c r="H301" i="2" a="1"/>
  <c r="H301" i="2" s="1"/>
  <c r="F301" i="2" a="1"/>
  <c r="F301" i="2" s="1"/>
  <c r="D301" i="2" a="1"/>
  <c r="D301" i="2" s="1"/>
  <c r="B301" i="2" a="1"/>
  <c r="B301" i="2" s="1"/>
  <c r="BD300" i="2" a="1"/>
  <c r="BD300" i="2" s="1"/>
  <c r="BC300" i="2" a="1"/>
  <c r="BC300" i="2" s="1"/>
  <c r="BA300" i="2" a="1"/>
  <c r="BA300" i="2" s="1"/>
  <c r="AZ300" i="2" a="1"/>
  <c r="AZ300" i="2" s="1"/>
  <c r="AY300" i="2" a="1"/>
  <c r="AY300" i="2" s="1"/>
  <c r="AX300" i="2" a="1"/>
  <c r="AX300" i="2" s="1"/>
  <c r="AW300" i="2" a="1"/>
  <c r="AW300" i="2" s="1"/>
  <c r="AV300" i="2" a="1"/>
  <c r="AV300" i="2" s="1"/>
  <c r="AU300" i="2" a="1"/>
  <c r="AU300" i="2" s="1"/>
  <c r="AT300" i="2" a="1"/>
  <c r="AT300" i="2" s="1"/>
  <c r="AS300" i="2" a="1"/>
  <c r="AS300" i="2" s="1"/>
  <c r="AR300" i="2" a="1"/>
  <c r="AR300" i="2" s="1"/>
  <c r="AQ300" i="2" a="1"/>
  <c r="AQ300" i="2" s="1"/>
  <c r="AP300" i="2" a="1"/>
  <c r="AP300" i="2" s="1"/>
  <c r="AO300" i="2" a="1"/>
  <c r="AO300" i="2" s="1"/>
  <c r="AN300" i="2" a="1"/>
  <c r="AN300" i="2" s="1"/>
  <c r="AM300" i="2" a="1"/>
  <c r="AM300" i="2" s="1"/>
  <c r="AL300" i="2" a="1"/>
  <c r="AL300" i="2" s="1"/>
  <c r="AK300" i="2" a="1"/>
  <c r="AK300" i="2" s="1"/>
  <c r="AI300" i="2" a="1"/>
  <c r="AI300" i="2" s="1"/>
  <c r="AH300" i="2" a="1"/>
  <c r="AH300" i="2" s="1"/>
  <c r="AG300" i="2" a="1"/>
  <c r="AG300" i="2" s="1"/>
  <c r="AF300" i="2" a="1"/>
  <c r="AF300" i="2" s="1"/>
  <c r="AE300" i="2" a="1"/>
  <c r="AE300" i="2" s="1"/>
  <c r="AD300" i="2" a="1"/>
  <c r="AD300" i="2" s="1"/>
  <c r="AB300" i="2"/>
  <c r="Z300" i="2" a="1"/>
  <c r="Z300" i="2" s="1"/>
  <c r="Y300" i="2" a="1"/>
  <c r="Y300" i="2" s="1"/>
  <c r="X300" i="2" a="1"/>
  <c r="X300" i="2" s="1"/>
  <c r="W300" i="2" a="1"/>
  <c r="W300" i="2" s="1"/>
  <c r="BB300" i="2" s="1" a="1"/>
  <c r="BB300" i="2" s="1"/>
  <c r="V300" i="2" a="1"/>
  <c r="V300" i="2" s="1"/>
  <c r="E300" i="2" s="1" a="1"/>
  <c r="E300" i="2" s="1"/>
  <c r="U300" i="2" a="1"/>
  <c r="U300" i="2" s="1"/>
  <c r="T300" i="2" a="1"/>
  <c r="T300" i="2" s="1"/>
  <c r="S300" i="2" a="1"/>
  <c r="S300" i="2" s="1"/>
  <c r="R300" i="2" a="1"/>
  <c r="R300" i="2" s="1"/>
  <c r="Q300" i="2" a="1"/>
  <c r="Q300" i="2" s="1"/>
  <c r="P300" i="2" a="1"/>
  <c r="P300" i="2" s="1"/>
  <c r="O300" i="2" a="1"/>
  <c r="O300" i="2" s="1"/>
  <c r="N300" i="2" a="1"/>
  <c r="N300" i="2" s="1"/>
  <c r="M300" i="2" a="1"/>
  <c r="M300" i="2" s="1"/>
  <c r="L300" i="2" a="1"/>
  <c r="L300" i="2" s="1"/>
  <c r="K300" i="2" a="1"/>
  <c r="K300" i="2" s="1"/>
  <c r="J300" i="2" a="1"/>
  <c r="J300" i="2" s="1"/>
  <c r="I300" i="2" a="1"/>
  <c r="I300" i="2" s="1"/>
  <c r="H300" i="2" a="1"/>
  <c r="H300" i="2" s="1"/>
  <c r="F300" i="2" a="1"/>
  <c r="F300" i="2" s="1"/>
  <c r="D300" i="2" a="1"/>
  <c r="D300" i="2" s="1"/>
  <c r="B300" i="2" a="1"/>
  <c r="B300" i="2" s="1"/>
  <c r="BD298" i="2" a="1"/>
  <c r="BD298" i="2" s="1"/>
  <c r="BC298" i="2" a="1"/>
  <c r="BC298" i="2" s="1"/>
  <c r="BA298" i="2" a="1"/>
  <c r="BA298" i="2" s="1"/>
  <c r="AZ298" i="2" a="1"/>
  <c r="AZ298" i="2" s="1"/>
  <c r="AY298" i="2" a="1"/>
  <c r="AY298" i="2" s="1"/>
  <c r="AX298" i="2" a="1"/>
  <c r="AX298" i="2" s="1"/>
  <c r="AW298" i="2" a="1"/>
  <c r="AW298" i="2" s="1"/>
  <c r="AV298" i="2" a="1"/>
  <c r="AV298" i="2" s="1"/>
  <c r="AU298" i="2" a="1"/>
  <c r="AU298" i="2" s="1"/>
  <c r="AT298" i="2" a="1"/>
  <c r="AT298" i="2" s="1"/>
  <c r="AS298" i="2" a="1"/>
  <c r="AS298" i="2" s="1"/>
  <c r="AR298" i="2" a="1"/>
  <c r="AR298" i="2" s="1"/>
  <c r="AQ298" i="2" a="1"/>
  <c r="AQ298" i="2" s="1"/>
  <c r="AP298" i="2" a="1"/>
  <c r="AP298" i="2" s="1"/>
  <c r="AO298" i="2" a="1"/>
  <c r="AO298" i="2" s="1"/>
  <c r="AN298" i="2" a="1"/>
  <c r="AN298" i="2" s="1"/>
  <c r="AM298" i="2" a="1"/>
  <c r="AM298" i="2" s="1"/>
  <c r="AL298" i="2" a="1"/>
  <c r="AL298" i="2" s="1"/>
  <c r="AK298" i="2" a="1"/>
  <c r="AK298" i="2" s="1"/>
  <c r="AJ298" i="2" a="1"/>
  <c r="AJ298" i="2" s="1"/>
  <c r="AI298" i="2" a="1"/>
  <c r="AI298" i="2" s="1"/>
  <c r="AH298" i="2" a="1"/>
  <c r="AH298" i="2" s="1"/>
  <c r="AG298" i="2" a="1"/>
  <c r="AG298" i="2" s="1"/>
  <c r="AF298" i="2" a="1"/>
  <c r="AF298" i="2" s="1"/>
  <c r="AE298" i="2" a="1"/>
  <c r="AE298" i="2" s="1"/>
  <c r="AD298" i="2" a="1"/>
  <c r="AD298" i="2" s="1"/>
  <c r="AB298" i="2"/>
  <c r="Z298" i="2" a="1"/>
  <c r="Z298" i="2" s="1"/>
  <c r="Y298" i="2" a="1"/>
  <c r="Y298" i="2" s="1"/>
  <c r="X298" i="2" a="1"/>
  <c r="X298" i="2" s="1"/>
  <c r="W298" i="2" a="1"/>
  <c r="W298" i="2" s="1"/>
  <c r="BB298" i="2" s="1" a="1"/>
  <c r="BB298" i="2" s="1"/>
  <c r="V298" i="2" a="1"/>
  <c r="V298" i="2" s="1"/>
  <c r="E298" i="2" s="1" a="1"/>
  <c r="E298" i="2" s="1"/>
  <c r="U298" i="2" a="1"/>
  <c r="U298" i="2" s="1"/>
  <c r="T298" i="2" a="1"/>
  <c r="T298" i="2" s="1"/>
  <c r="S298" i="2" a="1"/>
  <c r="S298" i="2" s="1"/>
  <c r="R298" i="2" a="1"/>
  <c r="R298" i="2" s="1"/>
  <c r="Q298" i="2" a="1"/>
  <c r="Q298" i="2" s="1"/>
  <c r="P298" i="2" a="1"/>
  <c r="P298" i="2" s="1"/>
  <c r="O298" i="2" a="1"/>
  <c r="O298" i="2" s="1"/>
  <c r="N298" i="2" a="1"/>
  <c r="N298" i="2" s="1"/>
  <c r="M298" i="2" a="1"/>
  <c r="M298" i="2" s="1"/>
  <c r="L298" i="2" a="1"/>
  <c r="L298" i="2" s="1"/>
  <c r="K298" i="2" a="1"/>
  <c r="K298" i="2" s="1"/>
  <c r="J298" i="2" a="1"/>
  <c r="J298" i="2" s="1"/>
  <c r="I298" i="2" a="1"/>
  <c r="I298" i="2" s="1"/>
  <c r="H298" i="2" a="1"/>
  <c r="H298" i="2" s="1"/>
  <c r="F298" i="2" a="1"/>
  <c r="F298" i="2" s="1"/>
  <c r="D298" i="2" a="1"/>
  <c r="D298" i="2" s="1"/>
  <c r="B298" i="2" a="1"/>
  <c r="B298" i="2" s="1"/>
  <c r="BD297" i="2" a="1"/>
  <c r="BD297" i="2" s="1"/>
  <c r="BC297" i="2" a="1"/>
  <c r="BC297" i="2" s="1"/>
  <c r="BA297" i="2" a="1"/>
  <c r="BA297" i="2" s="1"/>
  <c r="AZ297" i="2" a="1"/>
  <c r="AZ297" i="2" s="1"/>
  <c r="AY297" i="2" a="1"/>
  <c r="AY297" i="2" s="1"/>
  <c r="AX297" i="2" a="1"/>
  <c r="AX297" i="2" s="1"/>
  <c r="AW297" i="2" a="1"/>
  <c r="AW297" i="2" s="1"/>
  <c r="AV297" i="2" a="1"/>
  <c r="AV297" i="2" s="1"/>
  <c r="AU297" i="2" a="1"/>
  <c r="AU297" i="2" s="1"/>
  <c r="AT297" i="2" a="1"/>
  <c r="AT297" i="2" s="1"/>
  <c r="AS297" i="2" a="1"/>
  <c r="AS297" i="2" s="1"/>
  <c r="AR297" i="2" a="1"/>
  <c r="AR297" i="2" s="1"/>
  <c r="AQ297" i="2" a="1"/>
  <c r="AQ297" i="2" s="1"/>
  <c r="AP297" i="2" a="1"/>
  <c r="AP297" i="2" s="1"/>
  <c r="AO297" i="2" a="1"/>
  <c r="AO297" i="2" s="1"/>
  <c r="AN297" i="2" a="1"/>
  <c r="AN297" i="2" s="1"/>
  <c r="AM297" i="2" a="1"/>
  <c r="AM297" i="2" s="1"/>
  <c r="AL297" i="2" a="1"/>
  <c r="AL297" i="2" s="1"/>
  <c r="AK297" i="2" a="1"/>
  <c r="AK297" i="2" s="1"/>
  <c r="AJ297" i="2" a="1"/>
  <c r="AJ297" i="2" s="1"/>
  <c r="AI297" i="2" a="1"/>
  <c r="AI297" i="2" s="1"/>
  <c r="AH297" i="2" a="1"/>
  <c r="AH297" i="2" s="1"/>
  <c r="AG297" i="2" a="1"/>
  <c r="AG297" i="2" s="1"/>
  <c r="AF297" i="2" a="1"/>
  <c r="AF297" i="2" s="1"/>
  <c r="AE297" i="2" a="1"/>
  <c r="AE297" i="2" s="1"/>
  <c r="AD297" i="2" a="1"/>
  <c r="AD297" i="2" s="1"/>
  <c r="AB297" i="2"/>
  <c r="Z297" i="2" a="1"/>
  <c r="Z297" i="2" s="1"/>
  <c r="Y297" i="2" a="1"/>
  <c r="Y297" i="2" s="1"/>
  <c r="X297" i="2" a="1"/>
  <c r="X297" i="2" s="1"/>
  <c r="W297" i="2" a="1"/>
  <c r="W297" i="2" s="1"/>
  <c r="BB297" i="2" s="1" a="1"/>
  <c r="BB297" i="2" s="1"/>
  <c r="V297" i="2" a="1"/>
  <c r="V297" i="2" s="1"/>
  <c r="E297" i="2" s="1" a="1"/>
  <c r="E297" i="2" s="1"/>
  <c r="U297" i="2" a="1"/>
  <c r="U297" i="2" s="1"/>
  <c r="T297" i="2" a="1"/>
  <c r="T297" i="2" s="1"/>
  <c r="S297" i="2" a="1"/>
  <c r="S297" i="2" s="1"/>
  <c r="R297" i="2" a="1"/>
  <c r="R297" i="2" s="1"/>
  <c r="Q297" i="2" a="1"/>
  <c r="Q297" i="2" s="1"/>
  <c r="P297" i="2" a="1"/>
  <c r="P297" i="2" s="1"/>
  <c r="O297" i="2" a="1"/>
  <c r="O297" i="2" s="1"/>
  <c r="N297" i="2" a="1"/>
  <c r="N297" i="2" s="1"/>
  <c r="M297" i="2" a="1"/>
  <c r="M297" i="2" s="1"/>
  <c r="L297" i="2" a="1"/>
  <c r="L297" i="2" s="1"/>
  <c r="K297" i="2" a="1"/>
  <c r="K297" i="2" s="1"/>
  <c r="J297" i="2" a="1"/>
  <c r="J297" i="2" s="1"/>
  <c r="I297" i="2" a="1"/>
  <c r="I297" i="2" s="1"/>
  <c r="H297" i="2" a="1"/>
  <c r="H297" i="2" s="1"/>
  <c r="F297" i="2" a="1"/>
  <c r="F297" i="2" s="1"/>
  <c r="D297" i="2" a="1"/>
  <c r="D297" i="2" s="1"/>
  <c r="B297" i="2" a="1"/>
  <c r="B297" i="2" s="1"/>
  <c r="BD294" i="2" a="1"/>
  <c r="BD294" i="2" s="1"/>
  <c r="BC294" i="2" a="1"/>
  <c r="BC294" i="2" s="1"/>
  <c r="BA294" i="2" a="1"/>
  <c r="BA294" i="2" s="1"/>
  <c r="AZ294" i="2" a="1"/>
  <c r="AZ294" i="2" s="1"/>
  <c r="AY294" i="2" a="1"/>
  <c r="AY294" i="2" s="1"/>
  <c r="AX294" i="2" a="1"/>
  <c r="AX294" i="2" s="1"/>
  <c r="AW294" i="2" a="1"/>
  <c r="AW294" i="2" s="1"/>
  <c r="AV294" i="2" a="1"/>
  <c r="AV294" i="2" s="1"/>
  <c r="AU294" i="2" a="1"/>
  <c r="AU294" i="2" s="1"/>
  <c r="AT294" i="2" a="1"/>
  <c r="AT294" i="2" s="1"/>
  <c r="AS294" i="2" a="1"/>
  <c r="AS294" i="2" s="1"/>
  <c r="AR294" i="2" a="1"/>
  <c r="AR294" i="2" s="1"/>
  <c r="AQ294" i="2" a="1"/>
  <c r="AQ294" i="2" s="1"/>
  <c r="AP294" i="2" a="1"/>
  <c r="AP294" i="2" s="1"/>
  <c r="AO294" i="2" a="1"/>
  <c r="AO294" i="2" s="1"/>
  <c r="AN294" i="2" a="1"/>
  <c r="AN294" i="2" s="1"/>
  <c r="AM294" i="2" a="1"/>
  <c r="AM294" i="2" s="1"/>
  <c r="AL294" i="2" a="1"/>
  <c r="AL294" i="2" s="1"/>
  <c r="AK294" i="2" a="1"/>
  <c r="AK294" i="2" s="1"/>
  <c r="AJ294" i="2" a="1"/>
  <c r="AJ294" i="2" s="1"/>
  <c r="AI294" i="2" a="1"/>
  <c r="AI294" i="2" s="1"/>
  <c r="AH294" i="2" a="1"/>
  <c r="AH294" i="2" s="1"/>
  <c r="AG294" i="2" a="1"/>
  <c r="AG294" i="2" s="1"/>
  <c r="AF294" i="2" a="1"/>
  <c r="AF294" i="2" s="1"/>
  <c r="AE294" i="2" a="1"/>
  <c r="AE294" i="2" s="1"/>
  <c r="AD294" i="2" a="1"/>
  <c r="AD294" i="2" s="1"/>
  <c r="AB294" i="2"/>
  <c r="Z294" i="2" a="1"/>
  <c r="Z294" i="2" s="1"/>
  <c r="Y294" i="2" a="1"/>
  <c r="Y294" i="2" s="1"/>
  <c r="X294" i="2" a="1"/>
  <c r="X294" i="2" s="1"/>
  <c r="W294" i="2" a="1"/>
  <c r="W294" i="2" s="1"/>
  <c r="BB294" i="2" s="1" a="1"/>
  <c r="BB294" i="2" s="1"/>
  <c r="V294" i="2" a="1"/>
  <c r="V294" i="2" s="1"/>
  <c r="E294" i="2" s="1" a="1"/>
  <c r="E294" i="2" s="1"/>
  <c r="U294" i="2" a="1"/>
  <c r="U294" i="2" s="1"/>
  <c r="T294" i="2" a="1"/>
  <c r="T294" i="2" s="1"/>
  <c r="S294" i="2" a="1"/>
  <c r="S294" i="2" s="1"/>
  <c r="R294" i="2" a="1"/>
  <c r="R294" i="2" s="1"/>
  <c r="Q294" i="2" a="1"/>
  <c r="Q294" i="2" s="1"/>
  <c r="P294" i="2" a="1"/>
  <c r="P294" i="2" s="1"/>
  <c r="O294" i="2" a="1"/>
  <c r="O294" i="2" s="1"/>
  <c r="N294" i="2" a="1"/>
  <c r="N294" i="2" s="1"/>
  <c r="M294" i="2" a="1"/>
  <c r="M294" i="2" s="1"/>
  <c r="L294" i="2" a="1"/>
  <c r="L294" i="2" s="1"/>
  <c r="K294" i="2" a="1"/>
  <c r="K294" i="2" s="1"/>
  <c r="J294" i="2" a="1"/>
  <c r="J294" i="2" s="1"/>
  <c r="I294" i="2" a="1"/>
  <c r="I294" i="2" s="1"/>
  <c r="H294" i="2" a="1"/>
  <c r="H294" i="2" s="1"/>
  <c r="F294" i="2" a="1"/>
  <c r="F294" i="2" s="1"/>
  <c r="D294" i="2" a="1"/>
  <c r="D294" i="2" s="1"/>
  <c r="B294" i="2" a="1"/>
  <c r="B294" i="2" s="1"/>
  <c r="BD290" i="2" a="1"/>
  <c r="BD290" i="2" s="1"/>
  <c r="BC290" i="2" a="1"/>
  <c r="BC290" i="2" s="1"/>
  <c r="AZ290" i="2" a="1"/>
  <c r="AZ290" i="2" s="1"/>
  <c r="AY290" i="2" a="1"/>
  <c r="AY290" i="2" s="1"/>
  <c r="AX290" i="2" a="1"/>
  <c r="AX290" i="2" s="1"/>
  <c r="AW290" i="2" a="1"/>
  <c r="AW290" i="2" s="1"/>
  <c r="AV290" i="2" a="1"/>
  <c r="AV290" i="2" s="1"/>
  <c r="AU290" i="2" a="1"/>
  <c r="AU290" i="2" s="1"/>
  <c r="AT290" i="2" a="1"/>
  <c r="AT290" i="2" s="1"/>
  <c r="AS290" i="2" a="1"/>
  <c r="AS290" i="2" s="1"/>
  <c r="AR290" i="2" a="1"/>
  <c r="AR290" i="2" s="1"/>
  <c r="AQ290" i="2" a="1"/>
  <c r="AQ290" i="2" s="1"/>
  <c r="AP290" i="2" a="1"/>
  <c r="AP290" i="2" s="1"/>
  <c r="AO290" i="2" a="1"/>
  <c r="AO290" i="2" s="1"/>
  <c r="AN290" i="2" a="1"/>
  <c r="AN290" i="2" s="1"/>
  <c r="AM290" i="2" a="1"/>
  <c r="AM290" i="2" s="1"/>
  <c r="AL290" i="2" a="1"/>
  <c r="AL290" i="2" s="1"/>
  <c r="AK290" i="2" a="1"/>
  <c r="AK290" i="2" s="1"/>
  <c r="AJ290" i="2" a="1"/>
  <c r="AJ290" i="2" s="1"/>
  <c r="AI290" i="2" a="1"/>
  <c r="AI290" i="2" s="1"/>
  <c r="AH290" i="2" a="1"/>
  <c r="AH290" i="2" s="1"/>
  <c r="AG290" i="2" a="1"/>
  <c r="AG290" i="2" s="1"/>
  <c r="AF290" i="2" a="1"/>
  <c r="AF290" i="2" s="1"/>
  <c r="AE290" i="2" a="1"/>
  <c r="AE290" i="2" s="1"/>
  <c r="AD290" i="2" a="1"/>
  <c r="AD290" i="2" s="1"/>
  <c r="AC290" i="2" a="1"/>
  <c r="AC290" i="2" s="1"/>
  <c r="AB290" i="2" a="1"/>
  <c r="AB290" i="2" s="1"/>
  <c r="AA290" i="2" a="1"/>
  <c r="AA290" i="2" s="1"/>
  <c r="Z290" i="2" a="1"/>
  <c r="Z290" i="2" s="1"/>
  <c r="Y290" i="2" a="1"/>
  <c r="Y290" i="2" s="1"/>
  <c r="X290" i="2" a="1"/>
  <c r="X290" i="2" s="1"/>
  <c r="W290" i="2" a="1"/>
  <c r="W290" i="2" s="1"/>
  <c r="V290" i="2" a="1"/>
  <c r="V290" i="2" s="1"/>
  <c r="E290" i="2" s="1" a="1"/>
  <c r="E290" i="2" s="1"/>
  <c r="U290" i="2" a="1"/>
  <c r="U290" i="2" s="1"/>
  <c r="T290" i="2" a="1"/>
  <c r="T290" i="2" s="1"/>
  <c r="S290" i="2" a="1"/>
  <c r="S290" i="2" s="1"/>
  <c r="R290" i="2" a="1"/>
  <c r="R290" i="2" s="1"/>
  <c r="Q290" i="2" a="1"/>
  <c r="Q290" i="2" s="1"/>
  <c r="P290" i="2" a="1"/>
  <c r="P290" i="2" s="1"/>
  <c r="O290" i="2" a="1"/>
  <c r="O290" i="2" s="1"/>
  <c r="N290" i="2" a="1"/>
  <c r="N290" i="2" s="1"/>
  <c r="M290" i="2" a="1"/>
  <c r="M290" i="2" s="1"/>
  <c r="L290" i="2" a="1"/>
  <c r="L290" i="2" s="1"/>
  <c r="K290" i="2" a="1"/>
  <c r="K290" i="2" s="1"/>
  <c r="J290" i="2" a="1"/>
  <c r="J290" i="2" s="1"/>
  <c r="I290" i="2" a="1"/>
  <c r="I290" i="2" s="1"/>
  <c r="H290" i="2" a="1"/>
  <c r="H290" i="2" s="1"/>
  <c r="F290" i="2" a="1"/>
  <c r="F290" i="2" s="1"/>
  <c r="D290" i="2" a="1"/>
  <c r="D290" i="2" s="1"/>
  <c r="B290" i="2" a="1"/>
  <c r="B290" i="2" s="1"/>
  <c r="B230" i="2" a="1"/>
  <c r="B230" i="2" s="1"/>
  <c r="B231" i="2" a="1"/>
  <c r="B231" i="2" s="1"/>
  <c r="AB255" i="2"/>
  <c r="AB254" i="2"/>
  <c r="AB253" i="2"/>
  <c r="AB252" i="2"/>
  <c r="AB251" i="2"/>
  <c r="AB250" i="2"/>
  <c r="AB249" i="2"/>
  <c r="AB248" i="2"/>
  <c r="AB246" i="2"/>
  <c r="AB245" i="2"/>
  <c r="AB244" i="2"/>
  <c r="AB243" i="2"/>
  <c r="AB242" i="2"/>
  <c r="AB241" i="2"/>
  <c r="AB240" i="2"/>
  <c r="AB239" i="2"/>
  <c r="AB238" i="2"/>
  <c r="AB231" i="2"/>
  <c r="AB232" i="2"/>
  <c r="AB233" i="2"/>
  <c r="AB234" i="2"/>
  <c r="AB235" i="2"/>
  <c r="AB236" i="2"/>
  <c r="AB230" i="2"/>
  <c r="AB286" i="2"/>
  <c r="AB285" i="2"/>
  <c r="AB284" i="2"/>
  <c r="AB283" i="2"/>
  <c r="AB282" i="2"/>
  <c r="AB281" i="2"/>
  <c r="AB280" i="2"/>
  <c r="AB279" i="2"/>
  <c r="AB277" i="2"/>
  <c r="AB276" i="2"/>
  <c r="AB275" i="2"/>
  <c r="AB274" i="2"/>
  <c r="AB273" i="2"/>
  <c r="AB272" i="2"/>
  <c r="AB271" i="2"/>
  <c r="AB270" i="2"/>
  <c r="AB269" i="2"/>
  <c r="AB268" i="2"/>
  <c r="AB267" i="2"/>
  <c r="AB264" i="2"/>
  <c r="AB265" i="2"/>
  <c r="AB263" i="2"/>
  <c r="AB259" i="2" a="1"/>
  <c r="AB259" i="2" s="1"/>
  <c r="AB1" i="2"/>
  <c r="B276" i="2" a="1"/>
  <c r="B276" i="2" s="1"/>
  <c r="D275" i="2" a="1"/>
  <c r="D275" i="2" s="1"/>
  <c r="F275" i="2" a="1"/>
  <c r="F275" i="2" s="1"/>
  <c r="H275" i="2" a="1"/>
  <c r="H275" i="2" s="1"/>
  <c r="I275" i="2" a="1"/>
  <c r="I275" i="2" s="1"/>
  <c r="J275" i="2" a="1"/>
  <c r="J275" i="2" s="1"/>
  <c r="K275" i="2" a="1"/>
  <c r="K275" i="2" s="1"/>
  <c r="L275" i="2" a="1"/>
  <c r="L275" i="2" s="1"/>
  <c r="M275" i="2" a="1"/>
  <c r="M275" i="2" s="1"/>
  <c r="N275" i="2" a="1"/>
  <c r="N275" i="2" s="1"/>
  <c r="O275" i="2" a="1"/>
  <c r="O275" i="2" s="1"/>
  <c r="P275" i="2" a="1"/>
  <c r="P275" i="2" s="1"/>
  <c r="Q275" i="2" a="1"/>
  <c r="Q275" i="2" s="1"/>
  <c r="R275" i="2" a="1"/>
  <c r="R275" i="2" s="1"/>
  <c r="S275" i="2" a="1"/>
  <c r="S275" i="2" s="1"/>
  <c r="T275" i="2" a="1"/>
  <c r="T275" i="2" s="1"/>
  <c r="U275" i="2" a="1"/>
  <c r="U275" i="2" s="1"/>
  <c r="V275" i="2" a="1"/>
  <c r="V275" i="2" s="1"/>
  <c r="E275" i="2" s="1" a="1"/>
  <c r="E275" i="2" s="1"/>
  <c r="W275" i="2" a="1"/>
  <c r="W275" i="2" s="1"/>
  <c r="BB275" i="2" s="1" a="1"/>
  <c r="BB275" i="2" s="1"/>
  <c r="X275" i="2" a="1"/>
  <c r="X275" i="2" s="1"/>
  <c r="Y275" i="2" a="1"/>
  <c r="Y275" i="2" s="1"/>
  <c r="Z275" i="2" a="1"/>
  <c r="Z275" i="2" s="1"/>
  <c r="AD275" i="2" a="1"/>
  <c r="AD275" i="2" s="1"/>
  <c r="AE275" i="2" a="1"/>
  <c r="AE275" i="2" s="1"/>
  <c r="AF275" i="2" a="1"/>
  <c r="AF275" i="2" s="1"/>
  <c r="AG275" i="2" a="1"/>
  <c r="AG275" i="2" s="1"/>
  <c r="AH275" i="2" a="1"/>
  <c r="AH275" i="2" s="1"/>
  <c r="AI275" i="2" a="1"/>
  <c r="AI275" i="2" s="1"/>
  <c r="AJ275" i="2" a="1"/>
  <c r="AJ275" i="2" s="1"/>
  <c r="AK275" i="2" a="1"/>
  <c r="AK275" i="2" s="1"/>
  <c r="AL275" i="2" a="1"/>
  <c r="AL275" i="2" s="1"/>
  <c r="AM275" i="2" a="1"/>
  <c r="AM275" i="2" s="1"/>
  <c r="AN275" i="2" a="1"/>
  <c r="AN275" i="2" s="1"/>
  <c r="AO275" i="2" a="1"/>
  <c r="AO275" i="2" s="1"/>
  <c r="AP275" i="2" a="1"/>
  <c r="AP275" i="2" s="1"/>
  <c r="AQ275" i="2" a="1"/>
  <c r="AQ275" i="2" s="1"/>
  <c r="AR275" i="2" a="1"/>
  <c r="AR275" i="2" s="1"/>
  <c r="AS275" i="2" a="1"/>
  <c r="AS275" i="2" s="1"/>
  <c r="AT275" i="2" a="1"/>
  <c r="AT275" i="2" s="1"/>
  <c r="AU275" i="2" a="1"/>
  <c r="AU275" i="2" s="1"/>
  <c r="AV275" i="2" a="1"/>
  <c r="AV275" i="2" s="1"/>
  <c r="AW275" i="2" a="1"/>
  <c r="AW275" i="2" s="1"/>
  <c r="AX275" i="2" a="1"/>
  <c r="AX275" i="2" s="1"/>
  <c r="AY275" i="2" a="1"/>
  <c r="AY275" i="2" s="1"/>
  <c r="AZ275" i="2" a="1"/>
  <c r="AZ275" i="2" s="1"/>
  <c r="BA275" i="2" a="1"/>
  <c r="BA275" i="2" s="1"/>
  <c r="BC275" i="2" a="1"/>
  <c r="BC275" i="2" s="1"/>
  <c r="BD275" i="2" a="1"/>
  <c r="BD275" i="2" s="1"/>
  <c r="D276" i="2" a="1"/>
  <c r="D276" i="2" s="1"/>
  <c r="F276" i="2" a="1"/>
  <c r="F276" i="2" s="1"/>
  <c r="H276" i="2" a="1"/>
  <c r="H276" i="2" s="1"/>
  <c r="I276" i="2" a="1"/>
  <c r="I276" i="2" s="1"/>
  <c r="J276" i="2" a="1"/>
  <c r="J276" i="2" s="1"/>
  <c r="K276" i="2" a="1"/>
  <c r="K276" i="2" s="1"/>
  <c r="L276" i="2" a="1"/>
  <c r="L276" i="2" s="1"/>
  <c r="M276" i="2" a="1"/>
  <c r="M276" i="2" s="1"/>
  <c r="N276" i="2" a="1"/>
  <c r="N276" i="2" s="1"/>
  <c r="O276" i="2" a="1"/>
  <c r="O276" i="2" s="1"/>
  <c r="P276" i="2" a="1"/>
  <c r="P276" i="2" s="1"/>
  <c r="Q276" i="2" a="1"/>
  <c r="Q276" i="2" s="1"/>
  <c r="R276" i="2" a="1"/>
  <c r="R276" i="2" s="1"/>
  <c r="S276" i="2" a="1"/>
  <c r="S276" i="2" s="1"/>
  <c r="T276" i="2" a="1"/>
  <c r="T276" i="2" s="1"/>
  <c r="U276" i="2" a="1"/>
  <c r="U276" i="2" s="1"/>
  <c r="V276" i="2" a="1"/>
  <c r="V276" i="2" s="1"/>
  <c r="E276" i="2" s="1" a="1"/>
  <c r="E276" i="2" s="1"/>
  <c r="W276" i="2" a="1"/>
  <c r="W276" i="2" s="1"/>
  <c r="BB276" i="2" s="1" a="1"/>
  <c r="BB276" i="2" s="1"/>
  <c r="X276" i="2" a="1"/>
  <c r="X276" i="2" s="1"/>
  <c r="Y276" i="2" a="1"/>
  <c r="Y276" i="2" s="1"/>
  <c r="Z276" i="2" a="1"/>
  <c r="Z276" i="2" s="1"/>
  <c r="AD276" i="2" a="1"/>
  <c r="AD276" i="2" s="1"/>
  <c r="AE276" i="2" a="1"/>
  <c r="AE276" i="2" s="1"/>
  <c r="AF276" i="2" a="1"/>
  <c r="AF276" i="2" s="1"/>
  <c r="AG276" i="2" a="1"/>
  <c r="AG276" i="2" s="1"/>
  <c r="AH276" i="2" a="1"/>
  <c r="AH276" i="2" s="1"/>
  <c r="AI276" i="2" a="1"/>
  <c r="AI276" i="2" s="1"/>
  <c r="AJ276" i="2" a="1"/>
  <c r="AJ276" i="2" s="1"/>
  <c r="AK276" i="2" a="1"/>
  <c r="AK276" i="2" s="1"/>
  <c r="AL276" i="2" a="1"/>
  <c r="AL276" i="2" s="1"/>
  <c r="AM276" i="2" a="1"/>
  <c r="AM276" i="2" s="1"/>
  <c r="AN276" i="2" a="1"/>
  <c r="AN276" i="2" s="1"/>
  <c r="AO276" i="2" a="1"/>
  <c r="AO276" i="2" s="1"/>
  <c r="AP276" i="2" a="1"/>
  <c r="AP276" i="2" s="1"/>
  <c r="AQ276" i="2" a="1"/>
  <c r="AQ276" i="2" s="1"/>
  <c r="AR276" i="2" a="1"/>
  <c r="AR276" i="2" s="1"/>
  <c r="AS276" i="2" a="1"/>
  <c r="AS276" i="2" s="1"/>
  <c r="AT276" i="2" a="1"/>
  <c r="AT276" i="2" s="1"/>
  <c r="AU276" i="2" a="1"/>
  <c r="AU276" i="2" s="1"/>
  <c r="AV276" i="2" a="1"/>
  <c r="AV276" i="2" s="1"/>
  <c r="AW276" i="2" a="1"/>
  <c r="AW276" i="2" s="1"/>
  <c r="AX276" i="2" a="1"/>
  <c r="AX276" i="2" s="1"/>
  <c r="AY276" i="2" a="1"/>
  <c r="AY276" i="2" s="1"/>
  <c r="AZ276" i="2" a="1"/>
  <c r="AZ276" i="2" s="1"/>
  <c r="BA276" i="2" a="1"/>
  <c r="BA276" i="2" s="1"/>
  <c r="BC276" i="2" a="1"/>
  <c r="BC276" i="2" s="1"/>
  <c r="BD276" i="2" a="1"/>
  <c r="BD276" i="2" s="1"/>
  <c r="B275" i="2" a="1"/>
  <c r="B275" i="2" s="1"/>
  <c r="B273" i="2" a="1"/>
  <c r="B273" i="2" s="1"/>
  <c r="E215" i="2"/>
  <c r="E216" i="2"/>
  <c r="E217" i="2"/>
  <c r="E218" i="2"/>
  <c r="E219" i="2"/>
  <c r="E220" i="2"/>
  <c r="E221" i="2"/>
  <c r="G215" i="2"/>
  <c r="G216" i="2"/>
  <c r="G217" i="2"/>
  <c r="G218" i="2"/>
  <c r="G219" i="2"/>
  <c r="G220" i="2"/>
  <c r="G221" i="2"/>
  <c r="BB216" i="2"/>
  <c r="BB217" i="2"/>
  <c r="BB221" i="2"/>
  <c r="BD286" i="2" a="1"/>
  <c r="BD286" i="2" s="1"/>
  <c r="BC286" i="2" a="1"/>
  <c r="BC286" i="2" s="1"/>
  <c r="BA286" i="2" a="1"/>
  <c r="BA286" i="2" s="1"/>
  <c r="AZ286" i="2" a="1"/>
  <c r="AZ286" i="2" s="1"/>
  <c r="AY286" i="2" a="1"/>
  <c r="AY286" i="2" s="1"/>
  <c r="AX286" i="2" a="1"/>
  <c r="AX286" i="2" s="1"/>
  <c r="AW286" i="2" a="1"/>
  <c r="AW286" i="2" s="1"/>
  <c r="AV286" i="2" a="1"/>
  <c r="AV286" i="2" s="1"/>
  <c r="AU286" i="2" a="1"/>
  <c r="AU286" i="2" s="1"/>
  <c r="AT286" i="2" a="1"/>
  <c r="AT286" i="2" s="1"/>
  <c r="AS286" i="2" a="1"/>
  <c r="AS286" i="2" s="1"/>
  <c r="AR286" i="2" a="1"/>
  <c r="AR286" i="2" s="1"/>
  <c r="AQ286" i="2" a="1"/>
  <c r="AQ286" i="2" s="1"/>
  <c r="AP286" i="2" a="1"/>
  <c r="AP286" i="2" s="1"/>
  <c r="AO286" i="2" a="1"/>
  <c r="AO286" i="2" s="1"/>
  <c r="AN286" i="2" a="1"/>
  <c r="AN286" i="2" s="1"/>
  <c r="AM286" i="2" a="1"/>
  <c r="AM286" i="2" s="1"/>
  <c r="AL286" i="2" a="1"/>
  <c r="AL286" i="2" s="1"/>
  <c r="AK286" i="2" a="1"/>
  <c r="AK286" i="2" s="1"/>
  <c r="AJ286" i="2" a="1"/>
  <c r="AJ286" i="2" s="1"/>
  <c r="AI286" i="2" a="1"/>
  <c r="AI286" i="2" s="1"/>
  <c r="AH286" i="2" a="1"/>
  <c r="AH286" i="2" s="1"/>
  <c r="AG286" i="2" a="1"/>
  <c r="AG286" i="2" s="1"/>
  <c r="AF286" i="2" a="1"/>
  <c r="AF286" i="2" s="1"/>
  <c r="AE286" i="2" a="1"/>
  <c r="AE286" i="2" s="1"/>
  <c r="AD286" i="2" a="1"/>
  <c r="AD286" i="2" s="1"/>
  <c r="Z286" i="2" a="1"/>
  <c r="Z286" i="2" s="1"/>
  <c r="Y286" i="2" a="1"/>
  <c r="Y286" i="2" s="1"/>
  <c r="X286" i="2" a="1"/>
  <c r="X286" i="2" s="1"/>
  <c r="W286" i="2" a="1"/>
  <c r="W286" i="2" s="1"/>
  <c r="BB286" i="2" s="1" a="1"/>
  <c r="BB286" i="2" s="1"/>
  <c r="V286" i="2" a="1"/>
  <c r="V286" i="2" s="1"/>
  <c r="E286" i="2" s="1" a="1"/>
  <c r="E286" i="2" s="1"/>
  <c r="U286" i="2" a="1"/>
  <c r="U286" i="2" s="1"/>
  <c r="T286" i="2" a="1"/>
  <c r="T286" i="2" s="1"/>
  <c r="S286" i="2" a="1"/>
  <c r="S286" i="2" s="1"/>
  <c r="R286" i="2" a="1"/>
  <c r="R286" i="2" s="1"/>
  <c r="Q286" i="2" a="1"/>
  <c r="Q286" i="2" s="1"/>
  <c r="P286" i="2" a="1"/>
  <c r="P286" i="2" s="1"/>
  <c r="O286" i="2" a="1"/>
  <c r="O286" i="2" s="1"/>
  <c r="N286" i="2" a="1"/>
  <c r="N286" i="2" s="1"/>
  <c r="M286" i="2" a="1"/>
  <c r="M286" i="2" s="1"/>
  <c r="L286" i="2" a="1"/>
  <c r="L286" i="2" s="1"/>
  <c r="K286" i="2" a="1"/>
  <c r="K286" i="2" s="1"/>
  <c r="J286" i="2" a="1"/>
  <c r="J286" i="2" s="1"/>
  <c r="I286" i="2" a="1"/>
  <c r="I286" i="2" s="1"/>
  <c r="H286" i="2" a="1"/>
  <c r="H286" i="2" s="1"/>
  <c r="F286" i="2" a="1"/>
  <c r="F286" i="2" s="1"/>
  <c r="D286" i="2" a="1"/>
  <c r="D286" i="2" s="1"/>
  <c r="B286" i="2" a="1"/>
  <c r="B286" i="2" s="1"/>
  <c r="BD285" i="2" a="1"/>
  <c r="BD285" i="2" s="1"/>
  <c r="BC285" i="2" a="1"/>
  <c r="BC285" i="2" s="1"/>
  <c r="BA285" i="2" a="1"/>
  <c r="BA285" i="2" s="1"/>
  <c r="AZ285" i="2" a="1"/>
  <c r="AZ285" i="2" s="1"/>
  <c r="AY285" i="2" a="1"/>
  <c r="AY285" i="2" s="1"/>
  <c r="AX285" i="2" a="1"/>
  <c r="AX285" i="2" s="1"/>
  <c r="AW285" i="2" a="1"/>
  <c r="AW285" i="2" s="1"/>
  <c r="AV285" i="2" a="1"/>
  <c r="AV285" i="2" s="1"/>
  <c r="AU285" i="2" a="1"/>
  <c r="AU285" i="2" s="1"/>
  <c r="AT285" i="2" a="1"/>
  <c r="AT285" i="2" s="1"/>
  <c r="AS285" i="2" a="1"/>
  <c r="AS285" i="2" s="1"/>
  <c r="AR285" i="2" a="1"/>
  <c r="AR285" i="2" s="1"/>
  <c r="AQ285" i="2" a="1"/>
  <c r="AQ285" i="2" s="1"/>
  <c r="AP285" i="2" a="1"/>
  <c r="AP285" i="2" s="1"/>
  <c r="AO285" i="2" a="1"/>
  <c r="AO285" i="2" s="1"/>
  <c r="AN285" i="2" a="1"/>
  <c r="AN285" i="2" s="1"/>
  <c r="AM285" i="2" a="1"/>
  <c r="AM285" i="2" s="1"/>
  <c r="AL285" i="2" a="1"/>
  <c r="AL285" i="2" s="1"/>
  <c r="AK285" i="2" a="1"/>
  <c r="AK285" i="2" s="1"/>
  <c r="AJ285" i="2" a="1"/>
  <c r="AJ285" i="2" s="1"/>
  <c r="AI285" i="2" a="1"/>
  <c r="AI285" i="2" s="1"/>
  <c r="AH285" i="2" a="1"/>
  <c r="AH285" i="2" s="1"/>
  <c r="AG285" i="2" a="1"/>
  <c r="AG285" i="2" s="1"/>
  <c r="AF285" i="2" a="1"/>
  <c r="AF285" i="2" s="1"/>
  <c r="AE285" i="2" a="1"/>
  <c r="AE285" i="2" s="1"/>
  <c r="AD285" i="2" a="1"/>
  <c r="AD285" i="2" s="1"/>
  <c r="Z285" i="2" a="1"/>
  <c r="Z285" i="2" s="1"/>
  <c r="Y285" i="2" a="1"/>
  <c r="Y285" i="2" s="1"/>
  <c r="X285" i="2" a="1"/>
  <c r="X285" i="2" s="1"/>
  <c r="W285" i="2" a="1"/>
  <c r="W285" i="2" s="1"/>
  <c r="BB285" i="2" s="1" a="1"/>
  <c r="BB285" i="2" s="1"/>
  <c r="V285" i="2" a="1"/>
  <c r="V285" i="2" s="1"/>
  <c r="E285" i="2" s="1" a="1"/>
  <c r="E285" i="2" s="1"/>
  <c r="U285" i="2" a="1"/>
  <c r="U285" i="2" s="1"/>
  <c r="T285" i="2" a="1"/>
  <c r="T285" i="2" s="1"/>
  <c r="S285" i="2" a="1"/>
  <c r="S285" i="2" s="1"/>
  <c r="R285" i="2" a="1"/>
  <c r="R285" i="2" s="1"/>
  <c r="Q285" i="2" a="1"/>
  <c r="Q285" i="2" s="1"/>
  <c r="P285" i="2" a="1"/>
  <c r="P285" i="2" s="1"/>
  <c r="O285" i="2" a="1"/>
  <c r="O285" i="2" s="1"/>
  <c r="N285" i="2" a="1"/>
  <c r="N285" i="2" s="1"/>
  <c r="M285" i="2" a="1"/>
  <c r="M285" i="2" s="1"/>
  <c r="L285" i="2" a="1"/>
  <c r="L285" i="2" s="1"/>
  <c r="K285" i="2" a="1"/>
  <c r="K285" i="2" s="1"/>
  <c r="J285" i="2" a="1"/>
  <c r="J285" i="2" s="1"/>
  <c r="I285" i="2" a="1"/>
  <c r="I285" i="2" s="1"/>
  <c r="H285" i="2" a="1"/>
  <c r="H285" i="2" s="1"/>
  <c r="F285" i="2" a="1"/>
  <c r="F285" i="2" s="1"/>
  <c r="D285" i="2" a="1"/>
  <c r="D285" i="2" s="1"/>
  <c r="B285" i="2" a="1"/>
  <c r="B285" i="2" s="1"/>
  <c r="BD284" i="2" a="1"/>
  <c r="BD284" i="2" s="1"/>
  <c r="BC284" i="2" a="1"/>
  <c r="BC284" i="2" s="1"/>
  <c r="BA284" i="2" a="1"/>
  <c r="BA284" i="2" s="1"/>
  <c r="AZ284" i="2" a="1"/>
  <c r="AZ284" i="2" s="1"/>
  <c r="AY284" i="2" a="1"/>
  <c r="AY284" i="2" s="1"/>
  <c r="AX284" i="2" a="1"/>
  <c r="AX284" i="2" s="1"/>
  <c r="AW284" i="2" a="1"/>
  <c r="AW284" i="2" s="1"/>
  <c r="AV284" i="2" a="1"/>
  <c r="AV284" i="2" s="1"/>
  <c r="AU284" i="2" a="1"/>
  <c r="AU284" i="2" s="1"/>
  <c r="AT284" i="2" a="1"/>
  <c r="AT284" i="2" s="1"/>
  <c r="AS284" i="2" a="1"/>
  <c r="AS284" i="2" s="1"/>
  <c r="AR284" i="2" a="1"/>
  <c r="AR284" i="2" s="1"/>
  <c r="AQ284" i="2" a="1"/>
  <c r="AQ284" i="2" s="1"/>
  <c r="AP284" i="2" a="1"/>
  <c r="AP284" i="2" s="1"/>
  <c r="AO284" i="2" a="1"/>
  <c r="AO284" i="2" s="1"/>
  <c r="AN284" i="2" a="1"/>
  <c r="AN284" i="2" s="1"/>
  <c r="AM284" i="2" a="1"/>
  <c r="AM284" i="2" s="1"/>
  <c r="AL284" i="2" a="1"/>
  <c r="AL284" i="2" s="1"/>
  <c r="AK284" i="2" a="1"/>
  <c r="AK284" i="2" s="1"/>
  <c r="AJ284" i="2" a="1"/>
  <c r="AJ284" i="2" s="1"/>
  <c r="AI284" i="2" a="1"/>
  <c r="AI284" i="2" s="1"/>
  <c r="AH284" i="2" a="1"/>
  <c r="AH284" i="2" s="1"/>
  <c r="AG284" i="2" a="1"/>
  <c r="AG284" i="2" s="1"/>
  <c r="AF284" i="2" a="1"/>
  <c r="AF284" i="2" s="1"/>
  <c r="AE284" i="2" a="1"/>
  <c r="AE284" i="2" s="1"/>
  <c r="AD284" i="2" a="1"/>
  <c r="AD284" i="2" s="1"/>
  <c r="Z284" i="2" a="1"/>
  <c r="Z284" i="2" s="1"/>
  <c r="Y284" i="2" a="1"/>
  <c r="Y284" i="2" s="1"/>
  <c r="X284" i="2" a="1"/>
  <c r="X284" i="2" s="1"/>
  <c r="W284" i="2" a="1"/>
  <c r="W284" i="2" s="1"/>
  <c r="BB284" i="2" s="1" a="1"/>
  <c r="BB284" i="2" s="1"/>
  <c r="V284" i="2" a="1"/>
  <c r="V284" i="2" s="1"/>
  <c r="E284" i="2" s="1" a="1"/>
  <c r="E284" i="2" s="1"/>
  <c r="U284" i="2" a="1"/>
  <c r="U284" i="2" s="1"/>
  <c r="T284" i="2" a="1"/>
  <c r="T284" i="2" s="1"/>
  <c r="S284" i="2" a="1"/>
  <c r="S284" i="2" s="1"/>
  <c r="R284" i="2" a="1"/>
  <c r="R284" i="2" s="1"/>
  <c r="Q284" i="2" a="1"/>
  <c r="Q284" i="2" s="1"/>
  <c r="P284" i="2" a="1"/>
  <c r="P284" i="2" s="1"/>
  <c r="O284" i="2" a="1"/>
  <c r="O284" i="2" s="1"/>
  <c r="N284" i="2" a="1"/>
  <c r="N284" i="2" s="1"/>
  <c r="M284" i="2" a="1"/>
  <c r="M284" i="2" s="1"/>
  <c r="L284" i="2" a="1"/>
  <c r="L284" i="2" s="1"/>
  <c r="K284" i="2" a="1"/>
  <c r="K284" i="2" s="1"/>
  <c r="J284" i="2" a="1"/>
  <c r="J284" i="2" s="1"/>
  <c r="I284" i="2" a="1"/>
  <c r="I284" i="2" s="1"/>
  <c r="H284" i="2" a="1"/>
  <c r="H284" i="2" s="1"/>
  <c r="F284" i="2" a="1"/>
  <c r="F284" i="2" s="1"/>
  <c r="D284" i="2" a="1"/>
  <c r="D284" i="2" s="1"/>
  <c r="B284" i="2" a="1"/>
  <c r="B284" i="2" s="1"/>
  <c r="BD283" i="2" a="1"/>
  <c r="BD283" i="2" s="1"/>
  <c r="BC283" i="2" a="1"/>
  <c r="BC283" i="2" s="1"/>
  <c r="BA283" i="2" a="1"/>
  <c r="BA283" i="2" s="1"/>
  <c r="AZ283" i="2" a="1"/>
  <c r="AZ283" i="2" s="1"/>
  <c r="AY283" i="2" a="1"/>
  <c r="AY283" i="2" s="1"/>
  <c r="AX283" i="2" a="1"/>
  <c r="AX283" i="2" s="1"/>
  <c r="AW283" i="2" a="1"/>
  <c r="AW283" i="2" s="1"/>
  <c r="AV283" i="2" a="1"/>
  <c r="AV283" i="2" s="1"/>
  <c r="AU283" i="2" a="1"/>
  <c r="AU283" i="2" s="1"/>
  <c r="AT283" i="2" a="1"/>
  <c r="AT283" i="2" s="1"/>
  <c r="AS283" i="2" a="1"/>
  <c r="AS283" i="2" s="1"/>
  <c r="AR283" i="2" a="1"/>
  <c r="AR283" i="2" s="1"/>
  <c r="AQ283" i="2" a="1"/>
  <c r="AQ283" i="2" s="1"/>
  <c r="AP283" i="2" a="1"/>
  <c r="AP283" i="2" s="1"/>
  <c r="AO283" i="2" a="1"/>
  <c r="AO283" i="2" s="1"/>
  <c r="AN283" i="2" a="1"/>
  <c r="AN283" i="2" s="1"/>
  <c r="AM283" i="2" a="1"/>
  <c r="AM283" i="2" s="1"/>
  <c r="AL283" i="2" a="1"/>
  <c r="AL283" i="2" s="1"/>
  <c r="AK283" i="2" a="1"/>
  <c r="AK283" i="2" s="1"/>
  <c r="AJ283" i="2" a="1"/>
  <c r="AJ283" i="2" s="1"/>
  <c r="AI283" i="2" a="1"/>
  <c r="AI283" i="2" s="1"/>
  <c r="AH283" i="2" a="1"/>
  <c r="AH283" i="2" s="1"/>
  <c r="AG283" i="2" a="1"/>
  <c r="AG283" i="2" s="1"/>
  <c r="AF283" i="2" a="1"/>
  <c r="AF283" i="2" s="1"/>
  <c r="AE283" i="2" a="1"/>
  <c r="AE283" i="2" s="1"/>
  <c r="AD283" i="2" a="1"/>
  <c r="AD283" i="2" s="1"/>
  <c r="Z283" i="2" a="1"/>
  <c r="Z283" i="2" s="1"/>
  <c r="Y283" i="2" a="1"/>
  <c r="Y283" i="2" s="1"/>
  <c r="X283" i="2" a="1"/>
  <c r="X283" i="2" s="1"/>
  <c r="W283" i="2" a="1"/>
  <c r="W283" i="2" s="1"/>
  <c r="BB283" i="2" s="1" a="1"/>
  <c r="BB283" i="2" s="1"/>
  <c r="V283" i="2" a="1"/>
  <c r="V283" i="2" s="1"/>
  <c r="E283" i="2" s="1" a="1"/>
  <c r="E283" i="2" s="1"/>
  <c r="U283" i="2" a="1"/>
  <c r="U283" i="2" s="1"/>
  <c r="T283" i="2" a="1"/>
  <c r="T283" i="2" s="1"/>
  <c r="S283" i="2" a="1"/>
  <c r="S283" i="2" s="1"/>
  <c r="R283" i="2" a="1"/>
  <c r="R283" i="2" s="1"/>
  <c r="Q283" i="2" a="1"/>
  <c r="Q283" i="2" s="1"/>
  <c r="P283" i="2" a="1"/>
  <c r="P283" i="2" s="1"/>
  <c r="O283" i="2" a="1"/>
  <c r="O283" i="2" s="1"/>
  <c r="N283" i="2" a="1"/>
  <c r="N283" i="2" s="1"/>
  <c r="M283" i="2" a="1"/>
  <c r="M283" i="2" s="1"/>
  <c r="L283" i="2" a="1"/>
  <c r="L283" i="2" s="1"/>
  <c r="K283" i="2" a="1"/>
  <c r="K283" i="2" s="1"/>
  <c r="J283" i="2" a="1"/>
  <c r="J283" i="2" s="1"/>
  <c r="I283" i="2" a="1"/>
  <c r="I283" i="2" s="1"/>
  <c r="H283" i="2" a="1"/>
  <c r="H283" i="2" s="1"/>
  <c r="F283" i="2" a="1"/>
  <c r="F283" i="2" s="1"/>
  <c r="D283" i="2" a="1"/>
  <c r="D283" i="2" s="1"/>
  <c r="B283" i="2" a="1"/>
  <c r="B283" i="2" s="1"/>
  <c r="BD282" i="2" a="1"/>
  <c r="BD282" i="2" s="1"/>
  <c r="BC282" i="2" a="1"/>
  <c r="BC282" i="2" s="1"/>
  <c r="BA282" i="2" a="1"/>
  <c r="BA282" i="2" s="1"/>
  <c r="AZ282" i="2" a="1"/>
  <c r="AZ282" i="2" s="1"/>
  <c r="AY282" i="2" a="1"/>
  <c r="AY282" i="2" s="1"/>
  <c r="AX282" i="2" a="1"/>
  <c r="AX282" i="2" s="1"/>
  <c r="AW282" i="2" a="1"/>
  <c r="AW282" i="2" s="1"/>
  <c r="AV282" i="2" a="1"/>
  <c r="AV282" i="2" s="1"/>
  <c r="AU282" i="2" a="1"/>
  <c r="AU282" i="2" s="1"/>
  <c r="AT282" i="2" a="1"/>
  <c r="AT282" i="2" s="1"/>
  <c r="AS282" i="2" a="1"/>
  <c r="AS282" i="2" s="1"/>
  <c r="AR282" i="2" a="1"/>
  <c r="AR282" i="2" s="1"/>
  <c r="AQ282" i="2" a="1"/>
  <c r="AQ282" i="2" s="1"/>
  <c r="AP282" i="2" a="1"/>
  <c r="AP282" i="2" s="1"/>
  <c r="AO282" i="2" a="1"/>
  <c r="AO282" i="2" s="1"/>
  <c r="AN282" i="2" a="1"/>
  <c r="AN282" i="2" s="1"/>
  <c r="AM282" i="2" a="1"/>
  <c r="AM282" i="2" s="1"/>
  <c r="AL282" i="2" a="1"/>
  <c r="AL282" i="2" s="1"/>
  <c r="AK282" i="2" a="1"/>
  <c r="AK282" i="2" s="1"/>
  <c r="AJ282" i="2" a="1"/>
  <c r="AJ282" i="2" s="1"/>
  <c r="AI282" i="2" a="1"/>
  <c r="AI282" i="2" s="1"/>
  <c r="AH282" i="2" a="1"/>
  <c r="AH282" i="2" s="1"/>
  <c r="AG282" i="2" a="1"/>
  <c r="AG282" i="2" s="1"/>
  <c r="AF282" i="2" a="1"/>
  <c r="AF282" i="2" s="1"/>
  <c r="AE282" i="2" a="1"/>
  <c r="AE282" i="2" s="1"/>
  <c r="AD282" i="2" a="1"/>
  <c r="AD282" i="2" s="1"/>
  <c r="Z282" i="2" a="1"/>
  <c r="Z282" i="2" s="1"/>
  <c r="Y282" i="2" a="1"/>
  <c r="Y282" i="2" s="1"/>
  <c r="X282" i="2" a="1"/>
  <c r="X282" i="2" s="1"/>
  <c r="W282" i="2" a="1"/>
  <c r="W282" i="2" s="1"/>
  <c r="BB282" i="2" s="1" a="1"/>
  <c r="BB282" i="2" s="1"/>
  <c r="V282" i="2" a="1"/>
  <c r="V282" i="2" s="1"/>
  <c r="E282" i="2" s="1" a="1"/>
  <c r="E282" i="2" s="1"/>
  <c r="U282" i="2" a="1"/>
  <c r="U282" i="2" s="1"/>
  <c r="T282" i="2" a="1"/>
  <c r="T282" i="2" s="1"/>
  <c r="S282" i="2" a="1"/>
  <c r="S282" i="2" s="1"/>
  <c r="R282" i="2" a="1"/>
  <c r="R282" i="2" s="1"/>
  <c r="Q282" i="2" a="1"/>
  <c r="Q282" i="2" s="1"/>
  <c r="P282" i="2" a="1"/>
  <c r="P282" i="2" s="1"/>
  <c r="O282" i="2" a="1"/>
  <c r="O282" i="2" s="1"/>
  <c r="N282" i="2" a="1"/>
  <c r="N282" i="2" s="1"/>
  <c r="M282" i="2" a="1"/>
  <c r="M282" i="2" s="1"/>
  <c r="L282" i="2" a="1"/>
  <c r="L282" i="2" s="1"/>
  <c r="K282" i="2" a="1"/>
  <c r="K282" i="2" s="1"/>
  <c r="J282" i="2" a="1"/>
  <c r="J282" i="2" s="1"/>
  <c r="I282" i="2" a="1"/>
  <c r="I282" i="2" s="1"/>
  <c r="H282" i="2" a="1"/>
  <c r="H282" i="2" s="1"/>
  <c r="F282" i="2" a="1"/>
  <c r="F282" i="2" s="1"/>
  <c r="D282" i="2" a="1"/>
  <c r="D282" i="2" s="1"/>
  <c r="B282" i="2" a="1"/>
  <c r="B282" i="2" s="1"/>
  <c r="BD281" i="2" a="1"/>
  <c r="BD281" i="2" s="1"/>
  <c r="BC281" i="2" a="1"/>
  <c r="BC281" i="2" s="1"/>
  <c r="BA281" i="2" a="1"/>
  <c r="BA281" i="2" s="1"/>
  <c r="AZ281" i="2" a="1"/>
  <c r="AZ281" i="2" s="1"/>
  <c r="AY281" i="2" a="1"/>
  <c r="AY281" i="2" s="1"/>
  <c r="AX281" i="2" a="1"/>
  <c r="AX281" i="2" s="1"/>
  <c r="AW281" i="2" a="1"/>
  <c r="AW281" i="2" s="1"/>
  <c r="AV281" i="2" a="1"/>
  <c r="AV281" i="2" s="1"/>
  <c r="AU281" i="2" a="1"/>
  <c r="AU281" i="2" s="1"/>
  <c r="AT281" i="2" a="1"/>
  <c r="AT281" i="2" s="1"/>
  <c r="AS281" i="2" a="1"/>
  <c r="AS281" i="2" s="1"/>
  <c r="AR281" i="2" a="1"/>
  <c r="AR281" i="2" s="1"/>
  <c r="AQ281" i="2" a="1"/>
  <c r="AQ281" i="2" s="1"/>
  <c r="AP281" i="2" a="1"/>
  <c r="AP281" i="2" s="1"/>
  <c r="AO281" i="2" a="1"/>
  <c r="AO281" i="2" s="1"/>
  <c r="AN281" i="2" a="1"/>
  <c r="AN281" i="2" s="1"/>
  <c r="AM281" i="2" a="1"/>
  <c r="AM281" i="2" s="1"/>
  <c r="AL281" i="2" a="1"/>
  <c r="AL281" i="2" s="1"/>
  <c r="AK281" i="2" a="1"/>
  <c r="AK281" i="2" s="1"/>
  <c r="AJ281" i="2" a="1"/>
  <c r="AJ281" i="2" s="1"/>
  <c r="AI281" i="2" a="1"/>
  <c r="AI281" i="2" s="1"/>
  <c r="AH281" i="2" a="1"/>
  <c r="AH281" i="2" s="1"/>
  <c r="AG281" i="2" a="1"/>
  <c r="AG281" i="2" s="1"/>
  <c r="AF281" i="2" a="1"/>
  <c r="AF281" i="2" s="1"/>
  <c r="AE281" i="2" a="1"/>
  <c r="AE281" i="2" s="1"/>
  <c r="AD281" i="2" a="1"/>
  <c r="AD281" i="2" s="1"/>
  <c r="Z281" i="2" a="1"/>
  <c r="Z281" i="2" s="1"/>
  <c r="Y281" i="2" a="1"/>
  <c r="Y281" i="2" s="1"/>
  <c r="X281" i="2" a="1"/>
  <c r="X281" i="2" s="1"/>
  <c r="W281" i="2" a="1"/>
  <c r="W281" i="2" s="1"/>
  <c r="BB281" i="2" s="1" a="1"/>
  <c r="BB281" i="2" s="1"/>
  <c r="V281" i="2" a="1"/>
  <c r="V281" i="2" s="1"/>
  <c r="E281" i="2" s="1" a="1"/>
  <c r="E281" i="2" s="1"/>
  <c r="U281" i="2" a="1"/>
  <c r="U281" i="2" s="1"/>
  <c r="T281" i="2" a="1"/>
  <c r="T281" i="2" s="1"/>
  <c r="S281" i="2" a="1"/>
  <c r="S281" i="2" s="1"/>
  <c r="R281" i="2" a="1"/>
  <c r="R281" i="2" s="1"/>
  <c r="Q281" i="2" a="1"/>
  <c r="Q281" i="2" s="1"/>
  <c r="P281" i="2" a="1"/>
  <c r="P281" i="2" s="1"/>
  <c r="O281" i="2" a="1"/>
  <c r="O281" i="2" s="1"/>
  <c r="N281" i="2" a="1"/>
  <c r="N281" i="2" s="1"/>
  <c r="M281" i="2" a="1"/>
  <c r="M281" i="2" s="1"/>
  <c r="L281" i="2" a="1"/>
  <c r="L281" i="2" s="1"/>
  <c r="K281" i="2" a="1"/>
  <c r="K281" i="2" s="1"/>
  <c r="J281" i="2" a="1"/>
  <c r="J281" i="2" s="1"/>
  <c r="I281" i="2" a="1"/>
  <c r="I281" i="2" s="1"/>
  <c r="H281" i="2" a="1"/>
  <c r="H281" i="2" s="1"/>
  <c r="F281" i="2" a="1"/>
  <c r="F281" i="2" s="1"/>
  <c r="D281" i="2" a="1"/>
  <c r="D281" i="2" s="1"/>
  <c r="B281" i="2" a="1"/>
  <c r="B281" i="2" s="1"/>
  <c r="BD280" i="2" a="1"/>
  <c r="BD280" i="2" s="1"/>
  <c r="BC280" i="2" a="1"/>
  <c r="BC280" i="2" s="1"/>
  <c r="BA280" i="2" a="1"/>
  <c r="BA280" i="2" s="1"/>
  <c r="AZ280" i="2" a="1"/>
  <c r="AZ280" i="2" s="1"/>
  <c r="AY280" i="2" a="1"/>
  <c r="AY280" i="2" s="1"/>
  <c r="AX280" i="2" a="1"/>
  <c r="AX280" i="2" s="1"/>
  <c r="AW280" i="2" a="1"/>
  <c r="AW280" i="2" s="1"/>
  <c r="AV280" i="2" a="1"/>
  <c r="AV280" i="2" s="1"/>
  <c r="AU280" i="2" a="1"/>
  <c r="AU280" i="2" s="1"/>
  <c r="AT280" i="2" a="1"/>
  <c r="AT280" i="2" s="1"/>
  <c r="AS280" i="2" a="1"/>
  <c r="AS280" i="2" s="1"/>
  <c r="AR280" i="2" a="1"/>
  <c r="AR280" i="2" s="1"/>
  <c r="AQ280" i="2" a="1"/>
  <c r="AQ280" i="2" s="1"/>
  <c r="AP280" i="2" a="1"/>
  <c r="AP280" i="2" s="1"/>
  <c r="AO280" i="2" a="1"/>
  <c r="AO280" i="2" s="1"/>
  <c r="AN280" i="2" a="1"/>
  <c r="AN280" i="2" s="1"/>
  <c r="AM280" i="2" a="1"/>
  <c r="AM280" i="2" s="1"/>
  <c r="AL280" i="2" a="1"/>
  <c r="AL280" i="2" s="1"/>
  <c r="AK280" i="2" a="1"/>
  <c r="AK280" i="2" s="1"/>
  <c r="AJ280" i="2" a="1"/>
  <c r="AJ280" i="2" s="1"/>
  <c r="AI280" i="2" a="1"/>
  <c r="AI280" i="2" s="1"/>
  <c r="AH280" i="2" a="1"/>
  <c r="AH280" i="2" s="1"/>
  <c r="AG280" i="2" a="1"/>
  <c r="AG280" i="2" s="1"/>
  <c r="AF280" i="2" a="1"/>
  <c r="AF280" i="2" s="1"/>
  <c r="AE280" i="2" a="1"/>
  <c r="AE280" i="2" s="1"/>
  <c r="AD280" i="2" a="1"/>
  <c r="AD280" i="2" s="1"/>
  <c r="Z280" i="2" a="1"/>
  <c r="Z280" i="2" s="1"/>
  <c r="Y280" i="2" a="1"/>
  <c r="Y280" i="2" s="1"/>
  <c r="X280" i="2" a="1"/>
  <c r="X280" i="2" s="1"/>
  <c r="W280" i="2" a="1"/>
  <c r="W280" i="2" s="1"/>
  <c r="BB280" i="2" s="1" a="1"/>
  <c r="BB280" i="2" s="1"/>
  <c r="V280" i="2" a="1"/>
  <c r="V280" i="2" s="1"/>
  <c r="E280" i="2" s="1" a="1"/>
  <c r="E280" i="2" s="1"/>
  <c r="U280" i="2" a="1"/>
  <c r="U280" i="2" s="1"/>
  <c r="T280" i="2" a="1"/>
  <c r="T280" i="2" s="1"/>
  <c r="S280" i="2" a="1"/>
  <c r="S280" i="2" s="1"/>
  <c r="R280" i="2" a="1"/>
  <c r="R280" i="2" s="1"/>
  <c r="Q280" i="2" a="1"/>
  <c r="Q280" i="2" s="1"/>
  <c r="P280" i="2" a="1"/>
  <c r="P280" i="2" s="1"/>
  <c r="O280" i="2" a="1"/>
  <c r="O280" i="2" s="1"/>
  <c r="N280" i="2" a="1"/>
  <c r="N280" i="2" s="1"/>
  <c r="M280" i="2" a="1"/>
  <c r="M280" i="2" s="1"/>
  <c r="L280" i="2" a="1"/>
  <c r="L280" i="2" s="1"/>
  <c r="K280" i="2" a="1"/>
  <c r="K280" i="2" s="1"/>
  <c r="J280" i="2" a="1"/>
  <c r="J280" i="2" s="1"/>
  <c r="I280" i="2" a="1"/>
  <c r="I280" i="2" s="1"/>
  <c r="H280" i="2" a="1"/>
  <c r="H280" i="2" s="1"/>
  <c r="F280" i="2" a="1"/>
  <c r="F280" i="2" s="1"/>
  <c r="D280" i="2" a="1"/>
  <c r="D280" i="2" s="1"/>
  <c r="B280" i="2" a="1"/>
  <c r="B280" i="2" s="1"/>
  <c r="BD279" i="2" a="1"/>
  <c r="BD279" i="2" s="1"/>
  <c r="BC279" i="2" a="1"/>
  <c r="BC279" i="2" s="1"/>
  <c r="BA279" i="2" a="1"/>
  <c r="BA279" i="2" s="1"/>
  <c r="AZ279" i="2" a="1"/>
  <c r="AZ279" i="2" s="1"/>
  <c r="AY279" i="2" a="1"/>
  <c r="AY279" i="2" s="1"/>
  <c r="AX279" i="2" a="1"/>
  <c r="AX279" i="2" s="1"/>
  <c r="AW279" i="2" a="1"/>
  <c r="AW279" i="2" s="1"/>
  <c r="AV279" i="2" a="1"/>
  <c r="AV279" i="2" s="1"/>
  <c r="AU279" i="2" a="1"/>
  <c r="AU279" i="2" s="1"/>
  <c r="AT279" i="2" a="1"/>
  <c r="AT279" i="2" s="1"/>
  <c r="AS279" i="2" a="1"/>
  <c r="AS279" i="2" s="1"/>
  <c r="AR279" i="2" a="1"/>
  <c r="AR279" i="2" s="1"/>
  <c r="AQ279" i="2" a="1"/>
  <c r="AQ279" i="2" s="1"/>
  <c r="AP279" i="2" a="1"/>
  <c r="AP279" i="2" s="1"/>
  <c r="AO279" i="2" a="1"/>
  <c r="AO279" i="2" s="1"/>
  <c r="AN279" i="2" a="1"/>
  <c r="AN279" i="2" s="1"/>
  <c r="AM279" i="2" a="1"/>
  <c r="AM279" i="2" s="1"/>
  <c r="AL279" i="2" a="1"/>
  <c r="AL279" i="2" s="1"/>
  <c r="AK279" i="2" a="1"/>
  <c r="AK279" i="2" s="1"/>
  <c r="AJ279" i="2" a="1"/>
  <c r="AJ279" i="2" s="1"/>
  <c r="AI279" i="2" a="1"/>
  <c r="AI279" i="2" s="1"/>
  <c r="AH279" i="2" a="1"/>
  <c r="AH279" i="2" s="1"/>
  <c r="AG279" i="2" a="1"/>
  <c r="AG279" i="2" s="1"/>
  <c r="AF279" i="2" a="1"/>
  <c r="AF279" i="2" s="1"/>
  <c r="AE279" i="2" a="1"/>
  <c r="AE279" i="2" s="1"/>
  <c r="AD279" i="2" a="1"/>
  <c r="AD279" i="2" s="1"/>
  <c r="Z279" i="2" a="1"/>
  <c r="Z279" i="2" s="1"/>
  <c r="Y279" i="2" a="1"/>
  <c r="Y279" i="2" s="1"/>
  <c r="X279" i="2" a="1"/>
  <c r="X279" i="2" s="1"/>
  <c r="W279" i="2" a="1"/>
  <c r="W279" i="2" s="1"/>
  <c r="BB279" i="2" s="1" a="1"/>
  <c r="BB279" i="2" s="1"/>
  <c r="V279" i="2" a="1"/>
  <c r="V279" i="2" s="1"/>
  <c r="E279" i="2" s="1" a="1"/>
  <c r="E279" i="2" s="1"/>
  <c r="U279" i="2" a="1"/>
  <c r="U279" i="2" s="1"/>
  <c r="T279" i="2" a="1"/>
  <c r="T279" i="2" s="1"/>
  <c r="S279" i="2" a="1"/>
  <c r="S279" i="2" s="1"/>
  <c r="R279" i="2" a="1"/>
  <c r="R279" i="2" s="1"/>
  <c r="Q279" i="2" a="1"/>
  <c r="Q279" i="2" s="1"/>
  <c r="P279" i="2" a="1"/>
  <c r="P279" i="2" s="1"/>
  <c r="O279" i="2" a="1"/>
  <c r="O279" i="2" s="1"/>
  <c r="N279" i="2" a="1"/>
  <c r="N279" i="2" s="1"/>
  <c r="M279" i="2" a="1"/>
  <c r="M279" i="2" s="1"/>
  <c r="L279" i="2" a="1"/>
  <c r="L279" i="2" s="1"/>
  <c r="K279" i="2" a="1"/>
  <c r="K279" i="2" s="1"/>
  <c r="J279" i="2" a="1"/>
  <c r="J279" i="2" s="1"/>
  <c r="I279" i="2" a="1"/>
  <c r="I279" i="2" s="1"/>
  <c r="H279" i="2" a="1"/>
  <c r="H279" i="2" s="1"/>
  <c r="F279" i="2" a="1"/>
  <c r="F279" i="2" s="1"/>
  <c r="D279" i="2" a="1"/>
  <c r="D279" i="2" s="1"/>
  <c r="B279" i="2" a="1"/>
  <c r="B279" i="2" s="1"/>
  <c r="BD277" i="2" a="1"/>
  <c r="BD277" i="2" s="1"/>
  <c r="BC277" i="2" a="1"/>
  <c r="BC277" i="2" s="1"/>
  <c r="BA277" i="2" a="1"/>
  <c r="BA277" i="2" s="1"/>
  <c r="AZ277" i="2" a="1"/>
  <c r="AZ277" i="2" s="1"/>
  <c r="AY277" i="2" a="1"/>
  <c r="AY277" i="2" s="1"/>
  <c r="AX277" i="2" a="1"/>
  <c r="AX277" i="2" s="1"/>
  <c r="AW277" i="2" a="1"/>
  <c r="AW277" i="2" s="1"/>
  <c r="AV277" i="2" a="1"/>
  <c r="AV277" i="2" s="1"/>
  <c r="AU277" i="2" a="1"/>
  <c r="AU277" i="2" s="1"/>
  <c r="AT277" i="2" a="1"/>
  <c r="AT277" i="2" s="1"/>
  <c r="AS277" i="2" a="1"/>
  <c r="AS277" i="2" s="1"/>
  <c r="AR277" i="2" a="1"/>
  <c r="AR277" i="2" s="1"/>
  <c r="AQ277" i="2" a="1"/>
  <c r="AQ277" i="2" s="1"/>
  <c r="AP277" i="2" a="1"/>
  <c r="AP277" i="2" s="1"/>
  <c r="AO277" i="2" a="1"/>
  <c r="AO277" i="2" s="1"/>
  <c r="AN277" i="2" a="1"/>
  <c r="AN277" i="2" s="1"/>
  <c r="AM277" i="2" a="1"/>
  <c r="AM277" i="2" s="1"/>
  <c r="AL277" i="2" a="1"/>
  <c r="AL277" i="2" s="1"/>
  <c r="AK277" i="2" a="1"/>
  <c r="AK277" i="2" s="1"/>
  <c r="AJ277" i="2" a="1"/>
  <c r="AJ277" i="2" s="1"/>
  <c r="AI277" i="2" a="1"/>
  <c r="AI277" i="2" s="1"/>
  <c r="AH277" i="2" a="1"/>
  <c r="AH277" i="2" s="1"/>
  <c r="AG277" i="2" a="1"/>
  <c r="AG277" i="2" s="1"/>
  <c r="AF277" i="2" a="1"/>
  <c r="AF277" i="2" s="1"/>
  <c r="AE277" i="2" a="1"/>
  <c r="AE277" i="2" s="1"/>
  <c r="AD277" i="2" a="1"/>
  <c r="AD277" i="2" s="1"/>
  <c r="Z277" i="2" a="1"/>
  <c r="Z277" i="2" s="1"/>
  <c r="Y277" i="2" a="1"/>
  <c r="Y277" i="2" s="1"/>
  <c r="X277" i="2" a="1"/>
  <c r="X277" i="2" s="1"/>
  <c r="W277" i="2" a="1"/>
  <c r="W277" i="2" s="1"/>
  <c r="BB277" i="2" s="1" a="1"/>
  <c r="BB277" i="2" s="1"/>
  <c r="V277" i="2" a="1"/>
  <c r="V277" i="2" s="1"/>
  <c r="E277" i="2" s="1" a="1"/>
  <c r="E277" i="2" s="1"/>
  <c r="U277" i="2" a="1"/>
  <c r="U277" i="2" s="1"/>
  <c r="T277" i="2" a="1"/>
  <c r="T277" i="2" s="1"/>
  <c r="S277" i="2" a="1"/>
  <c r="S277" i="2" s="1"/>
  <c r="R277" i="2" a="1"/>
  <c r="R277" i="2" s="1"/>
  <c r="Q277" i="2" a="1"/>
  <c r="Q277" i="2" s="1"/>
  <c r="P277" i="2" a="1"/>
  <c r="P277" i="2" s="1"/>
  <c r="O277" i="2" a="1"/>
  <c r="O277" i="2" s="1"/>
  <c r="N277" i="2" a="1"/>
  <c r="N277" i="2" s="1"/>
  <c r="M277" i="2" a="1"/>
  <c r="M277" i="2" s="1"/>
  <c r="L277" i="2" a="1"/>
  <c r="L277" i="2" s="1"/>
  <c r="K277" i="2" a="1"/>
  <c r="K277" i="2" s="1"/>
  <c r="J277" i="2" a="1"/>
  <c r="J277" i="2" s="1"/>
  <c r="I277" i="2" a="1"/>
  <c r="I277" i="2" s="1"/>
  <c r="H277" i="2" a="1"/>
  <c r="H277" i="2" s="1"/>
  <c r="F277" i="2" a="1"/>
  <c r="F277" i="2" s="1"/>
  <c r="D277" i="2" a="1"/>
  <c r="D277" i="2" s="1"/>
  <c r="B277" i="2" a="1"/>
  <c r="B277" i="2" s="1"/>
  <c r="BD274" i="2" a="1"/>
  <c r="BD274" i="2" s="1"/>
  <c r="BC274" i="2" a="1"/>
  <c r="BC274" i="2" s="1"/>
  <c r="BA274" i="2" a="1"/>
  <c r="BA274" i="2" s="1"/>
  <c r="AZ274" i="2" a="1"/>
  <c r="AZ274" i="2" s="1"/>
  <c r="AY274" i="2" a="1"/>
  <c r="AY274" i="2" s="1"/>
  <c r="AX274" i="2" a="1"/>
  <c r="AX274" i="2" s="1"/>
  <c r="AW274" i="2" a="1"/>
  <c r="AW274" i="2" s="1"/>
  <c r="AV274" i="2" a="1"/>
  <c r="AV274" i="2" s="1"/>
  <c r="AU274" i="2" a="1"/>
  <c r="AU274" i="2" s="1"/>
  <c r="AT274" i="2" a="1"/>
  <c r="AT274" i="2" s="1"/>
  <c r="AS274" i="2" a="1"/>
  <c r="AS274" i="2" s="1"/>
  <c r="AR274" i="2" a="1"/>
  <c r="AR274" i="2" s="1"/>
  <c r="AQ274" i="2" a="1"/>
  <c r="AQ274" i="2" s="1"/>
  <c r="AP274" i="2" a="1"/>
  <c r="AP274" i="2" s="1"/>
  <c r="AO274" i="2" a="1"/>
  <c r="AO274" i="2" s="1"/>
  <c r="AN274" i="2" a="1"/>
  <c r="AN274" i="2" s="1"/>
  <c r="AM274" i="2" a="1"/>
  <c r="AM274" i="2" s="1"/>
  <c r="AL274" i="2" a="1"/>
  <c r="AL274" i="2" s="1"/>
  <c r="AK274" i="2" a="1"/>
  <c r="AK274" i="2" s="1"/>
  <c r="AJ274" i="2" a="1"/>
  <c r="AJ274" i="2" s="1"/>
  <c r="AI274" i="2" a="1"/>
  <c r="AI274" i="2" s="1"/>
  <c r="AH274" i="2" a="1"/>
  <c r="AH274" i="2" s="1"/>
  <c r="AG274" i="2" a="1"/>
  <c r="AG274" i="2" s="1"/>
  <c r="AF274" i="2" a="1"/>
  <c r="AF274" i="2" s="1"/>
  <c r="AE274" i="2" a="1"/>
  <c r="AE274" i="2" s="1"/>
  <c r="AD274" i="2" a="1"/>
  <c r="AD274" i="2" s="1"/>
  <c r="Z274" i="2" a="1"/>
  <c r="Z274" i="2" s="1"/>
  <c r="Y274" i="2" a="1"/>
  <c r="Y274" i="2" s="1"/>
  <c r="X274" i="2" a="1"/>
  <c r="X274" i="2" s="1"/>
  <c r="W274" i="2" a="1"/>
  <c r="W274" i="2" s="1"/>
  <c r="BB274" i="2" s="1" a="1"/>
  <c r="BB274" i="2" s="1"/>
  <c r="V274" i="2" a="1"/>
  <c r="V274" i="2" s="1"/>
  <c r="E274" i="2" s="1" a="1"/>
  <c r="E274" i="2" s="1"/>
  <c r="U274" i="2" a="1"/>
  <c r="U274" i="2" s="1"/>
  <c r="T274" i="2" a="1"/>
  <c r="T274" i="2" s="1"/>
  <c r="S274" i="2" a="1"/>
  <c r="S274" i="2" s="1"/>
  <c r="R274" i="2" a="1"/>
  <c r="R274" i="2" s="1"/>
  <c r="Q274" i="2" a="1"/>
  <c r="Q274" i="2" s="1"/>
  <c r="P274" i="2" a="1"/>
  <c r="P274" i="2" s="1"/>
  <c r="O274" i="2" a="1"/>
  <c r="O274" i="2" s="1"/>
  <c r="N274" i="2" a="1"/>
  <c r="N274" i="2" s="1"/>
  <c r="M274" i="2" a="1"/>
  <c r="M274" i="2" s="1"/>
  <c r="L274" i="2" a="1"/>
  <c r="L274" i="2" s="1"/>
  <c r="K274" i="2" a="1"/>
  <c r="K274" i="2" s="1"/>
  <c r="J274" i="2" a="1"/>
  <c r="J274" i="2" s="1"/>
  <c r="I274" i="2" a="1"/>
  <c r="I274" i="2" s="1"/>
  <c r="H274" i="2" a="1"/>
  <c r="H274" i="2" s="1"/>
  <c r="F274" i="2" a="1"/>
  <c r="F274" i="2" s="1"/>
  <c r="D274" i="2" a="1"/>
  <c r="D274" i="2" s="1"/>
  <c r="B274" i="2" a="1"/>
  <c r="B274" i="2" s="1"/>
  <c r="BD273" i="2" a="1"/>
  <c r="BD273" i="2" s="1"/>
  <c r="BC273" i="2" a="1"/>
  <c r="BC273" i="2" s="1"/>
  <c r="BA273" i="2" a="1"/>
  <c r="BA273" i="2" s="1"/>
  <c r="AZ273" i="2" a="1"/>
  <c r="AZ273" i="2" s="1"/>
  <c r="AY273" i="2" a="1"/>
  <c r="AY273" i="2" s="1"/>
  <c r="AX273" i="2" a="1"/>
  <c r="AX273" i="2" s="1"/>
  <c r="AW273" i="2" a="1"/>
  <c r="AW273" i="2" s="1"/>
  <c r="AV273" i="2" a="1"/>
  <c r="AV273" i="2" s="1"/>
  <c r="AU273" i="2" a="1"/>
  <c r="AU273" i="2" s="1"/>
  <c r="AT273" i="2" a="1"/>
  <c r="AT273" i="2" s="1"/>
  <c r="AS273" i="2" a="1"/>
  <c r="AS273" i="2" s="1"/>
  <c r="AR273" i="2" a="1"/>
  <c r="AR273" i="2" s="1"/>
  <c r="AQ273" i="2" a="1"/>
  <c r="AQ273" i="2" s="1"/>
  <c r="AP273" i="2" a="1"/>
  <c r="AP273" i="2" s="1"/>
  <c r="AO273" i="2" a="1"/>
  <c r="AO273" i="2" s="1"/>
  <c r="AN273" i="2" a="1"/>
  <c r="AN273" i="2" s="1"/>
  <c r="AM273" i="2" a="1"/>
  <c r="AM273" i="2" s="1"/>
  <c r="AL273" i="2" a="1"/>
  <c r="AL273" i="2" s="1"/>
  <c r="AK273" i="2" a="1"/>
  <c r="AK273" i="2" s="1"/>
  <c r="AJ273" i="2" a="1"/>
  <c r="AJ273" i="2" s="1"/>
  <c r="AI273" i="2" a="1"/>
  <c r="AI273" i="2" s="1"/>
  <c r="AH273" i="2" a="1"/>
  <c r="AH273" i="2" s="1"/>
  <c r="AG273" i="2" a="1"/>
  <c r="AG273" i="2" s="1"/>
  <c r="AF273" i="2" a="1"/>
  <c r="AF273" i="2" s="1"/>
  <c r="AE273" i="2" a="1"/>
  <c r="AE273" i="2" s="1"/>
  <c r="AD273" i="2" a="1"/>
  <c r="AD273" i="2" s="1"/>
  <c r="Z273" i="2" a="1"/>
  <c r="Z273" i="2" s="1"/>
  <c r="Y273" i="2" a="1"/>
  <c r="Y273" i="2" s="1"/>
  <c r="X273" i="2" a="1"/>
  <c r="X273" i="2" s="1"/>
  <c r="W273" i="2" a="1"/>
  <c r="W273" i="2" s="1"/>
  <c r="BB273" i="2" s="1" a="1"/>
  <c r="BB273" i="2" s="1"/>
  <c r="V273" i="2" a="1"/>
  <c r="V273" i="2" s="1"/>
  <c r="E273" i="2" s="1" a="1"/>
  <c r="E273" i="2" s="1"/>
  <c r="U273" i="2" a="1"/>
  <c r="U273" i="2" s="1"/>
  <c r="T273" i="2" a="1"/>
  <c r="T273" i="2" s="1"/>
  <c r="S273" i="2" a="1"/>
  <c r="S273" i="2" s="1"/>
  <c r="R273" i="2" a="1"/>
  <c r="R273" i="2" s="1"/>
  <c r="Q273" i="2" a="1"/>
  <c r="Q273" i="2" s="1"/>
  <c r="P273" i="2" a="1"/>
  <c r="P273" i="2" s="1"/>
  <c r="O273" i="2" a="1"/>
  <c r="O273" i="2" s="1"/>
  <c r="N273" i="2" a="1"/>
  <c r="N273" i="2" s="1"/>
  <c r="M273" i="2" a="1"/>
  <c r="M273" i="2" s="1"/>
  <c r="L273" i="2" a="1"/>
  <c r="L273" i="2" s="1"/>
  <c r="K273" i="2" a="1"/>
  <c r="K273" i="2" s="1"/>
  <c r="J273" i="2" a="1"/>
  <c r="J273" i="2" s="1"/>
  <c r="I273" i="2" a="1"/>
  <c r="I273" i="2" s="1"/>
  <c r="H273" i="2" a="1"/>
  <c r="H273" i="2" s="1"/>
  <c r="F273" i="2" a="1"/>
  <c r="F273" i="2" s="1"/>
  <c r="D273" i="2" a="1"/>
  <c r="D273" i="2" s="1"/>
  <c r="BD272" i="2" a="1"/>
  <c r="BD272" i="2" s="1"/>
  <c r="BC272" i="2" a="1"/>
  <c r="BC272" i="2" s="1"/>
  <c r="BA272" i="2" a="1"/>
  <c r="BA272" i="2" s="1"/>
  <c r="AZ272" i="2" a="1"/>
  <c r="AZ272" i="2" s="1"/>
  <c r="AY272" i="2" a="1"/>
  <c r="AY272" i="2" s="1"/>
  <c r="AX272" i="2" a="1"/>
  <c r="AX272" i="2" s="1"/>
  <c r="AW272" i="2" a="1"/>
  <c r="AW272" i="2" s="1"/>
  <c r="AV272" i="2" a="1"/>
  <c r="AV272" i="2" s="1"/>
  <c r="AU272" i="2" a="1"/>
  <c r="AU272" i="2" s="1"/>
  <c r="AT272" i="2" a="1"/>
  <c r="AT272" i="2" s="1"/>
  <c r="AS272" i="2" a="1"/>
  <c r="AS272" i="2" s="1"/>
  <c r="AR272" i="2" a="1"/>
  <c r="AR272" i="2" s="1"/>
  <c r="AQ272" i="2" a="1"/>
  <c r="AQ272" i="2" s="1"/>
  <c r="AP272" i="2" a="1"/>
  <c r="AP272" i="2" s="1"/>
  <c r="AO272" i="2" a="1"/>
  <c r="AO272" i="2" s="1"/>
  <c r="AN272" i="2" a="1"/>
  <c r="AN272" i="2" s="1"/>
  <c r="AM272" i="2" a="1"/>
  <c r="AM272" i="2" s="1"/>
  <c r="AL272" i="2" a="1"/>
  <c r="AL272" i="2" s="1"/>
  <c r="AK272" i="2" a="1"/>
  <c r="AK272" i="2" s="1"/>
  <c r="AJ272" i="2" a="1"/>
  <c r="AJ272" i="2" s="1"/>
  <c r="AI272" i="2" a="1"/>
  <c r="AI272" i="2" s="1"/>
  <c r="AH272" i="2" a="1"/>
  <c r="AH272" i="2" s="1"/>
  <c r="AG272" i="2" a="1"/>
  <c r="AG272" i="2" s="1"/>
  <c r="AF272" i="2" a="1"/>
  <c r="AF272" i="2" s="1"/>
  <c r="AE272" i="2" a="1"/>
  <c r="AE272" i="2" s="1"/>
  <c r="AD272" i="2" a="1"/>
  <c r="AD272" i="2" s="1"/>
  <c r="Z272" i="2" a="1"/>
  <c r="Z272" i="2" s="1"/>
  <c r="Y272" i="2" a="1"/>
  <c r="Y272" i="2" s="1"/>
  <c r="X272" i="2" a="1"/>
  <c r="X272" i="2" s="1"/>
  <c r="W272" i="2" a="1"/>
  <c r="W272" i="2" s="1"/>
  <c r="BB272" i="2" s="1" a="1"/>
  <c r="BB272" i="2" s="1"/>
  <c r="V272" i="2" a="1"/>
  <c r="V272" i="2" s="1"/>
  <c r="E272" i="2" s="1" a="1"/>
  <c r="E272" i="2" s="1"/>
  <c r="U272" i="2" a="1"/>
  <c r="U272" i="2" s="1"/>
  <c r="T272" i="2" a="1"/>
  <c r="T272" i="2" s="1"/>
  <c r="S272" i="2" a="1"/>
  <c r="S272" i="2" s="1"/>
  <c r="R272" i="2" a="1"/>
  <c r="R272" i="2" s="1"/>
  <c r="Q272" i="2" a="1"/>
  <c r="Q272" i="2" s="1"/>
  <c r="P272" i="2" a="1"/>
  <c r="P272" i="2" s="1"/>
  <c r="O272" i="2" a="1"/>
  <c r="O272" i="2" s="1"/>
  <c r="N272" i="2" a="1"/>
  <c r="N272" i="2" s="1"/>
  <c r="M272" i="2" a="1"/>
  <c r="M272" i="2" s="1"/>
  <c r="L272" i="2" a="1"/>
  <c r="L272" i="2" s="1"/>
  <c r="K272" i="2" a="1"/>
  <c r="K272" i="2" s="1"/>
  <c r="J272" i="2" a="1"/>
  <c r="J272" i="2" s="1"/>
  <c r="I272" i="2" a="1"/>
  <c r="I272" i="2" s="1"/>
  <c r="H272" i="2" a="1"/>
  <c r="H272" i="2" s="1"/>
  <c r="F272" i="2" a="1"/>
  <c r="F272" i="2" s="1"/>
  <c r="D272" i="2" a="1"/>
  <c r="D272" i="2" s="1"/>
  <c r="B272" i="2" a="1"/>
  <c r="B272" i="2" s="1"/>
  <c r="BD271" i="2" a="1"/>
  <c r="BD271" i="2" s="1"/>
  <c r="BC271" i="2" a="1"/>
  <c r="BC271" i="2" s="1"/>
  <c r="BA271" i="2" a="1"/>
  <c r="BA271" i="2" s="1"/>
  <c r="AZ271" i="2" a="1"/>
  <c r="AZ271" i="2" s="1"/>
  <c r="AY271" i="2" a="1"/>
  <c r="AY271" i="2" s="1"/>
  <c r="AX271" i="2" a="1"/>
  <c r="AX271" i="2" s="1"/>
  <c r="AW271" i="2" a="1"/>
  <c r="AW271" i="2" s="1"/>
  <c r="AV271" i="2" a="1"/>
  <c r="AV271" i="2" s="1"/>
  <c r="AU271" i="2" a="1"/>
  <c r="AU271" i="2" s="1"/>
  <c r="AT271" i="2" a="1"/>
  <c r="AT271" i="2" s="1"/>
  <c r="AS271" i="2" a="1"/>
  <c r="AS271" i="2" s="1"/>
  <c r="AR271" i="2" a="1"/>
  <c r="AR271" i="2" s="1"/>
  <c r="AQ271" i="2" a="1"/>
  <c r="AQ271" i="2" s="1"/>
  <c r="AP271" i="2" a="1"/>
  <c r="AP271" i="2" s="1"/>
  <c r="AO271" i="2" a="1"/>
  <c r="AO271" i="2" s="1"/>
  <c r="AN271" i="2" a="1"/>
  <c r="AN271" i="2" s="1"/>
  <c r="AM271" i="2" a="1"/>
  <c r="AM271" i="2" s="1"/>
  <c r="AL271" i="2" a="1"/>
  <c r="AL271" i="2" s="1"/>
  <c r="AK271" i="2" a="1"/>
  <c r="AK271" i="2" s="1"/>
  <c r="AJ271" i="2" a="1"/>
  <c r="AJ271" i="2" s="1"/>
  <c r="AI271" i="2" a="1"/>
  <c r="AI271" i="2" s="1"/>
  <c r="AH271" i="2" a="1"/>
  <c r="AH271" i="2" s="1"/>
  <c r="AG271" i="2" a="1"/>
  <c r="AG271" i="2" s="1"/>
  <c r="AF271" i="2" a="1"/>
  <c r="AF271" i="2" s="1"/>
  <c r="AE271" i="2" a="1"/>
  <c r="AE271" i="2" s="1"/>
  <c r="AD271" i="2" a="1"/>
  <c r="AD271" i="2" s="1"/>
  <c r="Z271" i="2" a="1"/>
  <c r="Z271" i="2" s="1"/>
  <c r="Y271" i="2" a="1"/>
  <c r="Y271" i="2" s="1"/>
  <c r="X271" i="2" a="1"/>
  <c r="X271" i="2" s="1"/>
  <c r="W271" i="2" a="1"/>
  <c r="W271" i="2" s="1"/>
  <c r="BB271" i="2" s="1" a="1"/>
  <c r="BB271" i="2" s="1"/>
  <c r="V271" i="2" a="1"/>
  <c r="V271" i="2" s="1"/>
  <c r="E271" i="2" s="1" a="1"/>
  <c r="E271" i="2" s="1"/>
  <c r="U271" i="2" a="1"/>
  <c r="U271" i="2" s="1"/>
  <c r="T271" i="2" a="1"/>
  <c r="T271" i="2" s="1"/>
  <c r="S271" i="2" a="1"/>
  <c r="S271" i="2" s="1"/>
  <c r="R271" i="2" a="1"/>
  <c r="R271" i="2" s="1"/>
  <c r="Q271" i="2" a="1"/>
  <c r="Q271" i="2" s="1"/>
  <c r="P271" i="2" a="1"/>
  <c r="P271" i="2" s="1"/>
  <c r="O271" i="2" a="1"/>
  <c r="O271" i="2" s="1"/>
  <c r="N271" i="2" a="1"/>
  <c r="N271" i="2" s="1"/>
  <c r="M271" i="2" a="1"/>
  <c r="M271" i="2" s="1"/>
  <c r="L271" i="2" a="1"/>
  <c r="L271" i="2" s="1"/>
  <c r="K271" i="2" a="1"/>
  <c r="K271" i="2" s="1"/>
  <c r="J271" i="2" a="1"/>
  <c r="J271" i="2" s="1"/>
  <c r="I271" i="2" a="1"/>
  <c r="I271" i="2" s="1"/>
  <c r="H271" i="2" a="1"/>
  <c r="H271" i="2" s="1"/>
  <c r="F271" i="2" a="1"/>
  <c r="F271" i="2" s="1"/>
  <c r="D271" i="2" a="1"/>
  <c r="D271" i="2" s="1"/>
  <c r="B271" i="2" a="1"/>
  <c r="B271" i="2" s="1"/>
  <c r="BD270" i="2" a="1"/>
  <c r="BD270" i="2" s="1"/>
  <c r="BC270" i="2" a="1"/>
  <c r="BC270" i="2" s="1"/>
  <c r="BA270" i="2" a="1"/>
  <c r="BA270" i="2" s="1"/>
  <c r="AZ270" i="2" a="1"/>
  <c r="AZ270" i="2" s="1"/>
  <c r="AY270" i="2" a="1"/>
  <c r="AY270" i="2" s="1"/>
  <c r="AX270" i="2" a="1"/>
  <c r="AX270" i="2" s="1"/>
  <c r="AW270" i="2" a="1"/>
  <c r="AW270" i="2" s="1"/>
  <c r="AV270" i="2" a="1"/>
  <c r="AV270" i="2" s="1"/>
  <c r="AU270" i="2" a="1"/>
  <c r="AU270" i="2" s="1"/>
  <c r="AT270" i="2" a="1"/>
  <c r="AT270" i="2" s="1"/>
  <c r="AS270" i="2" a="1"/>
  <c r="AS270" i="2" s="1"/>
  <c r="AR270" i="2" a="1"/>
  <c r="AR270" i="2" s="1"/>
  <c r="AQ270" i="2" a="1"/>
  <c r="AQ270" i="2" s="1"/>
  <c r="AP270" i="2" a="1"/>
  <c r="AP270" i="2" s="1"/>
  <c r="AO270" i="2" a="1"/>
  <c r="AO270" i="2" s="1"/>
  <c r="AN270" i="2" a="1"/>
  <c r="AN270" i="2" s="1"/>
  <c r="AM270" i="2" a="1"/>
  <c r="AM270" i="2" s="1"/>
  <c r="AL270" i="2" a="1"/>
  <c r="AL270" i="2" s="1"/>
  <c r="AK270" i="2" a="1"/>
  <c r="AK270" i="2" s="1"/>
  <c r="AJ270" i="2" a="1"/>
  <c r="AJ270" i="2" s="1"/>
  <c r="AI270" i="2" a="1"/>
  <c r="AI270" i="2" s="1"/>
  <c r="AH270" i="2" a="1"/>
  <c r="AH270" i="2" s="1"/>
  <c r="AG270" i="2" a="1"/>
  <c r="AG270" i="2" s="1"/>
  <c r="AF270" i="2" a="1"/>
  <c r="AF270" i="2" s="1"/>
  <c r="AE270" i="2" a="1"/>
  <c r="AE270" i="2" s="1"/>
  <c r="AD270" i="2" a="1"/>
  <c r="AD270" i="2" s="1"/>
  <c r="Z270" i="2" a="1"/>
  <c r="Z270" i="2" s="1"/>
  <c r="Y270" i="2" a="1"/>
  <c r="Y270" i="2" s="1"/>
  <c r="X270" i="2" a="1"/>
  <c r="X270" i="2" s="1"/>
  <c r="W270" i="2" a="1"/>
  <c r="W270" i="2" s="1"/>
  <c r="BB270" i="2" s="1" a="1"/>
  <c r="BB270" i="2" s="1"/>
  <c r="V270" i="2" a="1"/>
  <c r="V270" i="2" s="1"/>
  <c r="E270" i="2" s="1" a="1"/>
  <c r="E270" i="2" s="1"/>
  <c r="U270" i="2" a="1"/>
  <c r="U270" i="2" s="1"/>
  <c r="T270" i="2" a="1"/>
  <c r="T270" i="2" s="1"/>
  <c r="S270" i="2" a="1"/>
  <c r="S270" i="2" s="1"/>
  <c r="R270" i="2" a="1"/>
  <c r="R270" i="2" s="1"/>
  <c r="Q270" i="2" a="1"/>
  <c r="Q270" i="2" s="1"/>
  <c r="P270" i="2" a="1"/>
  <c r="P270" i="2" s="1"/>
  <c r="O270" i="2" a="1"/>
  <c r="O270" i="2" s="1"/>
  <c r="N270" i="2" a="1"/>
  <c r="N270" i="2" s="1"/>
  <c r="M270" i="2" a="1"/>
  <c r="M270" i="2" s="1"/>
  <c r="L270" i="2" a="1"/>
  <c r="L270" i="2" s="1"/>
  <c r="K270" i="2" a="1"/>
  <c r="K270" i="2" s="1"/>
  <c r="J270" i="2" a="1"/>
  <c r="J270" i="2" s="1"/>
  <c r="I270" i="2" a="1"/>
  <c r="I270" i="2" s="1"/>
  <c r="H270" i="2" a="1"/>
  <c r="H270" i="2" s="1"/>
  <c r="F270" i="2" a="1"/>
  <c r="F270" i="2" s="1"/>
  <c r="D270" i="2" a="1"/>
  <c r="D270" i="2" s="1"/>
  <c r="B270" i="2" a="1"/>
  <c r="B270" i="2" s="1"/>
  <c r="BD269" i="2" a="1"/>
  <c r="BD269" i="2" s="1"/>
  <c r="BC269" i="2" a="1"/>
  <c r="BC269" i="2" s="1"/>
  <c r="BA269" i="2" a="1"/>
  <c r="BA269" i="2" s="1"/>
  <c r="AZ269" i="2" a="1"/>
  <c r="AZ269" i="2" s="1"/>
  <c r="AY269" i="2" a="1"/>
  <c r="AY269" i="2" s="1"/>
  <c r="AX269" i="2" a="1"/>
  <c r="AX269" i="2" s="1"/>
  <c r="AW269" i="2" a="1"/>
  <c r="AW269" i="2" s="1"/>
  <c r="AV269" i="2" a="1"/>
  <c r="AV269" i="2" s="1"/>
  <c r="AU269" i="2" a="1"/>
  <c r="AU269" i="2" s="1"/>
  <c r="AT269" i="2" a="1"/>
  <c r="AT269" i="2" s="1"/>
  <c r="AS269" i="2" a="1"/>
  <c r="AS269" i="2" s="1"/>
  <c r="AR269" i="2" a="1"/>
  <c r="AR269" i="2" s="1"/>
  <c r="AQ269" i="2" a="1"/>
  <c r="AQ269" i="2" s="1"/>
  <c r="AP269" i="2" a="1"/>
  <c r="AP269" i="2" s="1"/>
  <c r="AO269" i="2" a="1"/>
  <c r="AO269" i="2" s="1"/>
  <c r="AN269" i="2" a="1"/>
  <c r="AN269" i="2" s="1"/>
  <c r="AM269" i="2" a="1"/>
  <c r="AM269" i="2" s="1"/>
  <c r="AL269" i="2" a="1"/>
  <c r="AL269" i="2" s="1"/>
  <c r="AK269" i="2" a="1"/>
  <c r="AK269" i="2" s="1"/>
  <c r="AJ269" i="2" a="1"/>
  <c r="AJ269" i="2" s="1"/>
  <c r="AI269" i="2" a="1"/>
  <c r="AI269" i="2" s="1"/>
  <c r="AH269" i="2" a="1"/>
  <c r="AH269" i="2" s="1"/>
  <c r="AG269" i="2" a="1"/>
  <c r="AG269" i="2" s="1"/>
  <c r="AF269" i="2" a="1"/>
  <c r="AF269" i="2" s="1"/>
  <c r="AE269" i="2" a="1"/>
  <c r="AE269" i="2" s="1"/>
  <c r="AD269" i="2" a="1"/>
  <c r="AD269" i="2" s="1"/>
  <c r="Z269" i="2" a="1"/>
  <c r="Z269" i="2" s="1"/>
  <c r="Y269" i="2" a="1"/>
  <c r="Y269" i="2" s="1"/>
  <c r="X269" i="2" a="1"/>
  <c r="X269" i="2" s="1"/>
  <c r="W269" i="2" a="1"/>
  <c r="W269" i="2" s="1"/>
  <c r="BB269" i="2" s="1" a="1"/>
  <c r="BB269" i="2" s="1"/>
  <c r="V269" i="2" a="1"/>
  <c r="V269" i="2" s="1"/>
  <c r="E269" i="2" s="1" a="1"/>
  <c r="E269" i="2" s="1"/>
  <c r="U269" i="2" a="1"/>
  <c r="U269" i="2" s="1"/>
  <c r="T269" i="2" a="1"/>
  <c r="T269" i="2" s="1"/>
  <c r="S269" i="2" a="1"/>
  <c r="S269" i="2" s="1"/>
  <c r="R269" i="2" a="1"/>
  <c r="R269" i="2" s="1"/>
  <c r="Q269" i="2" a="1"/>
  <c r="Q269" i="2" s="1"/>
  <c r="P269" i="2" a="1"/>
  <c r="P269" i="2" s="1"/>
  <c r="O269" i="2" a="1"/>
  <c r="O269" i="2" s="1"/>
  <c r="N269" i="2" a="1"/>
  <c r="N269" i="2" s="1"/>
  <c r="M269" i="2" a="1"/>
  <c r="M269" i="2" s="1"/>
  <c r="L269" i="2" a="1"/>
  <c r="L269" i="2" s="1"/>
  <c r="K269" i="2" a="1"/>
  <c r="K269" i="2" s="1"/>
  <c r="J269" i="2" a="1"/>
  <c r="J269" i="2" s="1"/>
  <c r="I269" i="2" a="1"/>
  <c r="I269" i="2" s="1"/>
  <c r="H269" i="2" a="1"/>
  <c r="H269" i="2" s="1"/>
  <c r="F269" i="2" a="1"/>
  <c r="F269" i="2" s="1"/>
  <c r="D269" i="2" a="1"/>
  <c r="D269" i="2" s="1"/>
  <c r="B269" i="2" a="1"/>
  <c r="B269" i="2" s="1"/>
  <c r="BD268" i="2" a="1"/>
  <c r="BD268" i="2" s="1"/>
  <c r="BC268" i="2" a="1"/>
  <c r="BC268" i="2" s="1"/>
  <c r="BA268" i="2" a="1"/>
  <c r="BA268" i="2" s="1"/>
  <c r="AZ268" i="2" a="1"/>
  <c r="AZ268" i="2" s="1"/>
  <c r="AY268" i="2" a="1"/>
  <c r="AY268" i="2" s="1"/>
  <c r="AX268" i="2" a="1"/>
  <c r="AX268" i="2" s="1"/>
  <c r="AW268" i="2" a="1"/>
  <c r="AW268" i="2" s="1"/>
  <c r="AV268" i="2" a="1"/>
  <c r="AV268" i="2" s="1"/>
  <c r="AU268" i="2" a="1"/>
  <c r="AU268" i="2" s="1"/>
  <c r="AT268" i="2" a="1"/>
  <c r="AT268" i="2" s="1"/>
  <c r="AS268" i="2" a="1"/>
  <c r="AS268" i="2" s="1"/>
  <c r="AR268" i="2" a="1"/>
  <c r="AR268" i="2" s="1"/>
  <c r="AQ268" i="2" a="1"/>
  <c r="AQ268" i="2" s="1"/>
  <c r="AP268" i="2" a="1"/>
  <c r="AP268" i="2" s="1"/>
  <c r="AO268" i="2" a="1"/>
  <c r="AO268" i="2" s="1"/>
  <c r="AN268" i="2" a="1"/>
  <c r="AN268" i="2" s="1"/>
  <c r="AM268" i="2" a="1"/>
  <c r="AM268" i="2" s="1"/>
  <c r="AL268" i="2" a="1"/>
  <c r="AL268" i="2" s="1"/>
  <c r="AK268" i="2" a="1"/>
  <c r="AK268" i="2" s="1"/>
  <c r="AJ268" i="2" a="1"/>
  <c r="AJ268" i="2" s="1"/>
  <c r="AI268" i="2" a="1"/>
  <c r="AI268" i="2" s="1"/>
  <c r="AH268" i="2" a="1"/>
  <c r="AH268" i="2" s="1"/>
  <c r="AG268" i="2" a="1"/>
  <c r="AG268" i="2" s="1"/>
  <c r="AF268" i="2" a="1"/>
  <c r="AF268" i="2" s="1"/>
  <c r="AE268" i="2" a="1"/>
  <c r="AE268" i="2" s="1"/>
  <c r="AD268" i="2" a="1"/>
  <c r="AD268" i="2" s="1"/>
  <c r="Z268" i="2" a="1"/>
  <c r="Z268" i="2" s="1"/>
  <c r="Y268" i="2" a="1"/>
  <c r="Y268" i="2" s="1"/>
  <c r="X268" i="2" a="1"/>
  <c r="X268" i="2" s="1"/>
  <c r="W268" i="2" a="1"/>
  <c r="W268" i="2" s="1"/>
  <c r="BB268" i="2" s="1" a="1"/>
  <c r="BB268" i="2" s="1"/>
  <c r="V268" i="2" a="1"/>
  <c r="V268" i="2" s="1"/>
  <c r="E268" i="2" s="1" a="1"/>
  <c r="E268" i="2" s="1"/>
  <c r="U268" i="2" a="1"/>
  <c r="U268" i="2" s="1"/>
  <c r="T268" i="2" a="1"/>
  <c r="T268" i="2" s="1"/>
  <c r="S268" i="2" a="1"/>
  <c r="S268" i="2" s="1"/>
  <c r="R268" i="2" a="1"/>
  <c r="R268" i="2" s="1"/>
  <c r="Q268" i="2" a="1"/>
  <c r="Q268" i="2" s="1"/>
  <c r="P268" i="2" a="1"/>
  <c r="P268" i="2" s="1"/>
  <c r="O268" i="2" a="1"/>
  <c r="O268" i="2" s="1"/>
  <c r="N268" i="2" a="1"/>
  <c r="N268" i="2" s="1"/>
  <c r="M268" i="2" a="1"/>
  <c r="M268" i="2" s="1"/>
  <c r="L268" i="2" a="1"/>
  <c r="L268" i="2" s="1"/>
  <c r="K268" i="2" a="1"/>
  <c r="K268" i="2" s="1"/>
  <c r="J268" i="2" a="1"/>
  <c r="J268" i="2" s="1"/>
  <c r="I268" i="2" a="1"/>
  <c r="I268" i="2" s="1"/>
  <c r="H268" i="2" a="1"/>
  <c r="H268" i="2" s="1"/>
  <c r="F268" i="2" a="1"/>
  <c r="F268" i="2" s="1"/>
  <c r="D268" i="2" a="1"/>
  <c r="D268" i="2" s="1"/>
  <c r="B268" i="2" a="1"/>
  <c r="B268" i="2" s="1"/>
  <c r="BD267" i="2" a="1"/>
  <c r="BD267" i="2" s="1"/>
  <c r="BC267" i="2" a="1"/>
  <c r="BC267" i="2" s="1"/>
  <c r="BA267" i="2" a="1"/>
  <c r="BA267" i="2" s="1"/>
  <c r="AZ267" i="2" a="1"/>
  <c r="AZ267" i="2" s="1"/>
  <c r="AY267" i="2" a="1"/>
  <c r="AY267" i="2" s="1"/>
  <c r="AX267" i="2" a="1"/>
  <c r="AX267" i="2" s="1"/>
  <c r="AW267" i="2" a="1"/>
  <c r="AW267" i="2" s="1"/>
  <c r="AV267" i="2" a="1"/>
  <c r="AV267" i="2" s="1"/>
  <c r="AU267" i="2" a="1"/>
  <c r="AU267" i="2" s="1"/>
  <c r="AT267" i="2" a="1"/>
  <c r="AT267" i="2" s="1"/>
  <c r="AS267" i="2" a="1"/>
  <c r="AS267" i="2" s="1"/>
  <c r="AR267" i="2" a="1"/>
  <c r="AR267" i="2" s="1"/>
  <c r="AQ267" i="2" a="1"/>
  <c r="AQ267" i="2" s="1"/>
  <c r="AP267" i="2" a="1"/>
  <c r="AP267" i="2" s="1"/>
  <c r="AO267" i="2" a="1"/>
  <c r="AO267" i="2" s="1"/>
  <c r="AN267" i="2" a="1"/>
  <c r="AN267" i="2" s="1"/>
  <c r="AM267" i="2" a="1"/>
  <c r="AM267" i="2" s="1"/>
  <c r="AL267" i="2" a="1"/>
  <c r="AL267" i="2" s="1"/>
  <c r="AK267" i="2" a="1"/>
  <c r="AK267" i="2" s="1"/>
  <c r="AI267" i="2" a="1"/>
  <c r="AI267" i="2" s="1"/>
  <c r="AH267" i="2" a="1"/>
  <c r="AH267" i="2" s="1"/>
  <c r="AG267" i="2" a="1"/>
  <c r="AG267" i="2" s="1"/>
  <c r="AF267" i="2" a="1"/>
  <c r="AF267" i="2" s="1"/>
  <c r="AE267" i="2" a="1"/>
  <c r="AE267" i="2" s="1"/>
  <c r="AD267" i="2" a="1"/>
  <c r="AD267" i="2" s="1"/>
  <c r="Z267" i="2" a="1"/>
  <c r="Z267" i="2" s="1"/>
  <c r="Y267" i="2" a="1"/>
  <c r="Y267" i="2" s="1"/>
  <c r="X267" i="2" a="1"/>
  <c r="X267" i="2" s="1"/>
  <c r="W267" i="2" a="1"/>
  <c r="W267" i="2" s="1"/>
  <c r="BB267" i="2" s="1" a="1"/>
  <c r="BB267" i="2" s="1"/>
  <c r="V267" i="2" a="1"/>
  <c r="V267" i="2" s="1"/>
  <c r="E267" i="2" s="1" a="1"/>
  <c r="E267" i="2" s="1"/>
  <c r="U267" i="2" a="1"/>
  <c r="U267" i="2" s="1"/>
  <c r="T267" i="2" a="1"/>
  <c r="T267" i="2" s="1"/>
  <c r="S267" i="2" a="1"/>
  <c r="S267" i="2" s="1"/>
  <c r="R267" i="2" a="1"/>
  <c r="R267" i="2" s="1"/>
  <c r="Q267" i="2" a="1"/>
  <c r="Q267" i="2" s="1"/>
  <c r="P267" i="2" a="1"/>
  <c r="P267" i="2" s="1"/>
  <c r="O267" i="2" a="1"/>
  <c r="O267" i="2" s="1"/>
  <c r="N267" i="2" a="1"/>
  <c r="N267" i="2" s="1"/>
  <c r="M267" i="2" a="1"/>
  <c r="M267" i="2" s="1"/>
  <c r="L267" i="2" a="1"/>
  <c r="L267" i="2" s="1"/>
  <c r="K267" i="2" a="1"/>
  <c r="K267" i="2" s="1"/>
  <c r="J267" i="2" a="1"/>
  <c r="J267" i="2" s="1"/>
  <c r="I267" i="2" a="1"/>
  <c r="I267" i="2" s="1"/>
  <c r="H267" i="2" a="1"/>
  <c r="H267" i="2" s="1"/>
  <c r="F267" i="2" a="1"/>
  <c r="F267" i="2" s="1"/>
  <c r="D267" i="2" a="1"/>
  <c r="D267" i="2" s="1"/>
  <c r="B267" i="2" a="1"/>
  <c r="B267" i="2" s="1"/>
  <c r="BD265" i="2" a="1"/>
  <c r="BD265" i="2" s="1"/>
  <c r="BC265" i="2" a="1"/>
  <c r="BC265" i="2" s="1"/>
  <c r="BA265" i="2" a="1"/>
  <c r="BA265" i="2" s="1"/>
  <c r="AZ265" i="2" a="1"/>
  <c r="AZ265" i="2" s="1"/>
  <c r="AY265" i="2" a="1"/>
  <c r="AY265" i="2" s="1"/>
  <c r="AX265" i="2" a="1"/>
  <c r="AX265" i="2" s="1"/>
  <c r="AW265" i="2" a="1"/>
  <c r="AW265" i="2" s="1"/>
  <c r="AV265" i="2" a="1"/>
  <c r="AV265" i="2" s="1"/>
  <c r="AU265" i="2" a="1"/>
  <c r="AU265" i="2" s="1"/>
  <c r="AT265" i="2" a="1"/>
  <c r="AT265" i="2" s="1"/>
  <c r="AS265" i="2" a="1"/>
  <c r="AS265" i="2" s="1"/>
  <c r="AR265" i="2" a="1"/>
  <c r="AR265" i="2" s="1"/>
  <c r="AQ265" i="2" a="1"/>
  <c r="AQ265" i="2" s="1"/>
  <c r="AP265" i="2" a="1"/>
  <c r="AP265" i="2" s="1"/>
  <c r="AO265" i="2" a="1"/>
  <c r="AO265" i="2" s="1"/>
  <c r="AN265" i="2" a="1"/>
  <c r="AN265" i="2" s="1"/>
  <c r="AM265" i="2" a="1"/>
  <c r="AM265" i="2" s="1"/>
  <c r="AL265" i="2" a="1"/>
  <c r="AL265" i="2" s="1"/>
  <c r="AK265" i="2" a="1"/>
  <c r="AK265" i="2" s="1"/>
  <c r="AJ265" i="2" a="1"/>
  <c r="AJ265" i="2" s="1"/>
  <c r="AI265" i="2" a="1"/>
  <c r="AI265" i="2" s="1"/>
  <c r="AH265" i="2" a="1"/>
  <c r="AH265" i="2" s="1"/>
  <c r="AG265" i="2" a="1"/>
  <c r="AG265" i="2" s="1"/>
  <c r="AF265" i="2" a="1"/>
  <c r="AF265" i="2" s="1"/>
  <c r="AE265" i="2" a="1"/>
  <c r="AE265" i="2" s="1"/>
  <c r="AD265" i="2" a="1"/>
  <c r="AD265" i="2" s="1"/>
  <c r="Z265" i="2" a="1"/>
  <c r="Z265" i="2" s="1"/>
  <c r="Y265" i="2" a="1"/>
  <c r="Y265" i="2" s="1"/>
  <c r="X265" i="2" a="1"/>
  <c r="X265" i="2" s="1"/>
  <c r="W265" i="2" a="1"/>
  <c r="W265" i="2" s="1"/>
  <c r="BB265" i="2" s="1" a="1"/>
  <c r="BB265" i="2" s="1"/>
  <c r="V265" i="2" a="1"/>
  <c r="V265" i="2" s="1"/>
  <c r="E265" i="2" s="1" a="1"/>
  <c r="E265" i="2" s="1"/>
  <c r="U265" i="2" a="1"/>
  <c r="U265" i="2" s="1"/>
  <c r="T265" i="2" a="1"/>
  <c r="T265" i="2" s="1"/>
  <c r="S265" i="2" a="1"/>
  <c r="S265" i="2" s="1"/>
  <c r="R265" i="2" a="1"/>
  <c r="R265" i="2" s="1"/>
  <c r="Q265" i="2" a="1"/>
  <c r="Q265" i="2" s="1"/>
  <c r="P265" i="2" a="1"/>
  <c r="P265" i="2" s="1"/>
  <c r="O265" i="2" a="1"/>
  <c r="O265" i="2" s="1"/>
  <c r="N265" i="2" a="1"/>
  <c r="N265" i="2" s="1"/>
  <c r="M265" i="2" a="1"/>
  <c r="M265" i="2" s="1"/>
  <c r="L265" i="2" a="1"/>
  <c r="L265" i="2" s="1"/>
  <c r="K265" i="2" a="1"/>
  <c r="K265" i="2" s="1"/>
  <c r="J265" i="2" a="1"/>
  <c r="J265" i="2" s="1"/>
  <c r="I265" i="2" a="1"/>
  <c r="I265" i="2" s="1"/>
  <c r="H265" i="2" a="1"/>
  <c r="H265" i="2" s="1"/>
  <c r="F265" i="2" a="1"/>
  <c r="F265" i="2" s="1"/>
  <c r="D265" i="2" a="1"/>
  <c r="D265" i="2" s="1"/>
  <c r="B265" i="2" a="1"/>
  <c r="B265" i="2" s="1"/>
  <c r="BD264" i="2" a="1"/>
  <c r="BD264" i="2" s="1"/>
  <c r="BC264" i="2" a="1"/>
  <c r="BC264" i="2" s="1"/>
  <c r="BA264" i="2" a="1"/>
  <c r="BA264" i="2" s="1"/>
  <c r="AZ264" i="2" a="1"/>
  <c r="AZ264" i="2" s="1"/>
  <c r="AY264" i="2" a="1"/>
  <c r="AY264" i="2" s="1"/>
  <c r="AX264" i="2" a="1"/>
  <c r="AX264" i="2" s="1"/>
  <c r="AW264" i="2" a="1"/>
  <c r="AW264" i="2" s="1"/>
  <c r="AV264" i="2" a="1"/>
  <c r="AV264" i="2" s="1"/>
  <c r="AU264" i="2" a="1"/>
  <c r="AU264" i="2" s="1"/>
  <c r="AT264" i="2" a="1"/>
  <c r="AT264" i="2" s="1"/>
  <c r="AS264" i="2" a="1"/>
  <c r="AS264" i="2" s="1"/>
  <c r="AR264" i="2" a="1"/>
  <c r="AR264" i="2" s="1"/>
  <c r="AQ264" i="2" a="1"/>
  <c r="AQ264" i="2" s="1"/>
  <c r="AP264" i="2" a="1"/>
  <c r="AP264" i="2" s="1"/>
  <c r="AO264" i="2" a="1"/>
  <c r="AO264" i="2" s="1"/>
  <c r="AN264" i="2" a="1"/>
  <c r="AN264" i="2" s="1"/>
  <c r="AM264" i="2" a="1"/>
  <c r="AM264" i="2" s="1"/>
  <c r="AL264" i="2" a="1"/>
  <c r="AL264" i="2" s="1"/>
  <c r="AK264" i="2" a="1"/>
  <c r="AK264" i="2" s="1"/>
  <c r="AJ264" i="2" a="1"/>
  <c r="AJ264" i="2" s="1"/>
  <c r="AI264" i="2" a="1"/>
  <c r="AI264" i="2" s="1"/>
  <c r="AH264" i="2" a="1"/>
  <c r="AH264" i="2" s="1"/>
  <c r="AG264" i="2" a="1"/>
  <c r="AG264" i="2" s="1"/>
  <c r="AF264" i="2" a="1"/>
  <c r="AF264" i="2" s="1"/>
  <c r="AE264" i="2" a="1"/>
  <c r="AE264" i="2" s="1"/>
  <c r="AD264" i="2" a="1"/>
  <c r="AD264" i="2" s="1"/>
  <c r="Z264" i="2" a="1"/>
  <c r="Z264" i="2" s="1"/>
  <c r="Y264" i="2" a="1"/>
  <c r="Y264" i="2" s="1"/>
  <c r="X264" i="2" a="1"/>
  <c r="X264" i="2" s="1"/>
  <c r="W264" i="2" a="1"/>
  <c r="W264" i="2" s="1"/>
  <c r="BB264" i="2" s="1" a="1"/>
  <c r="BB264" i="2" s="1"/>
  <c r="V264" i="2" a="1"/>
  <c r="V264" i="2" s="1"/>
  <c r="E264" i="2" s="1" a="1"/>
  <c r="E264" i="2" s="1"/>
  <c r="U264" i="2" a="1"/>
  <c r="U264" i="2" s="1"/>
  <c r="T264" i="2" a="1"/>
  <c r="T264" i="2" s="1"/>
  <c r="S264" i="2" a="1"/>
  <c r="S264" i="2" s="1"/>
  <c r="R264" i="2" a="1"/>
  <c r="R264" i="2" s="1"/>
  <c r="Q264" i="2" a="1"/>
  <c r="Q264" i="2" s="1"/>
  <c r="P264" i="2" a="1"/>
  <c r="P264" i="2" s="1"/>
  <c r="O264" i="2" a="1"/>
  <c r="O264" i="2" s="1"/>
  <c r="N264" i="2" a="1"/>
  <c r="N264" i="2" s="1"/>
  <c r="M264" i="2" a="1"/>
  <c r="M264" i="2" s="1"/>
  <c r="L264" i="2" a="1"/>
  <c r="L264" i="2" s="1"/>
  <c r="K264" i="2" a="1"/>
  <c r="K264" i="2" s="1"/>
  <c r="J264" i="2" a="1"/>
  <c r="J264" i="2" s="1"/>
  <c r="I264" i="2" a="1"/>
  <c r="I264" i="2" s="1"/>
  <c r="H264" i="2" a="1"/>
  <c r="H264" i="2" s="1"/>
  <c r="F264" i="2" a="1"/>
  <c r="F264" i="2" s="1"/>
  <c r="D264" i="2" a="1"/>
  <c r="D264" i="2" s="1"/>
  <c r="B264" i="2" a="1"/>
  <c r="B264" i="2" s="1"/>
  <c r="BD263" i="2" a="1"/>
  <c r="BD263" i="2" s="1"/>
  <c r="BC263" i="2" a="1"/>
  <c r="BC263" i="2" s="1"/>
  <c r="BA263" i="2" a="1"/>
  <c r="BA263" i="2" s="1"/>
  <c r="AZ263" i="2" a="1"/>
  <c r="AZ263" i="2" s="1"/>
  <c r="AY263" i="2" a="1"/>
  <c r="AY263" i="2" s="1"/>
  <c r="AX263" i="2" a="1"/>
  <c r="AX263" i="2" s="1"/>
  <c r="AW263" i="2" a="1"/>
  <c r="AW263" i="2" s="1"/>
  <c r="AV263" i="2" a="1"/>
  <c r="AV263" i="2" s="1"/>
  <c r="AU263" i="2" a="1"/>
  <c r="AU263" i="2" s="1"/>
  <c r="AT263" i="2" a="1"/>
  <c r="AT263" i="2" s="1"/>
  <c r="AS263" i="2" a="1"/>
  <c r="AS263" i="2" s="1"/>
  <c r="AR263" i="2" a="1"/>
  <c r="AR263" i="2" s="1"/>
  <c r="AQ263" i="2" a="1"/>
  <c r="AQ263" i="2" s="1"/>
  <c r="AP263" i="2" a="1"/>
  <c r="AP263" i="2" s="1"/>
  <c r="AO263" i="2" a="1"/>
  <c r="AO263" i="2" s="1"/>
  <c r="AN263" i="2" a="1"/>
  <c r="AN263" i="2" s="1"/>
  <c r="AM263" i="2" a="1"/>
  <c r="AM263" i="2" s="1"/>
  <c r="AL263" i="2" a="1"/>
  <c r="AL263" i="2" s="1"/>
  <c r="AK263" i="2" a="1"/>
  <c r="AK263" i="2" s="1"/>
  <c r="AJ263" i="2" a="1"/>
  <c r="AJ263" i="2" s="1"/>
  <c r="AI263" i="2" a="1"/>
  <c r="AI263" i="2" s="1"/>
  <c r="AH263" i="2" a="1"/>
  <c r="AH263" i="2" s="1"/>
  <c r="AG263" i="2" a="1"/>
  <c r="AG263" i="2" s="1"/>
  <c r="AF263" i="2" a="1"/>
  <c r="AF263" i="2" s="1"/>
  <c r="AE263" i="2" a="1"/>
  <c r="AE263" i="2" s="1"/>
  <c r="AD263" i="2" a="1"/>
  <c r="AD263" i="2" s="1"/>
  <c r="Z263" i="2" a="1"/>
  <c r="Z263" i="2" s="1"/>
  <c r="Y263" i="2" a="1"/>
  <c r="Y263" i="2" s="1"/>
  <c r="X263" i="2" a="1"/>
  <c r="X263" i="2" s="1"/>
  <c r="W263" i="2" a="1"/>
  <c r="W263" i="2" s="1"/>
  <c r="BB263" i="2" s="1" a="1"/>
  <c r="BB263" i="2" s="1"/>
  <c r="V263" i="2" a="1"/>
  <c r="V263" i="2" s="1"/>
  <c r="E263" i="2" s="1" a="1"/>
  <c r="E263" i="2" s="1"/>
  <c r="U263" i="2" a="1"/>
  <c r="U263" i="2" s="1"/>
  <c r="T263" i="2" a="1"/>
  <c r="T263" i="2" s="1"/>
  <c r="S263" i="2" a="1"/>
  <c r="S263" i="2" s="1"/>
  <c r="R263" i="2" a="1"/>
  <c r="R263" i="2" s="1"/>
  <c r="Q263" i="2" a="1"/>
  <c r="Q263" i="2" s="1"/>
  <c r="P263" i="2" a="1"/>
  <c r="P263" i="2" s="1"/>
  <c r="O263" i="2" a="1"/>
  <c r="O263" i="2" s="1"/>
  <c r="N263" i="2" a="1"/>
  <c r="N263" i="2" s="1"/>
  <c r="M263" i="2" a="1"/>
  <c r="M263" i="2" s="1"/>
  <c r="L263" i="2" a="1"/>
  <c r="L263" i="2" s="1"/>
  <c r="K263" i="2" a="1"/>
  <c r="K263" i="2" s="1"/>
  <c r="J263" i="2" a="1"/>
  <c r="J263" i="2" s="1"/>
  <c r="I263" i="2" a="1"/>
  <c r="I263" i="2" s="1"/>
  <c r="H263" i="2" a="1"/>
  <c r="H263" i="2" s="1"/>
  <c r="F263" i="2" a="1"/>
  <c r="F263" i="2" s="1"/>
  <c r="D263" i="2" a="1"/>
  <c r="D263" i="2" s="1"/>
  <c r="B263" i="2" a="1"/>
  <c r="B263" i="2" s="1"/>
  <c r="BD259" i="2" a="1"/>
  <c r="BD259" i="2" s="1"/>
  <c r="BC259" i="2" a="1"/>
  <c r="BC259" i="2" s="1"/>
  <c r="AZ259" i="2" a="1"/>
  <c r="AZ259" i="2" s="1"/>
  <c r="AY259" i="2" a="1"/>
  <c r="AY259" i="2" s="1"/>
  <c r="AX259" i="2" a="1"/>
  <c r="AX259" i="2" s="1"/>
  <c r="AW259" i="2" a="1"/>
  <c r="AW259" i="2" s="1"/>
  <c r="AV259" i="2" a="1"/>
  <c r="AV259" i="2" s="1"/>
  <c r="AU259" i="2" a="1"/>
  <c r="AU259" i="2" s="1"/>
  <c r="AT259" i="2" a="1"/>
  <c r="AT259" i="2" s="1"/>
  <c r="AS259" i="2" a="1"/>
  <c r="AS259" i="2" s="1"/>
  <c r="AR259" i="2" a="1"/>
  <c r="AR259" i="2" s="1"/>
  <c r="AQ259" i="2" a="1"/>
  <c r="AQ259" i="2" s="1"/>
  <c r="AP259" i="2" a="1"/>
  <c r="AP259" i="2" s="1"/>
  <c r="AO259" i="2" a="1"/>
  <c r="AO259" i="2" s="1"/>
  <c r="AN259" i="2" a="1"/>
  <c r="AN259" i="2" s="1"/>
  <c r="AM259" i="2" a="1"/>
  <c r="AM259" i="2" s="1"/>
  <c r="AL259" i="2" a="1"/>
  <c r="AL259" i="2" s="1"/>
  <c r="AK259" i="2" a="1"/>
  <c r="AK259" i="2" s="1"/>
  <c r="AJ259" i="2" a="1"/>
  <c r="AJ259" i="2" s="1"/>
  <c r="AI259" i="2" a="1"/>
  <c r="AI259" i="2" s="1"/>
  <c r="AH259" i="2" a="1"/>
  <c r="AH259" i="2" s="1"/>
  <c r="AG259" i="2" a="1"/>
  <c r="AG259" i="2" s="1"/>
  <c r="AF259" i="2" a="1"/>
  <c r="AF259" i="2" s="1"/>
  <c r="AE259" i="2" a="1"/>
  <c r="AE259" i="2" s="1"/>
  <c r="AD259" i="2" a="1"/>
  <c r="AD259" i="2" s="1"/>
  <c r="AC259" i="2" a="1"/>
  <c r="AC259" i="2" s="1"/>
  <c r="AA259" i="2" a="1"/>
  <c r="AA259" i="2" s="1"/>
  <c r="Z259" i="2" a="1"/>
  <c r="Z259" i="2" s="1"/>
  <c r="Y259" i="2" a="1"/>
  <c r="Y259" i="2" s="1"/>
  <c r="X259" i="2" a="1"/>
  <c r="X259" i="2" s="1"/>
  <c r="W259" i="2" a="1"/>
  <c r="W259" i="2" s="1"/>
  <c r="V259" i="2" a="1"/>
  <c r="V259" i="2" s="1"/>
  <c r="E259" i="2" s="1" a="1"/>
  <c r="E259" i="2" s="1"/>
  <c r="U259" i="2" a="1"/>
  <c r="U259" i="2" s="1"/>
  <c r="T259" i="2" a="1"/>
  <c r="T259" i="2" s="1"/>
  <c r="S259" i="2" a="1"/>
  <c r="S259" i="2" s="1"/>
  <c r="R259" i="2" a="1"/>
  <c r="R259" i="2" s="1"/>
  <c r="Q259" i="2" a="1"/>
  <c r="Q259" i="2" s="1"/>
  <c r="P259" i="2" a="1"/>
  <c r="P259" i="2" s="1"/>
  <c r="O259" i="2" a="1"/>
  <c r="O259" i="2" s="1"/>
  <c r="N259" i="2" a="1"/>
  <c r="N259" i="2" s="1"/>
  <c r="M259" i="2" a="1"/>
  <c r="M259" i="2" s="1"/>
  <c r="L259" i="2" a="1"/>
  <c r="L259" i="2" s="1"/>
  <c r="K259" i="2" a="1"/>
  <c r="K259" i="2" s="1"/>
  <c r="J259" i="2" a="1"/>
  <c r="J259" i="2" s="1"/>
  <c r="I259" i="2" a="1"/>
  <c r="I259" i="2" s="1"/>
  <c r="H259" i="2" a="1"/>
  <c r="H259" i="2" s="1"/>
  <c r="F259" i="2" a="1"/>
  <c r="F259" i="2" s="1"/>
  <c r="D259" i="2" a="1"/>
  <c r="D259" i="2" s="1"/>
  <c r="B259" i="2" a="1"/>
  <c r="B259" i="2" s="1"/>
  <c r="AV226" i="2" a="1"/>
  <c r="AV226" i="2" s="1"/>
  <c r="AW226" i="2" a="1"/>
  <c r="AW226" i="2" s="1"/>
  <c r="AX226" i="2" a="1"/>
  <c r="AX226" i="2" s="1"/>
  <c r="AY226" i="2" a="1"/>
  <c r="AY226" i="2" s="1"/>
  <c r="AV248" i="2" a="1"/>
  <c r="AV248" i="2" s="1"/>
  <c r="AW248" i="2" a="1"/>
  <c r="AW248" i="2" s="1"/>
  <c r="AX248" i="2" a="1"/>
  <c r="AX248" i="2" s="1"/>
  <c r="AY248" i="2" a="1"/>
  <c r="AY248" i="2" s="1"/>
  <c r="AV249" i="2" a="1"/>
  <c r="AV249" i="2" s="1"/>
  <c r="AW249" i="2" a="1"/>
  <c r="AW249" i="2" s="1"/>
  <c r="AX249" i="2" a="1"/>
  <c r="AX249" i="2" s="1"/>
  <c r="AY249" i="2" a="1"/>
  <c r="AY249" i="2" s="1"/>
  <c r="AV250" i="2" a="1"/>
  <c r="AV250" i="2" s="1"/>
  <c r="AW250" i="2" a="1"/>
  <c r="AW250" i="2" s="1"/>
  <c r="AX250" i="2" a="1"/>
  <c r="AX250" i="2" s="1"/>
  <c r="AY250" i="2" a="1"/>
  <c r="AY250" i="2" s="1"/>
  <c r="AV251" i="2" a="1"/>
  <c r="AV251" i="2" s="1"/>
  <c r="AW251" i="2" a="1"/>
  <c r="AW251" i="2" s="1"/>
  <c r="AX251" i="2" a="1"/>
  <c r="AX251" i="2" s="1"/>
  <c r="AY251" i="2" a="1"/>
  <c r="AY251" i="2" s="1"/>
  <c r="AV252" i="2" a="1"/>
  <c r="AV252" i="2" s="1"/>
  <c r="AW252" i="2" a="1"/>
  <c r="AW252" i="2" s="1"/>
  <c r="AX252" i="2" a="1"/>
  <c r="AX252" i="2" s="1"/>
  <c r="AY252" i="2" a="1"/>
  <c r="AY252" i="2" s="1"/>
  <c r="AV253" i="2" a="1"/>
  <c r="AV253" i="2" s="1"/>
  <c r="AW253" i="2" a="1"/>
  <c r="AW253" i="2" s="1"/>
  <c r="AX253" i="2" a="1"/>
  <c r="AX253" i="2" s="1"/>
  <c r="AY253" i="2" a="1"/>
  <c r="AY253" i="2" s="1"/>
  <c r="AV254" i="2" a="1"/>
  <c r="AV254" i="2" s="1"/>
  <c r="AW254" i="2" a="1"/>
  <c r="AW254" i="2" s="1"/>
  <c r="AX254" i="2" a="1"/>
  <c r="AX254" i="2" s="1"/>
  <c r="AY254" i="2" a="1"/>
  <c r="AY254" i="2" s="1"/>
  <c r="AV255" i="2" a="1"/>
  <c r="AV255" i="2" s="1"/>
  <c r="AW255" i="2" a="1"/>
  <c r="AW255" i="2" s="1"/>
  <c r="AX255" i="2" a="1"/>
  <c r="AX255" i="2" s="1"/>
  <c r="AY255" i="2" a="1"/>
  <c r="AY255" i="2" s="1"/>
  <c r="AV238" i="2" a="1"/>
  <c r="AV238" i="2" s="1"/>
  <c r="AW238" i="2" a="1"/>
  <c r="AW238" i="2" s="1"/>
  <c r="AX238" i="2" a="1"/>
  <c r="AX238" i="2" s="1"/>
  <c r="AY238" i="2" a="1"/>
  <c r="AY238" i="2" s="1"/>
  <c r="AV239" i="2" a="1"/>
  <c r="AV239" i="2" s="1"/>
  <c r="AW239" i="2" a="1"/>
  <c r="AW239" i="2" s="1"/>
  <c r="AX239" i="2" a="1"/>
  <c r="AX239" i="2" s="1"/>
  <c r="AY239" i="2" a="1"/>
  <c r="AY239" i="2" s="1"/>
  <c r="AV240" i="2" a="1"/>
  <c r="AV240" i="2" s="1"/>
  <c r="AW240" i="2" a="1"/>
  <c r="AW240" i="2" s="1"/>
  <c r="AX240" i="2" a="1"/>
  <c r="AX240" i="2" s="1"/>
  <c r="AY240" i="2" a="1"/>
  <c r="AY240" i="2" s="1"/>
  <c r="AV241" i="2" a="1"/>
  <c r="AV241" i="2" s="1"/>
  <c r="AW241" i="2" a="1"/>
  <c r="AW241" i="2" s="1"/>
  <c r="AX241" i="2" a="1"/>
  <c r="AX241" i="2" s="1"/>
  <c r="AY241" i="2" a="1"/>
  <c r="AY241" i="2" s="1"/>
  <c r="AV242" i="2" a="1"/>
  <c r="AV242" i="2" s="1"/>
  <c r="AW242" i="2" a="1"/>
  <c r="AW242" i="2" s="1"/>
  <c r="AX242" i="2" a="1"/>
  <c r="AX242" i="2" s="1"/>
  <c r="AY242" i="2" a="1"/>
  <c r="AY242" i="2" s="1"/>
  <c r="AV243" i="2" a="1"/>
  <c r="AV243" i="2" s="1"/>
  <c r="AW243" i="2" a="1"/>
  <c r="AW243" i="2" s="1"/>
  <c r="AX243" i="2" a="1"/>
  <c r="AX243" i="2" s="1"/>
  <c r="AY243" i="2" a="1"/>
  <c r="AY243" i="2" s="1"/>
  <c r="AV244" i="2" a="1"/>
  <c r="AV244" i="2" s="1"/>
  <c r="AW244" i="2" a="1"/>
  <c r="AW244" i="2" s="1"/>
  <c r="AX244" i="2" a="1"/>
  <c r="AX244" i="2" s="1"/>
  <c r="AY244" i="2" a="1"/>
  <c r="AY244" i="2" s="1"/>
  <c r="AV245" i="2" a="1"/>
  <c r="AV245" i="2" s="1"/>
  <c r="AW245" i="2" a="1"/>
  <c r="AW245" i="2" s="1"/>
  <c r="AX245" i="2" a="1"/>
  <c r="AX245" i="2" s="1"/>
  <c r="AY245" i="2" a="1"/>
  <c r="AY245" i="2" s="1"/>
  <c r="AV246" i="2" a="1"/>
  <c r="AV246" i="2" s="1"/>
  <c r="AW246" i="2" a="1"/>
  <c r="AW246" i="2" s="1"/>
  <c r="AX246" i="2" a="1"/>
  <c r="AX246" i="2" s="1"/>
  <c r="AY246" i="2" a="1"/>
  <c r="AY246" i="2" s="1"/>
  <c r="AV230" i="2" a="1"/>
  <c r="AV230" i="2" s="1"/>
  <c r="AW230" i="2" a="1"/>
  <c r="AW230" i="2" s="1"/>
  <c r="AX230" i="2" a="1"/>
  <c r="AX230" i="2" s="1"/>
  <c r="AY230" i="2" a="1"/>
  <c r="AY230" i="2" s="1"/>
  <c r="AV231" i="2" a="1"/>
  <c r="AV231" i="2" s="1"/>
  <c r="AW231" i="2" a="1"/>
  <c r="AW231" i="2" s="1"/>
  <c r="AX231" i="2" a="1"/>
  <c r="AX231" i="2" s="1"/>
  <c r="AY231" i="2" a="1"/>
  <c r="AY231" i="2" s="1"/>
  <c r="AV232" i="2" a="1"/>
  <c r="AV232" i="2" s="1"/>
  <c r="AW232" i="2" a="1"/>
  <c r="AW232" i="2" s="1"/>
  <c r="AX232" i="2" a="1"/>
  <c r="AX232" i="2" s="1"/>
  <c r="AY232" i="2" a="1"/>
  <c r="AY232" i="2" s="1"/>
  <c r="AV233" i="2" a="1"/>
  <c r="AV233" i="2" s="1"/>
  <c r="AW233" i="2" a="1"/>
  <c r="AW233" i="2" s="1"/>
  <c r="AX233" i="2" a="1"/>
  <c r="AX233" i="2" s="1"/>
  <c r="AY233" i="2" a="1"/>
  <c r="AY233" i="2" s="1"/>
  <c r="AV234" i="2" a="1"/>
  <c r="AV234" i="2" s="1"/>
  <c r="AW234" i="2" a="1"/>
  <c r="AW234" i="2" s="1"/>
  <c r="AX234" i="2" a="1"/>
  <c r="AX234" i="2" s="1"/>
  <c r="AY234" i="2" a="1"/>
  <c r="AY234" i="2" s="1"/>
  <c r="AV235" i="2" a="1"/>
  <c r="AV235" i="2" s="1"/>
  <c r="AW235" i="2" a="1"/>
  <c r="AW235" i="2" s="1"/>
  <c r="AX235" i="2" a="1"/>
  <c r="AX235" i="2" s="1"/>
  <c r="AY235" i="2" a="1"/>
  <c r="AY235" i="2" s="1"/>
  <c r="AV236" i="2" a="1"/>
  <c r="AV236" i="2" s="1"/>
  <c r="AW236" i="2" a="1"/>
  <c r="AW236" i="2" s="1"/>
  <c r="AX236" i="2" a="1"/>
  <c r="AX236" i="2" s="1"/>
  <c r="AY236" i="2" a="1"/>
  <c r="AY236" i="2" s="1"/>
  <c r="AU1" i="2"/>
  <c r="AV1" i="2"/>
  <c r="AW1" i="2"/>
  <c r="AX1" i="2"/>
  <c r="AY1" i="2"/>
  <c r="BD226" i="2" a="1"/>
  <c r="BD226" i="2" s="1"/>
  <c r="BC226" i="2" a="1"/>
  <c r="BC226" i="2" s="1"/>
  <c r="AZ226" i="2" a="1"/>
  <c r="AZ226" i="2" s="1"/>
  <c r="AU226" i="2" a="1"/>
  <c r="AU226" i="2" s="1"/>
  <c r="AT226" i="2" a="1"/>
  <c r="AT226" i="2" s="1"/>
  <c r="AS226" i="2" a="1"/>
  <c r="AS226" i="2" s="1"/>
  <c r="AR226" i="2" a="1"/>
  <c r="AR226" i="2" s="1"/>
  <c r="AQ226" i="2" a="1"/>
  <c r="AQ226" i="2" s="1"/>
  <c r="AP226" i="2" a="1"/>
  <c r="AP226" i="2" s="1"/>
  <c r="AO226" i="2" a="1"/>
  <c r="AO226" i="2" s="1"/>
  <c r="AN226" i="2" a="1"/>
  <c r="AN226" i="2" s="1"/>
  <c r="AM226" i="2" a="1"/>
  <c r="AM226" i="2" s="1"/>
  <c r="AL226" i="2" a="1"/>
  <c r="AL226" i="2" s="1"/>
  <c r="AK226" i="2" a="1"/>
  <c r="AK226" i="2" s="1"/>
  <c r="AJ226" i="2" a="1"/>
  <c r="AJ226" i="2" s="1"/>
  <c r="AI226" i="2" a="1"/>
  <c r="AI226" i="2" s="1"/>
  <c r="AH226" i="2" a="1"/>
  <c r="AH226" i="2" s="1"/>
  <c r="AG226" i="2" a="1"/>
  <c r="AG226" i="2" s="1"/>
  <c r="AF226" i="2" a="1"/>
  <c r="AF226" i="2" s="1"/>
  <c r="AE226" i="2" a="1"/>
  <c r="AE226" i="2" s="1"/>
  <c r="AD226" i="2" a="1"/>
  <c r="AD226" i="2" s="1"/>
  <c r="AC226" i="2" a="1"/>
  <c r="AC226" i="2" s="1"/>
  <c r="AA226" i="2" a="1"/>
  <c r="AA226" i="2" s="1"/>
  <c r="Z226" i="2" a="1"/>
  <c r="Z226" i="2" s="1"/>
  <c r="Y226" i="2" a="1"/>
  <c r="Y226" i="2" s="1"/>
  <c r="X226" i="2" a="1"/>
  <c r="X226" i="2" s="1"/>
  <c r="W226" i="2" a="1"/>
  <c r="W226" i="2" s="1"/>
  <c r="V226" i="2" a="1"/>
  <c r="V226" i="2" s="1"/>
  <c r="E226" i="2" s="1" a="1"/>
  <c r="E226" i="2" s="1"/>
  <c r="U226" i="2" a="1"/>
  <c r="U226" i="2" s="1"/>
  <c r="T226" i="2" a="1"/>
  <c r="T226" i="2" s="1"/>
  <c r="S226" i="2" a="1"/>
  <c r="S226" i="2" s="1"/>
  <c r="R226" i="2" a="1"/>
  <c r="R226" i="2" s="1"/>
  <c r="Q226" i="2" a="1"/>
  <c r="Q226" i="2" s="1"/>
  <c r="P226" i="2" a="1"/>
  <c r="P226" i="2" s="1"/>
  <c r="O226" i="2" a="1"/>
  <c r="O226" i="2" s="1"/>
  <c r="N226" i="2" a="1"/>
  <c r="N226" i="2" s="1"/>
  <c r="M226" i="2" a="1"/>
  <c r="M226" i="2" s="1"/>
  <c r="L226" i="2" a="1"/>
  <c r="L226" i="2" s="1"/>
  <c r="K226" i="2" a="1"/>
  <c r="K226" i="2" s="1"/>
  <c r="J226" i="2" a="1"/>
  <c r="J226" i="2" s="1"/>
  <c r="I226" i="2" a="1"/>
  <c r="I226" i="2" s="1"/>
  <c r="H226" i="2" a="1"/>
  <c r="H226" i="2" s="1"/>
  <c r="F226" i="2" a="1"/>
  <c r="F226" i="2" s="1"/>
  <c r="D226" i="2" a="1"/>
  <c r="D226" i="2" s="1"/>
  <c r="B226" i="2" a="1"/>
  <c r="B226" i="2" s="1"/>
  <c r="E213" i="2"/>
  <c r="E214" i="2"/>
  <c r="G213" i="2"/>
  <c r="G214" i="2"/>
  <c r="AJ156" i="2"/>
  <c r="AJ300" i="2" s="1" a="1"/>
  <c r="AJ300" i="2" s="1"/>
  <c r="AJ157" i="2"/>
  <c r="AJ155" i="2"/>
  <c r="AJ313" i="2" s="1" a="1"/>
  <c r="AJ313" i="2" s="1"/>
  <c r="AC235" i="2" a="1"/>
  <c r="AC235" i="2" s="1"/>
  <c r="G89" i="2"/>
  <c r="E89" i="2"/>
  <c r="G88" i="2"/>
  <c r="E88" i="2"/>
  <c r="G87" i="2"/>
  <c r="E87" i="2"/>
  <c r="G86" i="2"/>
  <c r="E86" i="2"/>
  <c r="G85" i="2"/>
  <c r="E85" i="2"/>
  <c r="G84" i="2"/>
  <c r="E84" i="2"/>
  <c r="G83" i="2"/>
  <c r="E83" i="2"/>
  <c r="G82" i="2"/>
  <c r="E82" i="2"/>
  <c r="G81" i="2"/>
  <c r="G720" i="2" s="1" a="1"/>
  <c r="G720" i="2" s="1"/>
  <c r="E81" i="2"/>
  <c r="G69" i="2"/>
  <c r="E69" i="2"/>
  <c r="E70" i="2"/>
  <c r="G70" i="2"/>
  <c r="G652" i="2" s="1" a="1"/>
  <c r="G652" i="2" s="1"/>
  <c r="E71" i="2"/>
  <c r="G71" i="2"/>
  <c r="E72" i="2"/>
  <c r="G72" i="2"/>
  <c r="E73" i="2"/>
  <c r="G73" i="2"/>
  <c r="E74" i="2"/>
  <c r="G74" i="2"/>
  <c r="E75" i="2"/>
  <c r="G75" i="2"/>
  <c r="E76" i="2"/>
  <c r="G76" i="2"/>
  <c r="E77" i="2"/>
  <c r="G77" i="2"/>
  <c r="BB69" i="2"/>
  <c r="BB70" i="2"/>
  <c r="BB71" i="2"/>
  <c r="BB72" i="2"/>
  <c r="BB73" i="2"/>
  <c r="BB74" i="2"/>
  <c r="BB75" i="2"/>
  <c r="BB76" i="2"/>
  <c r="BB77" i="2"/>
  <c r="BB81" i="2"/>
  <c r="BB82" i="2"/>
  <c r="BB83" i="2"/>
  <c r="BB84" i="2"/>
  <c r="BB85" i="2"/>
  <c r="BB86" i="2"/>
  <c r="BB87" i="2"/>
  <c r="BB88" i="2"/>
  <c r="BB89" i="2"/>
  <c r="E24" i="2"/>
  <c r="G24" i="2"/>
  <c r="BB24" i="2"/>
  <c r="E25" i="2"/>
  <c r="G25" i="2"/>
  <c r="BB25" i="2"/>
  <c r="E26" i="2"/>
  <c r="G26" i="2"/>
  <c r="BB26" i="2"/>
  <c r="E127" i="2"/>
  <c r="G127" i="2"/>
  <c r="BB127" i="2"/>
  <c r="E128" i="2"/>
  <c r="G128" i="2"/>
  <c r="BB128" i="2"/>
  <c r="E129" i="2"/>
  <c r="G129" i="2"/>
  <c r="BB129" i="2"/>
  <c r="BB111" i="2"/>
  <c r="G111" i="2"/>
  <c r="E111" i="2"/>
  <c r="BB110" i="2"/>
  <c r="G110" i="2"/>
  <c r="E110" i="2"/>
  <c r="BB109" i="2"/>
  <c r="G109" i="2"/>
  <c r="E109" i="2"/>
  <c r="BB108" i="2"/>
  <c r="G108" i="2"/>
  <c r="E108" i="2"/>
  <c r="BB107" i="2"/>
  <c r="G107" i="2"/>
  <c r="E107" i="2"/>
  <c r="BB106" i="2"/>
  <c r="G106" i="2"/>
  <c r="E106" i="2"/>
  <c r="BB105" i="2"/>
  <c r="G105" i="2"/>
  <c r="G718" i="2" s="1" a="1"/>
  <c r="G718" i="2" s="1"/>
  <c r="E105" i="2"/>
  <c r="BB104" i="2"/>
  <c r="G104" i="2"/>
  <c r="E104" i="2"/>
  <c r="BB103" i="2"/>
  <c r="G103" i="2"/>
  <c r="E103" i="2"/>
  <c r="E78" i="2"/>
  <c r="G78" i="2"/>
  <c r="BB78" i="2"/>
  <c r="E79" i="2"/>
  <c r="G79" i="2"/>
  <c r="BB79" i="2"/>
  <c r="E80" i="2"/>
  <c r="G80" i="2"/>
  <c r="BB80" i="2"/>
  <c r="E16" i="2"/>
  <c r="G16" i="2"/>
  <c r="E15" i="2"/>
  <c r="G15" i="2"/>
  <c r="BB15" i="2"/>
  <c r="BB16" i="2"/>
  <c r="E14" i="2"/>
  <c r="G14" i="2"/>
  <c r="BB14" i="2"/>
  <c r="BB188" i="2"/>
  <c r="G188" i="2"/>
  <c r="E188" i="2"/>
  <c r="BB187" i="2"/>
  <c r="G187" i="2"/>
  <c r="E187" i="2"/>
  <c r="BB186" i="2"/>
  <c r="G186" i="2"/>
  <c r="G632" i="2" s="1" a="1"/>
  <c r="G632" i="2" s="1"/>
  <c r="E186" i="2"/>
  <c r="BB182" i="2"/>
  <c r="G182" i="2"/>
  <c r="E182" i="2"/>
  <c r="BB181" i="2"/>
  <c r="G181" i="2"/>
  <c r="E181" i="2"/>
  <c r="BB180" i="2"/>
  <c r="G180" i="2"/>
  <c r="E180" i="2"/>
  <c r="BB179" i="2"/>
  <c r="G179" i="2"/>
  <c r="E179" i="2"/>
  <c r="BB178" i="2"/>
  <c r="G178" i="2"/>
  <c r="E178" i="2"/>
  <c r="BB177" i="2"/>
  <c r="G177" i="2"/>
  <c r="E177" i="2"/>
  <c r="BB169" i="2"/>
  <c r="G169" i="2"/>
  <c r="E169" i="2"/>
  <c r="BB168" i="2"/>
  <c r="G168" i="2"/>
  <c r="E168" i="2"/>
  <c r="BB167" i="2"/>
  <c r="G167" i="2"/>
  <c r="E167" i="2"/>
  <c r="BB160" i="2"/>
  <c r="G160" i="2"/>
  <c r="E160" i="2"/>
  <c r="BB159" i="2"/>
  <c r="G159" i="2"/>
  <c r="G606" i="2" s="1" a="1"/>
  <c r="G606" i="2" s="1"/>
  <c r="E159" i="2"/>
  <c r="BB158" i="2"/>
  <c r="G158" i="2"/>
  <c r="G685" i="2" s="1" a="1"/>
  <c r="G685" i="2" s="1"/>
  <c r="E158" i="2"/>
  <c r="BB151" i="2"/>
  <c r="G151" i="2"/>
  <c r="E151" i="2"/>
  <c r="BB150" i="2"/>
  <c r="G150" i="2"/>
  <c r="E150" i="2"/>
  <c r="BB149" i="2"/>
  <c r="G149" i="2"/>
  <c r="G700" i="2" s="1" a="1"/>
  <c r="G700" i="2" s="1"/>
  <c r="E149" i="2"/>
  <c r="BB139" i="2"/>
  <c r="G139" i="2"/>
  <c r="E139" i="2"/>
  <c r="BB138" i="2"/>
  <c r="G138" i="2"/>
  <c r="G597" i="2" s="1" a="1"/>
  <c r="G597" i="2" s="1"/>
  <c r="E138" i="2"/>
  <c r="BB137" i="2"/>
  <c r="G137" i="2"/>
  <c r="G665" i="2" s="1" a="1"/>
  <c r="G665" i="2" s="1"/>
  <c r="E137" i="2"/>
  <c r="BB96" i="2"/>
  <c r="G96" i="2"/>
  <c r="E96" i="2"/>
  <c r="BB95" i="2"/>
  <c r="G95" i="2"/>
  <c r="E95" i="2"/>
  <c r="BB94" i="2"/>
  <c r="G94" i="2"/>
  <c r="E94" i="2"/>
  <c r="BB62" i="2"/>
  <c r="G62" i="2"/>
  <c r="G604" i="2" s="1" a="1"/>
  <c r="G604" i="2" s="1"/>
  <c r="E62" i="2"/>
  <c r="BB61" i="2"/>
  <c r="G61" i="2"/>
  <c r="E61" i="2"/>
  <c r="BB60" i="2"/>
  <c r="G60" i="2"/>
  <c r="E60" i="2"/>
  <c r="BB53" i="2"/>
  <c r="G53" i="2"/>
  <c r="E53" i="2"/>
  <c r="BB52" i="2"/>
  <c r="G52" i="2"/>
  <c r="E52" i="2"/>
  <c r="BB51" i="2"/>
  <c r="G51" i="2"/>
  <c r="E51" i="2"/>
  <c r="E42" i="2"/>
  <c r="G42" i="2"/>
  <c r="G702" i="2" s="1" a="1"/>
  <c r="G702" i="2" s="1"/>
  <c r="BB42" i="2"/>
  <c r="E43" i="2"/>
  <c r="G43" i="2"/>
  <c r="G634" i="2" s="1" a="1"/>
  <c r="G634" i="2" s="1"/>
  <c r="BB43" i="2"/>
  <c r="E44" i="2"/>
  <c r="G44" i="2"/>
  <c r="G605" i="2" s="1" a="1"/>
  <c r="G605" i="2" s="1"/>
  <c r="BB44" i="2"/>
  <c r="E200" i="2"/>
  <c r="G200" i="2"/>
  <c r="BB200" i="2"/>
  <c r="E199" i="2"/>
  <c r="G199" i="2"/>
  <c r="BB199" i="2"/>
  <c r="E202" i="2"/>
  <c r="G202" i="2"/>
  <c r="BB202" i="2"/>
  <c r="E201" i="2"/>
  <c r="G201" i="2"/>
  <c r="BB201" i="2"/>
  <c r="G380" i="2" l="1" a="1"/>
  <c r="G380" i="2" s="1"/>
  <c r="G607" i="2" a="1"/>
  <c r="G607" i="2" s="1"/>
  <c r="G608" i="2" a="1"/>
  <c r="G608" i="2" s="1"/>
  <c r="G272" i="2" a="1"/>
  <c r="G272" i="2" s="1"/>
  <c r="G686" i="2" a="1"/>
  <c r="G686" i="2" s="1"/>
  <c r="G639" i="2" a="1"/>
  <c r="G639" i="2" s="1"/>
  <c r="G640" i="2" a="1"/>
  <c r="G640" i="2" s="1"/>
  <c r="G687" i="2" a="1"/>
  <c r="G687" i="2" s="1"/>
  <c r="G409" i="2" a="1"/>
  <c r="G409" i="2" s="1"/>
  <c r="G699" i="2" a="1"/>
  <c r="G699" i="2" s="1"/>
  <c r="G367" i="2" a="1"/>
  <c r="G367" i="2" s="1"/>
  <c r="G396" i="2" a="1"/>
  <c r="G396" i="2" s="1"/>
  <c r="A697" i="2"/>
  <c r="A663" i="2"/>
  <c r="A629" i="2"/>
  <c r="A595" i="2"/>
  <c r="A561" i="2"/>
  <c r="A527" i="2"/>
  <c r="A493" i="2"/>
  <c r="BB219" i="2"/>
  <c r="BA226" i="2" a="1"/>
  <c r="BA226" i="2" s="1"/>
  <c r="AB488" i="2"/>
  <c r="BB218" i="2"/>
  <c r="BA457" i="2" a="1"/>
  <c r="BA457" i="2" s="1"/>
  <c r="BA488" i="2" s="1"/>
  <c r="AJ435" i="2" a="1"/>
  <c r="AJ435" i="2" s="1"/>
  <c r="AJ454" i="2" s="1"/>
  <c r="AJ469" i="2" a="1"/>
  <c r="AJ469" i="2" s="1"/>
  <c r="AJ488" i="2" s="1"/>
  <c r="BB423" i="2" a="1"/>
  <c r="BB423" i="2" s="1"/>
  <c r="BB454" i="2" s="1"/>
  <c r="B455" i="2" s="1"/>
  <c r="G423" i="2" a="1"/>
  <c r="G423" i="2" s="1"/>
  <c r="AJ401" i="2" a="1"/>
  <c r="AJ401" i="2" s="1"/>
  <c r="BB457" i="2" a="1"/>
  <c r="BB457" i="2" s="1"/>
  <c r="BB488" i="2" s="1"/>
  <c r="B489" i="2" s="1"/>
  <c r="BB356" i="2" a="1"/>
  <c r="BB356" i="2" s="1"/>
  <c r="BB386" i="2" s="1"/>
  <c r="B387" i="2" s="1"/>
  <c r="G457" i="2" a="1"/>
  <c r="G457" i="2" s="1"/>
  <c r="AA488" i="2"/>
  <c r="AC488" i="2"/>
  <c r="AD488" i="2"/>
  <c r="AR488" i="2"/>
  <c r="AT488" i="2"/>
  <c r="AE488" i="2"/>
  <c r="AU488" i="2"/>
  <c r="J488" i="2"/>
  <c r="Y488" i="2"/>
  <c r="AL488" i="2"/>
  <c r="L488" i="2"/>
  <c r="AM488" i="2"/>
  <c r="AN488" i="2"/>
  <c r="AF488" i="2"/>
  <c r="AG488" i="2"/>
  <c r="AS488" i="2"/>
  <c r="E488" i="2"/>
  <c r="AV488" i="2"/>
  <c r="H488" i="2"/>
  <c r="I488" i="2"/>
  <c r="AK488" i="2"/>
  <c r="K488" i="2"/>
  <c r="AO488" i="2"/>
  <c r="AW488" i="2"/>
  <c r="Z488" i="2"/>
  <c r="AH488" i="2"/>
  <c r="AP488" i="2"/>
  <c r="AX488" i="2"/>
  <c r="AI488" i="2"/>
  <c r="AQ488" i="2"/>
  <c r="AY488" i="2"/>
  <c r="AB454" i="2"/>
  <c r="AM454" i="2"/>
  <c r="AQ454" i="2"/>
  <c r="AR454" i="2"/>
  <c r="I454" i="2"/>
  <c r="AS454" i="2"/>
  <c r="K454" i="2"/>
  <c r="AK454" i="2"/>
  <c r="L454" i="2"/>
  <c r="Y454" i="2"/>
  <c r="Z454" i="2"/>
  <c r="AC454" i="2"/>
  <c r="AO454" i="2"/>
  <c r="AG454" i="2"/>
  <c r="H454" i="2"/>
  <c r="AH454" i="2"/>
  <c r="E454" i="2"/>
  <c r="AI454" i="2"/>
  <c r="J454" i="2"/>
  <c r="AV454" i="2"/>
  <c r="AW454" i="2"/>
  <c r="AX454" i="2"/>
  <c r="AF454" i="2"/>
  <c r="AY454" i="2"/>
  <c r="AA454" i="2"/>
  <c r="BA454" i="2"/>
  <c r="AN454" i="2"/>
  <c r="AP454" i="2"/>
  <c r="AU454" i="2"/>
  <c r="AD454" i="2"/>
  <c r="AL454" i="2"/>
  <c r="AT454" i="2"/>
  <c r="AE454" i="2"/>
  <c r="BB389" i="2" a="1"/>
  <c r="BB389" i="2" s="1"/>
  <c r="BB420" i="2" s="1"/>
  <c r="B421" i="2" s="1"/>
  <c r="AJ409" i="2" a="1"/>
  <c r="AJ409" i="2" s="1"/>
  <c r="G356" i="2" a="1"/>
  <c r="G356" i="2" s="1"/>
  <c r="G389" i="2" a="1"/>
  <c r="G389" i="2" s="1"/>
  <c r="AB420" i="2"/>
  <c r="AS386" i="2"/>
  <c r="AM420" i="2"/>
  <c r="AO420" i="2"/>
  <c r="AC420" i="2"/>
  <c r="AP420" i="2"/>
  <c r="AA420" i="2"/>
  <c r="AD420" i="2"/>
  <c r="AR420" i="2"/>
  <c r="AH420" i="2"/>
  <c r="AI420" i="2"/>
  <c r="H420" i="2"/>
  <c r="AK420" i="2"/>
  <c r="I420" i="2"/>
  <c r="J420" i="2"/>
  <c r="Y420" i="2"/>
  <c r="AN420" i="2"/>
  <c r="AF420" i="2"/>
  <c r="AG420" i="2"/>
  <c r="E420" i="2"/>
  <c r="K420" i="2"/>
  <c r="AW420" i="2"/>
  <c r="L420" i="2"/>
  <c r="Z420" i="2"/>
  <c r="AX420" i="2"/>
  <c r="AQ420" i="2"/>
  <c r="AY420" i="2"/>
  <c r="AS420" i="2"/>
  <c r="BA420" i="2"/>
  <c r="AL420" i="2"/>
  <c r="AT420" i="2"/>
  <c r="AE420" i="2"/>
  <c r="AU420" i="2"/>
  <c r="AV420" i="2"/>
  <c r="AJ379" i="2" a="1"/>
  <c r="AJ379" i="2" s="1"/>
  <c r="AJ386" i="2" s="1"/>
  <c r="G323" i="2" a="1"/>
  <c r="G323" i="2" s="1"/>
  <c r="BB226" i="2" a="1"/>
  <c r="BB226" i="2" s="1"/>
  <c r="AJ346" i="2" a="1"/>
  <c r="AJ346" i="2" s="1"/>
  <c r="AJ353" i="2" s="1"/>
  <c r="AN386" i="2"/>
  <c r="H386" i="2"/>
  <c r="AD386" i="2"/>
  <c r="J386" i="2"/>
  <c r="AP386" i="2"/>
  <c r="K386" i="2"/>
  <c r="AF386" i="2"/>
  <c r="AQ386" i="2"/>
  <c r="AO386" i="2"/>
  <c r="AV386" i="2"/>
  <c r="AL386" i="2"/>
  <c r="I386" i="2"/>
  <c r="AY386" i="2"/>
  <c r="E386" i="2"/>
  <c r="L386" i="2"/>
  <c r="AH386" i="2"/>
  <c r="AI386" i="2"/>
  <c r="AT386" i="2"/>
  <c r="Y386" i="2"/>
  <c r="Z386" i="2"/>
  <c r="AA386" i="2"/>
  <c r="AM386" i="2"/>
  <c r="AX386" i="2"/>
  <c r="AB386" i="2"/>
  <c r="AR386" i="2"/>
  <c r="BA386" i="2"/>
  <c r="AE386" i="2"/>
  <c r="AU386" i="2"/>
  <c r="AG386" i="2"/>
  <c r="AW386" i="2"/>
  <c r="AK386" i="2"/>
  <c r="AC386" i="2"/>
  <c r="AA353" i="2"/>
  <c r="AY353" i="2"/>
  <c r="AV353" i="2"/>
  <c r="Y353" i="2"/>
  <c r="AM353" i="2"/>
  <c r="AN353" i="2"/>
  <c r="AL353" i="2"/>
  <c r="AP353" i="2"/>
  <c r="AC353" i="2"/>
  <c r="AD353" i="2"/>
  <c r="AE353" i="2"/>
  <c r="AF353" i="2"/>
  <c r="AG353" i="2"/>
  <c r="H353" i="2"/>
  <c r="AH353" i="2"/>
  <c r="Z353" i="2"/>
  <c r="I353" i="2"/>
  <c r="J353" i="2"/>
  <c r="AK353" i="2"/>
  <c r="AX353" i="2"/>
  <c r="AO353" i="2"/>
  <c r="E353" i="2"/>
  <c r="BB353" i="2"/>
  <c r="B354" i="2" s="1"/>
  <c r="AU353" i="2"/>
  <c r="K353" i="2"/>
  <c r="AB353" i="2"/>
  <c r="AS353" i="2"/>
  <c r="BA353" i="2"/>
  <c r="AT353" i="2"/>
  <c r="AQ353" i="2"/>
  <c r="L353" i="2"/>
  <c r="AR353" i="2"/>
  <c r="AI353" i="2"/>
  <c r="AW353" i="2"/>
  <c r="BA259" i="2" a="1"/>
  <c r="BA259" i="2" s="1"/>
  <c r="BA287" i="2" s="1"/>
  <c r="AB320" i="2"/>
  <c r="BB259" i="2" a="1"/>
  <c r="BB259" i="2" s="1"/>
  <c r="BB287" i="2" s="1"/>
  <c r="B288" i="2" s="1"/>
  <c r="BB290" i="2" a="1"/>
  <c r="BB290" i="2" s="1"/>
  <c r="BB320" i="2" s="1"/>
  <c r="B321" i="2" s="1"/>
  <c r="G290" i="2" a="1"/>
  <c r="G290" i="2" s="1"/>
  <c r="BA290" i="2" a="1"/>
  <c r="BA290" i="2" s="1"/>
  <c r="BA320" i="2" s="1"/>
  <c r="AJ267" i="2" a="1"/>
  <c r="AJ267" i="2" s="1"/>
  <c r="AJ287" i="2" s="1"/>
  <c r="E320" i="2"/>
  <c r="AF320" i="2"/>
  <c r="AY320" i="2"/>
  <c r="I320" i="2"/>
  <c r="K320" i="2"/>
  <c r="AP320" i="2"/>
  <c r="Y320" i="2"/>
  <c r="AA320" i="2"/>
  <c r="AG320" i="2"/>
  <c r="H320" i="2"/>
  <c r="AE320" i="2"/>
  <c r="AX320" i="2"/>
  <c r="J320" i="2"/>
  <c r="L320" i="2"/>
  <c r="AQ320" i="2"/>
  <c r="AH320" i="2"/>
  <c r="AR320" i="2"/>
  <c r="AO320" i="2"/>
  <c r="AI320" i="2"/>
  <c r="AS320" i="2"/>
  <c r="AJ320" i="2"/>
  <c r="Z320" i="2"/>
  <c r="AK320" i="2"/>
  <c r="AT320" i="2"/>
  <c r="AU320" i="2"/>
  <c r="AL320" i="2"/>
  <c r="AC320" i="2"/>
  <c r="AM320" i="2"/>
  <c r="AV320" i="2"/>
  <c r="AD320" i="2"/>
  <c r="AN320" i="2"/>
  <c r="AW320" i="2"/>
  <c r="AB256" i="2"/>
  <c r="AB287" i="2"/>
  <c r="G259" i="2" a="1"/>
  <c r="G259" i="2" s="1"/>
  <c r="AE287" i="2"/>
  <c r="AG287" i="2"/>
  <c r="K287" i="2"/>
  <c r="AH287" i="2"/>
  <c r="AV287" i="2"/>
  <c r="L287" i="2"/>
  <c r="AX287" i="2"/>
  <c r="AF287" i="2"/>
  <c r="AY287" i="2"/>
  <c r="AS287" i="2"/>
  <c r="AN287" i="2"/>
  <c r="Z287" i="2"/>
  <c r="AW287" i="2"/>
  <c r="E287" i="2"/>
  <c r="AK287" i="2"/>
  <c r="J287" i="2"/>
  <c r="AM287" i="2"/>
  <c r="AP287" i="2"/>
  <c r="AA287" i="2"/>
  <c r="AQ287" i="2"/>
  <c r="AO287" i="2"/>
  <c r="AC287" i="2"/>
  <c r="AI287" i="2"/>
  <c r="AL287" i="2"/>
  <c r="AU287" i="2"/>
  <c r="AD287" i="2"/>
  <c r="AT287" i="2"/>
  <c r="H287" i="2"/>
  <c r="I287" i="2"/>
  <c r="Y287" i="2"/>
  <c r="AR287" i="2"/>
  <c r="AY256" i="2"/>
  <c r="AX256" i="2"/>
  <c r="AW256" i="2"/>
  <c r="AV256" i="2"/>
  <c r="G226" i="2" a="1"/>
  <c r="G226" i="2" s="1"/>
  <c r="E112" i="2"/>
  <c r="G112" i="2"/>
  <c r="BB112" i="2"/>
  <c r="E176" i="2"/>
  <c r="G176" i="2"/>
  <c r="BB176" i="2"/>
  <c r="E13" i="2"/>
  <c r="G13" i="2"/>
  <c r="BB13" i="2"/>
  <c r="E12" i="2"/>
  <c r="G12" i="2"/>
  <c r="BB12" i="2"/>
  <c r="E11" i="2"/>
  <c r="G11" i="2"/>
  <c r="BB11" i="2"/>
  <c r="BB5" i="2"/>
  <c r="BB6" i="2"/>
  <c r="BB7" i="2"/>
  <c r="BB8" i="2"/>
  <c r="BB9" i="2"/>
  <c r="BB10" i="2"/>
  <c r="BB17" i="2"/>
  <c r="BB18" i="2"/>
  <c r="BB19" i="2"/>
  <c r="BB20" i="2"/>
  <c r="BB36" i="2"/>
  <c r="BB37" i="2"/>
  <c r="BB38" i="2"/>
  <c r="BB39" i="2"/>
  <c r="BB41" i="2"/>
  <c r="BB40" i="2"/>
  <c r="BB45" i="2"/>
  <c r="BB46" i="2"/>
  <c r="BB47" i="2"/>
  <c r="BB48" i="2"/>
  <c r="BB49" i="2"/>
  <c r="BB50" i="2"/>
  <c r="BB54" i="2"/>
  <c r="BB55" i="2"/>
  <c r="BB56" i="2"/>
  <c r="BB57" i="2"/>
  <c r="BB58" i="2"/>
  <c r="BB59" i="2"/>
  <c r="BB63" i="2"/>
  <c r="BB64" i="2"/>
  <c r="BB65" i="2"/>
  <c r="BB66" i="2"/>
  <c r="BB67" i="2"/>
  <c r="BB68" i="2"/>
  <c r="BB90" i="2"/>
  <c r="BB91" i="2"/>
  <c r="BB92" i="2"/>
  <c r="BB93" i="2"/>
  <c r="BB97" i="2"/>
  <c r="BB98" i="2"/>
  <c r="BB99" i="2"/>
  <c r="BB100" i="2"/>
  <c r="BB101" i="2"/>
  <c r="BB102" i="2"/>
  <c r="BB113" i="2"/>
  <c r="BB114" i="2"/>
  <c r="BB115" i="2"/>
  <c r="BB116" i="2"/>
  <c r="BB117" i="2"/>
  <c r="BB118" i="2"/>
  <c r="BB119" i="2"/>
  <c r="BB120" i="2"/>
  <c r="BB121" i="2"/>
  <c r="BB122" i="2"/>
  <c r="BB123" i="2"/>
  <c r="BB124" i="2"/>
  <c r="BB125" i="2"/>
  <c r="BB126" i="2"/>
  <c r="BB130" i="2"/>
  <c r="BB131" i="2"/>
  <c r="BB132" i="2"/>
  <c r="BB133" i="2"/>
  <c r="BB134" i="2"/>
  <c r="BB135" i="2"/>
  <c r="BB136" i="2"/>
  <c r="BB140" i="2"/>
  <c r="BB141" i="2"/>
  <c r="BB142" i="2"/>
  <c r="BB143" i="2"/>
  <c r="BB144" i="2"/>
  <c r="BB145" i="2"/>
  <c r="BB146" i="2"/>
  <c r="BB147" i="2"/>
  <c r="BB148" i="2"/>
  <c r="BB152" i="2"/>
  <c r="BB153" i="2"/>
  <c r="BB154" i="2"/>
  <c r="BB155" i="2"/>
  <c r="BB156" i="2"/>
  <c r="BB157" i="2"/>
  <c r="BB161" i="2"/>
  <c r="BB162" i="2"/>
  <c r="BB163" i="2"/>
  <c r="BB164" i="2"/>
  <c r="BB165" i="2"/>
  <c r="BB166" i="2"/>
  <c r="BB170" i="2"/>
  <c r="BB171" i="2"/>
  <c r="BB172" i="2"/>
  <c r="BB173" i="2"/>
  <c r="BB174" i="2"/>
  <c r="BB175" i="2"/>
  <c r="BB183" i="2"/>
  <c r="BB184" i="2"/>
  <c r="BB185" i="2"/>
  <c r="BB189" i="2"/>
  <c r="BB190" i="2"/>
  <c r="BB191" i="2"/>
  <c r="BB192" i="2"/>
  <c r="BB193" i="2"/>
  <c r="BB194" i="2"/>
  <c r="BB195" i="2"/>
  <c r="BB196" i="2"/>
  <c r="BB197" i="2"/>
  <c r="BB198" i="2"/>
  <c r="BB3" i="2"/>
  <c r="E189" i="2"/>
  <c r="G189" i="2"/>
  <c r="G542" i="2" s="1" a="1"/>
  <c r="G542" i="2" s="1"/>
  <c r="E172" i="2"/>
  <c r="G172" i="2"/>
  <c r="E170" i="2"/>
  <c r="G170" i="2"/>
  <c r="E125" i="2"/>
  <c r="G125" i="2"/>
  <c r="E126" i="2"/>
  <c r="G126" i="2"/>
  <c r="E124" i="2"/>
  <c r="G124" i="2"/>
  <c r="E90" i="2"/>
  <c r="G90" i="2"/>
  <c r="E39" i="2"/>
  <c r="G39" i="2"/>
  <c r="G268" i="2" s="1" a="1"/>
  <c r="G268" i="2" s="1"/>
  <c r="E40" i="2"/>
  <c r="G40" i="2"/>
  <c r="E41" i="2"/>
  <c r="G41" i="2"/>
  <c r="G301" i="2" l="1" a="1"/>
  <c r="G301" i="2" s="1"/>
  <c r="G471" i="2" a="1"/>
  <c r="G471" i="2" s="1"/>
  <c r="G430" i="2" a="1"/>
  <c r="G430" i="2" s="1"/>
  <c r="G334" i="2" a="1"/>
  <c r="G334" i="2" s="1"/>
  <c r="A459" i="2"/>
  <c r="AJ420" i="2"/>
  <c r="A425" i="2"/>
  <c r="A391" i="2"/>
  <c r="A325" i="2"/>
  <c r="A358" i="2"/>
  <c r="A292" i="2"/>
  <c r="A261" i="2"/>
  <c r="E152" i="2"/>
  <c r="G152" i="2"/>
  <c r="E153" i="2"/>
  <c r="G153" i="2"/>
  <c r="E154" i="2"/>
  <c r="G154" i="2"/>
  <c r="E55" i="2"/>
  <c r="G55" i="2"/>
  <c r="G483" i="2" s="1" a="1"/>
  <c r="G483" i="2" s="1"/>
  <c r="E56" i="2"/>
  <c r="G56" i="2"/>
  <c r="G99" i="2"/>
  <c r="E97" i="2"/>
  <c r="G97" i="2"/>
  <c r="E45" i="2"/>
  <c r="G45" i="2"/>
  <c r="G484" i="2" s="1" a="1"/>
  <c r="G484" i="2" s="1"/>
  <c r="E47" i="2"/>
  <c r="G47" i="2"/>
  <c r="B1" i="2"/>
  <c r="C1" i="2"/>
  <c r="D1" i="2"/>
  <c r="E1" i="2"/>
  <c r="F1" i="2"/>
  <c r="G1" i="2"/>
  <c r="H1" i="2"/>
  <c r="I1" i="2"/>
  <c r="J1" i="2"/>
  <c r="K1" i="2"/>
  <c r="L1" i="2"/>
  <c r="M1" i="2"/>
  <c r="N1" i="2"/>
  <c r="O1" i="2"/>
  <c r="P1" i="2"/>
  <c r="Q1" i="2"/>
  <c r="R1" i="2"/>
  <c r="S1" i="2"/>
  <c r="T1" i="2"/>
  <c r="U1" i="2"/>
  <c r="V1" i="2"/>
  <c r="W1" i="2"/>
  <c r="X1" i="2"/>
  <c r="Y1" i="2"/>
  <c r="Z1" i="2"/>
  <c r="AA1" i="2"/>
  <c r="AC1" i="2"/>
  <c r="AD1" i="2"/>
  <c r="AE1" i="2"/>
  <c r="AF1" i="2"/>
  <c r="AG1" i="2"/>
  <c r="AH1" i="2"/>
  <c r="AI1" i="2"/>
  <c r="AJ1" i="2"/>
  <c r="AK1" i="2"/>
  <c r="AL1" i="2"/>
  <c r="AM1" i="2"/>
  <c r="AN1" i="2"/>
  <c r="AO1" i="2"/>
  <c r="AP1" i="2"/>
  <c r="AQ1" i="2"/>
  <c r="AR1" i="2"/>
  <c r="AS1" i="2"/>
  <c r="AT1" i="2"/>
  <c r="AZ1" i="2"/>
  <c r="BA1" i="2"/>
  <c r="BB1" i="2"/>
  <c r="BC1" i="2"/>
  <c r="BD1" i="2"/>
  <c r="A1" i="2"/>
  <c r="B242" i="2" a="1"/>
  <c r="B242" i="2" s="1"/>
  <c r="B241" i="2" a="1"/>
  <c r="B241" i="2" s="1"/>
  <c r="B249" i="2" a="1"/>
  <c r="B249" i="2" s="1"/>
  <c r="G3" i="2"/>
  <c r="G140" i="2"/>
  <c r="G529" i="2" s="1" a="1"/>
  <c r="G529" i="2" s="1"/>
  <c r="G141" i="2"/>
  <c r="G142" i="2"/>
  <c r="G143" i="2"/>
  <c r="G144" i="2"/>
  <c r="G145" i="2"/>
  <c r="G360" i="2" s="1" a="1"/>
  <c r="G360" i="2" s="1"/>
  <c r="G146" i="2"/>
  <c r="G147" i="2"/>
  <c r="G148" i="2"/>
  <c r="G91" i="2"/>
  <c r="G92" i="2"/>
  <c r="G93" i="2"/>
  <c r="G36" i="2"/>
  <c r="G404" i="2" s="1" a="1"/>
  <c r="G404" i="2" s="1"/>
  <c r="G37" i="2"/>
  <c r="G38" i="2"/>
  <c r="G17" i="2"/>
  <c r="G18" i="2"/>
  <c r="G371" i="2" s="1" a="1"/>
  <c r="G371" i="2" s="1"/>
  <c r="G19" i="2"/>
  <c r="G68" i="2"/>
  <c r="G428" i="2" s="1" a="1"/>
  <c r="G428" i="2" s="1"/>
  <c r="G67" i="2"/>
  <c r="G66" i="2"/>
  <c r="G121" i="2"/>
  <c r="G122" i="2"/>
  <c r="G274" i="2" s="1" a="1"/>
  <c r="G274" i="2" s="1"/>
  <c r="G123" i="2"/>
  <c r="G173" i="2"/>
  <c r="G439" i="2" s="1" a="1"/>
  <c r="G439" i="2" s="1"/>
  <c r="G174" i="2"/>
  <c r="G175" i="2"/>
  <c r="G336" i="2" s="1" a="1"/>
  <c r="G336" i="2" s="1"/>
  <c r="G100" i="2"/>
  <c r="G269" i="2" s="1" a="1"/>
  <c r="G269" i="2" s="1"/>
  <c r="G101" i="2"/>
  <c r="G102" i="2"/>
  <c r="G315" i="2" s="1" a="1"/>
  <c r="G315" i="2" s="1"/>
  <c r="G48" i="2"/>
  <c r="G49" i="2"/>
  <c r="G50" i="2"/>
  <c r="G183" i="2"/>
  <c r="G184" i="2"/>
  <c r="G185" i="2"/>
  <c r="G155" i="2"/>
  <c r="G156" i="2"/>
  <c r="G157" i="2"/>
  <c r="G192" i="2"/>
  <c r="G276" i="2" s="1" a="1"/>
  <c r="G276" i="2" s="1"/>
  <c r="G193" i="2"/>
  <c r="G434" i="2" s="1" a="1"/>
  <c r="G434" i="2" s="1"/>
  <c r="G194" i="2"/>
  <c r="G400" i="2" s="1" a="1"/>
  <c r="G400" i="2" s="1"/>
  <c r="G113" i="2"/>
  <c r="G114" i="2"/>
  <c r="G115" i="2"/>
  <c r="G164" i="2"/>
  <c r="G165" i="2"/>
  <c r="G166" i="2"/>
  <c r="G57" i="2"/>
  <c r="G270" i="2" s="1" a="1"/>
  <c r="G270" i="2" s="1"/>
  <c r="G58" i="2"/>
  <c r="G59" i="2"/>
  <c r="G195" i="2"/>
  <c r="G196" i="2"/>
  <c r="G197" i="2"/>
  <c r="G198" i="2"/>
  <c r="G130" i="2"/>
  <c r="G598" i="2" s="1" a="1"/>
  <c r="G598" i="2" s="1"/>
  <c r="G131" i="2"/>
  <c r="G132" i="2"/>
  <c r="G133" i="2"/>
  <c r="G5" i="2"/>
  <c r="G6" i="2"/>
  <c r="G7" i="2"/>
  <c r="G8" i="2"/>
  <c r="G134" i="2"/>
  <c r="G135" i="2"/>
  <c r="G136" i="2"/>
  <c r="G65" i="2"/>
  <c r="G468" i="2" s="1" a="1"/>
  <c r="G468" i="2" s="1"/>
  <c r="G64" i="2"/>
  <c r="G63" i="2"/>
  <c r="G118" i="2"/>
  <c r="G119" i="2"/>
  <c r="G120" i="2"/>
  <c r="G576" i="2" s="1" a="1"/>
  <c r="G576" i="2" s="1"/>
  <c r="G161" i="2"/>
  <c r="G162" i="2"/>
  <c r="G163" i="2"/>
  <c r="G539" i="2" s="1" a="1"/>
  <c r="G539" i="2" s="1"/>
  <c r="G54" i="2"/>
  <c r="G541" i="2" s="1" a="1"/>
  <c r="G541" i="2" s="1"/>
  <c r="G190" i="2"/>
  <c r="G564" i="2" s="1" a="1"/>
  <c r="G564" i="2" s="1"/>
  <c r="G191" i="2"/>
  <c r="G497" i="2" s="1" a="1"/>
  <c r="G497" i="2" s="1"/>
  <c r="G98" i="2"/>
  <c r="G171" i="2"/>
  <c r="G46" i="2"/>
  <c r="G9" i="2"/>
  <c r="G582" i="2" s="1" a="1"/>
  <c r="G582" i="2" s="1"/>
  <c r="G116" i="2"/>
  <c r="G10" i="2"/>
  <c r="G446" i="2" s="1" a="1"/>
  <c r="G446" i="2" s="1"/>
  <c r="G117" i="2"/>
  <c r="G20" i="2"/>
  <c r="H231" i="2" a="1"/>
  <c r="H231" i="2" s="1"/>
  <c r="I231" i="2" a="1"/>
  <c r="I231" i="2" s="1"/>
  <c r="J231" i="2" a="1"/>
  <c r="J231" i="2" s="1"/>
  <c r="K231" i="2" a="1"/>
  <c r="K231" i="2" s="1"/>
  <c r="L231" i="2" a="1"/>
  <c r="L231" i="2" s="1"/>
  <c r="M231" i="2" a="1"/>
  <c r="M231" i="2" s="1"/>
  <c r="N231" i="2" a="1"/>
  <c r="N231" i="2" s="1"/>
  <c r="O231" i="2" a="1"/>
  <c r="O231" i="2" s="1"/>
  <c r="P231" i="2" a="1"/>
  <c r="P231" i="2" s="1"/>
  <c r="Q231" i="2" a="1"/>
  <c r="Q231" i="2" s="1"/>
  <c r="R231" i="2" a="1"/>
  <c r="R231" i="2" s="1"/>
  <c r="S231" i="2" a="1"/>
  <c r="S231" i="2" s="1"/>
  <c r="T231" i="2" a="1"/>
  <c r="T231" i="2" s="1"/>
  <c r="U231" i="2" a="1"/>
  <c r="U231" i="2" s="1"/>
  <c r="V231" i="2" a="1"/>
  <c r="V231" i="2" s="1"/>
  <c r="E231" i="2" s="1" a="1"/>
  <c r="E231" i="2" s="1"/>
  <c r="W231" i="2" a="1"/>
  <c r="W231" i="2" s="1"/>
  <c r="BB231" i="2" s="1" a="1"/>
  <c r="BB231" i="2" s="1"/>
  <c r="X231" i="2" a="1"/>
  <c r="X231" i="2" s="1"/>
  <c r="Y231" i="2" a="1"/>
  <c r="Y231" i="2" s="1"/>
  <c r="Z231" i="2" a="1"/>
  <c r="Z231" i="2" s="1"/>
  <c r="AC231" i="2" a="1"/>
  <c r="AC231" i="2" s="1"/>
  <c r="AD231" i="2" a="1"/>
  <c r="AD231" i="2" s="1"/>
  <c r="AE231" i="2" a="1"/>
  <c r="AE231" i="2" s="1"/>
  <c r="AF231" i="2" a="1"/>
  <c r="AF231" i="2" s="1"/>
  <c r="AG231" i="2" a="1"/>
  <c r="AG231" i="2" s="1"/>
  <c r="AH231" i="2" a="1"/>
  <c r="AH231" i="2" s="1"/>
  <c r="AI231" i="2" a="1"/>
  <c r="AI231" i="2" s="1"/>
  <c r="AJ231" i="2" a="1"/>
  <c r="AJ231" i="2" s="1"/>
  <c r="AK231" i="2" a="1"/>
  <c r="AK231" i="2" s="1"/>
  <c r="AL231" i="2" a="1"/>
  <c r="AL231" i="2" s="1"/>
  <c r="AM231" i="2" a="1"/>
  <c r="AM231" i="2" s="1"/>
  <c r="AN231" i="2" a="1"/>
  <c r="AN231" i="2" s="1"/>
  <c r="AO231" i="2" a="1"/>
  <c r="AO231" i="2" s="1"/>
  <c r="AP231" i="2" a="1"/>
  <c r="AP231" i="2" s="1"/>
  <c r="AQ231" i="2" a="1"/>
  <c r="AQ231" i="2" s="1"/>
  <c r="AR231" i="2" a="1"/>
  <c r="AR231" i="2" s="1"/>
  <c r="AS231" i="2" a="1"/>
  <c r="AS231" i="2" s="1"/>
  <c r="AT231" i="2" a="1"/>
  <c r="AT231" i="2" s="1"/>
  <c r="AU231" i="2" a="1"/>
  <c r="AU231" i="2" s="1"/>
  <c r="AZ231" i="2" a="1"/>
  <c r="AZ231" i="2" s="1"/>
  <c r="BA231" i="2" a="1"/>
  <c r="BA231" i="2" s="1"/>
  <c r="BC231" i="2" a="1"/>
  <c r="BC231" i="2" s="1"/>
  <c r="BD231" i="2" a="1"/>
  <c r="BD231" i="2" s="1"/>
  <c r="F232" i="2" a="1"/>
  <c r="F232" i="2" s="1"/>
  <c r="H232" i="2" a="1"/>
  <c r="H232" i="2" s="1"/>
  <c r="I232" i="2" a="1"/>
  <c r="I232" i="2" s="1"/>
  <c r="J232" i="2" a="1"/>
  <c r="J232" i="2" s="1"/>
  <c r="K232" i="2" a="1"/>
  <c r="K232" i="2" s="1"/>
  <c r="L232" i="2" a="1"/>
  <c r="L232" i="2" s="1"/>
  <c r="M232" i="2" a="1"/>
  <c r="M232" i="2" s="1"/>
  <c r="N232" i="2" a="1"/>
  <c r="N232" i="2" s="1"/>
  <c r="O232" i="2" a="1"/>
  <c r="O232" i="2" s="1"/>
  <c r="P232" i="2" a="1"/>
  <c r="P232" i="2" s="1"/>
  <c r="Q232" i="2" a="1"/>
  <c r="Q232" i="2" s="1"/>
  <c r="R232" i="2" a="1"/>
  <c r="R232" i="2" s="1"/>
  <c r="S232" i="2" a="1"/>
  <c r="S232" i="2" s="1"/>
  <c r="T232" i="2" a="1"/>
  <c r="T232" i="2" s="1"/>
  <c r="U232" i="2" a="1"/>
  <c r="U232" i="2" s="1"/>
  <c r="V232" i="2" a="1"/>
  <c r="V232" i="2" s="1"/>
  <c r="E232" i="2" s="1" a="1"/>
  <c r="E232" i="2" s="1"/>
  <c r="W232" i="2" a="1"/>
  <c r="W232" i="2" s="1"/>
  <c r="BB232" i="2" s="1" a="1"/>
  <c r="BB232" i="2" s="1"/>
  <c r="X232" i="2" a="1"/>
  <c r="X232" i="2" s="1"/>
  <c r="G232" i="2" s="1" a="1"/>
  <c r="G232" i="2" s="1"/>
  <c r="Y232" i="2" a="1"/>
  <c r="Y232" i="2" s="1"/>
  <c r="Z232" i="2" a="1"/>
  <c r="Z232" i="2" s="1"/>
  <c r="AC232" i="2" a="1"/>
  <c r="AC232" i="2" s="1"/>
  <c r="AD232" i="2" a="1"/>
  <c r="AD232" i="2" s="1"/>
  <c r="AE232" i="2" a="1"/>
  <c r="AE232" i="2" s="1"/>
  <c r="AF232" i="2" a="1"/>
  <c r="AF232" i="2" s="1"/>
  <c r="AG232" i="2" a="1"/>
  <c r="AG232" i="2" s="1"/>
  <c r="AH232" i="2" a="1"/>
  <c r="AH232" i="2" s="1"/>
  <c r="AI232" i="2" a="1"/>
  <c r="AI232" i="2" s="1"/>
  <c r="AJ232" i="2" a="1"/>
  <c r="AJ232" i="2" s="1"/>
  <c r="AK232" i="2" a="1"/>
  <c r="AK232" i="2" s="1"/>
  <c r="AL232" i="2" a="1"/>
  <c r="AL232" i="2" s="1"/>
  <c r="AM232" i="2" a="1"/>
  <c r="AM232" i="2" s="1"/>
  <c r="AN232" i="2" a="1"/>
  <c r="AN232" i="2" s="1"/>
  <c r="AO232" i="2" a="1"/>
  <c r="AO232" i="2" s="1"/>
  <c r="AP232" i="2" a="1"/>
  <c r="AP232" i="2" s="1"/>
  <c r="AQ232" i="2" a="1"/>
  <c r="AQ232" i="2" s="1"/>
  <c r="AR232" i="2" a="1"/>
  <c r="AR232" i="2" s="1"/>
  <c r="AS232" i="2" a="1"/>
  <c r="AS232" i="2" s="1"/>
  <c r="AT232" i="2" a="1"/>
  <c r="AT232" i="2" s="1"/>
  <c r="AU232" i="2" a="1"/>
  <c r="AU232" i="2" s="1"/>
  <c r="AZ232" i="2" a="1"/>
  <c r="AZ232" i="2" s="1"/>
  <c r="BA232" i="2" a="1"/>
  <c r="BA232" i="2" s="1"/>
  <c r="BC232" i="2" a="1"/>
  <c r="BC232" i="2" s="1"/>
  <c r="BD232" i="2" a="1"/>
  <c r="BD232" i="2" s="1"/>
  <c r="H233" i="2" a="1"/>
  <c r="H233" i="2" s="1"/>
  <c r="I233" i="2" a="1"/>
  <c r="I233" i="2" s="1"/>
  <c r="J233" i="2" a="1"/>
  <c r="J233" i="2" s="1"/>
  <c r="K233" i="2" a="1"/>
  <c r="K233" i="2" s="1"/>
  <c r="L233" i="2" a="1"/>
  <c r="L233" i="2" s="1"/>
  <c r="M233" i="2" a="1"/>
  <c r="M233" i="2" s="1"/>
  <c r="N233" i="2" a="1"/>
  <c r="N233" i="2" s="1"/>
  <c r="O233" i="2" a="1"/>
  <c r="O233" i="2" s="1"/>
  <c r="P233" i="2" a="1"/>
  <c r="P233" i="2" s="1"/>
  <c r="Q233" i="2" a="1"/>
  <c r="Q233" i="2" s="1"/>
  <c r="R233" i="2" a="1"/>
  <c r="R233" i="2" s="1"/>
  <c r="S233" i="2" a="1"/>
  <c r="S233" i="2" s="1"/>
  <c r="T233" i="2" a="1"/>
  <c r="T233" i="2" s="1"/>
  <c r="U233" i="2" a="1"/>
  <c r="U233" i="2" s="1"/>
  <c r="V233" i="2" a="1"/>
  <c r="V233" i="2" s="1"/>
  <c r="E233" i="2" s="1" a="1"/>
  <c r="E233" i="2" s="1"/>
  <c r="W233" i="2" a="1"/>
  <c r="W233" i="2" s="1"/>
  <c r="BB233" i="2" s="1" a="1"/>
  <c r="BB233" i="2" s="1"/>
  <c r="X233" i="2" a="1"/>
  <c r="X233" i="2" s="1"/>
  <c r="G233" i="2" s="1" a="1"/>
  <c r="G233" i="2" s="1"/>
  <c r="Y233" i="2" a="1"/>
  <c r="Y233" i="2" s="1"/>
  <c r="Z233" i="2" a="1"/>
  <c r="Z233" i="2" s="1"/>
  <c r="AC233" i="2" a="1"/>
  <c r="AC233" i="2" s="1"/>
  <c r="AD233" i="2" a="1"/>
  <c r="AD233" i="2" s="1"/>
  <c r="AE233" i="2" a="1"/>
  <c r="AE233" i="2" s="1"/>
  <c r="AF233" i="2" a="1"/>
  <c r="AF233" i="2" s="1"/>
  <c r="AG233" i="2" a="1"/>
  <c r="AG233" i="2" s="1"/>
  <c r="AH233" i="2" a="1"/>
  <c r="AH233" i="2" s="1"/>
  <c r="AI233" i="2" a="1"/>
  <c r="AI233" i="2" s="1"/>
  <c r="AJ233" i="2" a="1"/>
  <c r="AJ233" i="2" s="1"/>
  <c r="AK233" i="2" a="1"/>
  <c r="AK233" i="2" s="1"/>
  <c r="AL233" i="2" a="1"/>
  <c r="AL233" i="2" s="1"/>
  <c r="AM233" i="2" a="1"/>
  <c r="AM233" i="2" s="1"/>
  <c r="AN233" i="2" a="1"/>
  <c r="AN233" i="2" s="1"/>
  <c r="AO233" i="2" a="1"/>
  <c r="AO233" i="2" s="1"/>
  <c r="AP233" i="2" a="1"/>
  <c r="AP233" i="2" s="1"/>
  <c r="AQ233" i="2" a="1"/>
  <c r="AQ233" i="2" s="1"/>
  <c r="AR233" i="2" a="1"/>
  <c r="AR233" i="2" s="1"/>
  <c r="AS233" i="2" a="1"/>
  <c r="AS233" i="2" s="1"/>
  <c r="AT233" i="2" a="1"/>
  <c r="AT233" i="2" s="1"/>
  <c r="AU233" i="2" a="1"/>
  <c r="AU233" i="2" s="1"/>
  <c r="AZ233" i="2" a="1"/>
  <c r="AZ233" i="2" s="1"/>
  <c r="BA233" i="2" a="1"/>
  <c r="BA233" i="2" s="1"/>
  <c r="BC233" i="2" a="1"/>
  <c r="BC233" i="2" s="1"/>
  <c r="BD233" i="2" a="1"/>
  <c r="BD233" i="2" s="1"/>
  <c r="F234" i="2" a="1"/>
  <c r="F234" i="2" s="1"/>
  <c r="H234" i="2" a="1"/>
  <c r="H234" i="2" s="1"/>
  <c r="I234" i="2" a="1"/>
  <c r="I234" i="2" s="1"/>
  <c r="J234" i="2" a="1"/>
  <c r="J234" i="2" s="1"/>
  <c r="K234" i="2" a="1"/>
  <c r="K234" i="2" s="1"/>
  <c r="L234" i="2" a="1"/>
  <c r="L234" i="2" s="1"/>
  <c r="M234" i="2" a="1"/>
  <c r="M234" i="2" s="1"/>
  <c r="N234" i="2" a="1"/>
  <c r="N234" i="2" s="1"/>
  <c r="O234" i="2" a="1"/>
  <c r="O234" i="2" s="1"/>
  <c r="P234" i="2" a="1"/>
  <c r="P234" i="2" s="1"/>
  <c r="Q234" i="2" a="1"/>
  <c r="Q234" i="2" s="1"/>
  <c r="R234" i="2" a="1"/>
  <c r="R234" i="2" s="1"/>
  <c r="S234" i="2" a="1"/>
  <c r="S234" i="2" s="1"/>
  <c r="T234" i="2" a="1"/>
  <c r="T234" i="2" s="1"/>
  <c r="U234" i="2" a="1"/>
  <c r="U234" i="2" s="1"/>
  <c r="V234" i="2" a="1"/>
  <c r="V234" i="2" s="1"/>
  <c r="E234" i="2" s="1" a="1"/>
  <c r="E234" i="2" s="1"/>
  <c r="W234" i="2" a="1"/>
  <c r="W234" i="2" s="1"/>
  <c r="BB234" i="2" s="1" a="1"/>
  <c r="BB234" i="2" s="1"/>
  <c r="X234" i="2" a="1"/>
  <c r="X234" i="2" s="1"/>
  <c r="G234" i="2" s="1" a="1"/>
  <c r="G234" i="2" s="1"/>
  <c r="Y234" i="2" a="1"/>
  <c r="Y234" i="2" s="1"/>
  <c r="Z234" i="2" a="1"/>
  <c r="Z234" i="2" s="1"/>
  <c r="AC234" i="2" a="1"/>
  <c r="AC234" i="2" s="1"/>
  <c r="AD234" i="2" a="1"/>
  <c r="AD234" i="2" s="1"/>
  <c r="AE234" i="2" a="1"/>
  <c r="AE234" i="2" s="1"/>
  <c r="AF234" i="2" a="1"/>
  <c r="AF234" i="2" s="1"/>
  <c r="AG234" i="2" a="1"/>
  <c r="AG234" i="2" s="1"/>
  <c r="AH234" i="2" a="1"/>
  <c r="AH234" i="2" s="1"/>
  <c r="AI234" i="2" a="1"/>
  <c r="AI234" i="2" s="1"/>
  <c r="AJ234" i="2" a="1"/>
  <c r="AJ234" i="2" s="1"/>
  <c r="AK234" i="2" a="1"/>
  <c r="AK234" i="2" s="1"/>
  <c r="AL234" i="2" a="1"/>
  <c r="AL234" i="2" s="1"/>
  <c r="AM234" i="2" a="1"/>
  <c r="AM234" i="2" s="1"/>
  <c r="AN234" i="2" a="1"/>
  <c r="AN234" i="2" s="1"/>
  <c r="AO234" i="2" a="1"/>
  <c r="AO234" i="2" s="1"/>
  <c r="AP234" i="2" a="1"/>
  <c r="AP234" i="2" s="1"/>
  <c r="AQ234" i="2" a="1"/>
  <c r="AQ234" i="2" s="1"/>
  <c r="AR234" i="2" a="1"/>
  <c r="AR234" i="2" s="1"/>
  <c r="AS234" i="2" a="1"/>
  <c r="AS234" i="2" s="1"/>
  <c r="AT234" i="2" a="1"/>
  <c r="AT234" i="2" s="1"/>
  <c r="AU234" i="2" a="1"/>
  <c r="AU234" i="2" s="1"/>
  <c r="AZ234" i="2" a="1"/>
  <c r="AZ234" i="2" s="1"/>
  <c r="BA234" i="2" a="1"/>
  <c r="BA234" i="2" s="1"/>
  <c r="BC234" i="2" a="1"/>
  <c r="BC234" i="2" s="1"/>
  <c r="BD234" i="2" a="1"/>
  <c r="BD234" i="2" s="1"/>
  <c r="H235" i="2" a="1"/>
  <c r="H235" i="2" s="1"/>
  <c r="I235" i="2" a="1"/>
  <c r="I235" i="2" s="1"/>
  <c r="J235" i="2" a="1"/>
  <c r="J235" i="2" s="1"/>
  <c r="K235" i="2" a="1"/>
  <c r="K235" i="2" s="1"/>
  <c r="L235" i="2" a="1"/>
  <c r="L235" i="2" s="1"/>
  <c r="M235" i="2" a="1"/>
  <c r="M235" i="2" s="1"/>
  <c r="N235" i="2" a="1"/>
  <c r="N235" i="2" s="1"/>
  <c r="O235" i="2" a="1"/>
  <c r="O235" i="2" s="1"/>
  <c r="P235" i="2" a="1"/>
  <c r="P235" i="2" s="1"/>
  <c r="Q235" i="2" a="1"/>
  <c r="Q235" i="2" s="1"/>
  <c r="R235" i="2" a="1"/>
  <c r="R235" i="2" s="1"/>
  <c r="S235" i="2" a="1"/>
  <c r="S235" i="2" s="1"/>
  <c r="T235" i="2" a="1"/>
  <c r="T235" i="2" s="1"/>
  <c r="U235" i="2" a="1"/>
  <c r="U235" i="2" s="1"/>
  <c r="V235" i="2" a="1"/>
  <c r="V235" i="2" s="1"/>
  <c r="E235" i="2" s="1" a="1"/>
  <c r="E235" i="2" s="1"/>
  <c r="W235" i="2" a="1"/>
  <c r="W235" i="2" s="1"/>
  <c r="BB235" i="2" s="1" a="1"/>
  <c r="BB235" i="2" s="1"/>
  <c r="X235" i="2" a="1"/>
  <c r="X235" i="2" s="1"/>
  <c r="G235" i="2" s="1" a="1"/>
  <c r="G235" i="2" s="1"/>
  <c r="Y235" i="2" a="1"/>
  <c r="Y235" i="2" s="1"/>
  <c r="Z235" i="2" a="1"/>
  <c r="Z235" i="2" s="1"/>
  <c r="AD235" i="2" a="1"/>
  <c r="AD235" i="2" s="1"/>
  <c r="AE235" i="2" a="1"/>
  <c r="AE235" i="2" s="1"/>
  <c r="AF235" i="2" a="1"/>
  <c r="AF235" i="2" s="1"/>
  <c r="AG235" i="2" a="1"/>
  <c r="AG235" i="2" s="1"/>
  <c r="AH235" i="2" a="1"/>
  <c r="AH235" i="2" s="1"/>
  <c r="AI235" i="2" a="1"/>
  <c r="AI235" i="2" s="1"/>
  <c r="AJ235" i="2" a="1"/>
  <c r="AJ235" i="2" s="1"/>
  <c r="AK235" i="2" a="1"/>
  <c r="AK235" i="2" s="1"/>
  <c r="AL235" i="2" a="1"/>
  <c r="AL235" i="2" s="1"/>
  <c r="AM235" i="2" a="1"/>
  <c r="AM235" i="2" s="1"/>
  <c r="AN235" i="2" a="1"/>
  <c r="AN235" i="2" s="1"/>
  <c r="AO235" i="2" a="1"/>
  <c r="AO235" i="2" s="1"/>
  <c r="AP235" i="2" a="1"/>
  <c r="AP235" i="2" s="1"/>
  <c r="AQ235" i="2" a="1"/>
  <c r="AQ235" i="2" s="1"/>
  <c r="AR235" i="2" a="1"/>
  <c r="AR235" i="2" s="1"/>
  <c r="AS235" i="2" a="1"/>
  <c r="AS235" i="2" s="1"/>
  <c r="AT235" i="2" a="1"/>
  <c r="AT235" i="2" s="1"/>
  <c r="AU235" i="2" a="1"/>
  <c r="AU235" i="2" s="1"/>
  <c r="AZ235" i="2" a="1"/>
  <c r="AZ235" i="2" s="1"/>
  <c r="BA235" i="2" a="1"/>
  <c r="BA235" i="2" s="1"/>
  <c r="BC235" i="2" a="1"/>
  <c r="BC235" i="2" s="1"/>
  <c r="BD235" i="2" a="1"/>
  <c r="BD235" i="2" s="1"/>
  <c r="H236" i="2" a="1"/>
  <c r="H236" i="2" s="1"/>
  <c r="I236" i="2" a="1"/>
  <c r="I236" i="2" s="1"/>
  <c r="J236" i="2" a="1"/>
  <c r="J236" i="2" s="1"/>
  <c r="K236" i="2" a="1"/>
  <c r="K236" i="2" s="1"/>
  <c r="L236" i="2" a="1"/>
  <c r="L236" i="2" s="1"/>
  <c r="M236" i="2" a="1"/>
  <c r="M236" i="2" s="1"/>
  <c r="N236" i="2" a="1"/>
  <c r="N236" i="2" s="1"/>
  <c r="O236" i="2" a="1"/>
  <c r="O236" i="2" s="1"/>
  <c r="P236" i="2" a="1"/>
  <c r="P236" i="2" s="1"/>
  <c r="Q236" i="2" a="1"/>
  <c r="Q236" i="2" s="1"/>
  <c r="R236" i="2" a="1"/>
  <c r="R236" i="2" s="1"/>
  <c r="S236" i="2" a="1"/>
  <c r="S236" i="2" s="1"/>
  <c r="T236" i="2" a="1"/>
  <c r="T236" i="2" s="1"/>
  <c r="U236" i="2" a="1"/>
  <c r="U236" i="2" s="1"/>
  <c r="V236" i="2" a="1"/>
  <c r="V236" i="2" s="1"/>
  <c r="E236" i="2" s="1" a="1"/>
  <c r="E236" i="2" s="1"/>
  <c r="W236" i="2" a="1"/>
  <c r="W236" i="2" s="1"/>
  <c r="BB236" i="2" s="1" a="1"/>
  <c r="BB236" i="2" s="1"/>
  <c r="X236" i="2" a="1"/>
  <c r="X236" i="2" s="1"/>
  <c r="G236" i="2" s="1" a="1"/>
  <c r="G236" i="2" s="1"/>
  <c r="Y236" i="2" a="1"/>
  <c r="Y236" i="2" s="1"/>
  <c r="Z236" i="2" a="1"/>
  <c r="Z236" i="2" s="1"/>
  <c r="AC236" i="2" a="1"/>
  <c r="AC236" i="2" s="1"/>
  <c r="AD236" i="2" a="1"/>
  <c r="AD236" i="2" s="1"/>
  <c r="AE236" i="2" a="1"/>
  <c r="AE236" i="2" s="1"/>
  <c r="AF236" i="2" a="1"/>
  <c r="AF236" i="2" s="1"/>
  <c r="AG236" i="2" a="1"/>
  <c r="AG236" i="2" s="1"/>
  <c r="AH236" i="2" a="1"/>
  <c r="AH236" i="2" s="1"/>
  <c r="AI236" i="2" a="1"/>
  <c r="AI236" i="2" s="1"/>
  <c r="AJ236" i="2" a="1"/>
  <c r="AJ236" i="2" s="1"/>
  <c r="AK236" i="2" a="1"/>
  <c r="AK236" i="2" s="1"/>
  <c r="AL236" i="2" a="1"/>
  <c r="AL236" i="2" s="1"/>
  <c r="AM236" i="2" a="1"/>
  <c r="AM236" i="2" s="1"/>
  <c r="AN236" i="2" a="1"/>
  <c r="AN236" i="2" s="1"/>
  <c r="AO236" i="2" a="1"/>
  <c r="AO236" i="2" s="1"/>
  <c r="AP236" i="2" a="1"/>
  <c r="AP236" i="2" s="1"/>
  <c r="AQ236" i="2" a="1"/>
  <c r="AQ236" i="2" s="1"/>
  <c r="AR236" i="2" a="1"/>
  <c r="AR236" i="2" s="1"/>
  <c r="AS236" i="2" a="1"/>
  <c r="AS236" i="2" s="1"/>
  <c r="AT236" i="2" a="1"/>
  <c r="AT236" i="2" s="1"/>
  <c r="AU236" i="2" a="1"/>
  <c r="AU236" i="2" s="1"/>
  <c r="AZ236" i="2" a="1"/>
  <c r="AZ236" i="2" s="1"/>
  <c r="BA236" i="2" a="1"/>
  <c r="BA236" i="2" s="1"/>
  <c r="BC236" i="2" a="1"/>
  <c r="BC236" i="2" s="1"/>
  <c r="BD236" i="2" a="1"/>
  <c r="BD236" i="2" s="1"/>
  <c r="D238" i="2" a="1"/>
  <c r="D238" i="2" s="1"/>
  <c r="H238" i="2" a="1"/>
  <c r="H238" i="2" s="1"/>
  <c r="I238" i="2" a="1"/>
  <c r="I238" i="2" s="1"/>
  <c r="J238" i="2" a="1"/>
  <c r="J238" i="2" s="1"/>
  <c r="K238" i="2" a="1"/>
  <c r="K238" i="2" s="1"/>
  <c r="L238" i="2" a="1"/>
  <c r="L238" i="2" s="1"/>
  <c r="M238" i="2" a="1"/>
  <c r="M238" i="2" s="1"/>
  <c r="N238" i="2" a="1"/>
  <c r="N238" i="2" s="1"/>
  <c r="O238" i="2" a="1"/>
  <c r="O238" i="2" s="1"/>
  <c r="P238" i="2" a="1"/>
  <c r="P238" i="2" s="1"/>
  <c r="Q238" i="2" a="1"/>
  <c r="Q238" i="2" s="1"/>
  <c r="R238" i="2" a="1"/>
  <c r="R238" i="2" s="1"/>
  <c r="S238" i="2" a="1"/>
  <c r="S238" i="2" s="1"/>
  <c r="T238" i="2" a="1"/>
  <c r="T238" i="2" s="1"/>
  <c r="U238" i="2" a="1"/>
  <c r="U238" i="2" s="1"/>
  <c r="V238" i="2" a="1"/>
  <c r="V238" i="2" s="1"/>
  <c r="E238" i="2" s="1" a="1"/>
  <c r="E238" i="2" s="1"/>
  <c r="W238" i="2" a="1"/>
  <c r="W238" i="2" s="1"/>
  <c r="BB238" i="2" s="1" a="1"/>
  <c r="BB238" i="2" s="1"/>
  <c r="X238" i="2" a="1"/>
  <c r="X238" i="2" s="1"/>
  <c r="G238" i="2" s="1" a="1"/>
  <c r="G238" i="2" s="1"/>
  <c r="Y238" i="2" a="1"/>
  <c r="Y238" i="2" s="1"/>
  <c r="Z238" i="2" a="1"/>
  <c r="Z238" i="2" s="1"/>
  <c r="AA238" i="2" a="1"/>
  <c r="AA238" i="2" s="1"/>
  <c r="AC238" i="2" a="1"/>
  <c r="AC238" i="2" s="1"/>
  <c r="AD238" i="2" a="1"/>
  <c r="AD238" i="2" s="1"/>
  <c r="AE238" i="2" a="1"/>
  <c r="AE238" i="2" s="1"/>
  <c r="AF238" i="2" a="1"/>
  <c r="AF238" i="2" s="1"/>
  <c r="AG238" i="2" a="1"/>
  <c r="AG238" i="2" s="1"/>
  <c r="AH238" i="2" a="1"/>
  <c r="AH238" i="2" s="1"/>
  <c r="AI238" i="2" a="1"/>
  <c r="AI238" i="2" s="1"/>
  <c r="AJ238" i="2" a="1"/>
  <c r="AJ238" i="2" s="1"/>
  <c r="AK238" i="2" a="1"/>
  <c r="AK238" i="2" s="1"/>
  <c r="AL238" i="2" a="1"/>
  <c r="AL238" i="2" s="1"/>
  <c r="AM238" i="2" a="1"/>
  <c r="AM238" i="2" s="1"/>
  <c r="AN238" i="2" a="1"/>
  <c r="AN238" i="2" s="1"/>
  <c r="AO238" i="2" a="1"/>
  <c r="AO238" i="2" s="1"/>
  <c r="AP238" i="2" a="1"/>
  <c r="AP238" i="2" s="1"/>
  <c r="AQ238" i="2" a="1"/>
  <c r="AQ238" i="2" s="1"/>
  <c r="AR238" i="2" a="1"/>
  <c r="AR238" i="2" s="1"/>
  <c r="AS238" i="2" a="1"/>
  <c r="AS238" i="2" s="1"/>
  <c r="AT238" i="2" a="1"/>
  <c r="AT238" i="2" s="1"/>
  <c r="AU238" i="2" a="1"/>
  <c r="AU238" i="2" s="1"/>
  <c r="AZ238" i="2" a="1"/>
  <c r="AZ238" i="2" s="1"/>
  <c r="BA238" i="2" a="1"/>
  <c r="BA238" i="2" s="1"/>
  <c r="BC238" i="2" a="1"/>
  <c r="BC238" i="2" s="1"/>
  <c r="BD238" i="2" a="1"/>
  <c r="BD238" i="2" s="1"/>
  <c r="F239" i="2" a="1"/>
  <c r="F239" i="2" s="1"/>
  <c r="H239" i="2" a="1"/>
  <c r="H239" i="2" s="1"/>
  <c r="I239" i="2" a="1"/>
  <c r="I239" i="2" s="1"/>
  <c r="J239" i="2" a="1"/>
  <c r="J239" i="2" s="1"/>
  <c r="K239" i="2" a="1"/>
  <c r="K239" i="2" s="1"/>
  <c r="L239" i="2" a="1"/>
  <c r="L239" i="2" s="1"/>
  <c r="M239" i="2" a="1"/>
  <c r="M239" i="2" s="1"/>
  <c r="N239" i="2" a="1"/>
  <c r="N239" i="2" s="1"/>
  <c r="O239" i="2" a="1"/>
  <c r="O239" i="2" s="1"/>
  <c r="P239" i="2" a="1"/>
  <c r="P239" i="2" s="1"/>
  <c r="Q239" i="2" a="1"/>
  <c r="Q239" i="2" s="1"/>
  <c r="R239" i="2" a="1"/>
  <c r="R239" i="2" s="1"/>
  <c r="S239" i="2" a="1"/>
  <c r="S239" i="2" s="1"/>
  <c r="T239" i="2" a="1"/>
  <c r="T239" i="2" s="1"/>
  <c r="U239" i="2" a="1"/>
  <c r="U239" i="2" s="1"/>
  <c r="V239" i="2" a="1"/>
  <c r="V239" i="2" s="1"/>
  <c r="E239" i="2" s="1" a="1"/>
  <c r="E239" i="2" s="1"/>
  <c r="W239" i="2" a="1"/>
  <c r="W239" i="2" s="1"/>
  <c r="BB239" i="2" s="1" a="1"/>
  <c r="BB239" i="2" s="1"/>
  <c r="X239" i="2" a="1"/>
  <c r="X239" i="2" s="1"/>
  <c r="G239" i="2" s="1" a="1"/>
  <c r="G239" i="2" s="1"/>
  <c r="Y239" i="2" a="1"/>
  <c r="Y239" i="2" s="1"/>
  <c r="Z239" i="2" a="1"/>
  <c r="Z239" i="2" s="1"/>
  <c r="AA239" i="2" a="1"/>
  <c r="AA239" i="2" s="1"/>
  <c r="AC239" i="2" a="1"/>
  <c r="AC239" i="2" s="1"/>
  <c r="AD239" i="2" a="1"/>
  <c r="AD239" i="2" s="1"/>
  <c r="AE239" i="2" a="1"/>
  <c r="AE239" i="2" s="1"/>
  <c r="AF239" i="2" a="1"/>
  <c r="AF239" i="2" s="1"/>
  <c r="AG239" i="2" a="1"/>
  <c r="AG239" i="2" s="1"/>
  <c r="AH239" i="2" a="1"/>
  <c r="AH239" i="2" s="1"/>
  <c r="AI239" i="2" a="1"/>
  <c r="AI239" i="2" s="1"/>
  <c r="AJ239" i="2" a="1"/>
  <c r="AJ239" i="2" s="1"/>
  <c r="AK239" i="2" a="1"/>
  <c r="AK239" i="2" s="1"/>
  <c r="AL239" i="2" a="1"/>
  <c r="AL239" i="2" s="1"/>
  <c r="AM239" i="2" a="1"/>
  <c r="AM239" i="2" s="1"/>
  <c r="AN239" i="2" a="1"/>
  <c r="AN239" i="2" s="1"/>
  <c r="AO239" i="2" a="1"/>
  <c r="AO239" i="2" s="1"/>
  <c r="AP239" i="2" a="1"/>
  <c r="AP239" i="2" s="1"/>
  <c r="AQ239" i="2" a="1"/>
  <c r="AQ239" i="2" s="1"/>
  <c r="AR239" i="2" a="1"/>
  <c r="AR239" i="2" s="1"/>
  <c r="AS239" i="2" a="1"/>
  <c r="AS239" i="2" s="1"/>
  <c r="AT239" i="2" a="1"/>
  <c r="AT239" i="2" s="1"/>
  <c r="AU239" i="2" a="1"/>
  <c r="AU239" i="2" s="1"/>
  <c r="AZ239" i="2" a="1"/>
  <c r="AZ239" i="2" s="1"/>
  <c r="BA239" i="2" a="1"/>
  <c r="BA239" i="2" s="1"/>
  <c r="BC239" i="2" a="1"/>
  <c r="BC239" i="2" s="1"/>
  <c r="BD239" i="2" a="1"/>
  <c r="BD239" i="2" s="1"/>
  <c r="F240" i="2" a="1"/>
  <c r="F240" i="2" s="1"/>
  <c r="H240" i="2" a="1"/>
  <c r="H240" i="2" s="1"/>
  <c r="I240" i="2" a="1"/>
  <c r="I240" i="2" s="1"/>
  <c r="J240" i="2" a="1"/>
  <c r="J240" i="2" s="1"/>
  <c r="K240" i="2" a="1"/>
  <c r="K240" i="2" s="1"/>
  <c r="L240" i="2" a="1"/>
  <c r="L240" i="2" s="1"/>
  <c r="M240" i="2" a="1"/>
  <c r="M240" i="2" s="1"/>
  <c r="N240" i="2" a="1"/>
  <c r="N240" i="2" s="1"/>
  <c r="O240" i="2" a="1"/>
  <c r="O240" i="2" s="1"/>
  <c r="P240" i="2" a="1"/>
  <c r="P240" i="2" s="1"/>
  <c r="Q240" i="2" a="1"/>
  <c r="Q240" i="2" s="1"/>
  <c r="R240" i="2" a="1"/>
  <c r="R240" i="2" s="1"/>
  <c r="S240" i="2" a="1"/>
  <c r="S240" i="2" s="1"/>
  <c r="T240" i="2" a="1"/>
  <c r="T240" i="2" s="1"/>
  <c r="U240" i="2" a="1"/>
  <c r="U240" i="2" s="1"/>
  <c r="V240" i="2" a="1"/>
  <c r="V240" i="2" s="1"/>
  <c r="E240" i="2" s="1" a="1"/>
  <c r="E240" i="2" s="1"/>
  <c r="W240" i="2" a="1"/>
  <c r="W240" i="2" s="1"/>
  <c r="BB240" i="2" s="1" a="1"/>
  <c r="BB240" i="2" s="1"/>
  <c r="X240" i="2" a="1"/>
  <c r="X240" i="2" s="1"/>
  <c r="G240" i="2" s="1" a="1"/>
  <c r="G240" i="2" s="1"/>
  <c r="Y240" i="2" a="1"/>
  <c r="Y240" i="2" s="1"/>
  <c r="Z240" i="2" a="1"/>
  <c r="Z240" i="2" s="1"/>
  <c r="AA240" i="2" a="1"/>
  <c r="AA240" i="2" s="1"/>
  <c r="AC240" i="2" a="1"/>
  <c r="AC240" i="2" s="1"/>
  <c r="AD240" i="2" a="1"/>
  <c r="AD240" i="2" s="1"/>
  <c r="AE240" i="2" a="1"/>
  <c r="AE240" i="2" s="1"/>
  <c r="AF240" i="2" a="1"/>
  <c r="AF240" i="2" s="1"/>
  <c r="AG240" i="2" a="1"/>
  <c r="AG240" i="2" s="1"/>
  <c r="AH240" i="2" a="1"/>
  <c r="AH240" i="2" s="1"/>
  <c r="AI240" i="2" a="1"/>
  <c r="AI240" i="2" s="1"/>
  <c r="AJ240" i="2" a="1"/>
  <c r="AJ240" i="2" s="1"/>
  <c r="AK240" i="2" a="1"/>
  <c r="AK240" i="2" s="1"/>
  <c r="AL240" i="2" a="1"/>
  <c r="AL240" i="2" s="1"/>
  <c r="AM240" i="2" a="1"/>
  <c r="AM240" i="2" s="1"/>
  <c r="AN240" i="2" a="1"/>
  <c r="AN240" i="2" s="1"/>
  <c r="AO240" i="2" a="1"/>
  <c r="AO240" i="2" s="1"/>
  <c r="AP240" i="2" a="1"/>
  <c r="AP240" i="2" s="1"/>
  <c r="AQ240" i="2" a="1"/>
  <c r="AQ240" i="2" s="1"/>
  <c r="AR240" i="2" a="1"/>
  <c r="AR240" i="2" s="1"/>
  <c r="AS240" i="2" a="1"/>
  <c r="AS240" i="2" s="1"/>
  <c r="AT240" i="2" a="1"/>
  <c r="AT240" i="2" s="1"/>
  <c r="AU240" i="2" a="1"/>
  <c r="AU240" i="2" s="1"/>
  <c r="AZ240" i="2" a="1"/>
  <c r="AZ240" i="2" s="1"/>
  <c r="BA240" i="2" a="1"/>
  <c r="BA240" i="2" s="1"/>
  <c r="BC240" i="2" a="1"/>
  <c r="BC240" i="2" s="1"/>
  <c r="BD240" i="2" a="1"/>
  <c r="BD240" i="2" s="1"/>
  <c r="F241" i="2" a="1"/>
  <c r="F241" i="2" s="1"/>
  <c r="H241" i="2" a="1"/>
  <c r="H241" i="2" s="1"/>
  <c r="I241" i="2" a="1"/>
  <c r="I241" i="2" s="1"/>
  <c r="J241" i="2" a="1"/>
  <c r="J241" i="2" s="1"/>
  <c r="K241" i="2" a="1"/>
  <c r="K241" i="2" s="1"/>
  <c r="L241" i="2" a="1"/>
  <c r="L241" i="2" s="1"/>
  <c r="M241" i="2" a="1"/>
  <c r="M241" i="2" s="1"/>
  <c r="N241" i="2" a="1"/>
  <c r="N241" i="2" s="1"/>
  <c r="O241" i="2" a="1"/>
  <c r="O241" i="2" s="1"/>
  <c r="P241" i="2" a="1"/>
  <c r="P241" i="2" s="1"/>
  <c r="Q241" i="2" a="1"/>
  <c r="Q241" i="2" s="1"/>
  <c r="R241" i="2" a="1"/>
  <c r="R241" i="2" s="1"/>
  <c r="S241" i="2" a="1"/>
  <c r="S241" i="2" s="1"/>
  <c r="T241" i="2" a="1"/>
  <c r="T241" i="2" s="1"/>
  <c r="U241" i="2" a="1"/>
  <c r="U241" i="2" s="1"/>
  <c r="V241" i="2" a="1"/>
  <c r="V241" i="2" s="1"/>
  <c r="E241" i="2" s="1" a="1"/>
  <c r="E241" i="2" s="1"/>
  <c r="W241" i="2" a="1"/>
  <c r="W241" i="2" s="1"/>
  <c r="BB241" i="2" s="1" a="1"/>
  <c r="BB241" i="2" s="1"/>
  <c r="X241" i="2" a="1"/>
  <c r="X241" i="2" s="1"/>
  <c r="Y241" i="2" a="1"/>
  <c r="Y241" i="2" s="1"/>
  <c r="Z241" i="2" a="1"/>
  <c r="Z241" i="2" s="1"/>
  <c r="AA241" i="2" a="1"/>
  <c r="AA241" i="2" s="1"/>
  <c r="AC241" i="2" a="1"/>
  <c r="AC241" i="2" s="1"/>
  <c r="AD241" i="2" a="1"/>
  <c r="AD241" i="2" s="1"/>
  <c r="AE241" i="2" a="1"/>
  <c r="AE241" i="2" s="1"/>
  <c r="AF241" i="2" a="1"/>
  <c r="AF241" i="2" s="1"/>
  <c r="AG241" i="2" a="1"/>
  <c r="AG241" i="2" s="1"/>
  <c r="AH241" i="2" a="1"/>
  <c r="AH241" i="2" s="1"/>
  <c r="AI241" i="2" a="1"/>
  <c r="AI241" i="2" s="1"/>
  <c r="AJ241" i="2" a="1"/>
  <c r="AJ241" i="2" s="1"/>
  <c r="AK241" i="2" a="1"/>
  <c r="AK241" i="2" s="1"/>
  <c r="AL241" i="2" a="1"/>
  <c r="AL241" i="2" s="1"/>
  <c r="AM241" i="2" a="1"/>
  <c r="AM241" i="2" s="1"/>
  <c r="AN241" i="2" a="1"/>
  <c r="AN241" i="2" s="1"/>
  <c r="AO241" i="2" a="1"/>
  <c r="AO241" i="2" s="1"/>
  <c r="AP241" i="2" a="1"/>
  <c r="AP241" i="2" s="1"/>
  <c r="AQ241" i="2" a="1"/>
  <c r="AQ241" i="2" s="1"/>
  <c r="AR241" i="2" a="1"/>
  <c r="AR241" i="2" s="1"/>
  <c r="AS241" i="2" a="1"/>
  <c r="AS241" i="2" s="1"/>
  <c r="AT241" i="2" a="1"/>
  <c r="AT241" i="2" s="1"/>
  <c r="AU241" i="2" a="1"/>
  <c r="AU241" i="2" s="1"/>
  <c r="AZ241" i="2" a="1"/>
  <c r="AZ241" i="2" s="1"/>
  <c r="BA241" i="2" a="1"/>
  <c r="BA241" i="2" s="1"/>
  <c r="BC241" i="2" a="1"/>
  <c r="BC241" i="2" s="1"/>
  <c r="BD241" i="2" a="1"/>
  <c r="BD241" i="2" s="1"/>
  <c r="F242" i="2" a="1"/>
  <c r="F242" i="2" s="1"/>
  <c r="H242" i="2" a="1"/>
  <c r="H242" i="2" s="1"/>
  <c r="I242" i="2" a="1"/>
  <c r="I242" i="2" s="1"/>
  <c r="J242" i="2" a="1"/>
  <c r="J242" i="2" s="1"/>
  <c r="K242" i="2" a="1"/>
  <c r="K242" i="2" s="1"/>
  <c r="L242" i="2" a="1"/>
  <c r="L242" i="2" s="1"/>
  <c r="M242" i="2" a="1"/>
  <c r="M242" i="2" s="1"/>
  <c r="N242" i="2" a="1"/>
  <c r="N242" i="2" s="1"/>
  <c r="O242" i="2" a="1"/>
  <c r="O242" i="2" s="1"/>
  <c r="P242" i="2" a="1"/>
  <c r="P242" i="2" s="1"/>
  <c r="Q242" i="2" a="1"/>
  <c r="Q242" i="2" s="1"/>
  <c r="R242" i="2" a="1"/>
  <c r="R242" i="2" s="1"/>
  <c r="S242" i="2" a="1"/>
  <c r="S242" i="2" s="1"/>
  <c r="T242" i="2" a="1"/>
  <c r="T242" i="2" s="1"/>
  <c r="U242" i="2" a="1"/>
  <c r="U242" i="2" s="1"/>
  <c r="V242" i="2" a="1"/>
  <c r="V242" i="2" s="1"/>
  <c r="E242" i="2" s="1" a="1"/>
  <c r="E242" i="2" s="1"/>
  <c r="W242" i="2" a="1"/>
  <c r="W242" i="2" s="1"/>
  <c r="BB242" i="2" s="1" a="1"/>
  <c r="BB242" i="2" s="1"/>
  <c r="X242" i="2" a="1"/>
  <c r="X242" i="2" s="1"/>
  <c r="G242" i="2" s="1" a="1"/>
  <c r="G242" i="2" s="1"/>
  <c r="Y242" i="2" a="1"/>
  <c r="Y242" i="2" s="1"/>
  <c r="Z242" i="2" a="1"/>
  <c r="Z242" i="2" s="1"/>
  <c r="AA242" i="2" a="1"/>
  <c r="AA242" i="2" s="1"/>
  <c r="AC242" i="2" a="1"/>
  <c r="AC242" i="2" s="1"/>
  <c r="AD242" i="2" a="1"/>
  <c r="AD242" i="2" s="1"/>
  <c r="AE242" i="2" a="1"/>
  <c r="AE242" i="2" s="1"/>
  <c r="AF242" i="2" a="1"/>
  <c r="AF242" i="2" s="1"/>
  <c r="AG242" i="2" a="1"/>
  <c r="AG242" i="2" s="1"/>
  <c r="AH242" i="2" a="1"/>
  <c r="AH242" i="2" s="1"/>
  <c r="AI242" i="2" a="1"/>
  <c r="AI242" i="2" s="1"/>
  <c r="AJ242" i="2" a="1"/>
  <c r="AJ242" i="2" s="1"/>
  <c r="AK242" i="2" a="1"/>
  <c r="AK242" i="2" s="1"/>
  <c r="AL242" i="2" a="1"/>
  <c r="AL242" i="2" s="1"/>
  <c r="AM242" i="2" a="1"/>
  <c r="AM242" i="2" s="1"/>
  <c r="AN242" i="2" a="1"/>
  <c r="AN242" i="2" s="1"/>
  <c r="AO242" i="2" a="1"/>
  <c r="AO242" i="2" s="1"/>
  <c r="AP242" i="2" a="1"/>
  <c r="AP242" i="2" s="1"/>
  <c r="AQ242" i="2" a="1"/>
  <c r="AQ242" i="2" s="1"/>
  <c r="AR242" i="2" a="1"/>
  <c r="AR242" i="2" s="1"/>
  <c r="AS242" i="2" a="1"/>
  <c r="AS242" i="2" s="1"/>
  <c r="AT242" i="2" a="1"/>
  <c r="AT242" i="2" s="1"/>
  <c r="AU242" i="2" a="1"/>
  <c r="AU242" i="2" s="1"/>
  <c r="AZ242" i="2" a="1"/>
  <c r="AZ242" i="2" s="1"/>
  <c r="BA242" i="2" a="1"/>
  <c r="BA242" i="2" s="1"/>
  <c r="BC242" i="2" a="1"/>
  <c r="BC242" i="2" s="1"/>
  <c r="BD242" i="2" a="1"/>
  <c r="BD242" i="2" s="1"/>
  <c r="F243" i="2" a="1"/>
  <c r="F243" i="2" s="1"/>
  <c r="H243" i="2" a="1"/>
  <c r="H243" i="2" s="1"/>
  <c r="I243" i="2" a="1"/>
  <c r="I243" i="2" s="1"/>
  <c r="J243" i="2" a="1"/>
  <c r="J243" i="2" s="1"/>
  <c r="K243" i="2" a="1"/>
  <c r="K243" i="2" s="1"/>
  <c r="L243" i="2" a="1"/>
  <c r="L243" i="2" s="1"/>
  <c r="M243" i="2" a="1"/>
  <c r="M243" i="2" s="1"/>
  <c r="N243" i="2" a="1"/>
  <c r="N243" i="2" s="1"/>
  <c r="O243" i="2" a="1"/>
  <c r="O243" i="2" s="1"/>
  <c r="P243" i="2" a="1"/>
  <c r="P243" i="2" s="1"/>
  <c r="Q243" i="2" a="1"/>
  <c r="Q243" i="2" s="1"/>
  <c r="R243" i="2" a="1"/>
  <c r="R243" i="2" s="1"/>
  <c r="S243" i="2" a="1"/>
  <c r="S243" i="2" s="1"/>
  <c r="T243" i="2" a="1"/>
  <c r="T243" i="2" s="1"/>
  <c r="U243" i="2" a="1"/>
  <c r="U243" i="2" s="1"/>
  <c r="V243" i="2" a="1"/>
  <c r="V243" i="2" s="1"/>
  <c r="E243" i="2" s="1" a="1"/>
  <c r="E243" i="2" s="1"/>
  <c r="W243" i="2" a="1"/>
  <c r="W243" i="2" s="1"/>
  <c r="BB243" i="2" s="1" a="1"/>
  <c r="BB243" i="2" s="1"/>
  <c r="X243" i="2" a="1"/>
  <c r="X243" i="2" s="1"/>
  <c r="G243" i="2" s="1" a="1"/>
  <c r="G243" i="2" s="1"/>
  <c r="Y243" i="2" a="1"/>
  <c r="Y243" i="2" s="1"/>
  <c r="Z243" i="2" a="1"/>
  <c r="Z243" i="2" s="1"/>
  <c r="AA243" i="2" a="1"/>
  <c r="AA243" i="2" s="1"/>
  <c r="AC243" i="2" a="1"/>
  <c r="AC243" i="2" s="1"/>
  <c r="AD243" i="2" a="1"/>
  <c r="AD243" i="2" s="1"/>
  <c r="AE243" i="2" a="1"/>
  <c r="AE243" i="2" s="1"/>
  <c r="AF243" i="2" a="1"/>
  <c r="AF243" i="2" s="1"/>
  <c r="AG243" i="2" a="1"/>
  <c r="AG243" i="2" s="1"/>
  <c r="AH243" i="2" a="1"/>
  <c r="AH243" i="2" s="1"/>
  <c r="AI243" i="2" a="1"/>
  <c r="AI243" i="2" s="1"/>
  <c r="AJ243" i="2" a="1"/>
  <c r="AJ243" i="2" s="1"/>
  <c r="AK243" i="2" a="1"/>
  <c r="AK243" i="2" s="1"/>
  <c r="AL243" i="2" a="1"/>
  <c r="AL243" i="2" s="1"/>
  <c r="AM243" i="2" a="1"/>
  <c r="AM243" i="2" s="1"/>
  <c r="AN243" i="2" a="1"/>
  <c r="AN243" i="2" s="1"/>
  <c r="AO243" i="2" a="1"/>
  <c r="AO243" i="2" s="1"/>
  <c r="AP243" i="2" a="1"/>
  <c r="AP243" i="2" s="1"/>
  <c r="AQ243" i="2" a="1"/>
  <c r="AQ243" i="2" s="1"/>
  <c r="AR243" i="2" a="1"/>
  <c r="AR243" i="2" s="1"/>
  <c r="AS243" i="2" a="1"/>
  <c r="AS243" i="2" s="1"/>
  <c r="AT243" i="2" a="1"/>
  <c r="AT243" i="2" s="1"/>
  <c r="AU243" i="2" a="1"/>
  <c r="AU243" i="2" s="1"/>
  <c r="AZ243" i="2" a="1"/>
  <c r="AZ243" i="2" s="1"/>
  <c r="BA243" i="2" a="1"/>
  <c r="BA243" i="2" s="1"/>
  <c r="BC243" i="2" a="1"/>
  <c r="BC243" i="2" s="1"/>
  <c r="BD243" i="2" a="1"/>
  <c r="BD243" i="2" s="1"/>
  <c r="H244" i="2" a="1"/>
  <c r="H244" i="2" s="1"/>
  <c r="I244" i="2" a="1"/>
  <c r="I244" i="2" s="1"/>
  <c r="J244" i="2" a="1"/>
  <c r="J244" i="2" s="1"/>
  <c r="K244" i="2" a="1"/>
  <c r="K244" i="2" s="1"/>
  <c r="L244" i="2" a="1"/>
  <c r="L244" i="2" s="1"/>
  <c r="M244" i="2" a="1"/>
  <c r="M244" i="2" s="1"/>
  <c r="N244" i="2" a="1"/>
  <c r="N244" i="2" s="1"/>
  <c r="O244" i="2" a="1"/>
  <c r="O244" i="2" s="1"/>
  <c r="P244" i="2" a="1"/>
  <c r="P244" i="2" s="1"/>
  <c r="Q244" i="2" a="1"/>
  <c r="Q244" i="2" s="1"/>
  <c r="R244" i="2" a="1"/>
  <c r="R244" i="2" s="1"/>
  <c r="S244" i="2" a="1"/>
  <c r="S244" i="2" s="1"/>
  <c r="T244" i="2" a="1"/>
  <c r="T244" i="2" s="1"/>
  <c r="U244" i="2" a="1"/>
  <c r="U244" i="2" s="1"/>
  <c r="V244" i="2" a="1"/>
  <c r="V244" i="2" s="1"/>
  <c r="E244" i="2" s="1" a="1"/>
  <c r="E244" i="2" s="1"/>
  <c r="W244" i="2" a="1"/>
  <c r="W244" i="2" s="1"/>
  <c r="BB244" i="2" s="1" a="1"/>
  <c r="BB244" i="2" s="1"/>
  <c r="X244" i="2" a="1"/>
  <c r="X244" i="2" s="1"/>
  <c r="G244" i="2" s="1" a="1"/>
  <c r="G244" i="2" s="1"/>
  <c r="Y244" i="2" a="1"/>
  <c r="Y244" i="2" s="1"/>
  <c r="Z244" i="2" a="1"/>
  <c r="Z244" i="2" s="1"/>
  <c r="AA244" i="2" a="1"/>
  <c r="AA244" i="2" s="1"/>
  <c r="AC244" i="2" a="1"/>
  <c r="AC244" i="2" s="1"/>
  <c r="AD244" i="2" a="1"/>
  <c r="AD244" i="2" s="1"/>
  <c r="AE244" i="2" a="1"/>
  <c r="AE244" i="2" s="1"/>
  <c r="AF244" i="2" a="1"/>
  <c r="AF244" i="2" s="1"/>
  <c r="AG244" i="2" a="1"/>
  <c r="AG244" i="2" s="1"/>
  <c r="AH244" i="2" a="1"/>
  <c r="AH244" i="2" s="1"/>
  <c r="AI244" i="2" a="1"/>
  <c r="AI244" i="2" s="1"/>
  <c r="AJ244" i="2" a="1"/>
  <c r="AJ244" i="2" s="1"/>
  <c r="AK244" i="2" a="1"/>
  <c r="AK244" i="2" s="1"/>
  <c r="AL244" i="2" a="1"/>
  <c r="AL244" i="2" s="1"/>
  <c r="AM244" i="2" a="1"/>
  <c r="AM244" i="2" s="1"/>
  <c r="AN244" i="2" a="1"/>
  <c r="AN244" i="2" s="1"/>
  <c r="AO244" i="2" a="1"/>
  <c r="AO244" i="2" s="1"/>
  <c r="AP244" i="2" a="1"/>
  <c r="AP244" i="2" s="1"/>
  <c r="AQ244" i="2" a="1"/>
  <c r="AQ244" i="2" s="1"/>
  <c r="AR244" i="2" a="1"/>
  <c r="AR244" i="2" s="1"/>
  <c r="AS244" i="2" a="1"/>
  <c r="AS244" i="2" s="1"/>
  <c r="AT244" i="2" a="1"/>
  <c r="AT244" i="2" s="1"/>
  <c r="AU244" i="2" a="1"/>
  <c r="AU244" i="2" s="1"/>
  <c r="AZ244" i="2" a="1"/>
  <c r="AZ244" i="2" s="1"/>
  <c r="BA244" i="2" a="1"/>
  <c r="BA244" i="2" s="1"/>
  <c r="BC244" i="2" a="1"/>
  <c r="BC244" i="2" s="1"/>
  <c r="BD244" i="2" a="1"/>
  <c r="BD244" i="2" s="1"/>
  <c r="H245" i="2" a="1"/>
  <c r="H245" i="2" s="1"/>
  <c r="I245" i="2" a="1"/>
  <c r="I245" i="2" s="1"/>
  <c r="J245" i="2" a="1"/>
  <c r="J245" i="2" s="1"/>
  <c r="K245" i="2" a="1"/>
  <c r="K245" i="2" s="1"/>
  <c r="L245" i="2" a="1"/>
  <c r="L245" i="2" s="1"/>
  <c r="M245" i="2" a="1"/>
  <c r="M245" i="2" s="1"/>
  <c r="N245" i="2" a="1"/>
  <c r="N245" i="2" s="1"/>
  <c r="O245" i="2" a="1"/>
  <c r="O245" i="2" s="1"/>
  <c r="P245" i="2" a="1"/>
  <c r="P245" i="2" s="1"/>
  <c r="Q245" i="2" a="1"/>
  <c r="Q245" i="2" s="1"/>
  <c r="R245" i="2" a="1"/>
  <c r="R245" i="2" s="1"/>
  <c r="S245" i="2" a="1"/>
  <c r="S245" i="2" s="1"/>
  <c r="T245" i="2" a="1"/>
  <c r="T245" i="2" s="1"/>
  <c r="U245" i="2" a="1"/>
  <c r="U245" i="2" s="1"/>
  <c r="V245" i="2" a="1"/>
  <c r="V245" i="2" s="1"/>
  <c r="E245" i="2" s="1" a="1"/>
  <c r="E245" i="2" s="1"/>
  <c r="W245" i="2" a="1"/>
  <c r="W245" i="2" s="1"/>
  <c r="BB245" i="2" s="1" a="1"/>
  <c r="BB245" i="2" s="1"/>
  <c r="X245" i="2" a="1"/>
  <c r="X245" i="2" s="1"/>
  <c r="G245" i="2" s="1" a="1"/>
  <c r="G245" i="2" s="1"/>
  <c r="Y245" i="2" a="1"/>
  <c r="Y245" i="2" s="1"/>
  <c r="Z245" i="2" a="1"/>
  <c r="Z245" i="2" s="1"/>
  <c r="AA245" i="2" a="1"/>
  <c r="AA245" i="2" s="1"/>
  <c r="AC245" i="2" a="1"/>
  <c r="AC245" i="2" s="1"/>
  <c r="AD245" i="2" a="1"/>
  <c r="AD245" i="2" s="1"/>
  <c r="AE245" i="2" a="1"/>
  <c r="AE245" i="2" s="1"/>
  <c r="AF245" i="2" a="1"/>
  <c r="AF245" i="2" s="1"/>
  <c r="AG245" i="2" a="1"/>
  <c r="AG245" i="2" s="1"/>
  <c r="AH245" i="2" a="1"/>
  <c r="AH245" i="2" s="1"/>
  <c r="AI245" i="2" a="1"/>
  <c r="AI245" i="2" s="1"/>
  <c r="AJ245" i="2" a="1"/>
  <c r="AJ245" i="2" s="1"/>
  <c r="AK245" i="2" a="1"/>
  <c r="AK245" i="2" s="1"/>
  <c r="AL245" i="2" a="1"/>
  <c r="AL245" i="2" s="1"/>
  <c r="AM245" i="2" a="1"/>
  <c r="AM245" i="2" s="1"/>
  <c r="AN245" i="2" a="1"/>
  <c r="AN245" i="2" s="1"/>
  <c r="AO245" i="2" a="1"/>
  <c r="AO245" i="2" s="1"/>
  <c r="AP245" i="2" a="1"/>
  <c r="AP245" i="2" s="1"/>
  <c r="AQ245" i="2" a="1"/>
  <c r="AQ245" i="2" s="1"/>
  <c r="AR245" i="2" a="1"/>
  <c r="AR245" i="2" s="1"/>
  <c r="AS245" i="2" a="1"/>
  <c r="AS245" i="2" s="1"/>
  <c r="AT245" i="2" a="1"/>
  <c r="AT245" i="2" s="1"/>
  <c r="AU245" i="2" a="1"/>
  <c r="AU245" i="2" s="1"/>
  <c r="AZ245" i="2" a="1"/>
  <c r="AZ245" i="2" s="1"/>
  <c r="BA245" i="2" a="1"/>
  <c r="BA245" i="2" s="1"/>
  <c r="BC245" i="2" a="1"/>
  <c r="BC245" i="2" s="1"/>
  <c r="BD245" i="2" a="1"/>
  <c r="BD245" i="2" s="1"/>
  <c r="H246" i="2" a="1"/>
  <c r="H246" i="2" s="1"/>
  <c r="I246" i="2" a="1"/>
  <c r="I246" i="2" s="1"/>
  <c r="J246" i="2" a="1"/>
  <c r="J246" i="2" s="1"/>
  <c r="K246" i="2" a="1"/>
  <c r="K246" i="2" s="1"/>
  <c r="L246" i="2" a="1"/>
  <c r="L246" i="2" s="1"/>
  <c r="M246" i="2" a="1"/>
  <c r="M246" i="2" s="1"/>
  <c r="N246" i="2" a="1"/>
  <c r="N246" i="2" s="1"/>
  <c r="O246" i="2" a="1"/>
  <c r="O246" i="2" s="1"/>
  <c r="P246" i="2" a="1"/>
  <c r="P246" i="2" s="1"/>
  <c r="Q246" i="2" a="1"/>
  <c r="Q246" i="2" s="1"/>
  <c r="R246" i="2" a="1"/>
  <c r="R246" i="2" s="1"/>
  <c r="S246" i="2" a="1"/>
  <c r="S246" i="2" s="1"/>
  <c r="T246" i="2" a="1"/>
  <c r="T246" i="2" s="1"/>
  <c r="U246" i="2" a="1"/>
  <c r="U246" i="2" s="1"/>
  <c r="V246" i="2" a="1"/>
  <c r="V246" i="2" s="1"/>
  <c r="E246" i="2" s="1" a="1"/>
  <c r="E246" i="2" s="1"/>
  <c r="W246" i="2" a="1"/>
  <c r="W246" i="2" s="1"/>
  <c r="BB246" i="2" s="1" a="1"/>
  <c r="BB246" i="2" s="1"/>
  <c r="X246" i="2" a="1"/>
  <c r="X246" i="2" s="1"/>
  <c r="G246" i="2" s="1" a="1"/>
  <c r="G246" i="2" s="1"/>
  <c r="Y246" i="2" a="1"/>
  <c r="Y246" i="2" s="1"/>
  <c r="Z246" i="2" a="1"/>
  <c r="Z246" i="2" s="1"/>
  <c r="AA246" i="2" a="1"/>
  <c r="AA246" i="2" s="1"/>
  <c r="AC246" i="2" a="1"/>
  <c r="AC246" i="2" s="1"/>
  <c r="AD246" i="2" a="1"/>
  <c r="AD246" i="2" s="1"/>
  <c r="AE246" i="2" a="1"/>
  <c r="AE246" i="2" s="1"/>
  <c r="AF246" i="2" a="1"/>
  <c r="AF246" i="2" s="1"/>
  <c r="AG246" i="2" a="1"/>
  <c r="AG246" i="2" s="1"/>
  <c r="AH246" i="2" a="1"/>
  <c r="AH246" i="2" s="1"/>
  <c r="AI246" i="2" a="1"/>
  <c r="AI246" i="2" s="1"/>
  <c r="AJ246" i="2" a="1"/>
  <c r="AJ246" i="2" s="1"/>
  <c r="AK246" i="2" a="1"/>
  <c r="AK246" i="2" s="1"/>
  <c r="AL246" i="2" a="1"/>
  <c r="AL246" i="2" s="1"/>
  <c r="AM246" i="2" a="1"/>
  <c r="AM246" i="2" s="1"/>
  <c r="AN246" i="2" a="1"/>
  <c r="AN246" i="2" s="1"/>
  <c r="AO246" i="2" a="1"/>
  <c r="AO246" i="2" s="1"/>
  <c r="AP246" i="2" a="1"/>
  <c r="AP246" i="2" s="1"/>
  <c r="AQ246" i="2" a="1"/>
  <c r="AQ246" i="2" s="1"/>
  <c r="AR246" i="2" a="1"/>
  <c r="AR246" i="2" s="1"/>
  <c r="AS246" i="2" a="1"/>
  <c r="AS246" i="2" s="1"/>
  <c r="AT246" i="2" a="1"/>
  <c r="AT246" i="2" s="1"/>
  <c r="AU246" i="2" a="1"/>
  <c r="AU246" i="2" s="1"/>
  <c r="AZ246" i="2" a="1"/>
  <c r="AZ246" i="2" s="1"/>
  <c r="BA246" i="2" a="1"/>
  <c r="BA246" i="2" s="1"/>
  <c r="BC246" i="2" a="1"/>
  <c r="BC246" i="2" s="1"/>
  <c r="BD246" i="2" a="1"/>
  <c r="BD246" i="2" s="1"/>
  <c r="H248" i="2" a="1"/>
  <c r="H248" i="2" s="1"/>
  <c r="I248" i="2" a="1"/>
  <c r="I248" i="2" s="1"/>
  <c r="J248" i="2" a="1"/>
  <c r="J248" i="2" s="1"/>
  <c r="K248" i="2" a="1"/>
  <c r="K248" i="2" s="1"/>
  <c r="L248" i="2" a="1"/>
  <c r="L248" i="2" s="1"/>
  <c r="M248" i="2" a="1"/>
  <c r="M248" i="2" s="1"/>
  <c r="N248" i="2" a="1"/>
  <c r="N248" i="2" s="1"/>
  <c r="O248" i="2" a="1"/>
  <c r="O248" i="2" s="1"/>
  <c r="P248" i="2" a="1"/>
  <c r="P248" i="2" s="1"/>
  <c r="Q248" i="2" a="1"/>
  <c r="Q248" i="2" s="1"/>
  <c r="R248" i="2" a="1"/>
  <c r="R248" i="2" s="1"/>
  <c r="S248" i="2" a="1"/>
  <c r="S248" i="2" s="1"/>
  <c r="T248" i="2" a="1"/>
  <c r="T248" i="2" s="1"/>
  <c r="U248" i="2" a="1"/>
  <c r="U248" i="2" s="1"/>
  <c r="V248" i="2" a="1"/>
  <c r="V248" i="2" s="1"/>
  <c r="E248" i="2" s="1" a="1"/>
  <c r="E248" i="2" s="1"/>
  <c r="W248" i="2" a="1"/>
  <c r="W248" i="2" s="1"/>
  <c r="BB248" i="2" s="1" a="1"/>
  <c r="BB248" i="2" s="1"/>
  <c r="X248" i="2" a="1"/>
  <c r="X248" i="2" s="1"/>
  <c r="Y248" i="2" a="1"/>
  <c r="Y248" i="2" s="1"/>
  <c r="Z248" i="2" a="1"/>
  <c r="Z248" i="2" s="1"/>
  <c r="AA248" i="2" a="1"/>
  <c r="AA248" i="2" s="1"/>
  <c r="AC248" i="2" a="1"/>
  <c r="AC248" i="2" s="1"/>
  <c r="AD248" i="2" a="1"/>
  <c r="AD248" i="2" s="1"/>
  <c r="AE248" i="2" a="1"/>
  <c r="AE248" i="2" s="1"/>
  <c r="AF248" i="2" a="1"/>
  <c r="AF248" i="2" s="1"/>
  <c r="AG248" i="2" a="1"/>
  <c r="AG248" i="2" s="1"/>
  <c r="AH248" i="2" a="1"/>
  <c r="AH248" i="2" s="1"/>
  <c r="AI248" i="2" a="1"/>
  <c r="AI248" i="2" s="1"/>
  <c r="AJ248" i="2" a="1"/>
  <c r="AJ248" i="2" s="1"/>
  <c r="AK248" i="2" a="1"/>
  <c r="AK248" i="2" s="1"/>
  <c r="AL248" i="2" a="1"/>
  <c r="AL248" i="2" s="1"/>
  <c r="AM248" i="2" a="1"/>
  <c r="AM248" i="2" s="1"/>
  <c r="AN248" i="2" a="1"/>
  <c r="AN248" i="2" s="1"/>
  <c r="AO248" i="2" a="1"/>
  <c r="AO248" i="2" s="1"/>
  <c r="AP248" i="2" a="1"/>
  <c r="AP248" i="2" s="1"/>
  <c r="AQ248" i="2" a="1"/>
  <c r="AQ248" i="2" s="1"/>
  <c r="AR248" i="2" a="1"/>
  <c r="AR248" i="2" s="1"/>
  <c r="AS248" i="2" a="1"/>
  <c r="AS248" i="2" s="1"/>
  <c r="AT248" i="2" a="1"/>
  <c r="AT248" i="2" s="1"/>
  <c r="AU248" i="2" a="1"/>
  <c r="AU248" i="2" s="1"/>
  <c r="AZ248" i="2" a="1"/>
  <c r="AZ248" i="2" s="1"/>
  <c r="BA248" i="2" a="1"/>
  <c r="BA248" i="2" s="1"/>
  <c r="BC248" i="2" a="1"/>
  <c r="BC248" i="2" s="1"/>
  <c r="BD248" i="2" a="1"/>
  <c r="BD248" i="2" s="1"/>
  <c r="F249" i="2" a="1"/>
  <c r="F249" i="2" s="1"/>
  <c r="H249" i="2" a="1"/>
  <c r="H249" i="2" s="1"/>
  <c r="I249" i="2" a="1"/>
  <c r="I249" i="2" s="1"/>
  <c r="J249" i="2" a="1"/>
  <c r="J249" i="2" s="1"/>
  <c r="K249" i="2" a="1"/>
  <c r="K249" i="2" s="1"/>
  <c r="L249" i="2" a="1"/>
  <c r="L249" i="2" s="1"/>
  <c r="M249" i="2" a="1"/>
  <c r="M249" i="2" s="1"/>
  <c r="N249" i="2" a="1"/>
  <c r="N249" i="2" s="1"/>
  <c r="O249" i="2" a="1"/>
  <c r="O249" i="2" s="1"/>
  <c r="P249" i="2" a="1"/>
  <c r="P249" i="2" s="1"/>
  <c r="Q249" i="2" a="1"/>
  <c r="Q249" i="2" s="1"/>
  <c r="R249" i="2" a="1"/>
  <c r="R249" i="2" s="1"/>
  <c r="S249" i="2" a="1"/>
  <c r="S249" i="2" s="1"/>
  <c r="T249" i="2" a="1"/>
  <c r="T249" i="2" s="1"/>
  <c r="U249" i="2" a="1"/>
  <c r="U249" i="2" s="1"/>
  <c r="V249" i="2" a="1"/>
  <c r="V249" i="2" s="1"/>
  <c r="E249" i="2" s="1" a="1"/>
  <c r="E249" i="2" s="1"/>
  <c r="W249" i="2" a="1"/>
  <c r="W249" i="2" s="1"/>
  <c r="BB249" i="2" s="1" a="1"/>
  <c r="BB249" i="2" s="1"/>
  <c r="X249" i="2" a="1"/>
  <c r="X249" i="2" s="1"/>
  <c r="Y249" i="2" a="1"/>
  <c r="Y249" i="2" s="1"/>
  <c r="Z249" i="2" a="1"/>
  <c r="Z249" i="2" s="1"/>
  <c r="AA249" i="2" a="1"/>
  <c r="AA249" i="2" s="1"/>
  <c r="AC249" i="2" a="1"/>
  <c r="AC249" i="2" s="1"/>
  <c r="AD249" i="2" a="1"/>
  <c r="AD249" i="2" s="1"/>
  <c r="AE249" i="2" a="1"/>
  <c r="AE249" i="2" s="1"/>
  <c r="AF249" i="2" a="1"/>
  <c r="AF249" i="2" s="1"/>
  <c r="AG249" i="2" a="1"/>
  <c r="AG249" i="2" s="1"/>
  <c r="AH249" i="2" a="1"/>
  <c r="AH249" i="2" s="1"/>
  <c r="AI249" i="2" a="1"/>
  <c r="AI249" i="2" s="1"/>
  <c r="AJ249" i="2" a="1"/>
  <c r="AJ249" i="2" s="1"/>
  <c r="AK249" i="2" a="1"/>
  <c r="AK249" i="2" s="1"/>
  <c r="AL249" i="2" a="1"/>
  <c r="AL249" i="2" s="1"/>
  <c r="AM249" i="2" a="1"/>
  <c r="AM249" i="2" s="1"/>
  <c r="AN249" i="2" a="1"/>
  <c r="AN249" i="2" s="1"/>
  <c r="AO249" i="2" a="1"/>
  <c r="AO249" i="2" s="1"/>
  <c r="AP249" i="2" a="1"/>
  <c r="AP249" i="2" s="1"/>
  <c r="AQ249" i="2" a="1"/>
  <c r="AQ249" i="2" s="1"/>
  <c r="AR249" i="2" a="1"/>
  <c r="AR249" i="2" s="1"/>
  <c r="AS249" i="2" a="1"/>
  <c r="AS249" i="2" s="1"/>
  <c r="AT249" i="2" a="1"/>
  <c r="AT249" i="2" s="1"/>
  <c r="AU249" i="2" a="1"/>
  <c r="AU249" i="2" s="1"/>
  <c r="AZ249" i="2" a="1"/>
  <c r="AZ249" i="2" s="1"/>
  <c r="BA249" i="2" a="1"/>
  <c r="BA249" i="2" s="1"/>
  <c r="BC249" i="2" a="1"/>
  <c r="BC249" i="2" s="1"/>
  <c r="BD249" i="2" a="1"/>
  <c r="BD249" i="2" s="1"/>
  <c r="D250" i="2" a="1"/>
  <c r="D250" i="2" s="1"/>
  <c r="F250" i="2" a="1"/>
  <c r="F250" i="2" s="1"/>
  <c r="H250" i="2" a="1"/>
  <c r="H250" i="2" s="1"/>
  <c r="I250" i="2" a="1"/>
  <c r="I250" i="2" s="1"/>
  <c r="J250" i="2" a="1"/>
  <c r="J250" i="2" s="1"/>
  <c r="K250" i="2" a="1"/>
  <c r="K250" i="2" s="1"/>
  <c r="L250" i="2" a="1"/>
  <c r="L250" i="2" s="1"/>
  <c r="M250" i="2" a="1"/>
  <c r="M250" i="2" s="1"/>
  <c r="N250" i="2" a="1"/>
  <c r="N250" i="2" s="1"/>
  <c r="O250" i="2" a="1"/>
  <c r="O250" i="2" s="1"/>
  <c r="P250" i="2" a="1"/>
  <c r="P250" i="2" s="1"/>
  <c r="Q250" i="2" a="1"/>
  <c r="Q250" i="2" s="1"/>
  <c r="R250" i="2" a="1"/>
  <c r="R250" i="2" s="1"/>
  <c r="S250" i="2" a="1"/>
  <c r="S250" i="2" s="1"/>
  <c r="T250" i="2" a="1"/>
  <c r="T250" i="2" s="1"/>
  <c r="U250" i="2" a="1"/>
  <c r="U250" i="2" s="1"/>
  <c r="V250" i="2" a="1"/>
  <c r="V250" i="2" s="1"/>
  <c r="E250" i="2" s="1" a="1"/>
  <c r="E250" i="2" s="1"/>
  <c r="W250" i="2" a="1"/>
  <c r="W250" i="2" s="1"/>
  <c r="BB250" i="2" s="1" a="1"/>
  <c r="BB250" i="2" s="1"/>
  <c r="X250" i="2" a="1"/>
  <c r="X250" i="2" s="1"/>
  <c r="G250" i="2" s="1" a="1"/>
  <c r="G250" i="2" s="1"/>
  <c r="Y250" i="2" a="1"/>
  <c r="Y250" i="2" s="1"/>
  <c r="Z250" i="2" a="1"/>
  <c r="Z250" i="2" s="1"/>
  <c r="AA250" i="2" a="1"/>
  <c r="AA250" i="2" s="1"/>
  <c r="AC250" i="2" a="1"/>
  <c r="AC250" i="2" s="1"/>
  <c r="AD250" i="2" a="1"/>
  <c r="AD250" i="2" s="1"/>
  <c r="AE250" i="2" a="1"/>
  <c r="AE250" i="2" s="1"/>
  <c r="AF250" i="2" a="1"/>
  <c r="AF250" i="2" s="1"/>
  <c r="AG250" i="2" a="1"/>
  <c r="AG250" i="2" s="1"/>
  <c r="AH250" i="2" a="1"/>
  <c r="AH250" i="2" s="1"/>
  <c r="AI250" i="2" a="1"/>
  <c r="AI250" i="2" s="1"/>
  <c r="AJ250" i="2" a="1"/>
  <c r="AJ250" i="2" s="1"/>
  <c r="AK250" i="2" a="1"/>
  <c r="AK250" i="2" s="1"/>
  <c r="AL250" i="2" a="1"/>
  <c r="AL250" i="2" s="1"/>
  <c r="AM250" i="2" a="1"/>
  <c r="AM250" i="2" s="1"/>
  <c r="AN250" i="2" a="1"/>
  <c r="AN250" i="2" s="1"/>
  <c r="AO250" i="2" a="1"/>
  <c r="AO250" i="2" s="1"/>
  <c r="AP250" i="2" a="1"/>
  <c r="AP250" i="2" s="1"/>
  <c r="AQ250" i="2" a="1"/>
  <c r="AQ250" i="2" s="1"/>
  <c r="AR250" i="2" a="1"/>
  <c r="AR250" i="2" s="1"/>
  <c r="AS250" i="2" a="1"/>
  <c r="AS250" i="2" s="1"/>
  <c r="AT250" i="2" a="1"/>
  <c r="AT250" i="2" s="1"/>
  <c r="AU250" i="2" a="1"/>
  <c r="AU250" i="2" s="1"/>
  <c r="AZ250" i="2" a="1"/>
  <c r="AZ250" i="2" s="1"/>
  <c r="BA250" i="2" a="1"/>
  <c r="BA250" i="2" s="1"/>
  <c r="BC250" i="2" a="1"/>
  <c r="BC250" i="2" s="1"/>
  <c r="BD250" i="2" a="1"/>
  <c r="BD250" i="2" s="1"/>
  <c r="D251" i="2" a="1"/>
  <c r="D251" i="2" s="1"/>
  <c r="H251" i="2" a="1"/>
  <c r="H251" i="2" s="1"/>
  <c r="I251" i="2" a="1"/>
  <c r="I251" i="2" s="1"/>
  <c r="J251" i="2" a="1"/>
  <c r="J251" i="2" s="1"/>
  <c r="K251" i="2" a="1"/>
  <c r="K251" i="2" s="1"/>
  <c r="L251" i="2" a="1"/>
  <c r="L251" i="2" s="1"/>
  <c r="M251" i="2" a="1"/>
  <c r="M251" i="2" s="1"/>
  <c r="N251" i="2" a="1"/>
  <c r="N251" i="2" s="1"/>
  <c r="O251" i="2" a="1"/>
  <c r="O251" i="2" s="1"/>
  <c r="P251" i="2" a="1"/>
  <c r="P251" i="2" s="1"/>
  <c r="Q251" i="2" a="1"/>
  <c r="Q251" i="2" s="1"/>
  <c r="R251" i="2" a="1"/>
  <c r="R251" i="2" s="1"/>
  <c r="S251" i="2" a="1"/>
  <c r="S251" i="2" s="1"/>
  <c r="T251" i="2" a="1"/>
  <c r="T251" i="2" s="1"/>
  <c r="U251" i="2" a="1"/>
  <c r="U251" i="2" s="1"/>
  <c r="V251" i="2" a="1"/>
  <c r="V251" i="2" s="1"/>
  <c r="E251" i="2" s="1" a="1"/>
  <c r="E251" i="2" s="1"/>
  <c r="W251" i="2" a="1"/>
  <c r="W251" i="2" s="1"/>
  <c r="BB251" i="2" s="1" a="1"/>
  <c r="BB251" i="2" s="1"/>
  <c r="X251" i="2" a="1"/>
  <c r="X251" i="2" s="1"/>
  <c r="G251" i="2" s="1" a="1"/>
  <c r="G251" i="2" s="1"/>
  <c r="Y251" i="2" a="1"/>
  <c r="Y251" i="2" s="1"/>
  <c r="Z251" i="2" a="1"/>
  <c r="Z251" i="2" s="1"/>
  <c r="AA251" i="2" a="1"/>
  <c r="AA251" i="2" s="1"/>
  <c r="AC251" i="2" a="1"/>
  <c r="AC251" i="2" s="1"/>
  <c r="AD251" i="2" a="1"/>
  <c r="AD251" i="2" s="1"/>
  <c r="AE251" i="2" a="1"/>
  <c r="AE251" i="2" s="1"/>
  <c r="AF251" i="2" a="1"/>
  <c r="AF251" i="2" s="1"/>
  <c r="AG251" i="2" a="1"/>
  <c r="AG251" i="2" s="1"/>
  <c r="AH251" i="2" a="1"/>
  <c r="AH251" i="2" s="1"/>
  <c r="AI251" i="2" a="1"/>
  <c r="AI251" i="2" s="1"/>
  <c r="AJ251" i="2" a="1"/>
  <c r="AJ251" i="2" s="1"/>
  <c r="AK251" i="2" a="1"/>
  <c r="AK251" i="2" s="1"/>
  <c r="AL251" i="2" a="1"/>
  <c r="AL251" i="2" s="1"/>
  <c r="AM251" i="2" a="1"/>
  <c r="AM251" i="2" s="1"/>
  <c r="AN251" i="2" a="1"/>
  <c r="AN251" i="2" s="1"/>
  <c r="AO251" i="2" a="1"/>
  <c r="AO251" i="2" s="1"/>
  <c r="AP251" i="2" a="1"/>
  <c r="AP251" i="2" s="1"/>
  <c r="AQ251" i="2" a="1"/>
  <c r="AQ251" i="2" s="1"/>
  <c r="AR251" i="2" a="1"/>
  <c r="AR251" i="2" s="1"/>
  <c r="AS251" i="2" a="1"/>
  <c r="AS251" i="2" s="1"/>
  <c r="AT251" i="2" a="1"/>
  <c r="AT251" i="2" s="1"/>
  <c r="AU251" i="2" a="1"/>
  <c r="AU251" i="2" s="1"/>
  <c r="AZ251" i="2" a="1"/>
  <c r="AZ251" i="2" s="1"/>
  <c r="BA251" i="2" a="1"/>
  <c r="BA251" i="2" s="1"/>
  <c r="BC251" i="2" a="1"/>
  <c r="BC251" i="2" s="1"/>
  <c r="BD251" i="2" a="1"/>
  <c r="BD251" i="2" s="1"/>
  <c r="F252" i="2" a="1"/>
  <c r="F252" i="2" s="1"/>
  <c r="H252" i="2" a="1"/>
  <c r="H252" i="2" s="1"/>
  <c r="I252" i="2" a="1"/>
  <c r="I252" i="2" s="1"/>
  <c r="J252" i="2" a="1"/>
  <c r="J252" i="2" s="1"/>
  <c r="K252" i="2" a="1"/>
  <c r="K252" i="2" s="1"/>
  <c r="L252" i="2" a="1"/>
  <c r="L252" i="2" s="1"/>
  <c r="M252" i="2" a="1"/>
  <c r="M252" i="2" s="1"/>
  <c r="N252" i="2" a="1"/>
  <c r="N252" i="2" s="1"/>
  <c r="O252" i="2" a="1"/>
  <c r="O252" i="2" s="1"/>
  <c r="P252" i="2" a="1"/>
  <c r="P252" i="2" s="1"/>
  <c r="Q252" i="2" a="1"/>
  <c r="Q252" i="2" s="1"/>
  <c r="R252" i="2" a="1"/>
  <c r="R252" i="2" s="1"/>
  <c r="S252" i="2" a="1"/>
  <c r="S252" i="2" s="1"/>
  <c r="T252" i="2" a="1"/>
  <c r="T252" i="2" s="1"/>
  <c r="U252" i="2" a="1"/>
  <c r="U252" i="2" s="1"/>
  <c r="V252" i="2" a="1"/>
  <c r="V252" i="2" s="1"/>
  <c r="E252" i="2" s="1" a="1"/>
  <c r="E252" i="2" s="1"/>
  <c r="W252" i="2" a="1"/>
  <c r="W252" i="2" s="1"/>
  <c r="BB252" i="2" s="1" a="1"/>
  <c r="BB252" i="2" s="1"/>
  <c r="X252" i="2" a="1"/>
  <c r="X252" i="2" s="1"/>
  <c r="G252" i="2" s="1" a="1"/>
  <c r="G252" i="2" s="1"/>
  <c r="Y252" i="2" a="1"/>
  <c r="Y252" i="2" s="1"/>
  <c r="Z252" i="2" a="1"/>
  <c r="Z252" i="2" s="1"/>
  <c r="AA252" i="2" a="1"/>
  <c r="AA252" i="2" s="1"/>
  <c r="AC252" i="2" a="1"/>
  <c r="AC252" i="2" s="1"/>
  <c r="AD252" i="2" a="1"/>
  <c r="AD252" i="2" s="1"/>
  <c r="AE252" i="2" a="1"/>
  <c r="AE252" i="2" s="1"/>
  <c r="AF252" i="2" a="1"/>
  <c r="AF252" i="2" s="1"/>
  <c r="AG252" i="2" a="1"/>
  <c r="AG252" i="2" s="1"/>
  <c r="AH252" i="2" a="1"/>
  <c r="AH252" i="2" s="1"/>
  <c r="AI252" i="2" a="1"/>
  <c r="AI252" i="2" s="1"/>
  <c r="AJ252" i="2" a="1"/>
  <c r="AJ252" i="2" s="1"/>
  <c r="AK252" i="2" a="1"/>
  <c r="AK252" i="2" s="1"/>
  <c r="AL252" i="2" a="1"/>
  <c r="AL252" i="2" s="1"/>
  <c r="AM252" i="2" a="1"/>
  <c r="AM252" i="2" s="1"/>
  <c r="AN252" i="2" a="1"/>
  <c r="AN252" i="2" s="1"/>
  <c r="AO252" i="2" a="1"/>
  <c r="AO252" i="2" s="1"/>
  <c r="AP252" i="2" a="1"/>
  <c r="AP252" i="2" s="1"/>
  <c r="AQ252" i="2" a="1"/>
  <c r="AQ252" i="2" s="1"/>
  <c r="AR252" i="2" a="1"/>
  <c r="AR252" i="2" s="1"/>
  <c r="AS252" i="2" a="1"/>
  <c r="AS252" i="2" s="1"/>
  <c r="AT252" i="2" a="1"/>
  <c r="AT252" i="2" s="1"/>
  <c r="AU252" i="2" a="1"/>
  <c r="AU252" i="2" s="1"/>
  <c r="AZ252" i="2" a="1"/>
  <c r="AZ252" i="2" s="1"/>
  <c r="BA252" i="2" a="1"/>
  <c r="BA252" i="2" s="1"/>
  <c r="BC252" i="2" a="1"/>
  <c r="BC252" i="2" s="1"/>
  <c r="BD252" i="2" a="1"/>
  <c r="BD252" i="2" s="1"/>
  <c r="F253" i="2" a="1"/>
  <c r="F253" i="2" s="1"/>
  <c r="H253" i="2" a="1"/>
  <c r="H253" i="2" s="1"/>
  <c r="I253" i="2" a="1"/>
  <c r="I253" i="2" s="1"/>
  <c r="J253" i="2" a="1"/>
  <c r="J253" i="2" s="1"/>
  <c r="K253" i="2" a="1"/>
  <c r="K253" i="2" s="1"/>
  <c r="L253" i="2" a="1"/>
  <c r="L253" i="2" s="1"/>
  <c r="M253" i="2" a="1"/>
  <c r="M253" i="2" s="1"/>
  <c r="N253" i="2" a="1"/>
  <c r="N253" i="2" s="1"/>
  <c r="O253" i="2" a="1"/>
  <c r="O253" i="2" s="1"/>
  <c r="P253" i="2" a="1"/>
  <c r="P253" i="2" s="1"/>
  <c r="Q253" i="2" a="1"/>
  <c r="Q253" i="2" s="1"/>
  <c r="R253" i="2" a="1"/>
  <c r="R253" i="2" s="1"/>
  <c r="S253" i="2" a="1"/>
  <c r="S253" i="2" s="1"/>
  <c r="T253" i="2" a="1"/>
  <c r="T253" i="2" s="1"/>
  <c r="U253" i="2" a="1"/>
  <c r="U253" i="2" s="1"/>
  <c r="V253" i="2" a="1"/>
  <c r="V253" i="2" s="1"/>
  <c r="E253" i="2" s="1" a="1"/>
  <c r="E253" i="2" s="1"/>
  <c r="W253" i="2" a="1"/>
  <c r="W253" i="2" s="1"/>
  <c r="BB253" i="2" s="1" a="1"/>
  <c r="BB253" i="2" s="1"/>
  <c r="X253" i="2" a="1"/>
  <c r="X253" i="2" s="1"/>
  <c r="G253" i="2" s="1" a="1"/>
  <c r="G253" i="2" s="1"/>
  <c r="Y253" i="2" a="1"/>
  <c r="Y253" i="2" s="1"/>
  <c r="Z253" i="2" a="1"/>
  <c r="Z253" i="2" s="1"/>
  <c r="AA253" i="2" a="1"/>
  <c r="AA253" i="2" s="1"/>
  <c r="AC253" i="2" a="1"/>
  <c r="AC253" i="2" s="1"/>
  <c r="AD253" i="2" a="1"/>
  <c r="AD253" i="2" s="1"/>
  <c r="AE253" i="2" a="1"/>
  <c r="AE253" i="2" s="1"/>
  <c r="AF253" i="2" a="1"/>
  <c r="AF253" i="2" s="1"/>
  <c r="AG253" i="2" a="1"/>
  <c r="AG253" i="2" s="1"/>
  <c r="AH253" i="2" a="1"/>
  <c r="AH253" i="2" s="1"/>
  <c r="AI253" i="2" a="1"/>
  <c r="AI253" i="2" s="1"/>
  <c r="AJ253" i="2" a="1"/>
  <c r="AJ253" i="2" s="1"/>
  <c r="AK253" i="2" a="1"/>
  <c r="AK253" i="2" s="1"/>
  <c r="AL253" i="2" a="1"/>
  <c r="AL253" i="2" s="1"/>
  <c r="AM253" i="2" a="1"/>
  <c r="AM253" i="2" s="1"/>
  <c r="AN253" i="2" a="1"/>
  <c r="AN253" i="2" s="1"/>
  <c r="AO253" i="2" a="1"/>
  <c r="AO253" i="2" s="1"/>
  <c r="AP253" i="2" a="1"/>
  <c r="AP253" i="2" s="1"/>
  <c r="AQ253" i="2" a="1"/>
  <c r="AQ253" i="2" s="1"/>
  <c r="AR253" i="2" a="1"/>
  <c r="AR253" i="2" s="1"/>
  <c r="AS253" i="2" a="1"/>
  <c r="AS253" i="2" s="1"/>
  <c r="AT253" i="2" a="1"/>
  <c r="AT253" i="2" s="1"/>
  <c r="AU253" i="2" a="1"/>
  <c r="AU253" i="2" s="1"/>
  <c r="AZ253" i="2" a="1"/>
  <c r="AZ253" i="2" s="1"/>
  <c r="BA253" i="2" a="1"/>
  <c r="BA253" i="2" s="1"/>
  <c r="BC253" i="2" a="1"/>
  <c r="BC253" i="2" s="1"/>
  <c r="BD253" i="2" a="1"/>
  <c r="BD253" i="2" s="1"/>
  <c r="F254" i="2" a="1"/>
  <c r="F254" i="2" s="1"/>
  <c r="H254" i="2" a="1"/>
  <c r="H254" i="2" s="1"/>
  <c r="I254" i="2" a="1"/>
  <c r="I254" i="2" s="1"/>
  <c r="J254" i="2" a="1"/>
  <c r="J254" i="2" s="1"/>
  <c r="K254" i="2" a="1"/>
  <c r="K254" i="2" s="1"/>
  <c r="L254" i="2" a="1"/>
  <c r="L254" i="2" s="1"/>
  <c r="M254" i="2" a="1"/>
  <c r="M254" i="2" s="1"/>
  <c r="N254" i="2" a="1"/>
  <c r="N254" i="2" s="1"/>
  <c r="O254" i="2" a="1"/>
  <c r="O254" i="2" s="1"/>
  <c r="P254" i="2" a="1"/>
  <c r="P254" i="2" s="1"/>
  <c r="Q254" i="2" a="1"/>
  <c r="Q254" i="2" s="1"/>
  <c r="R254" i="2" a="1"/>
  <c r="R254" i="2" s="1"/>
  <c r="S254" i="2" a="1"/>
  <c r="S254" i="2" s="1"/>
  <c r="T254" i="2" a="1"/>
  <c r="T254" i="2" s="1"/>
  <c r="U254" i="2" a="1"/>
  <c r="U254" i="2" s="1"/>
  <c r="V254" i="2" a="1"/>
  <c r="V254" i="2" s="1"/>
  <c r="E254" i="2" s="1" a="1"/>
  <c r="E254" i="2" s="1"/>
  <c r="W254" i="2" a="1"/>
  <c r="W254" i="2" s="1"/>
  <c r="BB254" i="2" s="1" a="1"/>
  <c r="BB254" i="2" s="1"/>
  <c r="X254" i="2" a="1"/>
  <c r="X254" i="2" s="1"/>
  <c r="G254" i="2" s="1" a="1"/>
  <c r="G254" i="2" s="1"/>
  <c r="Y254" i="2" a="1"/>
  <c r="Y254" i="2" s="1"/>
  <c r="Z254" i="2" a="1"/>
  <c r="Z254" i="2" s="1"/>
  <c r="AA254" i="2" a="1"/>
  <c r="AA254" i="2" s="1"/>
  <c r="AC254" i="2" a="1"/>
  <c r="AC254" i="2" s="1"/>
  <c r="AD254" i="2" a="1"/>
  <c r="AD254" i="2" s="1"/>
  <c r="AE254" i="2" a="1"/>
  <c r="AE254" i="2" s="1"/>
  <c r="AF254" i="2" a="1"/>
  <c r="AF254" i="2" s="1"/>
  <c r="AG254" i="2" a="1"/>
  <c r="AG254" i="2" s="1"/>
  <c r="AH254" i="2" a="1"/>
  <c r="AH254" i="2" s="1"/>
  <c r="AI254" i="2" a="1"/>
  <c r="AI254" i="2" s="1"/>
  <c r="AJ254" i="2" a="1"/>
  <c r="AJ254" i="2" s="1"/>
  <c r="AK254" i="2" a="1"/>
  <c r="AK254" i="2" s="1"/>
  <c r="AL254" i="2" a="1"/>
  <c r="AL254" i="2" s="1"/>
  <c r="AM254" i="2" a="1"/>
  <c r="AM254" i="2" s="1"/>
  <c r="AN254" i="2" a="1"/>
  <c r="AN254" i="2" s="1"/>
  <c r="AO254" i="2" a="1"/>
  <c r="AO254" i="2" s="1"/>
  <c r="AP254" i="2" a="1"/>
  <c r="AP254" i="2" s="1"/>
  <c r="AQ254" i="2" a="1"/>
  <c r="AQ254" i="2" s="1"/>
  <c r="AR254" i="2" a="1"/>
  <c r="AR254" i="2" s="1"/>
  <c r="AS254" i="2" a="1"/>
  <c r="AS254" i="2" s="1"/>
  <c r="AT254" i="2" a="1"/>
  <c r="AT254" i="2" s="1"/>
  <c r="AU254" i="2" a="1"/>
  <c r="AU254" i="2" s="1"/>
  <c r="AZ254" i="2" a="1"/>
  <c r="AZ254" i="2" s="1"/>
  <c r="BA254" i="2" a="1"/>
  <c r="BA254" i="2" s="1"/>
  <c r="BC254" i="2" a="1"/>
  <c r="BC254" i="2" s="1"/>
  <c r="BD254" i="2" a="1"/>
  <c r="BD254" i="2" s="1"/>
  <c r="F255" i="2" a="1"/>
  <c r="F255" i="2" s="1"/>
  <c r="H255" i="2" a="1"/>
  <c r="H255" i="2" s="1"/>
  <c r="I255" i="2" a="1"/>
  <c r="I255" i="2" s="1"/>
  <c r="J255" i="2" a="1"/>
  <c r="J255" i="2" s="1"/>
  <c r="K255" i="2" a="1"/>
  <c r="K255" i="2" s="1"/>
  <c r="L255" i="2" a="1"/>
  <c r="L255" i="2" s="1"/>
  <c r="M255" i="2" a="1"/>
  <c r="M255" i="2" s="1"/>
  <c r="N255" i="2" a="1"/>
  <c r="N255" i="2" s="1"/>
  <c r="O255" i="2" a="1"/>
  <c r="O255" i="2" s="1"/>
  <c r="P255" i="2" a="1"/>
  <c r="P255" i="2" s="1"/>
  <c r="Q255" i="2" a="1"/>
  <c r="Q255" i="2" s="1"/>
  <c r="R255" i="2" a="1"/>
  <c r="R255" i="2" s="1"/>
  <c r="S255" i="2" a="1"/>
  <c r="S255" i="2" s="1"/>
  <c r="T255" i="2" a="1"/>
  <c r="T255" i="2" s="1"/>
  <c r="U255" i="2" a="1"/>
  <c r="U255" i="2" s="1"/>
  <c r="V255" i="2" a="1"/>
  <c r="V255" i="2" s="1"/>
  <c r="E255" i="2" s="1" a="1"/>
  <c r="E255" i="2" s="1"/>
  <c r="W255" i="2" a="1"/>
  <c r="W255" i="2" s="1"/>
  <c r="BB255" i="2" s="1" a="1"/>
  <c r="BB255" i="2" s="1"/>
  <c r="X255" i="2" a="1"/>
  <c r="X255" i="2" s="1"/>
  <c r="G255" i="2" s="1" a="1"/>
  <c r="G255" i="2" s="1"/>
  <c r="Y255" i="2" a="1"/>
  <c r="Y255" i="2" s="1"/>
  <c r="Z255" i="2" a="1"/>
  <c r="Z255" i="2" s="1"/>
  <c r="AA255" i="2" a="1"/>
  <c r="AA255" i="2" s="1"/>
  <c r="AC255" i="2" a="1"/>
  <c r="AC255" i="2" s="1"/>
  <c r="AD255" i="2" a="1"/>
  <c r="AD255" i="2" s="1"/>
  <c r="AE255" i="2" a="1"/>
  <c r="AE255" i="2" s="1"/>
  <c r="AF255" i="2" a="1"/>
  <c r="AF255" i="2" s="1"/>
  <c r="AG255" i="2" a="1"/>
  <c r="AG255" i="2" s="1"/>
  <c r="AH255" i="2" a="1"/>
  <c r="AH255" i="2" s="1"/>
  <c r="AI255" i="2" a="1"/>
  <c r="AI255" i="2" s="1"/>
  <c r="AJ255" i="2" a="1"/>
  <c r="AJ255" i="2" s="1"/>
  <c r="AK255" i="2" a="1"/>
  <c r="AK255" i="2" s="1"/>
  <c r="AL255" i="2" a="1"/>
  <c r="AL255" i="2" s="1"/>
  <c r="AM255" i="2" a="1"/>
  <c r="AM255" i="2" s="1"/>
  <c r="AN255" i="2" a="1"/>
  <c r="AN255" i="2" s="1"/>
  <c r="AO255" i="2" a="1"/>
  <c r="AO255" i="2" s="1"/>
  <c r="AP255" i="2" a="1"/>
  <c r="AP255" i="2" s="1"/>
  <c r="AQ255" i="2" a="1"/>
  <c r="AQ255" i="2" s="1"/>
  <c r="AR255" i="2" a="1"/>
  <c r="AR255" i="2" s="1"/>
  <c r="AS255" i="2" a="1"/>
  <c r="AS255" i="2" s="1"/>
  <c r="AT255" i="2" a="1"/>
  <c r="AT255" i="2" s="1"/>
  <c r="AU255" i="2" a="1"/>
  <c r="AU255" i="2" s="1"/>
  <c r="AZ255" i="2" a="1"/>
  <c r="AZ255" i="2" s="1"/>
  <c r="BA255" i="2" a="1"/>
  <c r="BA255" i="2" s="1"/>
  <c r="BC255" i="2" a="1"/>
  <c r="BC255" i="2" s="1"/>
  <c r="BD255" i="2" a="1"/>
  <c r="BD255" i="2" s="1"/>
  <c r="AZ230" i="2" a="1"/>
  <c r="AZ230" i="2" s="1"/>
  <c r="BA230" i="2" a="1"/>
  <c r="BA230" i="2" s="1"/>
  <c r="BC230" i="2" a="1"/>
  <c r="BC230" i="2" s="1"/>
  <c r="BD230" i="2" a="1"/>
  <c r="BD230" i="2" s="1"/>
  <c r="D230" i="2" a="1"/>
  <c r="D230" i="2" s="1"/>
  <c r="F230" i="2" a="1"/>
  <c r="F230" i="2" s="1"/>
  <c r="E3" i="2"/>
  <c r="D244" i="2" s="1" a="1"/>
  <c r="D244" i="2" s="1"/>
  <c r="E140" i="2"/>
  <c r="E141" i="2"/>
  <c r="E142" i="2"/>
  <c r="E143" i="2"/>
  <c r="E144" i="2"/>
  <c r="E145" i="2"/>
  <c r="E146" i="2"/>
  <c r="E147" i="2"/>
  <c r="E148" i="2"/>
  <c r="E91" i="2"/>
  <c r="E92" i="2"/>
  <c r="E93" i="2"/>
  <c r="E36" i="2"/>
  <c r="E37" i="2"/>
  <c r="E38" i="2"/>
  <c r="E17" i="2"/>
  <c r="E18" i="2"/>
  <c r="E19" i="2"/>
  <c r="E68" i="2"/>
  <c r="D248" i="2" s="1" a="1"/>
  <c r="D248" i="2" s="1"/>
  <c r="E67" i="2"/>
  <c r="E66" i="2"/>
  <c r="E121" i="2"/>
  <c r="E122" i="2"/>
  <c r="E123" i="2"/>
  <c r="E173" i="2"/>
  <c r="E174" i="2"/>
  <c r="E175" i="2"/>
  <c r="E100" i="2"/>
  <c r="E101" i="2"/>
  <c r="E102" i="2"/>
  <c r="E48" i="2"/>
  <c r="E49" i="2"/>
  <c r="E50" i="2"/>
  <c r="E183" i="2"/>
  <c r="E184" i="2"/>
  <c r="E185" i="2"/>
  <c r="E155" i="2"/>
  <c r="E156" i="2"/>
  <c r="E157" i="2"/>
  <c r="D249" i="2" s="1" a="1"/>
  <c r="D249" i="2" s="1"/>
  <c r="E192" i="2"/>
  <c r="E193" i="2"/>
  <c r="D240" i="2" s="1" a="1"/>
  <c r="D240" i="2" s="1"/>
  <c r="E194" i="2"/>
  <c r="E113" i="2"/>
  <c r="D242" i="2" s="1" a="1"/>
  <c r="D242" i="2" s="1"/>
  <c r="E114" i="2"/>
  <c r="E115" i="2"/>
  <c r="E164" i="2"/>
  <c r="D241" i="2" s="1" a="1"/>
  <c r="D241" i="2" s="1"/>
  <c r="E165" i="2"/>
  <c r="E166" i="2"/>
  <c r="E57" i="2"/>
  <c r="E58" i="2"/>
  <c r="E59" i="2"/>
  <c r="E195" i="2"/>
  <c r="E196" i="2"/>
  <c r="E197" i="2"/>
  <c r="E198" i="2"/>
  <c r="E130" i="2"/>
  <c r="E131" i="2"/>
  <c r="E132" i="2"/>
  <c r="E133" i="2"/>
  <c r="E5" i="2"/>
  <c r="E6" i="2"/>
  <c r="E7" i="2"/>
  <c r="E8" i="2"/>
  <c r="E134" i="2"/>
  <c r="E135" i="2"/>
  <c r="E136" i="2"/>
  <c r="E65" i="2"/>
  <c r="E64" i="2"/>
  <c r="E63" i="2"/>
  <c r="E118" i="2"/>
  <c r="E119" i="2"/>
  <c r="E120" i="2"/>
  <c r="E161" i="2"/>
  <c r="E162" i="2"/>
  <c r="E163" i="2"/>
  <c r="E54" i="2"/>
  <c r="E190" i="2"/>
  <c r="E191" i="2"/>
  <c r="E98" i="2"/>
  <c r="E171" i="2"/>
  <c r="E46" i="2"/>
  <c r="E9" i="2"/>
  <c r="E116" i="2"/>
  <c r="E10" i="2"/>
  <c r="D252" i="2" s="1" a="1"/>
  <c r="D252" i="2" s="1"/>
  <c r="E117" i="2"/>
  <c r="E20" i="2"/>
  <c r="D234" i="2" s="1" a="1"/>
  <c r="D234" i="2" s="1"/>
  <c r="B238" i="2" a="1"/>
  <c r="B238" i="2" s="1"/>
  <c r="B239" i="2" a="1"/>
  <c r="B239" i="2" s="1"/>
  <c r="B240" i="2" a="1"/>
  <c r="B240" i="2" s="1"/>
  <c r="B243" i="2" a="1"/>
  <c r="B243" i="2" s="1"/>
  <c r="B244" i="2" a="1"/>
  <c r="B244" i="2" s="1"/>
  <c r="B245" i="2" a="1"/>
  <c r="B245" i="2" s="1"/>
  <c r="B246" i="2" a="1"/>
  <c r="B246" i="2" s="1"/>
  <c r="B248" i="2" a="1"/>
  <c r="B248" i="2" s="1"/>
  <c r="B250" i="2" a="1"/>
  <c r="B250" i="2" s="1"/>
  <c r="B251" i="2" a="1"/>
  <c r="B251" i="2" s="1"/>
  <c r="B252" i="2" a="1"/>
  <c r="B252" i="2" s="1"/>
  <c r="B253" i="2" a="1"/>
  <c r="B253" i="2" s="1"/>
  <c r="B254" i="2" a="1"/>
  <c r="B254" i="2" s="1"/>
  <c r="B255" i="2" a="1"/>
  <c r="B255" i="2" s="1"/>
  <c r="B232" i="2" a="1"/>
  <c r="B232" i="2" s="1"/>
  <c r="B233" i="2" a="1"/>
  <c r="B233" i="2" s="1"/>
  <c r="B234" i="2" a="1"/>
  <c r="B234" i="2" s="1"/>
  <c r="B235" i="2" a="1"/>
  <c r="B235" i="2" s="1"/>
  <c r="B236" i="2" a="1"/>
  <c r="B236" i="2" s="1"/>
  <c r="H230" i="2" a="1"/>
  <c r="H230" i="2" s="1"/>
  <c r="I230" i="2" a="1"/>
  <c r="I230" i="2" s="1"/>
  <c r="J230" i="2" a="1"/>
  <c r="J230" i="2" s="1"/>
  <c r="K230" i="2" a="1"/>
  <c r="K230" i="2" s="1"/>
  <c r="L230" i="2" a="1"/>
  <c r="L230" i="2" s="1"/>
  <c r="M230" i="2" a="1"/>
  <c r="M230" i="2" s="1"/>
  <c r="N230" i="2" a="1"/>
  <c r="N230" i="2" s="1"/>
  <c r="O230" i="2" a="1"/>
  <c r="O230" i="2" s="1"/>
  <c r="P230" i="2" a="1"/>
  <c r="P230" i="2" s="1"/>
  <c r="Q230" i="2" a="1"/>
  <c r="Q230" i="2" s="1"/>
  <c r="R230" i="2" a="1"/>
  <c r="R230" i="2" s="1"/>
  <c r="S230" i="2" a="1"/>
  <c r="S230" i="2" s="1"/>
  <c r="T230" i="2" a="1"/>
  <c r="T230" i="2" s="1"/>
  <c r="U230" i="2" a="1"/>
  <c r="U230" i="2" s="1"/>
  <c r="V230" i="2" a="1"/>
  <c r="V230" i="2" s="1"/>
  <c r="E230" i="2" s="1" a="1"/>
  <c r="E230" i="2" s="1"/>
  <c r="W230" i="2" a="1"/>
  <c r="W230" i="2" s="1"/>
  <c r="X230" i="2" a="1"/>
  <c r="X230" i="2" s="1"/>
  <c r="Y230" i="2" a="1"/>
  <c r="Y230" i="2" s="1"/>
  <c r="Z230" i="2" a="1"/>
  <c r="Z230" i="2" s="1"/>
  <c r="AC230" i="2" a="1"/>
  <c r="AC230" i="2" s="1"/>
  <c r="AD230" i="2" a="1"/>
  <c r="AD230" i="2" s="1"/>
  <c r="AE230" i="2" a="1"/>
  <c r="AE230" i="2" s="1"/>
  <c r="AF230" i="2" a="1"/>
  <c r="AF230" i="2" s="1"/>
  <c r="AG230" i="2" a="1"/>
  <c r="AG230" i="2" s="1"/>
  <c r="AH230" i="2" a="1"/>
  <c r="AH230" i="2" s="1"/>
  <c r="AI230" i="2" a="1"/>
  <c r="AI230" i="2" s="1"/>
  <c r="AJ230" i="2" a="1"/>
  <c r="AJ230" i="2" s="1"/>
  <c r="AK230" i="2" a="1"/>
  <c r="AK230" i="2" s="1"/>
  <c r="AL230" i="2" a="1"/>
  <c r="AL230" i="2" s="1"/>
  <c r="AM230" i="2" a="1"/>
  <c r="AM230" i="2" s="1"/>
  <c r="AN230" i="2" a="1"/>
  <c r="AN230" i="2" s="1"/>
  <c r="AO230" i="2" a="1"/>
  <c r="AO230" i="2" s="1"/>
  <c r="AP230" i="2" a="1"/>
  <c r="AP230" i="2" s="1"/>
  <c r="AQ230" i="2" a="1"/>
  <c r="AQ230" i="2" s="1"/>
  <c r="AR230" i="2" a="1"/>
  <c r="AR230" i="2" s="1"/>
  <c r="AS230" i="2" a="1"/>
  <c r="AS230" i="2" s="1"/>
  <c r="AT230" i="2" a="1"/>
  <c r="AT230" i="2" s="1"/>
  <c r="AU230" i="2" a="1"/>
  <c r="AU230" i="2" s="1"/>
  <c r="G231" i="2" l="1" a="1"/>
  <c r="G231" i="2" s="1"/>
  <c r="G397" i="2" a="1"/>
  <c r="G397" i="2" s="1"/>
  <c r="G366" i="2" a="1"/>
  <c r="G366" i="2" s="1"/>
  <c r="G431" i="2" a="1"/>
  <c r="G431" i="2" s="1"/>
  <c r="G688" i="2" a="1"/>
  <c r="G688" i="2" s="1"/>
  <c r="G540" i="2" a="1"/>
  <c r="G540" i="2" s="1"/>
  <c r="G534" i="2" a="1"/>
  <c r="G534" i="2" s="1"/>
  <c r="G722" i="2" a="1"/>
  <c r="G722" i="2" s="1"/>
  <c r="G516" i="2" a="1"/>
  <c r="G516" i="2" s="1"/>
  <c r="G609" i="2" a="1"/>
  <c r="G609" i="2" s="1"/>
  <c r="G583" i="2" a="1"/>
  <c r="G583" i="2" s="1"/>
  <c r="G329" i="2" a="1"/>
  <c r="G329" i="2" s="1"/>
  <c r="G462" i="2" a="1"/>
  <c r="G462" i="2" s="1"/>
  <c r="G437" i="2" a="1"/>
  <c r="G437" i="2" s="1"/>
  <c r="G273" i="2" a="1"/>
  <c r="G273" i="2" s="1"/>
  <c r="G369" i="2" a="1"/>
  <c r="G369" i="2" s="1"/>
  <c r="G403" i="2" a="1"/>
  <c r="G403" i="2" s="1"/>
  <c r="G314" i="2" a="1"/>
  <c r="G314" i="2" s="1"/>
  <c r="G281" i="2" a="1"/>
  <c r="G281" i="2" s="1"/>
  <c r="G499" i="2" a="1"/>
  <c r="G499" i="2" s="1"/>
  <c r="G533" i="2" a="1"/>
  <c r="G533" i="2" s="1"/>
  <c r="G465" i="2" a="1"/>
  <c r="G465" i="2" s="1"/>
  <c r="G435" i="2" a="1"/>
  <c r="G435" i="2" s="1"/>
  <c r="G346" i="2" a="1"/>
  <c r="G346" i="2" s="1"/>
  <c r="G267" i="2" a="1"/>
  <c r="G267" i="2" s="1"/>
  <c r="G303" i="2" a="1"/>
  <c r="G303" i="2" s="1"/>
  <c r="G340" i="2" a="1"/>
  <c r="G340" i="2" s="1"/>
  <c r="G571" i="2" a="1"/>
  <c r="G571" i="2" s="1"/>
  <c r="G575" i="2" a="1"/>
  <c r="G575" i="2" s="1"/>
  <c r="G508" i="2" a="1"/>
  <c r="G508" i="2" s="1"/>
  <c r="G507" i="2" a="1"/>
  <c r="G507" i="2" s="1"/>
  <c r="G549" i="2" a="1"/>
  <c r="G549" i="2" s="1"/>
  <c r="G447" i="2" a="1"/>
  <c r="G447" i="2" s="1"/>
  <c r="G407" i="2" a="1"/>
  <c r="G407" i="2" s="1"/>
  <c r="G414" i="2" a="1"/>
  <c r="G414" i="2" s="1"/>
  <c r="G440" i="2" a="1"/>
  <c r="G440" i="2" s="1"/>
  <c r="G481" i="2" a="1"/>
  <c r="G481" i="2" s="1"/>
  <c r="G280" i="2" a="1"/>
  <c r="G280" i="2" s="1"/>
  <c r="G480" i="2" a="1"/>
  <c r="G480" i="2" s="1"/>
  <c r="G498" i="2" a="1"/>
  <c r="G498" i="2" s="1"/>
  <c r="G570" i="2" a="1"/>
  <c r="G570" i="2" s="1"/>
  <c r="G651" i="2" a="1"/>
  <c r="G651" i="2" s="1"/>
  <c r="G650" i="2" a="1"/>
  <c r="G650" i="2" s="1"/>
  <c r="G295" i="2" a="1"/>
  <c r="G295" i="2" s="1"/>
  <c r="G328" i="2" a="1"/>
  <c r="G328" i="2" s="1"/>
  <c r="G515" i="2" a="1"/>
  <c r="G515" i="2" s="1"/>
  <c r="G548" i="2" a="1"/>
  <c r="G548" i="2" s="1"/>
  <c r="G563" i="2" a="1"/>
  <c r="G563" i="2" s="1"/>
  <c r="G495" i="2" a="1"/>
  <c r="G495" i="2" s="1"/>
  <c r="G461" i="2" a="1"/>
  <c r="G461" i="2" s="1"/>
  <c r="G310" i="2" a="1"/>
  <c r="G310" i="2" s="1"/>
  <c r="G343" i="2" a="1"/>
  <c r="G343" i="2" s="1"/>
  <c r="G277" i="2" a="1"/>
  <c r="G277" i="2" s="1"/>
  <c r="G345" i="2" a="1"/>
  <c r="G345" i="2" s="1"/>
  <c r="G438" i="2" a="1"/>
  <c r="G438" i="2" s="1"/>
  <c r="G405" i="2" a="1"/>
  <c r="G405" i="2" s="1"/>
  <c r="G264" i="2" a="1"/>
  <c r="G264" i="2" s="1"/>
  <c r="G330" i="2" a="1"/>
  <c r="G330" i="2" s="1"/>
  <c r="G429" i="2" a="1"/>
  <c r="G429" i="2" s="1"/>
  <c r="G309" i="2" a="1"/>
  <c r="G309" i="2" s="1"/>
  <c r="G600" i="2" a="1"/>
  <c r="G600" i="2" s="1"/>
  <c r="G636" i="2" a="1"/>
  <c r="G636" i="2" s="1"/>
  <c r="G724" i="2" a="1"/>
  <c r="G724" i="2" s="1"/>
  <c r="G517" i="2" a="1"/>
  <c r="G517" i="2" s="1"/>
  <c r="G601" i="2" a="1"/>
  <c r="G601" i="2" s="1"/>
  <c r="G619" i="2" a="1"/>
  <c r="G619" i="2" s="1"/>
  <c r="G611" i="2" a="1"/>
  <c r="G611" i="2" s="1"/>
  <c r="G588" i="2" a="1"/>
  <c r="G588" i="2" s="1"/>
  <c r="G618" i="2" a="1"/>
  <c r="G618" i="2" s="1"/>
  <c r="G635" i="2" a="1"/>
  <c r="G635" i="2" s="1"/>
  <c r="G647" i="2" a="1"/>
  <c r="G647" i="2" s="1"/>
  <c r="G654" i="2" a="1"/>
  <c r="G654" i="2" s="1"/>
  <c r="G546" i="2" a="1"/>
  <c r="G546" i="2" s="1"/>
  <c r="G725" i="2" a="1"/>
  <c r="G725" i="2" s="1"/>
  <c r="G554" i="2" a="1"/>
  <c r="G554" i="2" s="1"/>
  <c r="G641" i="2" a="1"/>
  <c r="G641" i="2" s="1"/>
  <c r="G653" i="2" a="1"/>
  <c r="G653" i="2" s="1"/>
  <c r="G670" i="2" a="1"/>
  <c r="G670" i="2" s="1"/>
  <c r="G677" i="2" a="1"/>
  <c r="G677" i="2" s="1"/>
  <c r="G504" i="2" a="1"/>
  <c r="G504" i="2" s="1"/>
  <c r="G580" i="2" a="1"/>
  <c r="G580" i="2" s="1"/>
  <c r="G610" i="2" a="1"/>
  <c r="G610" i="2" s="1"/>
  <c r="G623" i="2" a="1"/>
  <c r="G623" i="2" s="1"/>
  <c r="G676" i="2" a="1"/>
  <c r="G676" i="2" s="1"/>
  <c r="G711" i="2" a="1"/>
  <c r="G711" i="2" s="1"/>
  <c r="G682" i="2" a="1"/>
  <c r="G682" i="2" s="1"/>
  <c r="G521" i="2" a="1"/>
  <c r="G521" i="2" s="1"/>
  <c r="G599" i="2" a="1"/>
  <c r="G599" i="2" s="1"/>
  <c r="G505" i="2" a="1"/>
  <c r="G505" i="2" s="1"/>
  <c r="G587" i="2" a="1"/>
  <c r="G587" i="2" s="1"/>
  <c r="G675" i="2" a="1"/>
  <c r="G675" i="2" s="1"/>
  <c r="G681" i="2" a="1"/>
  <c r="G681" i="2" s="1"/>
  <c r="G716" i="2" a="1"/>
  <c r="G716" i="2" s="1"/>
  <c r="G706" i="2" a="1"/>
  <c r="G706" i="2" s="1"/>
  <c r="G544" i="2" a="1"/>
  <c r="G544" i="2" s="1"/>
  <c r="G545" i="2" a="1"/>
  <c r="G545" i="2" s="1"/>
  <c r="G655" i="2" a="1"/>
  <c r="G655" i="2" s="1"/>
  <c r="G680" i="2" a="1"/>
  <c r="G680" i="2" s="1"/>
  <c r="G646" i="2" a="1"/>
  <c r="G646" i="2" s="1"/>
  <c r="G710" i="2" a="1"/>
  <c r="G710" i="2" s="1"/>
  <c r="G704" i="2" a="1"/>
  <c r="G704" i="2" s="1"/>
  <c r="G708" i="2" a="1"/>
  <c r="G708" i="2" s="1"/>
  <c r="G723" i="2" a="1"/>
  <c r="G723" i="2" s="1"/>
  <c r="G510" i="2" a="1"/>
  <c r="G510" i="2" s="1"/>
  <c r="G568" i="2" a="1"/>
  <c r="G568" i="2" s="1"/>
  <c r="G678" i="2" a="1"/>
  <c r="G678" i="2" s="1"/>
  <c r="G565" i="2" a="1"/>
  <c r="G565" i="2" s="1"/>
  <c r="G622" i="2" a="1"/>
  <c r="G622" i="2" s="1"/>
  <c r="G518" i="2" a="1"/>
  <c r="G518" i="2" s="1"/>
  <c r="G679" i="2" a="1"/>
  <c r="G679" i="2" s="1"/>
  <c r="G616" i="2" a="1"/>
  <c r="G616" i="2" s="1"/>
  <c r="G567" i="2" a="1"/>
  <c r="G567" i="2" s="1"/>
  <c r="G586" i="2" a="1"/>
  <c r="G586" i="2" s="1"/>
  <c r="G712" i="2" a="1"/>
  <c r="G712" i="2" s="1"/>
  <c r="G648" i="2" a="1"/>
  <c r="G648" i="2" s="1"/>
  <c r="G645" i="2" a="1"/>
  <c r="G645" i="2" s="1"/>
  <c r="G703" i="2" a="1"/>
  <c r="G703" i="2" s="1"/>
  <c r="G669" i="2" a="1"/>
  <c r="G669" i="2" s="1"/>
  <c r="G511" i="2" a="1"/>
  <c r="G511" i="2" s="1"/>
  <c r="G509" i="2" a="1"/>
  <c r="G509" i="2" s="1"/>
  <c r="G585" i="2" a="1"/>
  <c r="G585" i="2" s="1"/>
  <c r="G668" i="2" a="1"/>
  <c r="G668" i="2" s="1"/>
  <c r="G721" i="2" a="1"/>
  <c r="G721" i="2" s="1"/>
  <c r="G552" i="2" a="1"/>
  <c r="G552" i="2" s="1"/>
  <c r="G532" i="2" a="1"/>
  <c r="G532" i="2" s="1"/>
  <c r="G602" i="2" a="1"/>
  <c r="G602" i="2" s="1"/>
  <c r="G574" i="2" a="1"/>
  <c r="G574" i="2" s="1"/>
  <c r="G621" i="2" a="1"/>
  <c r="G621" i="2" s="1"/>
  <c r="G530" i="2" a="1"/>
  <c r="G530" i="2" s="1"/>
  <c r="G691" i="2" a="1"/>
  <c r="G691" i="2" s="1"/>
  <c r="G715" i="2" a="1"/>
  <c r="G715" i="2" s="1"/>
  <c r="G617" i="2" a="1"/>
  <c r="G617" i="2" s="1"/>
  <c r="G520" i="2" a="1"/>
  <c r="G520" i="2" s="1"/>
  <c r="G620" i="2" a="1"/>
  <c r="G620" i="2" s="1"/>
  <c r="G579" i="2" a="1"/>
  <c r="G579" i="2" s="1"/>
  <c r="G644" i="2" a="1"/>
  <c r="G644" i="2" s="1"/>
  <c r="G578" i="2" a="1"/>
  <c r="G578" i="2" s="1"/>
  <c r="G633" i="2" a="1"/>
  <c r="G633" i="2" s="1"/>
  <c r="G709" i="2" a="1"/>
  <c r="G709" i="2" s="1"/>
  <c r="G496" i="2" a="1"/>
  <c r="G496" i="2" s="1"/>
  <c r="G543" i="2" a="1"/>
  <c r="G543" i="2" s="1"/>
  <c r="G643" i="2" a="1"/>
  <c r="G643" i="2" s="1"/>
  <c r="G667" i="2" a="1"/>
  <c r="G667" i="2" s="1"/>
  <c r="G714" i="2" a="1"/>
  <c r="G714" i="2" s="1"/>
  <c r="G657" i="2" a="1"/>
  <c r="G657" i="2" s="1"/>
  <c r="G502" i="2" a="1"/>
  <c r="G502" i="2" s="1"/>
  <c r="G531" i="2" a="1"/>
  <c r="G531" i="2" s="1"/>
  <c r="G566" i="2" a="1"/>
  <c r="G566" i="2" s="1"/>
  <c r="G666" i="2" a="1"/>
  <c r="G666" i="2" s="1"/>
  <c r="G614" i="2" a="1"/>
  <c r="G614" i="2" s="1"/>
  <c r="G690" i="2" a="1"/>
  <c r="G690" i="2" s="1"/>
  <c r="G589" i="2" a="1"/>
  <c r="G589" i="2" s="1"/>
  <c r="G512" i="2" a="1"/>
  <c r="G512" i="2" s="1"/>
  <c r="G519" i="2" a="1"/>
  <c r="G519" i="2" s="1"/>
  <c r="G584" i="2" a="1"/>
  <c r="G584" i="2" s="1"/>
  <c r="G555" i="2" a="1"/>
  <c r="G555" i="2" s="1"/>
  <c r="G689" i="2" a="1"/>
  <c r="G689" i="2" s="1"/>
  <c r="G638" i="2" a="1"/>
  <c r="G638" i="2" s="1"/>
  <c r="G673" i="2" a="1"/>
  <c r="G673" i="2" s="1"/>
  <c r="G713" i="2" a="1"/>
  <c r="G713" i="2" s="1"/>
  <c r="G656" i="2" a="1"/>
  <c r="G656" i="2" s="1"/>
  <c r="G553" i="2" a="1"/>
  <c r="G553" i="2" s="1"/>
  <c r="G612" i="2" a="1"/>
  <c r="G612" i="2" s="1"/>
  <c r="G642" i="2" a="1"/>
  <c r="G642" i="2" s="1"/>
  <c r="G613" i="2" a="1"/>
  <c r="G613" i="2" s="1"/>
  <c r="G672" i="2" a="1"/>
  <c r="G672" i="2" s="1"/>
  <c r="G674" i="2" a="1"/>
  <c r="G674" i="2" s="1"/>
  <c r="G707" i="2" a="1"/>
  <c r="G707" i="2" s="1"/>
  <c r="G719" i="2" a="1"/>
  <c r="G719" i="2" s="1"/>
  <c r="G417" i="2" a="1"/>
  <c r="G417" i="2" s="1"/>
  <c r="G478" i="2" a="1"/>
  <c r="G478" i="2" s="1"/>
  <c r="G286" i="2" a="1"/>
  <c r="G286" i="2" s="1"/>
  <c r="G486" i="2" a="1"/>
  <c r="G486" i="2" s="1"/>
  <c r="G449" i="2" a="1"/>
  <c r="G449" i="2" s="1"/>
  <c r="G298" i="2" a="1"/>
  <c r="G298" i="2" s="1"/>
  <c r="G416" i="2" a="1"/>
  <c r="G416" i="2" s="1"/>
  <c r="G282" i="2" a="1"/>
  <c r="G282" i="2" s="1"/>
  <c r="G453" i="2" a="1"/>
  <c r="G453" i="2" s="1"/>
  <c r="G383" i="2" a="1"/>
  <c r="G383" i="2" s="1"/>
  <c r="G485" i="2" a="1"/>
  <c r="G485" i="2" s="1"/>
  <c r="G308" i="2" a="1"/>
  <c r="G308" i="2" s="1"/>
  <c r="G452" i="2" a="1"/>
  <c r="G452" i="2" s="1"/>
  <c r="G487" i="2" a="1"/>
  <c r="G487" i="2" s="1"/>
  <c r="G318" i="2" a="1"/>
  <c r="G318" i="2" s="1"/>
  <c r="G384" i="2" a="1"/>
  <c r="G384" i="2" s="1"/>
  <c r="G333" i="2" a="1"/>
  <c r="G333" i="2" s="1"/>
  <c r="G338" i="2" a="1"/>
  <c r="G338" i="2" s="1"/>
  <c r="G339" i="2" a="1"/>
  <c r="G339" i="2" s="1"/>
  <c r="G376" i="2" a="1"/>
  <c r="G376" i="2" s="1"/>
  <c r="G444" i="2" a="1"/>
  <c r="G444" i="2" s="1"/>
  <c r="G374" i="2" a="1"/>
  <c r="G374" i="2" s="1"/>
  <c r="G297" i="2" a="1"/>
  <c r="G297" i="2" s="1"/>
  <c r="G364" i="2" a="1"/>
  <c r="G364" i="2" s="1"/>
  <c r="G473" i="2" a="1"/>
  <c r="G473" i="2" s="1"/>
  <c r="G477" i="2" a="1"/>
  <c r="G477" i="2" s="1"/>
  <c r="G337" i="2" a="1"/>
  <c r="G337" i="2" s="1"/>
  <c r="G350" i="2" a="1"/>
  <c r="G350" i="2" s="1"/>
  <c r="G351" i="2" a="1"/>
  <c r="G351" i="2" s="1"/>
  <c r="G372" i="2" a="1"/>
  <c r="G372" i="2" s="1"/>
  <c r="G305" i="2" a="1"/>
  <c r="G305" i="2" s="1"/>
  <c r="G306" i="2" a="1"/>
  <c r="G306" i="2" s="1"/>
  <c r="G265" i="2" a="1"/>
  <c r="G265" i="2" s="1"/>
  <c r="G331" i="2" a="1"/>
  <c r="G331" i="2" s="1"/>
  <c r="G406" i="2" a="1"/>
  <c r="G406" i="2" s="1"/>
  <c r="G474" i="2" a="1"/>
  <c r="G474" i="2" s="1"/>
  <c r="G316" i="2" a="1"/>
  <c r="G316" i="2" s="1"/>
  <c r="G317" i="2" a="1"/>
  <c r="G317" i="2" s="1"/>
  <c r="G476" i="2" a="1"/>
  <c r="G476" i="2" s="1"/>
  <c r="G443" i="2" a="1"/>
  <c r="G443" i="2" s="1"/>
  <c r="G283" i="2" a="1"/>
  <c r="G283" i="2" s="1"/>
  <c r="G284" i="2" a="1"/>
  <c r="G284" i="2" s="1"/>
  <c r="G410" i="2" a="1"/>
  <c r="G410" i="2" s="1"/>
  <c r="G450" i="2" a="1"/>
  <c r="G450" i="2" s="1"/>
  <c r="G418" i="2" a="1"/>
  <c r="G418" i="2" s="1"/>
  <c r="G285" i="2" a="1"/>
  <c r="G285" i="2" s="1"/>
  <c r="G307" i="2" a="1"/>
  <c r="G307" i="2" s="1"/>
  <c r="G352" i="2" a="1"/>
  <c r="G352" i="2" s="1"/>
  <c r="G373" i="2" a="1"/>
  <c r="G373" i="2" s="1"/>
  <c r="G448" i="2" a="1"/>
  <c r="G448" i="2" s="1"/>
  <c r="G442" i="2" a="1"/>
  <c r="G442" i="2" s="1"/>
  <c r="G395" i="2" a="1"/>
  <c r="G395" i="2" s="1"/>
  <c r="G464" i="2" a="1"/>
  <c r="G464" i="2" s="1"/>
  <c r="G451" i="2" a="1"/>
  <c r="G451" i="2" s="1"/>
  <c r="G362" i="2" a="1"/>
  <c r="G362" i="2" s="1"/>
  <c r="G472" i="2" a="1"/>
  <c r="G472" i="2" s="1"/>
  <c r="G363" i="2" a="1"/>
  <c r="G363" i="2" s="1"/>
  <c r="G463" i="2" a="1"/>
  <c r="G463" i="2" s="1"/>
  <c r="G319" i="2" a="1"/>
  <c r="G319" i="2" s="1"/>
  <c r="G475" i="2" a="1"/>
  <c r="G475" i="2" s="1"/>
  <c r="G375" i="2" a="1"/>
  <c r="G375" i="2" s="1"/>
  <c r="G370" i="2" a="1"/>
  <c r="G370" i="2" s="1"/>
  <c r="G415" i="2" a="1"/>
  <c r="G415" i="2" s="1"/>
  <c r="G300" i="2" a="1"/>
  <c r="G300" i="2" s="1"/>
  <c r="G341" i="2" a="1"/>
  <c r="G341" i="2" s="1"/>
  <c r="G304" i="2" a="1"/>
  <c r="G304" i="2" s="1"/>
  <c r="G381" i="2" a="1"/>
  <c r="G381" i="2" s="1"/>
  <c r="G419" i="2" a="1"/>
  <c r="G419" i="2" s="1"/>
  <c r="G382" i="2" a="1"/>
  <c r="G382" i="2" s="1"/>
  <c r="G348" i="2" a="1"/>
  <c r="G348" i="2" s="1"/>
  <c r="G342" i="2" a="1"/>
  <c r="G342" i="2" s="1"/>
  <c r="G398" i="2" a="1"/>
  <c r="G398" i="2" s="1"/>
  <c r="G312" i="2" a="1"/>
  <c r="G312" i="2" s="1"/>
  <c r="G441" i="2" a="1"/>
  <c r="G441" i="2" s="1"/>
  <c r="G408" i="2" a="1"/>
  <c r="G408" i="2" s="1"/>
  <c r="G432" i="2" a="1"/>
  <c r="G432" i="2" s="1"/>
  <c r="G347" i="2" a="1"/>
  <c r="G347" i="2" s="1"/>
  <c r="G296" i="2" a="1"/>
  <c r="G296" i="2" s="1"/>
  <c r="G572" i="2" a="1"/>
  <c r="G572" i="2" s="1"/>
  <c r="G514" i="2" a="1"/>
  <c r="G514" i="2" s="1"/>
  <c r="G538" i="2" a="1"/>
  <c r="G538" i="2" s="1"/>
  <c r="G470" i="2" a="1"/>
  <c r="G470" i="2" s="1"/>
  <c r="G263" i="2" a="1"/>
  <c r="G263" i="2" s="1"/>
  <c r="G393" i="2" a="1"/>
  <c r="G393" i="2" s="1"/>
  <c r="G294" i="2" a="1"/>
  <c r="G294" i="2" s="1"/>
  <c r="G427" i="2" a="1"/>
  <c r="G427" i="2" s="1"/>
  <c r="G327" i="2" a="1"/>
  <c r="G327" i="2" s="1"/>
  <c r="G378" i="2" a="1"/>
  <c r="G378" i="2" s="1"/>
  <c r="G271" i="2" a="1"/>
  <c r="G271" i="2" s="1"/>
  <c r="G361" i="2" a="1"/>
  <c r="G361" i="2" s="1"/>
  <c r="G275" i="2" a="1"/>
  <c r="G275" i="2" s="1"/>
  <c r="G401" i="2" a="1"/>
  <c r="G401" i="2" s="1"/>
  <c r="G313" i="2" a="1"/>
  <c r="G313" i="2" s="1"/>
  <c r="G379" i="2" a="1"/>
  <c r="G379" i="2" s="1"/>
  <c r="G248" i="2" a="1"/>
  <c r="G248" i="2" s="1"/>
  <c r="G368" i="2" a="1"/>
  <c r="G368" i="2" s="1"/>
  <c r="G402" i="2" a="1"/>
  <c r="G402" i="2" s="1"/>
  <c r="G335" i="2" a="1"/>
  <c r="G335" i="2" s="1"/>
  <c r="G436" i="2" a="1"/>
  <c r="G436" i="2" s="1"/>
  <c r="G349" i="2" a="1"/>
  <c r="G349" i="2" s="1"/>
  <c r="G413" i="2" a="1"/>
  <c r="G413" i="2" s="1"/>
  <c r="G279" i="2" a="1"/>
  <c r="G279" i="2" s="1"/>
  <c r="G230" i="2" a="1"/>
  <c r="G230" i="2" s="1"/>
  <c r="G503" i="2" a="1"/>
  <c r="G503" i="2" s="1"/>
  <c r="G573" i="2" a="1"/>
  <c r="G573" i="2" s="1"/>
  <c r="G469" i="2" a="1"/>
  <c r="G469" i="2" s="1"/>
  <c r="G394" i="2" a="1"/>
  <c r="G394" i="2" s="1"/>
  <c r="G302" i="2" a="1"/>
  <c r="G302" i="2" s="1"/>
  <c r="G249" i="2" a="1"/>
  <c r="G249" i="2" s="1"/>
  <c r="G241" i="2" a="1"/>
  <c r="G241" i="2" s="1"/>
  <c r="G506" i="2" a="1"/>
  <c r="G506" i="2" s="1"/>
  <c r="G551" i="2" a="1"/>
  <c r="G551" i="2" s="1"/>
  <c r="G550" i="2" a="1"/>
  <c r="G550" i="2" s="1"/>
  <c r="G482" i="2" a="1"/>
  <c r="G482" i="2" s="1"/>
  <c r="G412" i="2" a="1"/>
  <c r="G412" i="2" s="1"/>
  <c r="F248" i="2" a="1"/>
  <c r="F248" i="2" s="1"/>
  <c r="AA256" i="2"/>
  <c r="Y256" i="2"/>
  <c r="AC256" i="2"/>
  <c r="F251" i="2" a="1"/>
  <c r="F251" i="2" s="1"/>
  <c r="F244" i="2" a="1"/>
  <c r="F244" i="2" s="1"/>
  <c r="AR256" i="2"/>
  <c r="AT256" i="2"/>
  <c r="AD256" i="2"/>
  <c r="L256" i="2"/>
  <c r="BA256" i="2"/>
  <c r="AS256" i="2"/>
  <c r="AQ256" i="2"/>
  <c r="Z256" i="2"/>
  <c r="AO256" i="2"/>
  <c r="AM256" i="2"/>
  <c r="AN256" i="2"/>
  <c r="AJ256" i="2"/>
  <c r="AI256" i="2"/>
  <c r="AL256" i="2"/>
  <c r="AH256" i="2"/>
  <c r="AK256" i="2"/>
  <c r="AG256" i="2"/>
  <c r="AP256" i="2"/>
  <c r="AF256" i="2"/>
  <c r="AU256" i="2"/>
  <c r="AE256" i="2"/>
  <c r="K256" i="2"/>
  <c r="H256" i="2"/>
  <c r="I256" i="2"/>
  <c r="J256" i="2"/>
  <c r="BB230" i="2" a="1"/>
  <c r="BB230" i="2" s="1"/>
  <c r="BB256" i="2" s="1"/>
  <c r="B257" i="2" s="1"/>
  <c r="F238" i="2" a="1"/>
  <c r="F238" i="2" s="1"/>
  <c r="D255" i="2" a="1"/>
  <c r="D255" i="2" s="1"/>
  <c r="D254" i="2" a="1"/>
  <c r="D254" i="2" s="1"/>
  <c r="D253" i="2" a="1"/>
  <c r="D253" i="2" s="1"/>
  <c r="F231" i="2" a="1"/>
  <c r="F231" i="2" s="1"/>
  <c r="D231" i="2" a="1"/>
  <c r="D231" i="2" s="1"/>
  <c r="F233" i="2" a="1"/>
  <c r="F233" i="2" s="1"/>
  <c r="D232" i="2" a="1"/>
  <c r="D232" i="2" s="1"/>
  <c r="F236" i="2" a="1"/>
  <c r="F236" i="2" s="1"/>
  <c r="F235" i="2" a="1"/>
  <c r="F235" i="2" s="1"/>
  <c r="D233" i="2" a="1"/>
  <c r="D233" i="2" s="1"/>
  <c r="D236" i="2" a="1"/>
  <c r="D236" i="2" s="1"/>
  <c r="D235" i="2" a="1"/>
  <c r="D235" i="2" s="1"/>
  <c r="D239" i="2" a="1"/>
  <c r="D239" i="2" s="1"/>
  <c r="F246" i="2" a="1"/>
  <c r="F246" i="2" s="1"/>
  <c r="F245" i="2" a="1"/>
  <c r="F245" i="2" s="1"/>
  <c r="D246" i="2" a="1"/>
  <c r="D246" i="2" s="1"/>
  <c r="D245" i="2" a="1"/>
  <c r="D245" i="2" s="1"/>
  <c r="D243" i="2" a="1"/>
  <c r="D243" i="2" s="1"/>
  <c r="B717" i="2" l="1"/>
  <c r="B513" i="2"/>
  <c r="B581" i="2"/>
  <c r="B596" i="2"/>
  <c r="B528" i="2"/>
  <c r="B649" i="2"/>
  <c r="B671" i="2"/>
  <c r="B698" i="2"/>
  <c r="G726" i="2"/>
  <c r="B697" i="2"/>
  <c r="B501" i="2"/>
  <c r="G556" i="2"/>
  <c r="B527" i="2"/>
  <c r="B683" i="2"/>
  <c r="B569" i="2"/>
  <c r="B615" i="2"/>
  <c r="B637" i="2"/>
  <c r="B705" i="2"/>
  <c r="G522" i="2"/>
  <c r="B493" i="2"/>
  <c r="B494" i="2"/>
  <c r="G692" i="2"/>
  <c r="B664" i="2"/>
  <c r="B663" i="2"/>
  <c r="B561" i="2"/>
  <c r="B562" i="2"/>
  <c r="G590" i="2"/>
  <c r="G624" i="2"/>
  <c r="B603" i="2"/>
  <c r="B595" i="2"/>
  <c r="B547" i="2"/>
  <c r="B535" i="2"/>
  <c r="G658" i="2"/>
  <c r="B630" i="2"/>
  <c r="B629" i="2"/>
  <c r="B392" i="2"/>
  <c r="B467" i="2"/>
  <c r="B433" i="2"/>
  <c r="B426" i="2"/>
  <c r="B425" i="2"/>
  <c r="G454" i="2"/>
  <c r="B459" i="2"/>
  <c r="B460" i="2"/>
  <c r="G488" i="2"/>
  <c r="B445" i="2"/>
  <c r="B479" i="2"/>
  <c r="B399" i="2"/>
  <c r="G420" i="2"/>
  <c r="B411" i="2"/>
  <c r="B391" i="2"/>
  <c r="G386" i="2"/>
  <c r="B358" i="2"/>
  <c r="B359" i="2"/>
  <c r="B365" i="2"/>
  <c r="B332" i="2"/>
  <c r="B377" i="2"/>
  <c r="G353" i="2"/>
  <c r="B326" i="2"/>
  <c r="B325" i="2"/>
  <c r="B344" i="2"/>
  <c r="A228" i="2"/>
  <c r="B262" i="2"/>
  <c r="G320" i="2"/>
  <c r="B299" i="2"/>
  <c r="B311" i="2"/>
  <c r="B293" i="2"/>
  <c r="B292" i="2"/>
  <c r="B237" i="2"/>
  <c r="B247" i="2"/>
  <c r="B229" i="2"/>
  <c r="B266" i="2"/>
  <c r="B278" i="2"/>
  <c r="G287" i="2"/>
  <c r="B261" i="2"/>
  <c r="E256" i="2"/>
  <c r="G256" i="2"/>
  <c r="B228" i="2"/>
  <c r="C47" i="3"/>
  <c r="C58" i="3"/>
  <c r="F46" i="3"/>
  <c r="F65" i="3"/>
  <c r="C78" i="3"/>
  <c r="C70" i="3"/>
  <c r="C66" i="3"/>
  <c r="F27" i="3"/>
  <c r="C53" i="3"/>
  <c r="C37" i="3"/>
  <c r="C34" i="3"/>
  <c r="C28" i="3"/>
  <c r="B10" i="3"/>
  <c r="B21" i="3"/>
  <c r="B13" i="3"/>
  <c r="F9" i="3"/>
  <c r="C65" i="3" l="1"/>
  <c r="C46" i="3"/>
  <c r="C27" i="3"/>
  <c r="C9" i="3"/>
  <c r="E9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<sst xmlns="http://schemas.openxmlformats.org/spreadsheetml/2006/main" count="2051" uniqueCount="960">
  <si>
    <t>Job order on ship is COMMANDER -&gt; ENGINEER -&gt; NAVIGATOR -&gt; PILOT - GUNNER</t>
  </si>
  <si>
    <t>ECM</t>
  </si>
  <si>
    <t>CLASS</t>
  </si>
  <si>
    <t>TYPE</t>
  </si>
  <si>
    <t>SPEED</t>
  </si>
  <si>
    <t>HULL</t>
  </si>
  <si>
    <t>SYSTEM</t>
  </si>
  <si>
    <t>CARGO</t>
  </si>
  <si>
    <t>HANDLING</t>
  </si>
  <si>
    <t>INSTRUMENTS</t>
  </si>
  <si>
    <t>ENGINEERING</t>
  </si>
  <si>
    <t>WARFARE</t>
  </si>
  <si>
    <t>Fighter</t>
  </si>
  <si>
    <t>Interceptor</t>
  </si>
  <si>
    <t>N/A</t>
  </si>
  <si>
    <t>HIGH</t>
  </si>
  <si>
    <t>Attack</t>
  </si>
  <si>
    <t>MEDIUM</t>
  </si>
  <si>
    <t>Speed for ships is either LOW, MEDIUM or HIGH. (you can always lower your speed). Ship speed has no effect on jump range.</t>
  </si>
  <si>
    <t>Raider</t>
  </si>
  <si>
    <t>FULL</t>
  </si>
  <si>
    <t>Planning a jump takes 10 rounds (can be modified with ship options)</t>
  </si>
  <si>
    <t>When speed is two category of difference the delay from above changes to 5 rounds to enter/exit range.</t>
  </si>
  <si>
    <t>Frigate</t>
  </si>
  <si>
    <t>Escort</t>
  </si>
  <si>
    <t>Science</t>
  </si>
  <si>
    <t xml:space="preserve">3 / 5 </t>
  </si>
  <si>
    <t>HALF</t>
  </si>
  <si>
    <t>2 / 8</t>
  </si>
  <si>
    <t>2 / 6</t>
  </si>
  <si>
    <t>20 / 10Y</t>
  </si>
  <si>
    <t>15 / 2Y</t>
  </si>
  <si>
    <t>50 / 1Y</t>
  </si>
  <si>
    <t>LOW</t>
  </si>
  <si>
    <t>Drone</t>
  </si>
  <si>
    <t>Corvette</t>
  </si>
  <si>
    <t>Cruiser</t>
  </si>
  <si>
    <t>Destroyer</t>
  </si>
  <si>
    <t>COMMON</t>
  </si>
  <si>
    <t>C</t>
  </si>
  <si>
    <t>UNCOMMON</t>
  </si>
  <si>
    <t>COMMAND</t>
  </si>
  <si>
    <t>Dropship</t>
  </si>
  <si>
    <t>Hauler</t>
  </si>
  <si>
    <t>Shuttle</t>
  </si>
  <si>
    <t>Freighter</t>
  </si>
  <si>
    <t>Courrier</t>
  </si>
  <si>
    <t>Scout</t>
  </si>
  <si>
    <t>Megaliner</t>
  </si>
  <si>
    <t xml:space="preserve">Research </t>
  </si>
  <si>
    <t>Carrier</t>
  </si>
  <si>
    <t>Mega cargo</t>
  </si>
  <si>
    <t>Hive fighter carrier</t>
  </si>
  <si>
    <t>Missile</t>
  </si>
  <si>
    <t>Industrial</t>
  </si>
  <si>
    <t>Nova</t>
  </si>
  <si>
    <t>Superliner</t>
  </si>
  <si>
    <t>Obliterator</t>
  </si>
  <si>
    <t>Generation ship</t>
  </si>
  <si>
    <t>Dark space explorer</t>
  </si>
  <si>
    <t>Pirate Freighter</t>
  </si>
  <si>
    <t>Gatesec</t>
  </si>
  <si>
    <t>Interdictor</t>
  </si>
  <si>
    <t>Gateship</t>
  </si>
  <si>
    <t>Tanker</t>
  </si>
  <si>
    <t>Hopper</t>
  </si>
  <si>
    <t>Battleship</t>
  </si>
  <si>
    <t>Juggernaut</t>
  </si>
  <si>
    <t>Bomber</t>
  </si>
  <si>
    <t>Boarding</t>
  </si>
  <si>
    <t>Gunboat</t>
  </si>
  <si>
    <t>Repair</t>
  </si>
  <si>
    <t>Yacht</t>
  </si>
  <si>
    <t>Mega Yatcht</t>
  </si>
  <si>
    <t>general attack</t>
  </si>
  <si>
    <t>fast interception ship</t>
  </si>
  <si>
    <t>heavy attack craft</t>
  </si>
  <si>
    <t>ground assault fighter</t>
  </si>
  <si>
    <t>super fast tiny cargo space</t>
  </si>
  <si>
    <t>short distance people carrier</t>
  </si>
  <si>
    <t>Armored boarding shuttle</t>
  </si>
  <si>
    <t>small towing/cargo ship</t>
  </si>
  <si>
    <t>frigate class weapons on a corvette</t>
  </si>
  <si>
    <t>heavy armored landing cargo ship</t>
  </si>
  <si>
    <t>Patrol</t>
  </si>
  <si>
    <t>Space police patrol ships</t>
  </si>
  <si>
    <t>protection for larger ships</t>
  </si>
  <si>
    <t>luxury transport pleasure ship</t>
  </si>
  <si>
    <t>asteroid mining or salvage ship</t>
  </si>
  <si>
    <t>Junker</t>
  </si>
  <si>
    <t>long range scans and mapping</t>
  </si>
  <si>
    <t>transport people in same system</t>
  </si>
  <si>
    <t>general purpose science ship</t>
  </si>
  <si>
    <t>tow and repair spaceships and structures</t>
  </si>
  <si>
    <t>general purpose mass hauler</t>
  </si>
  <si>
    <t>long distance darkspace exploration</t>
  </si>
  <si>
    <t>large research plarform with many labs</t>
  </si>
  <si>
    <t>small fuel carrier vessel</t>
  </si>
  <si>
    <t>Heavy armored and armed cruiser</t>
  </si>
  <si>
    <t>large pleasure boat for rich folks</t>
  </si>
  <si>
    <t>Freighter repurposed for pirate use</t>
  </si>
  <si>
    <t>provides mobile gates</t>
  </si>
  <si>
    <t>main defense ship for gates</t>
  </si>
  <si>
    <t>oversized battlecruizer filled with guns</t>
  </si>
  <si>
    <t>oversized freighter</t>
  </si>
  <si>
    <t xml:space="preserve">mobile factory, and matter processing </t>
  </si>
  <si>
    <t>huge people transport capacity between systems</t>
  </si>
  <si>
    <t>long range heavy artilery support</t>
  </si>
  <si>
    <t>main fighter carrier for fleets</t>
  </si>
  <si>
    <t>giant fortress designed to deny access to a system</t>
  </si>
  <si>
    <t>Nova canon equipped giant ship</t>
  </si>
  <si>
    <t>designed as a planet replacement ship</t>
  </si>
  <si>
    <t>STRUCTURE</t>
  </si>
  <si>
    <t>10 / 30</t>
  </si>
  <si>
    <t>5 / 10</t>
  </si>
  <si>
    <t>DESCRIPTION</t>
  </si>
  <si>
    <t>15 / 30</t>
  </si>
  <si>
    <t>large people transport between systems</t>
  </si>
  <si>
    <t>8 / 30</t>
  </si>
  <si>
    <t>10 / 20</t>
  </si>
  <si>
    <t>20 / 40</t>
  </si>
  <si>
    <t>Assault</t>
  </si>
  <si>
    <t>Inexpensive weapons platform</t>
  </si>
  <si>
    <t>Cargo</t>
  </si>
  <si>
    <t>Suicide</t>
  </si>
  <si>
    <t>general attack drone</t>
  </si>
  <si>
    <t>drone used for loading and unloading</t>
  </si>
  <si>
    <t>general purpose repair drone</t>
  </si>
  <si>
    <t>250 / 1Y</t>
  </si>
  <si>
    <t>30 / 75</t>
  </si>
  <si>
    <t>30 / 50</t>
  </si>
  <si>
    <t>45 / 130</t>
  </si>
  <si>
    <t>50 / 100</t>
  </si>
  <si>
    <t>40 / 125</t>
  </si>
  <si>
    <t>30 / 150</t>
  </si>
  <si>
    <t>100 / 10Y</t>
  </si>
  <si>
    <t>1000 / 5Y</t>
  </si>
  <si>
    <t>2000 / 1Y</t>
  </si>
  <si>
    <t>750 / 5Y</t>
  </si>
  <si>
    <t>1500 / 5Y</t>
  </si>
  <si>
    <t>100 / 500</t>
  </si>
  <si>
    <t>10K / 100Y</t>
  </si>
  <si>
    <t>700 / 5Y</t>
  </si>
  <si>
    <t>2500 / 10Y</t>
  </si>
  <si>
    <t>150 / 300</t>
  </si>
  <si>
    <t>80 / 130</t>
  </si>
  <si>
    <t>COMBAT_RANGE</t>
  </si>
  <si>
    <t>DETECTION_RANGE</t>
  </si>
  <si>
    <t>ATMOSPHERIC_CAPABILITY</t>
  </si>
  <si>
    <t>PASSANGERS</t>
  </si>
  <si>
    <t>Sensors have 3 ranges, from lowest and most detailed to longest and least detailled : Combat - Sensor - Jump range</t>
  </si>
  <si>
    <t>Sensor range allows you to identify ships theyr class, transponders or see planets, debbris etc.</t>
  </si>
  <si>
    <t>Jump range is limited to just plotting a course that avoids majob obstacles but doesn't provide any information on the destination</t>
  </si>
  <si>
    <t>special versions of sensors can also impact concealment, space anomalies and penalties etc</t>
  </si>
  <si>
    <t>AVAILABILITY</t>
  </si>
  <si>
    <t>PRICE</t>
  </si>
  <si>
    <t>QUALITY</t>
  </si>
  <si>
    <t>UNIT_SIZE</t>
  </si>
  <si>
    <t>POWER_CONSUMPTION</t>
  </si>
  <si>
    <t>BATTLECRUISER</t>
  </si>
  <si>
    <t>CARRIER</t>
  </si>
  <si>
    <t>NOVA</t>
  </si>
  <si>
    <t>CRUISER</t>
  </si>
  <si>
    <t>FRIGATE</t>
  </si>
  <si>
    <t>CORVETTTE</t>
  </si>
  <si>
    <t>FIGHTER</t>
  </si>
  <si>
    <t>DRONE</t>
  </si>
  <si>
    <t>avg fighter power plant</t>
  </si>
  <si>
    <t>low speed fighter engine</t>
  </si>
  <si>
    <t>high speed fighter engine</t>
  </si>
  <si>
    <t>med speed fighter engine</t>
  </si>
  <si>
    <t>fighter life support</t>
  </si>
  <si>
    <t>extended fighter life support</t>
  </si>
  <si>
    <t>10H</t>
  </si>
  <si>
    <t>100H</t>
  </si>
  <si>
    <t>basic fighter shield</t>
  </si>
  <si>
    <t>extended fighter shield</t>
  </si>
  <si>
    <t>SHIELD_MAX</t>
  </si>
  <si>
    <t>POWER_CREATION</t>
  </si>
  <si>
    <t>fighter hull upgrade</t>
  </si>
  <si>
    <t>fighter structure upgrade</t>
  </si>
  <si>
    <t>fighter atmospheric package</t>
  </si>
  <si>
    <t>high output fighter power plant</t>
  </si>
  <si>
    <t>low output fighter power plant</t>
  </si>
  <si>
    <t>Generic cargo space</t>
  </si>
  <si>
    <t>fighter energy bank</t>
  </si>
  <si>
    <t>ENERGY_STORAGE</t>
  </si>
  <si>
    <t>10/30/10</t>
  </si>
  <si>
    <t>Core</t>
  </si>
  <si>
    <t>Internal</t>
  </si>
  <si>
    <t>External</t>
  </si>
  <si>
    <t>long range fighter combat radar</t>
  </si>
  <si>
    <t>short range fighter radar</t>
  </si>
  <si>
    <t>short range basic radar</t>
  </si>
  <si>
    <t>long range basic radar</t>
  </si>
  <si>
    <t>fighter_basic_power</t>
  </si>
  <si>
    <t>fighter_average_power</t>
  </si>
  <si>
    <t>fighter_good_engine</t>
  </si>
  <si>
    <t>fighter_average_engine</t>
  </si>
  <si>
    <t>fighter_basic_engine</t>
  </si>
  <si>
    <t>fighter_basic_shield</t>
  </si>
  <si>
    <t>fighter_average_shield</t>
  </si>
  <si>
    <t>average warfare computer</t>
  </si>
  <si>
    <t>good warfare computer</t>
  </si>
  <si>
    <t>basic warfare computer</t>
  </si>
  <si>
    <t>fighter_average_hull</t>
  </si>
  <si>
    <t>fighter_average_structure</t>
  </si>
  <si>
    <t>fighter_basic_lifesupport</t>
  </si>
  <si>
    <t>fighter_short_combat_radar</t>
  </si>
  <si>
    <t>fighter_long_combat_radar</t>
  </si>
  <si>
    <t>fighter_short_basic_radar</t>
  </si>
  <si>
    <t>fighter_long_basic_radar</t>
  </si>
  <si>
    <t>fighter_basic_energystorage</t>
  </si>
  <si>
    <t>fighter_atmospheric</t>
  </si>
  <si>
    <t>all_cargo_space_1</t>
  </si>
  <si>
    <t>component distribution/power</t>
  </si>
  <si>
    <t>Raider 10/30/10</t>
  </si>
  <si>
    <t>RAIDER</t>
  </si>
  <si>
    <t>POWER DRAW</t>
  </si>
  <si>
    <t>SPACE ALLOCATION</t>
  </si>
  <si>
    <t>POWER available</t>
  </si>
  <si>
    <t>Interceptor 15/15/20</t>
  </si>
  <si>
    <t>INTERCEPTOR</t>
  </si>
  <si>
    <t>Power generated</t>
  </si>
  <si>
    <t>20/20/10</t>
  </si>
  <si>
    <t>ATTACK FIGHTER</t>
  </si>
  <si>
    <t>BOMBER</t>
  </si>
  <si>
    <t>LEGALITY</t>
  </si>
  <si>
    <t>fighter_good_lifesupport</t>
  </si>
  <si>
    <t>avg corvette power plant</t>
  </si>
  <si>
    <t>good corvette power plant</t>
  </si>
  <si>
    <t>basic automation of crew functions</t>
  </si>
  <si>
    <t>average automation of crew functions</t>
  </si>
  <si>
    <t>good automation of crew functions</t>
  </si>
  <si>
    <t>barebones command bridge</t>
  </si>
  <si>
    <t>average command bridge</t>
  </si>
  <si>
    <t>good command bridge</t>
  </si>
  <si>
    <t>corvette atmospheric package</t>
  </si>
  <si>
    <t>corvette landing package</t>
  </si>
  <si>
    <t>Fighter landing package</t>
  </si>
  <si>
    <t>standard fighter life support</t>
  </si>
  <si>
    <t>50H</t>
  </si>
  <si>
    <t>basic life support for a corvette</t>
  </si>
  <si>
    <t>average life support for a corvette</t>
  </si>
  <si>
    <t>good life support for a corvette</t>
  </si>
  <si>
    <t>average fighter shield</t>
  </si>
  <si>
    <t>good fighter shield</t>
  </si>
  <si>
    <t>basic corvette structure reinforcement</t>
  </si>
  <si>
    <t>average corvette structure reinforcement</t>
  </si>
  <si>
    <t>good corvette structure reinforcement</t>
  </si>
  <si>
    <t>basic corvette ecm upgrade</t>
  </si>
  <si>
    <t>average corvette ecm upgrade</t>
  </si>
  <si>
    <t>good corvette ecm upgrade</t>
  </si>
  <si>
    <t>avg corvette coronthia power plant 2 unit/hr</t>
  </si>
  <si>
    <t>good corvette coronthia power plant  3 unit/hr</t>
  </si>
  <si>
    <t>CORONTHIA_FUEL_UNITS</t>
  </si>
  <si>
    <t>basic corvette coronthia storage tank</t>
  </si>
  <si>
    <t>average corvette coronthia storage tank</t>
  </si>
  <si>
    <t>good corvette coronthia storage tank</t>
  </si>
  <si>
    <t>FUEL_CONSUMPTION_PER_HRS</t>
  </si>
  <si>
    <t>average corvette radar</t>
  </si>
  <si>
    <t>good corvette radar</t>
  </si>
  <si>
    <t>average corvette warfare assistance</t>
  </si>
  <si>
    <t>good corvette warfare assistance</t>
  </si>
  <si>
    <t>fighter_basic_warfaresuite</t>
  </si>
  <si>
    <t>fighter_average_warfaresuite</t>
  </si>
  <si>
    <t>fighter_good_warfaresuite</t>
  </si>
  <si>
    <t>POWER_ACTIVATION</t>
  </si>
  <si>
    <t>all_extralarge_fixed_weapon</t>
  </si>
  <si>
    <t>all_huge_fixed_weapon</t>
  </si>
  <si>
    <t>all_extralarge_ordonnance</t>
  </si>
  <si>
    <t>all_huge_fixed_ordonnance</t>
  </si>
  <si>
    <t>extra large fixed weapon mount</t>
  </si>
  <si>
    <t>huge fixed weapon mount</t>
  </si>
  <si>
    <t>massive fixed weapon mount</t>
  </si>
  <si>
    <t>colossal fixed weapon mount</t>
  </si>
  <si>
    <t>extra large ordonnance bay</t>
  </si>
  <si>
    <t>huge ordonnance bay</t>
  </si>
  <si>
    <t>massive ordonnance bay</t>
  </si>
  <si>
    <t>colossal ordonnance bay</t>
  </si>
  <si>
    <t>extra large ordonnance reload bay (size per full reload)</t>
  </si>
  <si>
    <t>huge ordonnance reload bay (size per full reload)</t>
  </si>
  <si>
    <t>massive ordonnance reload bay (size per full reload)</t>
  </si>
  <si>
    <t>average shield for a corvette</t>
  </si>
  <si>
    <t>good shield for a corvette</t>
  </si>
  <si>
    <t>basic energy storage for a corvette</t>
  </si>
  <si>
    <t>average energy storage for a corvette</t>
  </si>
  <si>
    <t>good energy storage for a corvette</t>
  </si>
  <si>
    <t>EMPTY</t>
  </si>
  <si>
    <t>PICK A COMPONENT</t>
  </si>
  <si>
    <t>POWER_PER_ADD_PERSON</t>
  </si>
  <si>
    <t>COST_PER_ADD_PERSON</t>
  </si>
  <si>
    <t>SIZE_PER_ADD_PERSON</t>
  </si>
  <si>
    <t>EXPANDABLE?</t>
  </si>
  <si>
    <t>CREW_MIN</t>
  </si>
  <si>
    <t>CREW_MAX</t>
  </si>
  <si>
    <t>LIFE_SUPPORT_PEOPLE</t>
  </si>
  <si>
    <t>UNIT_SIZE_TOTAL</t>
  </si>
  <si>
    <t>POWER_CONSUMPTION_TOTAL</t>
  </si>
  <si>
    <t>TOTAL_PRICE</t>
  </si>
  <si>
    <t>COMPONENT</t>
  </si>
  <si>
    <t>SHIELD_RECHARGE_PER_UNIT</t>
  </si>
  <si>
    <t>average fighter ecm upgrade</t>
  </si>
  <si>
    <t>basic fighter ecm upgrade</t>
  </si>
  <si>
    <t>good fighter ecm upgrade</t>
  </si>
  <si>
    <t>average corvette hull</t>
  </si>
  <si>
    <t>basic light corvette hull</t>
  </si>
  <si>
    <t>good reinforced corvette hull</t>
  </si>
  <si>
    <t>basic light fighter hull</t>
  </si>
  <si>
    <t>average fighter hull</t>
  </si>
  <si>
    <t>good reinforced fighter hull</t>
  </si>
  <si>
    <t>AMMOBAY_0-ALL_1-XLARGE</t>
  </si>
  <si>
    <t>AMMOBAY_0-ALL_2-HUGE</t>
  </si>
  <si>
    <t>AMMOBAY_0-ALL_3-MASSIVE</t>
  </si>
  <si>
    <t>AMMOBAY_0-ALL_4-COLOSSAL</t>
  </si>
  <si>
    <t>CARGOSPACE_0-ALL_0-UNIVERSAL</t>
  </si>
  <si>
    <t>ORDONNANCE_FIXED_0-ALL_1-XLARGE</t>
  </si>
  <si>
    <t>ORDONNANCE_FIXED_0-ALL_2-HUGE</t>
  </si>
  <si>
    <t>ORDONNANCE_FIXED_0-ALL_3-MASSIVE</t>
  </si>
  <si>
    <t>ORDONNANCE_FIXED_0-ALL_4-COLOSSAL</t>
  </si>
  <si>
    <t>PASSENGERSSPACE_0-ALL_1-BASIC</t>
  </si>
  <si>
    <t>PASSENGERSSPACE_0-ALL_2-AVERAGE</t>
  </si>
  <si>
    <t>PASSENGERSSPACE_0-ALL_3-GOOD</t>
  </si>
  <si>
    <t>WEAPON_FIXED_0-ALL_1-XLARGE</t>
  </si>
  <si>
    <t>WEAPON_FIXED_0-ALL_2-HUGE</t>
  </si>
  <si>
    <t>ATMOSPHERIC_2-FIGHTER_0-UNIVERSAL</t>
  </si>
  <si>
    <t>ECM_2-FIGHTER_1-BASIC</t>
  </si>
  <si>
    <t>ECM_2-FIGHTER_2-AVERAGE</t>
  </si>
  <si>
    <t>ECM_2-FIGHTER_3-GOOD</t>
  </si>
  <si>
    <t>HULL_2-FIGHTER_1-BASIC</t>
  </si>
  <si>
    <t>HULL_2-FIGHTER_2-AVERAGE</t>
  </si>
  <si>
    <t>HULL_2-FIGHTER_3-GOOD</t>
  </si>
  <si>
    <t>LIFESUPPORT_2-FIGHTER_1-BASIC</t>
  </si>
  <si>
    <t>LIFESUPPORT_2-FIGHTER_2-AVERAGE</t>
  </si>
  <si>
    <t>LIFESUPPORT_2-FIGHTER_3-GOOD</t>
  </si>
  <si>
    <t>POWER_2-FIGHTER_1-BASIC</t>
  </si>
  <si>
    <t>POWER_2-FIGHTER_2-AVERAGE</t>
  </si>
  <si>
    <t>POWER_2-FIGHTER_3-GOOD</t>
  </si>
  <si>
    <t>SHIELD_2-FIGHTER_1-BASIC</t>
  </si>
  <si>
    <t>SHIELD_2-FIGHTER_2-AVERAGE</t>
  </si>
  <si>
    <t>SHIELD_2-FIGHTER_3-GOOD</t>
  </si>
  <si>
    <t>STRUCTURE_2-FIGHTER_2-AVERAGE</t>
  </si>
  <si>
    <t>WARFARESUITE_2-FIGHTER_2-AVERAGE</t>
  </si>
  <si>
    <t>WARFARESUITE_2-FIGHTER_3-GOOD</t>
  </si>
  <si>
    <t>ATMOSPHERIC_3-CORVETTE_0-UNIVERSAL</t>
  </si>
  <si>
    <t>BRIDGE_3-CORVETTE_1-BASIC</t>
  </si>
  <si>
    <t>BRIDGE_3-CORVETTE_2-AVERAGE</t>
  </si>
  <si>
    <t>BRIDGE_3-CORVETTE_3-GOOD</t>
  </si>
  <si>
    <t>CREWAUTOMATION_3-CORVETTE_1-BASIC</t>
  </si>
  <si>
    <t>CREWAUTOMATION_3-CORVETTE_2-AVERAGE</t>
  </si>
  <si>
    <t>CREWAUTOMATION_3-CORVETTE_3-GOOD</t>
  </si>
  <si>
    <t>ECM_3-CORVETTE_1-BASIC</t>
  </si>
  <si>
    <t>ECM_3-CORVETTE_2-AVERAGE</t>
  </si>
  <si>
    <t>ECM_3-CORVETTE_3-GOOD</t>
  </si>
  <si>
    <t>FUELTANK_3-CORVETTE_1-BASIC</t>
  </si>
  <si>
    <t>FUELTANK_3-CORVETTE_2-AVERAGE</t>
  </si>
  <si>
    <t>FUELTANK_3-CORVETTE_3-GOOD</t>
  </si>
  <si>
    <t>HULL_3-CORVETTE_1-BASIC</t>
  </si>
  <si>
    <t>HULL_3-CORVETTE_2-AVERAGE</t>
  </si>
  <si>
    <t>HULL_3-CORVETTE_3-GOOD</t>
  </si>
  <si>
    <t>JUMPDRIVE_3-CORVETTE_1-BASIC</t>
  </si>
  <si>
    <t>JUMPDRIVE_3-CORVETTE_2-AVERAGE</t>
  </si>
  <si>
    <t>JUMPDRIVE_3-CORVETTE_3-GOOD</t>
  </si>
  <si>
    <t>LIFESUPPORT_3-CORVETTE_1-BASIC</t>
  </si>
  <si>
    <t>LIFESUPPORT_3-CORVETTE_2-AVERAGE</t>
  </si>
  <si>
    <t>LIFESUPPORT_3-CORVETTE_3-GOOD</t>
  </si>
  <si>
    <t>POWER_CORONTHIA_3-CORVETTE_1-BASIC</t>
  </si>
  <si>
    <t>POWER_CORONTHIA_3-CORVETTE_2-AVERAGE</t>
  </si>
  <si>
    <t>POWER_CORONTHIA_3-CORVETTE_3-GOOD</t>
  </si>
  <si>
    <t>POWER_3-CORVETTE_1-BASIC</t>
  </si>
  <si>
    <t>POWER_3-CORVETTE_2-AVERAGE</t>
  </si>
  <si>
    <t>POWER_3-CORVETTE_3-GOOD</t>
  </si>
  <si>
    <t>RADAR_3-CORVETTE_1-BASIC</t>
  </si>
  <si>
    <t>RADAR_3-CORVETTE_2-AVERAGE</t>
  </si>
  <si>
    <t>RADAR_3-CORVETTE_3-GOOD</t>
  </si>
  <si>
    <t>SHIELD_3-CORVETTE_1-BASIC</t>
  </si>
  <si>
    <t>SHIELD_3-CORVETTE_2-AVERAGE</t>
  </si>
  <si>
    <t>SHIELD_3-CORVETTE_3-GOOD</t>
  </si>
  <si>
    <t>STRUCTURE_3-CORVETTE_1-BASIC</t>
  </si>
  <si>
    <t>STRUCTURE_3-CORVETTE_2-AVERAGE</t>
  </si>
  <si>
    <t>STRUCTURE_3-CORVETTE_3-GOOD</t>
  </si>
  <si>
    <t>SYSTEM_3-CORVETTE_1-BASIC</t>
  </si>
  <si>
    <t>SYSTEM_3-CORVETTE_2-AVERAGE</t>
  </si>
  <si>
    <t>SYSTEM_3-CORVETTE_3-GOOD</t>
  </si>
  <si>
    <t>WARFARESUITE_3-CORVETTE_1-BASIC</t>
  </si>
  <si>
    <t>WARFARESUITE_3-CORVETTE_2-AVERAGE</t>
  </si>
  <si>
    <t>WARFARESUITE_3-CORVETTE_3-GOOD</t>
  </si>
  <si>
    <t>ENERGYTANK_2-FIGHTER_1-BASIC</t>
  </si>
  <si>
    <t>ENERGYTANK_3-CORVETTE_1-BASIC</t>
  </si>
  <si>
    <t>ENERGYTANK_3-CORVETTE_2-AVERAGE</t>
  </si>
  <si>
    <t>ENERGYTANK_3-CORVETTE_3-GOOD</t>
  </si>
  <si>
    <t>LANDING_2-FIGHTER_0-UNIVERSAL</t>
  </si>
  <si>
    <t>LANDING_3-CORVETTE_0-UNIVERSAL</t>
  </si>
  <si>
    <t>ENERGYTANK_2-FIGHTER_2-AVERAGE</t>
  </si>
  <si>
    <t>ENERGYTANK_2-FIGHTER_3-GOOD</t>
  </si>
  <si>
    <t>basic fighter energy bank</t>
  </si>
  <si>
    <t>average fighter energy bank</t>
  </si>
  <si>
    <t>good fighter energy bank</t>
  </si>
  <si>
    <t>RADAR_2-FIGHTER_1-BASIC</t>
  </si>
  <si>
    <t>RADAR_2-FIGHTER_2-AVERAGE</t>
  </si>
  <si>
    <t>RADAR_2-FIGHTER_3-GOOD</t>
  </si>
  <si>
    <t>basic fighter radar and scans</t>
  </si>
  <si>
    <t>average fighter radar and scans</t>
  </si>
  <si>
    <t>good fighter radar and scans</t>
  </si>
  <si>
    <t>CREWSPACE_0-ALL_1-BASIC</t>
  </si>
  <si>
    <t>basic crew quatrters and accomodations</t>
  </si>
  <si>
    <t>average crew quatrters and accomodations</t>
  </si>
  <si>
    <t>good crew quatrters and accomodations</t>
  </si>
  <si>
    <t>basic accomodations and cryo for passengers</t>
  </si>
  <si>
    <t>average accomodations and cryo for passengers</t>
  </si>
  <si>
    <t>good accomodations and cryo for passengers</t>
  </si>
  <si>
    <t>WEAPON_FIXED_0-ALL_4-COLOSSAL</t>
  </si>
  <si>
    <t>WEAPON_FIXED_0-ALL_3-MASSIVE</t>
  </si>
  <si>
    <t>ESCAPEPOD_0-ALL_0-UNIVERSAL</t>
  </si>
  <si>
    <t>MEDBAY_0-ALL_1-BASIC</t>
  </si>
  <si>
    <t>MEDBAY_0-ALL_2-AVERAGE</t>
  </si>
  <si>
    <t>MEDBAY_0-ALL_3-GOOD</t>
  </si>
  <si>
    <t>general escape pod for 1 person</t>
  </si>
  <si>
    <t>average spaceship medical bay for 1 patient</t>
  </si>
  <si>
    <t>good spaceship medical bay for 1 patient</t>
  </si>
  <si>
    <t>basic spaceship medical bay for 1 patient</t>
  </si>
  <si>
    <t>basic corvette coronthia power plant 1 unit/hr</t>
  </si>
  <si>
    <t>basic corvette power plant</t>
  </si>
  <si>
    <t>COMPONENT LOCATION : CORE</t>
  </si>
  <si>
    <t>COMPONENT LOCATION : INTERNAL</t>
  </si>
  <si>
    <t>COMPONENT LOCATION : EXTERNAL</t>
  </si>
  <si>
    <t>cargo space (1 HUGE item per unit)</t>
  </si>
  <si>
    <t>basic corvette radar</t>
  </si>
  <si>
    <t>basic shield for a corvette</t>
  </si>
  <si>
    <t>basic corvette warfare assistance</t>
  </si>
  <si>
    <t>CREWSPACE_0-ALL_2-AVERAGE</t>
  </si>
  <si>
    <t>CREWSPACE_0-ALL_3-GOOD</t>
  </si>
  <si>
    <t>STRUCTURE_2-FIGHTER_1-BASIC</t>
  </si>
  <si>
    <t>STRUCTURE_2-FIGHTER_3-GOOD</t>
  </si>
  <si>
    <t>average fighter structure reinforcement</t>
  </si>
  <si>
    <t>basic fighter structure reinforcement</t>
  </si>
  <si>
    <t>good fighter structure reinforcement</t>
  </si>
  <si>
    <t>WARFARESUITE_2-FIGHTER_1-BASIC</t>
  </si>
  <si>
    <t>basic fighter warfare computer</t>
  </si>
  <si>
    <t>average fighter warfare computer</t>
  </si>
  <si>
    <t>good fighter warfare computer</t>
  </si>
  <si>
    <t>BAR_0-ALL_1-BASIC</t>
  </si>
  <si>
    <t>basic bar, will get you drunk</t>
  </si>
  <si>
    <t>BAR_0-ALL_2-AVERAGE</t>
  </si>
  <si>
    <t>BAR_0-ALL_1-GOOD</t>
  </si>
  <si>
    <t>average bar, great place to unwind</t>
  </si>
  <si>
    <t>good bar will all the amenities</t>
  </si>
  <si>
    <t>SWIMPOOL_0-ALL_0-UNIVERSAL</t>
  </si>
  <si>
    <t>a ship swimming pool (serves 1+)</t>
  </si>
  <si>
    <t>JACUZI_0-ALL_0-UNIVERSAL</t>
  </si>
  <si>
    <t>a ship hot tub (serves 1+)</t>
  </si>
  <si>
    <t xml:space="preserve">Roles add 1-10 rating to all those values. </t>
  </si>
  <si>
    <t>(do not put natural 10's on those values, this is atainable with talents, manufacturer and optionnal bonuses)</t>
  </si>
  <si>
    <t>1000H</t>
  </si>
  <si>
    <t>5Y</t>
  </si>
  <si>
    <t>SHIELD</t>
  </si>
  <si>
    <t>RECHARGE</t>
  </si>
  <si>
    <t>DETECT_RANGE</t>
  </si>
  <si>
    <t>JUMP_RANGE</t>
  </si>
  <si>
    <t>Custom</t>
  </si>
  <si>
    <t>Generic template for custom drone</t>
  </si>
  <si>
    <t>Generic template for custom fighter</t>
  </si>
  <si>
    <t>Generic template for custom corvette</t>
  </si>
  <si>
    <t>Generic template for custom frigate</t>
  </si>
  <si>
    <t>Generic template for custom cruiser</t>
  </si>
  <si>
    <t>Generic template for custom battleship</t>
  </si>
  <si>
    <t>Generic template for custom carrier</t>
  </si>
  <si>
    <t>Generic template for custom nova</t>
  </si>
  <si>
    <t>MAX_PASSENGERS</t>
  </si>
  <si>
    <t>AVAILABLE_POWER</t>
  </si>
  <si>
    <t>LIFE_SUPPORT</t>
  </si>
  <si>
    <t>MINIMUM_CREW</t>
  </si>
  <si>
    <t>MAXIMUM_CREW</t>
  </si>
  <si>
    <t>CORE_SPACE_UNITS</t>
  </si>
  <si>
    <t>TOTAL_SPACE_UNITS</t>
  </si>
  <si>
    <t>INTERNAL_SPACE_UNITS</t>
  </si>
  <si>
    <t>AUXILIATY_SPACE_UNITS</t>
  </si>
  <si>
    <t>JUMP_CHARGE_TIME</t>
  </si>
  <si>
    <t>1-3</t>
  </si>
  <si>
    <t>5-15</t>
  </si>
  <si>
    <t>1-5</t>
  </si>
  <si>
    <t>5-7</t>
  </si>
  <si>
    <t>0-2</t>
  </si>
  <si>
    <t>1-4</t>
  </si>
  <si>
    <t>2-4</t>
  </si>
  <si>
    <t>7</t>
  </si>
  <si>
    <t>1</t>
  </si>
  <si>
    <t>20-30</t>
  </si>
  <si>
    <t>3-7</t>
  </si>
  <si>
    <t>20-40</t>
  </si>
  <si>
    <t>100-2000</t>
  </si>
  <si>
    <t>500-10000</t>
  </si>
  <si>
    <t>2</t>
  </si>
  <si>
    <t>15</t>
  </si>
  <si>
    <t>50</t>
  </si>
  <si>
    <t>5</t>
  </si>
  <si>
    <t>20</t>
  </si>
  <si>
    <t>large payload suicide bomber</t>
  </si>
  <si>
    <t>10H-100H</t>
  </si>
  <si>
    <t>25H</t>
  </si>
  <si>
    <t>10H-50H</t>
  </si>
  <si>
    <t>100H-2500H</t>
  </si>
  <si>
    <t>2500H</t>
  </si>
  <si>
    <t>1Y</t>
  </si>
  <si>
    <t>3Y</t>
  </si>
  <si>
    <t>1Y-5Y</t>
  </si>
  <si>
    <t>250</t>
  </si>
  <si>
    <t>Price</t>
  </si>
  <si>
    <t>3-5</t>
  </si>
  <si>
    <t>4</t>
  </si>
  <si>
    <t>10-20</t>
  </si>
  <si>
    <t>1-12</t>
  </si>
  <si>
    <t>NEED TO REDO</t>
  </si>
  <si>
    <t>WEAPON_TURRET_0-ALL_3-MASSIVE</t>
  </si>
  <si>
    <t>massive turret weapon mount</t>
  </si>
  <si>
    <t>WEAPON_TURRET_0-ALL_4-COLOSSAL</t>
  </si>
  <si>
    <t>colossal turret weapon mount</t>
  </si>
  <si>
    <t>WEAPON_TURRET_0-ALL_2-HUGE</t>
  </si>
  <si>
    <t>huge turret weapon mount</t>
  </si>
  <si>
    <t>WEAPON_TURRET_0-ALL_1-XLARGE</t>
  </si>
  <si>
    <t>extra large turret weapon mount</t>
  </si>
  <si>
    <t>#</t>
  </si>
  <si>
    <t>basic corvette jump drive</t>
  </si>
  <si>
    <t>average corvette jump drive</t>
  </si>
  <si>
    <t>good corvette jump drive</t>
  </si>
  <si>
    <t>ECM_1-DRONE_1-BASIC</t>
  </si>
  <si>
    <t>basic drone ecm upgrade</t>
  </si>
  <si>
    <t>average drone ecm upgrade</t>
  </si>
  <si>
    <t>good drone ecm upgrade</t>
  </si>
  <si>
    <t>ENERGYTANK_1-DRONE_1-BASIC</t>
  </si>
  <si>
    <t>ECM_1-DRONE_2-AVERAGE</t>
  </si>
  <si>
    <t>ECM_1-DRONE_3-GOOD</t>
  </si>
  <si>
    <t>ENERGYTANK_1-DRONE_2-AVERAGE</t>
  </si>
  <si>
    <t>ENERGYTANK_1-DRONE_3-GOOD</t>
  </si>
  <si>
    <t>good drone energy bank</t>
  </si>
  <si>
    <t>average drone energy bank</t>
  </si>
  <si>
    <t>basic drone energy bank</t>
  </si>
  <si>
    <t>HULL_1-DRONE_1-BASIC</t>
  </si>
  <si>
    <t>HULL_1-DRONE_2-AVERAGE</t>
  </si>
  <si>
    <t>HULL_1-DRONE_3-GOOD</t>
  </si>
  <si>
    <t>basic light drone hull</t>
  </si>
  <si>
    <t>average drone hull</t>
  </si>
  <si>
    <t>good reinforced drone hull</t>
  </si>
  <si>
    <t>POWER_1-DRONE_1-BASIC</t>
  </si>
  <si>
    <t>POWER_1-DRONE_2-AVERAGE</t>
  </si>
  <si>
    <t>POWER_1-DRONE_3-GOOD</t>
  </si>
  <si>
    <t>low output drone power plant</t>
  </si>
  <si>
    <t>average drone power plant</t>
  </si>
  <si>
    <t>high output drone power plant</t>
  </si>
  <si>
    <t>RADAR_1-DRONE_1-BASIC</t>
  </si>
  <si>
    <t>RADAR_1-DRONE_2-AVERAGE</t>
  </si>
  <si>
    <t>RADAR_1-DRONE_3-GOOD</t>
  </si>
  <si>
    <t>basic drone radar and scans</t>
  </si>
  <si>
    <t>average drone radar and scans</t>
  </si>
  <si>
    <t>good drone radar and scans</t>
  </si>
  <si>
    <t>SHIELD_1-DRONE_1-BASIC</t>
  </si>
  <si>
    <t>SHIELD_1-DRONE_2-AVERAGE</t>
  </si>
  <si>
    <t>SHIELD_1-DRONE_3-GOOD</t>
  </si>
  <si>
    <t>basic drone shield</t>
  </si>
  <si>
    <t>average drone shield</t>
  </si>
  <si>
    <t>good drone shield</t>
  </si>
  <si>
    <t>STRUCTURE_1-DRONE_1-BASIC</t>
  </si>
  <si>
    <t>STRUCTURE_1-DRONE_2-AVERAGE</t>
  </si>
  <si>
    <t>STRUCTURE_1-DRONE_3-GOOD</t>
  </si>
  <si>
    <t>basic drone structure reinforcement</t>
  </si>
  <si>
    <t>average drone structure reinforcement</t>
  </si>
  <si>
    <t>good drone structure reinforcement</t>
  </si>
  <si>
    <t>SYSTEM_1-DRONE_1-BASIC</t>
  </si>
  <si>
    <t>SYSTEM_1-DRONE_2-AVERAGE</t>
  </si>
  <si>
    <t>SYSTEM_1-DRONE_3-GOOD</t>
  </si>
  <si>
    <t>SYSTEM_2-FIGHTER_1-BASIC</t>
  </si>
  <si>
    <t>SYSTEM_2-FIGHTER_2-AVERAGE</t>
  </si>
  <si>
    <t>SYSTEM_2-FIGHTER_3-GOOD</t>
  </si>
  <si>
    <t xml:space="preserve">basic corvette system </t>
  </si>
  <si>
    <t>average corvette system</t>
  </si>
  <si>
    <t>good corvette system</t>
  </si>
  <si>
    <t>good fighter system</t>
  </si>
  <si>
    <t>average fighter system</t>
  </si>
  <si>
    <t>basic fighter system</t>
  </si>
  <si>
    <t>good drone system</t>
  </si>
  <si>
    <t>average drone system</t>
  </si>
  <si>
    <t>basic drone system</t>
  </si>
  <si>
    <t>WARFARESUITE_1-DRONE_1-BASIC</t>
  </si>
  <si>
    <t>WARFARESUITE_1-DRONE_2-AVERAGE</t>
  </si>
  <si>
    <t>WARFARESUITE_1-DRONE_3-GOOD</t>
  </si>
  <si>
    <t>basic drone warfare computer</t>
  </si>
  <si>
    <t>average drone warfare computer</t>
  </si>
  <si>
    <t>good drone warfare computer</t>
  </si>
  <si>
    <t>BAY-DRONE_0-ALL_0-UNIVERSAL</t>
  </si>
  <si>
    <t>BAY-FIGHTER_0-ALL_0-UNIVERSAL</t>
  </si>
  <si>
    <t>BAY-CORVETTE_0-ALL_0-UNIVERSAL</t>
  </si>
  <si>
    <t>internal launch and docking for (1) drone</t>
  </si>
  <si>
    <t>internal launch and docking for (1) fighter</t>
  </si>
  <si>
    <t>internal launch and docking for (1) corvette</t>
  </si>
  <si>
    <t>basic fighter navigation assistance</t>
  </si>
  <si>
    <t>average fighter navigation assistance</t>
  </si>
  <si>
    <t>good fighter navigation assistance</t>
  </si>
  <si>
    <t>basic corvette navigation assistance</t>
  </si>
  <si>
    <t>average corvette navigation assistance</t>
  </si>
  <si>
    <t>good corvette navigation assistance</t>
  </si>
  <si>
    <t>basic drone navigation assistance</t>
  </si>
  <si>
    <t>average drone navigation assistance</t>
  </si>
  <si>
    <t>good drone navigation assistance</t>
  </si>
  <si>
    <t>INSTRUMENTS_1-DRONE_1-BASIC</t>
  </si>
  <si>
    <t>INSTRUMENTS_1-DRONE_2-AVERAGE</t>
  </si>
  <si>
    <t>INSTRUMENTS_1-DRONE_3-GOOD</t>
  </si>
  <si>
    <t>INSTRUMENTS_2-FIGHTER_1-BASIC</t>
  </si>
  <si>
    <t>INSTRUMENTS_2-FIGHTER_2-AVERAGE</t>
  </si>
  <si>
    <t>INSTRUMENTS_2-FIGHTER_3-GOOD</t>
  </si>
  <si>
    <t>INSTRUMENTS_3-CORVETTE_1-BASIC</t>
  </si>
  <si>
    <t>INSTRUMENTS_3-CORVETTE_2-AVERAGE</t>
  </si>
  <si>
    <t>INSTRUMENTS_3-CORVETTE_3-GOOD</t>
  </si>
  <si>
    <t>basic corvette engineering bay</t>
  </si>
  <si>
    <t>average corvette engineering bay</t>
  </si>
  <si>
    <t>good corvette engineering bay</t>
  </si>
  <si>
    <t>basic corvette navigation station</t>
  </si>
  <si>
    <t>average corvette navigation station</t>
  </si>
  <si>
    <t>basic corvette command station</t>
  </si>
  <si>
    <t>average corvette command station</t>
  </si>
  <si>
    <t>good corvette command station</t>
  </si>
  <si>
    <t>OPTIONAL</t>
  </si>
  <si>
    <t>NAVBRIDGE_3-CORVETTE_1-BASIC</t>
  </si>
  <si>
    <t>NAVBRIDGE_3-CORVETTE_2-AVERAGE</t>
  </si>
  <si>
    <t>NAVBRIDGE_3-CORVETTE_3-GOOD</t>
  </si>
  <si>
    <t>COMBRIDGE_3-CORVETTE_1-BASIC</t>
  </si>
  <si>
    <t>COMBRIDGE_3-CORVETTE_2-AVERAGE</t>
  </si>
  <si>
    <t>COMBRIDGE_3-CORVETTE_3-GOOD</t>
  </si>
  <si>
    <t>ENGINEERING_3-CORVETTE_1-BASIC</t>
  </si>
  <si>
    <t>ENGINEERING_3-CORVETTE_2-AVERAGE</t>
  </si>
  <si>
    <t>ENGINEERING_3-CORVETTE_3-GOOD</t>
  </si>
  <si>
    <t>ENGINEBALANCED_1-DRONE_1-BASIC</t>
  </si>
  <si>
    <t>ENGINEBALANCED_1-DRONE_2-AVERAGE</t>
  </si>
  <si>
    <t>ENGINEBALANCED_1-DRONE_3-GOOD</t>
  </si>
  <si>
    <t>ENGINEBALANCED_2-FIGHTER_1-BASIC</t>
  </si>
  <si>
    <t>ENGINEBALANCED_2-FIGHTER_2-AVERAGE</t>
  </si>
  <si>
    <t>ENGINEBALANCED_2-FIGHTER_3-GOOD</t>
  </si>
  <si>
    <t>ENGINEBALANCED_3-CORVETTE_1-BASIC</t>
  </si>
  <si>
    <t>ENGINEBALANCED_3-CORVETTE_2-AVERAGE</t>
  </si>
  <si>
    <t>ENGINEBALANCED_3-CORVETTE_3-GOOD</t>
  </si>
  <si>
    <t>ENGINECOMBAT_1-DRONE_1-BASIC</t>
  </si>
  <si>
    <t>ENGINECOMBAT_1-DRONE_2-AVERAGE</t>
  </si>
  <si>
    <t>ENGINECOMBAT_1-DRONE_3-GOOD</t>
  </si>
  <si>
    <t>ENGINECOMBAT_2-FIGHTER_1-BASIC</t>
  </si>
  <si>
    <t>ENGINECOMBAT_2-FIGHTER_2-AVERAGE</t>
  </si>
  <si>
    <t>ENGINECOMBAT_2-FIGHTER_3-GOOD</t>
  </si>
  <si>
    <t>ENGINECOMBAT_3-CORVETTE_1-BASIC</t>
  </si>
  <si>
    <t>ENGINECOMBAT_3-CORVETTE_2-AVERAGE</t>
  </si>
  <si>
    <t>ENGINECOMBAT_3-CORVETTE_3-GOOD</t>
  </si>
  <si>
    <t>low speed balanced drone engine</t>
  </si>
  <si>
    <t>med speed drone balanced engine</t>
  </si>
  <si>
    <t>high speed drone balanced engine</t>
  </si>
  <si>
    <t>low speed fighter balanced engine</t>
  </si>
  <si>
    <t>med speed fighter balanced engine</t>
  </si>
  <si>
    <t>high speed fighter balanced engine</t>
  </si>
  <si>
    <t>low speed corvette balanced engine</t>
  </si>
  <si>
    <t>med speed corvette balanced engine</t>
  </si>
  <si>
    <t>high speed corvette balanced engine</t>
  </si>
  <si>
    <t>low speed drone combat engine</t>
  </si>
  <si>
    <t>med speed drone combat engine</t>
  </si>
  <si>
    <t>high speed drone combat engine</t>
  </si>
  <si>
    <t>low speed fighter combat engine</t>
  </si>
  <si>
    <t>med speed fighter combat engine</t>
  </si>
  <si>
    <t>high speed fighter combat engine</t>
  </si>
  <si>
    <t>low speed corvette combat engine</t>
  </si>
  <si>
    <t>med speed corvette combat engine</t>
  </si>
  <si>
    <t>high speed corvette combat engine</t>
  </si>
  <si>
    <t>ENGINEHANDLING_1-DRONE_1-BASIC</t>
  </si>
  <si>
    <t>ENGINEHANDLING_1-DRONE_2-AVERAGE</t>
  </si>
  <si>
    <t>ENGINEHANDLING_1-DRONE_3-GOOD</t>
  </si>
  <si>
    <t>ENGINEHANDLING_2-FIGHTER_1-BASIC</t>
  </si>
  <si>
    <t>ENGINEHANDLING_2-FIGHTER_2-AVERAGE</t>
  </si>
  <si>
    <t>ENGINEHANDLING_2-FIGHTER_3-GOOD</t>
  </si>
  <si>
    <t>ENGINEHANDLING_3-CORVETTE_1-BASIC</t>
  </si>
  <si>
    <t>ENGINEHANDLING_3-CORVETTE_2-AVERAGE</t>
  </si>
  <si>
    <t>ENGINEHANDLING_3-CORVETTE_3-GOOD</t>
  </si>
  <si>
    <t>high speed corvette handling engine</t>
  </si>
  <si>
    <t>low speed drone handling engine</t>
  </si>
  <si>
    <t>med speed drone handling engine</t>
  </si>
  <si>
    <t>high speed drone handling engine</t>
  </si>
  <si>
    <t>low speed fighter handling engine</t>
  </si>
  <si>
    <t>med speed fighter handling engine</t>
  </si>
  <si>
    <t>high speed fighter handling engine</t>
  </si>
  <si>
    <t>low speed corvette handling engine</t>
  </si>
  <si>
    <t>med speed corvette handling engine</t>
  </si>
  <si>
    <t>JUMPDRIVE_RANGE</t>
  </si>
  <si>
    <t>MAX_COM_RANGE</t>
  </si>
  <si>
    <t>LIFE_SUPPORT_HOURS</t>
  </si>
  <si>
    <t>TEMPLATE_3-CORVETTE_0-UNIVERSAL</t>
  </si>
  <si>
    <t>universal covertte template</t>
  </si>
  <si>
    <t>TEMPLATE_3-CORVETTE_1-COURRIER</t>
  </si>
  <si>
    <t>courrier corvette template</t>
  </si>
  <si>
    <t>TOTAL COST</t>
  </si>
  <si>
    <t>CORVETTE</t>
  </si>
  <si>
    <t>COURRIER</t>
  </si>
  <si>
    <t>SHUTTLE</t>
  </si>
  <si>
    <t>TEMPLATE_3-CORVETTE_2-SHUTTLE</t>
  </si>
  <si>
    <t>shuttle corvette template</t>
  </si>
  <si>
    <t>COMPONENT LOCATION :  EXTERNAL</t>
  </si>
  <si>
    <t>EXTERNAL_SPACE_UNITS</t>
  </si>
  <si>
    <t>TEMPLATE_3-CORVETTE_3-BOARDING</t>
  </si>
  <si>
    <t>boarding corvette template</t>
  </si>
  <si>
    <t>BOARDING</t>
  </si>
  <si>
    <t>DROPSHIP</t>
  </si>
  <si>
    <t>TEMPLATE_3-CORVETTE_4-DROPSHIP</t>
  </si>
  <si>
    <t>dropship corvette template</t>
  </si>
  <si>
    <t>HAULER</t>
  </si>
  <si>
    <t>TEMPLATE_3-CORVETTE_5-HAULER</t>
  </si>
  <si>
    <t>TEMPLATE_3-CORVETTE_7-PATROL</t>
  </si>
  <si>
    <t>TEMPLATE_3-CORVETTE_6-GUNSHIP</t>
  </si>
  <si>
    <t>hauler corvette template</t>
  </si>
  <si>
    <t>gunship corvette template</t>
  </si>
  <si>
    <t>patrol corvette template</t>
  </si>
  <si>
    <t>GUNSHIP</t>
  </si>
  <si>
    <t>PATROL</t>
  </si>
  <si>
    <t>AIRLOCKBRIDGE_0-ALL_0-UNIVERSAL</t>
  </si>
  <si>
    <t>typical retractable airlock found on most spaceships</t>
  </si>
  <si>
    <t>TEMPLATE_2-FIGHTER_0-UNIVERSAL</t>
  </si>
  <si>
    <t>TEMPLATE_2-FIGHTER_1-INTERCEPTOR</t>
  </si>
  <si>
    <t>raider fighter template</t>
  </si>
  <si>
    <t>bomber fighter template</t>
  </si>
  <si>
    <t>attack fighter templace</t>
  </si>
  <si>
    <t>universal fighter template</t>
  </si>
  <si>
    <t>universal drone templace</t>
  </si>
  <si>
    <t>TEMPLATE_1-DRONE_0-UNIVERSAL</t>
  </si>
  <si>
    <t>TEMPLATE_1-DRONE_1-SUICIDE</t>
  </si>
  <si>
    <t>TEMPLATE_2-FIGHTER_2-ATTACK</t>
  </si>
  <si>
    <t>TEMPLATE_2-FIGHTER_3-BOMBER</t>
  </si>
  <si>
    <t>TEMPLATE_2-FIGHTER_4-RAIDER</t>
  </si>
  <si>
    <t>TEMPLATE_1-DRONE_2-ATTACK</t>
  </si>
  <si>
    <t>TEMPLATE_1-DRONE_3-CARGO</t>
  </si>
  <si>
    <t>TEMPLATE_1-DRONE_4-REPAIR</t>
  </si>
  <si>
    <t>attack drone template</t>
  </si>
  <si>
    <t>suicide drone template</t>
  </si>
  <si>
    <t>cargo drone template</t>
  </si>
  <si>
    <t>repair drone template</t>
  </si>
  <si>
    <t>interceptor fighter template</t>
  </si>
  <si>
    <t>COCKPIT_2-FIGHTER_1-BASIC</t>
  </si>
  <si>
    <t>COCKPIT_2-FIGHTER_2-AVERAGE</t>
  </si>
  <si>
    <t>COCKPIT_2-FIGHTER_3-GOOD</t>
  </si>
  <si>
    <t>average cockpit for fighters</t>
  </si>
  <si>
    <t>good cockpit for fighters</t>
  </si>
  <si>
    <t>basic cockpit for fighters</t>
  </si>
  <si>
    <t>ATTACK</t>
  </si>
  <si>
    <t>SUICIDE</t>
  </si>
  <si>
    <t>REPAIR</t>
  </si>
  <si>
    <t>CONSTRUCTION_1-DRONE_1-BASIC</t>
  </si>
  <si>
    <t>CONSTRUCTION_1-DRONE_2-AVERAGE</t>
  </si>
  <si>
    <t>CONSTRUCTION_1-DRONE_3-GOOD</t>
  </si>
  <si>
    <t>CONSTRUCTION_2-FIGHTER_1-BASIC</t>
  </si>
  <si>
    <t>CONSTRUCTION_2-FIGHTER_2-AVERAGE</t>
  </si>
  <si>
    <t>CONSTRUCTION_2-FIGHTER_3-GOOD</t>
  </si>
  <si>
    <t>CONSTRUCTION_3-CORVETTE_1-BASIC</t>
  </si>
  <si>
    <t>CONSTRUCTION_3-CORVETTE_2-AVERAGE</t>
  </si>
  <si>
    <t>CONSTRUCTION_3-CORVETTE_3-GOOD</t>
  </si>
  <si>
    <t>basic drone arms for construction/hauling</t>
  </si>
  <si>
    <t>average drone arms for construction/hauling</t>
  </si>
  <si>
    <t>good drone arms for construction/hauling</t>
  </si>
  <si>
    <t>basic fighter arms for construction/hauling</t>
  </si>
  <si>
    <t>average fighter arms for construction/hauling</t>
  </si>
  <si>
    <t>good fighter arms for construction/hauling</t>
  </si>
  <si>
    <t>basic corvette arms for construction/hauling</t>
  </si>
  <si>
    <t>average corvette arms for construction/hauling</t>
  </si>
  <si>
    <t>good corvette arms for construction/hauling</t>
  </si>
  <si>
    <t>GLOSSARY</t>
  </si>
  <si>
    <t>SHIP CLASS</t>
  </si>
  <si>
    <t>The class of a ship determines which category it belongs to: Ship classes from smalest to largest are Drones, Fighters, Corvettes, Frigates, Cruisers, Battlecruisers, Carriers and Nova Cruisers.</t>
  </si>
  <si>
    <t>SHIP TYPE</t>
  </si>
  <si>
    <t xml:space="preserve">The type of a ship determines which subclass the ship belongs to and will determine it's internal configurations, role and components. </t>
  </si>
  <si>
    <t>SHIP MINIMUM CREW</t>
  </si>
  <si>
    <t>The minimum amount of personnel required on a ship to operate it. Anyone operating on a ship under minimum crew has a LARGE penalty to all their skill checks.</t>
  </si>
  <si>
    <t>SHIP MAXIMUM CREW</t>
  </si>
  <si>
    <t>The maximum crew is the amount of personnal required to fully staff a ship. Anyone operating on a ship under maximum crew has a SMALL penalty to all their skill checks.</t>
  </si>
  <si>
    <t>SHIP ATMOSPHERIC CAPABILITY</t>
  </si>
  <si>
    <t>Very few ships can handle going into an atmosphere; when they do this is marked as FULL or HALF. HALF only allows takeoff and landing while FULL allows full capabilities within atmosphere.</t>
  </si>
  <si>
    <t>SHIP SPEED</t>
  </si>
  <si>
    <t>The speed of ships is normalized to 3 distinct values: LOW MEDIUM and HIGH. (you can always lower your speed). Ship speed has no effect on jump range. See SHIP speed section of SPACE rules for more details.</t>
  </si>
  <si>
    <t>SHIP MAX PASSENGERS</t>
  </si>
  <si>
    <t>SHIP LIFE SUPPORT</t>
  </si>
  <si>
    <t>SHIP AVAILABLE POWER</t>
  </si>
  <si>
    <t>Spaceships need power for their various components, if there's a surplus it will be listed as available power. This can be used for various things like weapons, shields or various systems.</t>
  </si>
  <si>
    <t>SHIP SHIELD</t>
  </si>
  <si>
    <t>Shields on spaceships function as damage buffer. Any damage done will impact shields first. If no shields are available then the damage goes directly into HULL or SYSTEM.</t>
  </si>
  <si>
    <t>Shield recharge on a spaceship indicates how many units of power you can send to the shield to recharge an equal amount.</t>
  </si>
  <si>
    <t>SHIP SHIELD RECHARGE</t>
  </si>
  <si>
    <t>SHIP STRUCTURE</t>
  </si>
  <si>
    <t>COMPROMISED</t>
  </si>
  <si>
    <t>COMPROMISED is a LIGHT TRAUMA for objects and machines. An ITEM that is COMPROMISED loses access to EXTERNAL components</t>
  </si>
  <si>
    <t>CRIPPLED</t>
  </si>
  <si>
    <t>CRIPPLED is a SEVERE TRAUMA for objects and machines. An ITEM that is CRIPPLED loses access to EXTERNAL and INTERNAL components.</t>
  </si>
  <si>
    <t>SCRAPPED</t>
  </si>
  <si>
    <t>Scrapped indicates that an object or item stops functionning completely. Nothing works anymore, item will have to be repaired before it can be used again.</t>
  </si>
  <si>
    <t>DESTROYED</t>
  </si>
  <si>
    <t>Destroyed happens when you lose more than 2x your HEALTH, HULL, MORALE or SYSTEM. Anything suffering a destroyed result is obliterated beyond any recovery.</t>
  </si>
  <si>
    <t>Hull is your ship's durability, taking damage will lower this value. It can be repaired using ressources but does not recover naturally. If your HULL reachhes 0 your ship is SCRAPPED.</t>
  </si>
  <si>
    <t>ECM stands for electronic counter measures and the value indicates your ship's SYSTEM damage treshold. Any system damage exceeding this value in a single hit will cause a TRAUMA.</t>
  </si>
  <si>
    <t>Structure is the damage treshold that your HULL can take before you are COMPROMISED or CRIPPLED. Any hull damage exceeding this value in a single hit will cause one of those TRAUMA.</t>
  </si>
  <si>
    <t>System is your ship's electronic's durability, taking system damage will lower this value. It can be repaired using ressources but does not recover naturally. If your SYSTEM reaches 0 your ship is SCRAPPED.</t>
  </si>
  <si>
    <t>SHIP CARGO</t>
  </si>
  <si>
    <t>SHIP SYSTEM</t>
  </si>
  <si>
    <t>SHIP ECM</t>
  </si>
  <si>
    <t>SHIP HULL</t>
  </si>
  <si>
    <t>The value on your ship's cargo indicates how many units of cargo you can fit in that area. One unit of ship cargo is equal to one HUGE item.</t>
  </si>
  <si>
    <t>SHIP COMBAT RANGE</t>
  </si>
  <si>
    <t>The combat range is your ship's weapon range, weapons that exceed this range will have to shoot blind.</t>
  </si>
  <si>
    <t>SHIP SCAN RANGE</t>
  </si>
  <si>
    <t>This is how far away you can detect other ships and objects. Anything beyond that range is impossible to detect.</t>
  </si>
  <si>
    <t>SHIP JUMP MAX RANGE</t>
  </si>
  <si>
    <t>GALACTIC QUADRANT</t>
  </si>
  <si>
    <t>The standard unit of measurement for a sector of the known universe. A star system is usually a single quadrant.</t>
  </si>
  <si>
    <t>SHIP JUMP SPEED</t>
  </si>
  <si>
    <t>Indicates how fast you travel when at jump speed. Standard speed is a week (100 hrs) per quadrant.</t>
  </si>
  <si>
    <t>SHIP COMMAND</t>
  </si>
  <si>
    <t>The command rating of a ship indicates how well designed it is for a leader to direct its crew. See COMMAND section under SPACE rules for details</t>
  </si>
  <si>
    <t>SHIP HANDLING</t>
  </si>
  <si>
    <t>The handling of a ship indicates how manueverable it is and how difficult is it to pilot. See HANDLING section under SPACE rules for details</t>
  </si>
  <si>
    <t>SHIP INSTRUMENTS</t>
  </si>
  <si>
    <t>SHIP ENGINEERING</t>
  </si>
  <si>
    <t xml:space="preserve">The instrument rating on a ship indicates how precise it can navigate its electronic warfare capabilities. See INSTRUMENTS section under SPACE rules for details </t>
  </si>
  <si>
    <t>The warfare rating on a ship indicates how advanced the weapon systems are and how difficult they are to operate. See WARFARE section under SPACE rules for details.</t>
  </si>
  <si>
    <t>The engineering rating of a ship indicates how much RESSOURCE UNITS it can generate and how skilled an engineer must be to operate it. See ENGINEERING section under SPACE rules for details.</t>
  </si>
  <si>
    <t>SHIP COMPONENTS</t>
  </si>
  <si>
    <t>The ship component count indicate how much space you have on a given design to add new areas and components.</t>
  </si>
  <si>
    <t>The core of a ship is the most protected area of the ship and any components housed in that area will keep functionning until the ship is SCRAPPED.</t>
  </si>
  <si>
    <t>The internals of a ship are the midpoint where most systems and components are housed. Internal components will function when on a COMPROMISED result but will stop working on a CRIPPLED result.</t>
  </si>
  <si>
    <t>SHIP EXTERNAL COMPONENTS</t>
  </si>
  <si>
    <t>SHIP INTERNAL COMPONENTS</t>
  </si>
  <si>
    <t>SHIP CORE COMPONENTS</t>
  </si>
  <si>
    <t>External components are housed on the outer layer of a ship and have very little protection. Any ship TRAUMA will disable those.</t>
  </si>
  <si>
    <t>SHIP DRONES</t>
  </si>
  <si>
    <t>FIGHTERS</t>
  </si>
  <si>
    <t>CORVETTES</t>
  </si>
  <si>
    <t>FRIGATES</t>
  </si>
  <si>
    <t>CRUISERS</t>
  </si>
  <si>
    <t>BATTLECRUISERS</t>
  </si>
  <si>
    <t>CARRIERS</t>
  </si>
  <si>
    <t>NOVA CRUISERS</t>
  </si>
  <si>
    <t>Fighters are short range small fixed weapon spaceships usually used in warfare. They range from 15-25m and have a small crews of 1-3 people.</t>
  </si>
  <si>
    <t>Drones are short range crewless single task spaceships. They range from 5-10 meters and while some can handle cargo none of them can handle living things.</t>
  </si>
  <si>
    <t>Corvettes are a patrol craft, designed to be lethal to civilian shipping and most pirates, but really more police-oriented than military.Average size is around 50m with typical crews of around 5 and can carry up to 25 pasengers.</t>
  </si>
  <si>
    <t>Frigates are a corvette with cruiser-class weapons. A frigate is a ship designed to be tougher than any pirate, and faster than any cruiser. They can handle short range missions but remain limited in operational range. Average size is around 100m with typical crews of around 10 people and can carry up to 50 passengers.</t>
  </si>
  <si>
    <t>Cruisers are designed to run away from whatever it can’t kill and kill anything it can’t run away from. They are large enough to operate independantly in or out of deep space. Some can also have small ship bays. Typical size is around 200m length with crews randing from 8 to 20. Specifically designed cruisers can carry up to 200 passengers.</t>
  </si>
  <si>
    <t>A battlecruiser is designed to be fast like a cruiser but with multiple turrets or giant guns. Battlecruisers are the main ships on the frontline of a war and often serve as bases of oerations in a sector. Typical sizes is around 400m min with a crew of around 25. Max passengers is around 500.</t>
  </si>
  <si>
    <t>A carrier is a nova cruiser that is missing the main gun battery and most of the armor. If a carrier is getting close enough to need armor, the captain and/or admiral needs to be fired. They are designed to carry and deliver payloads be it cargo, passengers, fighters, missiles etc.  Typical size starts at  1400m+ length with a crew of 75 and around 2000 passengers.</t>
  </si>
  <si>
    <t>A nova cruiser is a battlecruiser with enough armor to survive being hit by another battlecruiser. They are gigantic structures that ressemble ships but who's main function is to provide the anchor for a fleet. Typical size is 5km length with a crew of 100+ and up to 10k passengers.</t>
  </si>
  <si>
    <t>ORDONNANCE</t>
  </si>
  <si>
    <t>Ordonnance weapons are ship weapons that also require ammunition. If not paired with an ammo bay the weapon has enough munitions to fire until it needs to reload.</t>
  </si>
  <si>
    <t>This value lets you know how long your life support can handle a full load of passengers on board in optimal conditions. Having more people than life support will lead to death.</t>
  </si>
  <si>
    <t>Indicates how many passengers this ship can carry. Crew and passengers count separatly on a ship and will more than likely have different accomodations. Life support will also match the maximum passenger count.</t>
  </si>
  <si>
    <t xml:space="preserve">Indicates how many galactic quadrants your ship can calculate a trajectory to. </t>
  </si>
  <si>
    <t>JUMP</t>
  </si>
  <si>
    <t xml:space="preserve">A jump is a high speed drive for ships designed for long distance travel. Jumping takes time and is in no way instant but cuts down travel times massively. </t>
  </si>
  <si>
    <t>SPACE RULES</t>
  </si>
  <si>
    <t>ALLIANCE SPACE</t>
  </si>
  <si>
    <t>Represents every quadrant of the galaxy under alliance control. Systems in the alliance control all have similar laws and citizen rights. This is what most people would call the civilized world.</t>
  </si>
  <si>
    <t>DARK SPACE</t>
  </si>
  <si>
    <t>Represents every mapped quadrant outside the reach of the alliance. Every system in the dark space has their own laws and customs. This is also what people call the frontier worlds.</t>
  </si>
  <si>
    <t>DEEP SPACE</t>
  </si>
  <si>
    <t>Unexplored area of space, very few venture in those areas, few even return. What is trully out there no one really knows.</t>
  </si>
  <si>
    <t>NEBULA</t>
  </si>
  <si>
    <t>Sectors within a NEBULA experience all sorts of anomalies. Any captain should steer well away from those areas as you never know which system will stop working on your ship.</t>
  </si>
  <si>
    <t>NEMANI RIFT</t>
  </si>
  <si>
    <t>A giant negbula that spans from the ASH system all the way into Kraven space. For some reason Kravens cannot seems to traverse that area. Any exploration of the area is forbidden due to the lethal nature of the area.</t>
  </si>
  <si>
    <t>KRAVEN SPACE</t>
  </si>
  <si>
    <t>A giant area of the galaxy that used to be the nerulian empire is now just known as Kraven space. No nerulian has any claims left in the area.</t>
  </si>
  <si>
    <t>KRAVEN</t>
  </si>
  <si>
    <t>Gaint insect like race that first appeared in the ancient nerulian empire. Within days of their appearance the nerulian empire was obliterated and has remained since. No living being has ever been able to communicate with the Kravens.</t>
  </si>
  <si>
    <t>SHIP GRAVITY</t>
  </si>
  <si>
    <t>Ships have articial gravity as long as they have power movement inside is normal. Gravity is part of the life support component. If life support is gone then the ship is now difficult terrain (Zero G).</t>
  </si>
  <si>
    <t>SUFFOCATING</t>
  </si>
  <si>
    <t>An absence of air will lead to suffocation. When a character is deprived of air roll a RESILIENCE check every round at DC1, increase DC by 1 for every round therafter until death or a source of air is found. On a failed check you lose the DC of the resilience check as health (stun dmg). DMG will not sop if you enter DYING state.</t>
  </si>
  <si>
    <t>SHIP COMBAT</t>
  </si>
  <si>
    <t>When engaging in ship combat the turn order remains the same but the actions are always done in a fixed order.</t>
  </si>
  <si>
    <t>A ship combat round will start with MAINTENANCE, then COMMANDER, ENGINEER, NAVIGATOR, PILOT and finally GUNNER.</t>
  </si>
  <si>
    <t>While on a ship players can assume the following roles:</t>
  </si>
  <si>
    <t>COMMANDER : Single player role, uses LEADERSHIP to direct actions of other roles</t>
  </si>
  <si>
    <t>ENGINEER : Single or multi player roles. Will use ENGINEERING to generate RESSOURCE UNITS, or TECHNOLOGY / JOURNEYMAN to use RESSOURCE UNITS to repair SYSTEM / HULL.</t>
  </si>
  <si>
    <t>NAVIGATOR : Single or multi player roles. Will use NAVIGATION to help the PILOT or perform CYBERINTEL, HACKING or OPERATOR actions.</t>
  </si>
  <si>
    <t>PILOT : Single player role. Will steer the ship to give gunners good angles and avoid enemy fire.</t>
  </si>
  <si>
    <t>GUNNER : Single or multi plauer roles. Will use HEAVY WEAPONS to shoot down the opposition.</t>
  </si>
  <si>
    <t>Any player on a ship but not assigned to a role can also use normal initiative (movement, standard,complex etc). Resolve that player's actions after the commander and engineer have acted but before the navigator, pilor and gunner have acted.</t>
  </si>
  <si>
    <t xml:space="preserve">Ship ratings for role  properties (command, handling, instruments, engineering, warfare) range from 0 (not available) to 10 (max and only achievable through mods/manufacturer bonuses). </t>
  </si>
  <si>
    <t>RESSOURCE UNITS</t>
  </si>
  <si>
    <t>SHIP REPAIRS</t>
  </si>
  <si>
    <t>When repairing a ship you need to have the available ressource units and perform a skill check (TECHNOLOGY for SYSTEM or JOURNEYMAN for HULL) to restore one point. Shields do not require skill checks and can instead convert X ressources units to shield see SHIP SHIELD RECHARGE.</t>
  </si>
  <si>
    <t xml:space="preserve">Standardized meassure of the ressources required to repair things aboard a ship. One ressource unit can repair one point of shield, hull or system. </t>
  </si>
  <si>
    <t>Ship ratings</t>
  </si>
  <si>
    <t>Ship Roles</t>
  </si>
  <si>
    <t>TRANSPONDER</t>
  </si>
  <si>
    <t>Your ship identication and classification to other ships that can scan you. Also contains your ship name. (Registration and ship name should match but then there's pirates).</t>
  </si>
  <si>
    <t>SHIP FUEL</t>
  </si>
  <si>
    <t>Most ships operate using fusion drives which have a lifetime supply of fuel, some ships however, run on CORONTHIA a super dense fuel that produce an immence amount of power but requires refuelling.</t>
  </si>
  <si>
    <t>CORONTHIA</t>
  </si>
  <si>
    <t>Super dense fuel that has restricted use in all alliance atmospheres. It has an amazing power potential but an equal instability potential rending it very dangerous for use. Fusion cores have replaced more coronthia engines but some remain.</t>
  </si>
  <si>
    <t>ADVANTAGE: You grant your skill roll result as a bonus to the next job in the job order.</t>
  </si>
  <si>
    <t>DISADVANTAGE : You add your skill roll result as a penalty  to the next job in the job order.</t>
  </si>
  <si>
    <t>ROLE ADVANTAGE</t>
  </si>
  <si>
    <t xml:space="preserve"> You grant your skill roll result as a bonus to the next person's job in the job order.</t>
  </si>
  <si>
    <t xml:space="preserve"> You add your skill roll result as a penalty to the next person's job in the job order.</t>
  </si>
  <si>
    <t>FIXED WEAPONS</t>
  </si>
  <si>
    <t>Weapons that are fixed are always facing where the ship is facing and thus cannot hit a target if the GUNNER has a ROLE DISADVANTAGE (ship is facing the wrong way).</t>
  </si>
  <si>
    <t>ROLE DISAVANTAGE</t>
  </si>
  <si>
    <t>Engineers roll ENGINEERING against their own ships ENGINEERING value. If they equal or exceed the value they generate that amount of RESSOURCE UNITS. If they roll under the value they fail to generate any ressource units. On a critical faillure you also set the AVAILABLE POWER to 0 for that round. On a critical success, you get the max skill result.</t>
  </si>
  <si>
    <t>SPACE MOVEMENT</t>
  </si>
  <si>
    <t xml:space="preserve">When speed is equal; you cannot catch up or evade another ship other than plotting a jump to escape or to cut its route short (NAVIGATION Vs target's INSTRUMENTS). </t>
  </si>
  <si>
    <t>When speed is one category of difference (MEDIUM Vs LOW for example) it takes 10 rounds to enter/escape from a  radar category (COMBAT/SCAN/JUMP).</t>
  </si>
  <si>
    <t>For example : If you have superior speed, exiting combat range, would put you in SCAN RANGE and after 10 more rounds you would be in JUMP RANGE.</t>
  </si>
  <si>
    <t>Radar JUMP RANGE determines the maximum jump range; jump range is presented in GALACTIC QUADRANTS on the starmap one quadrant (one square) takes 10 days/100 hours.</t>
  </si>
  <si>
    <t>Combat range is your weapons and targetting range, ships outside that range are considered outside of weapon range.</t>
  </si>
  <si>
    <t>SHIP WARFARE</t>
  </si>
  <si>
    <t>COMMAND : The command rating of a ship indicates how well designed it is for a leader to direct its crew. Command is usually done from the bridge and the quality of that component can greatly affect the result and assistance the commander has. Better bridges also require commanders with more experience as they increase the DC of the roll.</t>
  </si>
  <si>
    <t>Commanders always roll LEADERSHIP against the COMMAND rating of their ship. If they succeed they add the COMMAND rating of their ship as a BONUS to another crew job of their choice (engineering, instruments, handling or warfare). If they fail they grant DISADVANTAGE. On a critical faillure they grant DISADVANTAGE to all JOBS this round.</t>
  </si>
  <si>
    <t>HANDLING : The handling of a ship indicates how manueverable it is and how difficult is it to pilot since DC increases with handling improvement. It also indirectly makes your ship harder to hit due to the pilot handling bonus passing onto the gunner.</t>
  </si>
  <si>
    <t>Pilots roll PILOTING Vs DC ship handling rating. If you suceed add the ship handling to your result; compare the total against the enemy ship rating. If you are over the base ship rating but under the total enemy rating  you have no advange or penalty. If you are under the enemy base ship rating you give DISADVANTAGE to the GUNNER rolls this round. If you are over the enemy total rating you instead grant ADVANTAGE to those same roles.</t>
  </si>
  <si>
    <t>Navigator roll NAVIGATION Vs DC ship Instruments rating. If you suceed add the ship INSTRUMENTS rating to your result; compare the total against the enemy ship rating. If you are over the base ship rating but under the total enemy rating  you have no advange or penalty. If you are under the enemy base ship rating you give DISADVANTAGE to HACKING, CYBERINTEL, OPERATOR and PILOT rolls this round. If you are over the enemy total rating you instead grant ADVANTAGE to those same roles.</t>
  </si>
  <si>
    <t xml:space="preserve">Gunners roll HEAVY WEAPONS Vs DC your ship WARFARE rating. If you suceed add the ship WARFARE rating to your result; compare the total against the enemy ship rating. If you are over the base ship rating but under the total enemy rating  you have no advange or penalty. If you are under the enemy base ship rating you miss all of your shots. If you are over the enemy total rating you can CRITICAL HIT. IF you have DISADVANTAGE for any reasons you cannot fire FIXED WEAPONS. Turret weapons can still be fired but you apply the disadvantage penalty. Gunners skill rolls are always last so they do not grant advantage or disadvantage but are affected by all previous jobs. </t>
  </si>
  <si>
    <t>INSTRUMENTS : The instrument rating on a ship indicates how precise the instruments are and how complex their operation can be. they help you navigate as well as perform electronic warfare. Instruments influence the DC of making a JUMP, the DC of CYBER ATTACKS against your ship and any CYBERINTEL, OPERATOR, HACKING skills rolls</t>
  </si>
  <si>
    <t>ENGINEERING : The engineering rating of a ship is an indication of the complexity and power of the various systems that keep the ship going. The engineering rating directly influence the RESSOURCE UNITS you can generate and impacts how skilled of an engineer you must be to get the power plant and other components to behave. Other roles like JOURNEYMAN and TECHNOLOGY are classified under the engineering rating of your ship but they do not generate ressource units they only consume them.</t>
  </si>
  <si>
    <t>WARFARE : The warfare rating on a ship indicates how advanced your targetting computers, weapon systems and ordonnance are and how difficult they are to operate. The GUNNER role benefits directly from the warfare rating of the ship but also must cope with its complexity. Warfare if the only role in the ship that's affected by all previous roles and does not affect any one themselves.</t>
  </si>
  <si>
    <t>TURRET WEAPONS</t>
  </si>
  <si>
    <t>Weapons labelled as turret weapons are gimballed and can face any direction they need. Weapons that are TURRET tagged can fire even when the GUNNER is at a DISADVANTAGE. As a drawback turret weapons use up more component space and use additional power.</t>
  </si>
  <si>
    <t>GUNNER : Single or multi player roles. Will use HEAVY WEAPONS to shoot down the opposition.</t>
  </si>
  <si>
    <t>Any player on a ship but not assigned to a role can also use normal initiative (movement, standard, complex etc.). Resolve that player's actions after the commander and engineer have acted but before the navigator, pilot and gunner have acted.</t>
  </si>
  <si>
    <t>(do not put natural 10's on those values, this is attainable with talents, manufacturer and optional bonuses)</t>
  </si>
  <si>
    <t>HANDLING : The handling of a ship indicates how maneuverable it is and how difficult is it to pilot since DC increases with handling improvement. It also indirectly makes your ship harder to hit due to the pilot handling bonus passing onto the gunner.</t>
  </si>
  <si>
    <t>ENGINEERING : The engineering rating of a ship is an indication of the complexity and power of the various systems that keep the ship going. The engineering rating directly influence the RESSOURCE UNITS you can generate and impacts how skilled of an engineer you must be to get the power plant and other components to behave. Other roles like JOURNEYMAN and TECHNOLOGY are classified under the engineering rating of your ship but they do not generate resource units they only consume them.</t>
  </si>
  <si>
    <t>WARFARE : The warfare rating on a ship indicates how advanced your targeting computers, weapon systems and ordonnance are and how difficult they are to operate. The GUNNER role benefits directly from the warfare rating of the ship but also must cope with its complexity. Warfare if the only role in the ship that's affected by all previous roles and does not affect any one themselves.</t>
  </si>
  <si>
    <t>Commanders always roll LEADERSHIP against the COMMAND rating of their ship. If they succeed they add the COMMAND rating of their ship as a BONUS to another crew job of their choice (engineering, instruments, handling or warfare). If they fail they grant DISADVANTAGE. On a critical failure they grant DISADVANTAGE to all JOBS this round.</t>
  </si>
  <si>
    <t>Engineers roll ENGINEERING against their own ships ENGINEERING value. If they equal or exceed the value they generate that amount of RESSOURCE UNITS. If they roll under the value they fail to generate any resource units. On a critical failure you also set the AVAILABLE POWER to 0 for that round. On a critical success, you get the max skill result.</t>
  </si>
  <si>
    <t>Navigator roll NAVIGATION Vs DC ship Instruments rating. If you succeed add the ship INSTRUMENTS rating to your result; compare the total against the enemy ship rating. If you are over the base ship rating but under the total enemy rating  you have no advantage or penalty. If you are under the enemy base ship rating you give DISADVANTAGE to HACKING, CYBERINTEL, OPERATOR and PILOT rolls this round. If you are over the enemy total rating you instead grant ADVANTAGE to those same roles.</t>
  </si>
  <si>
    <t>Pilots roll PILOTING Vs DC ship handling rating. If you succeed add the ship handling to your result; compare the total against the enemy ship rating. If you are over the base ship rating but under the total enemy rating  you have no advantage or penalty. If you are under the enemy base ship rating you give DISADVANTAGE to the GUNNER rolls this round. If you are over the enemy total rating you instead grant ADVANTAGE to those same roles.</t>
  </si>
  <si>
    <t xml:space="preserve">Gunners roll HEAVY WEAPONS Vs DC your ship WARFARE rating. If you succeed add the ship WARFARE rating to your result; compare the total against the enemy ship rating. If you are over the base ship rating but under the total enemy rating  you have no advantage or penalty. If you are under the enemy base ship rating you miss all of your shots. If you are over the enemy total rating you can CRITICAL HIT. IF you have DISADVANTAGE for any reasons you cannot fire FIXED WEAPONS. Turret weapons can still be fired but you apply the disadvantage penalty. Gunners skill rolls are always last so they do not grant advantage or disadvantage but are affected by all previous jobs. </t>
  </si>
  <si>
    <t>Radar JUMP RANGE determines the maximum jump range; jump range is presented in GALACTIC QUADRANTS on the star map one quadrant (one square) takes 10 days/100 hours.</t>
  </si>
  <si>
    <t>Sensors have 3 ranges, from lowest and most detailed to longest and least detailed : Combat - Sensor - Jump range</t>
  </si>
  <si>
    <t>Combat range is your weapons and targeting range, ships outside that range are considered outside of weapon range.</t>
  </si>
  <si>
    <t>Sensor range allows you to identify ships their class, transponders or see planets, debris etc.</t>
  </si>
  <si>
    <t>Jump range is limited to just plotting a course that avoids major obstacles but doesn't provide any information on the destination</t>
  </si>
  <si>
    <t>special versions of sensors can also impact concealment, space anomalies and penalties etc.</t>
  </si>
  <si>
    <t>The class of a ship determines which category it belongs to: Ship classes from smallest to largest are Drones, Fighters, Corvettes, Frigates, Cruisers, Battlecruisers, Carriers and Nova Cruisers.</t>
  </si>
  <si>
    <t>The maximum crew is the amount of personal required to fully staff a ship. Anyone operating on a ship under maximum crew has a SMALL penalty to all their skill checks.</t>
  </si>
  <si>
    <t>Indicates how many passengers this ship can carry. Crew and passengers count separately on a ship and will more than likely have different accommodations. Life support will also match the maximum passenger count.</t>
  </si>
  <si>
    <t>Structure is the damage threshold that your HULL can take before you are COMPROMISED or CRIPPLED. Any hull damage exceeding this value in a single hit will cause one of those TRAUMA.</t>
  </si>
  <si>
    <t>Hull is your ship's durability, taking damage will lower this value. It can be repaired using resources but does not recover naturally. If your HULL reaches 0 your ship is SCRAPPED.</t>
  </si>
  <si>
    <t>ECM stands for electronic counter measures and the value indicates your ship's SYSTEM damage threshold. Any system damage exceeding this value in a single hit will cause a TRAUMA.</t>
  </si>
  <si>
    <t>System is your ship's electronics' durability, taking system damage will lower this value. It can be repaired using resources but does not recover naturally. If your SYSTEM reaches 0 your ship is SCRAPPED.</t>
  </si>
  <si>
    <t>Scrapped indicates that an object or item stops functioning completely. Nothing works anymore, item will have to be repaired before it can be used again.</t>
  </si>
  <si>
    <t>The handling of a ship indicates how maneuverable it is and how difficult is it to pilot. See HANDLING section under SPACE rules for details</t>
  </si>
  <si>
    <t>The core of a ship is the most protected area of the ship and any components housed in that area will keep functioning until the ship is SCRAPPED.</t>
  </si>
  <si>
    <t>Corvettes are a patrol craft, designed to be lethal to civilian shipping and most pirates, but really more police-oriented than military. Average size is around 50m with typical crews of around 5 and can carry up to 25 passengers.</t>
  </si>
  <si>
    <t>Cruisers are designed to run away from whatever it can’t kill and kill anything it can’t run away from. They are large enough to operate independently in or out of deep space. Some can also have small ship bays. Typical size is around 200m length with crews ranging from 8 to 20. Specifically designed cruisers can carry up to 200 passengers.</t>
  </si>
  <si>
    <t>A battlecruiser is designed to be fast like a cruiser but with multiple turrets or giant guns. Battlecruisers are the main ships on the frontline of a war and often serve as bases of operations in a sector. Typical sizes is around 400m min with a crew of around 25. Max passengers is around 500.</t>
  </si>
  <si>
    <t>A nova cruiser is a battlecruiser with enough armor to survive being hit by another battlecruiser. They are gigantic structures that resemble ships but who's main function is to provide the anchor for a fleet. Typical size is 5km length with a crew of 100+ and up to 10k passengers.</t>
  </si>
  <si>
    <t>Unexplored area of space, very few venture in those areas, few even return. What is truly out there no one really knows.</t>
  </si>
  <si>
    <t>A giant nebula that spans from the ASH system all the way into Kraven space. For some reason Kravens cannot seems to traverse that area. Any exploration of the area is forbidden due to the lethal nature of the area.</t>
  </si>
  <si>
    <t>Giant insect like race that first appeared in the ancient nerulian empire. Within days of their appearance the nerulian empire was obliterated and has remained since. No living being has ever been able to communicate with the Kravens.</t>
  </si>
  <si>
    <t>Ships have artificial gravity as long as they have power movement inside is normal. Gravity is part of the life support component. If life support is gone then the ship is now difficult terrain (Zero G).</t>
  </si>
  <si>
    <t>An absence of air will lead to suffocation. When a character is deprived of air roll a RESILIENCE check every round at DC1, increase DC by 1 for every round thereafter until death or a source of air is found. On a failed check you lose the DC of the resilience check as health (stun dmg). DMG will not sop if you enter DYING state.</t>
  </si>
  <si>
    <t xml:space="preserve">Standardized measure of the resources required to repair things aboard a ship. One resource unit can repair one point of shield, hull or system. </t>
  </si>
  <si>
    <t>When repairing a ship you need to have the available resource units and perform a skill check (TECHNOLOGY for SYSTEM or JOURNEYMAN for HULL) to restore one point. Shields do not require skill checks and can instead convert X resources units to shield see SHIP SHIELD RECHARGE.</t>
  </si>
  <si>
    <t>Your ship identification and classification to other ships that can scan you. Also contains your ship name. (Registration and ship name should match but then there's pirates).</t>
  </si>
  <si>
    <t>Most ships operate using fusion drives which have a lifetime supply of fuel, some ships however, run on CORONTHIA a super dense fuel that produce an immense amount of power but requires refuelling.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</si>
</sst>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5" x14ac:knownFonts="1">
    <font>
      <sz val="11"/>
      <color theme="1"/>
      <name val="Calibri"/>
      <family val="2"/>
      <scheme val="minor"/>
    </font>
    <font>
      <sz val="8"/>
      <name val="Calibri"/>
      <family val="2"/>
      <scheme val="minor"/>
    </font>
    <font>
      <b/>
      <sz val="11"/>
      <color theme="1"/>
      <name val="Calibri"/>
      <family val="2"/>
      <scheme val="minor"/>
    </font>
    <font>
      <sz val="11"/>
      <color indexed="8"/>
      <name val="Calibri"/>
      <family val="2"/>
      <charset val="1"/>
    </font>
    <font>
      <b/>
      <sz val="11"/>
      <color theme="0"/>
      <name val="Calibri"/>
      <family val="2"/>
      <scheme val="minor"/>
    </font>
    <font>
      <sz val="11"/>
      <color theme="4"/>
      <name val="Calibri"/>
      <family val="2"/>
      <scheme val="minor"/>
    </font>
    <font>
      <b/>
      <sz val="11"/>
      <color theme="4"/>
      <name val="Calibri"/>
      <family val="2"/>
      <scheme val="minor"/>
    </font>
    <font>
      <b/>
      <sz val="36"/>
      <color theme="1"/>
      <name val="Calibri"/>
      <family val="2"/>
      <scheme val="minor"/>
    </font>
    <font>
      <b/>
      <sz val="11"/>
      <color rgb="FFFF0000"/>
      <name val="Calibri"/>
      <family val="2"/>
      <scheme val="minor"/>
    </font>
    <font>
      <sz val="11"/>
      <color theme="1"/>
      <name val="Calibri"/>
      <family val="2"/>
      <scheme val="minor"/>
    </font>
    <font>
      <sz val="11"/>
      <color rgb="FFFF0000"/>
      <name val="Calibri"/>
      <family val="2"/>
      <scheme val="minor"/>
    </font>
    <font>
      <b/>
      <sz val="12"/>
      <color rgb="FFFF0000"/>
      <name val="Calibri"/>
      <family val="2"/>
      <scheme val="minor"/>
    </font>
    <font>
      <b/>
      <sz val="14"/>
      <color rgb="FFFF0000"/>
      <name val="Calibri"/>
      <family val="2"/>
      <scheme val="minor"/>
    </font>
    <font>
      <b/>
      <sz val="16"/>
      <color rgb="FFFF0000"/>
      <name val="Calibri"/>
      <family val="2"/>
      <scheme val="minor"/>
    </font>
    <font>
      <strike/>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bgColor theme="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indexed="64"/>
      </top>
      <bottom style="double">
        <color indexed="64"/>
      </bottom>
      <diagonal/>
    </border>
    <border>
      <left style="thin">
        <color indexed="64"/>
      </left>
      <right style="thin">
        <color indexed="64"/>
      </right>
      <top style="thin">
        <color indexed="64"/>
      </top>
      <bottom/>
      <diagonal/>
    </border>
  </borders>
  <cellStyleXfs count="3">
    <xf numFmtId="0" fontId="0" fillId="0" borderId="0"/>
    <xf numFmtId="0" fontId="3" fillId="0" borderId="0"/>
    <xf numFmtId="164" fontId="9" fillId="0" borderId="0" applyFont="0" applyFill="0" applyBorder="0" applyAlignment="0" applyProtection="0"/>
  </cellStyleXfs>
  <cellXfs count="58">
    <xf numFmtId="0" fontId="0" fillId="0" borderId="0" xfId="0"/>
    <xf numFmtId="0" fontId="0" fillId="0" borderId="0" xfId="0" applyAlignment="1">
      <alignment wrapText="1"/>
    </xf>
    <xf numFmtId="0" fontId="0" fillId="0" borderId="0" xfId="0" applyAlignment="1">
      <alignment horizontal="center"/>
    </xf>
    <xf numFmtId="0" fontId="2" fillId="0" borderId="0" xfId="0" applyFont="1"/>
    <xf numFmtId="0" fontId="0" fillId="0" borderId="0" xfId="0" applyAlignment="1">
      <alignment horizontal="right"/>
    </xf>
    <xf numFmtId="0" fontId="0" fillId="0" borderId="0" xfId="0" applyAlignment="1">
      <alignment horizontal="center" textRotation="90"/>
    </xf>
    <xf numFmtId="0" fontId="0" fillId="3" borderId="0" xfId="0" applyFill="1" applyAlignment="1">
      <alignment horizontal="center"/>
    </xf>
    <xf numFmtId="0" fontId="0" fillId="0" borderId="0" xfId="0" applyAlignment="1">
      <alignment horizontal="center" textRotation="45"/>
    </xf>
    <xf numFmtId="0" fontId="5" fillId="0" borderId="0" xfId="0" applyFont="1" applyAlignment="1">
      <alignment horizontal="center"/>
    </xf>
    <xf numFmtId="0" fontId="6" fillId="0" borderId="0" xfId="0" applyFont="1" applyAlignment="1">
      <alignment horizontal="center"/>
    </xf>
    <xf numFmtId="0" fontId="4" fillId="4" borderId="2" xfId="0" applyFont="1" applyFill="1" applyBorder="1" applyAlignment="1">
      <alignment horizontal="center"/>
    </xf>
    <xf numFmtId="0" fontId="4" fillId="4" borderId="2" xfId="0" applyFont="1" applyFill="1" applyBorder="1" applyAlignment="1">
      <alignment horizontal="center" textRotation="90"/>
    </xf>
    <xf numFmtId="3" fontId="4" fillId="4" borderId="2" xfId="0" applyNumberFormat="1" applyFont="1" applyFill="1" applyBorder="1" applyAlignment="1">
      <alignment horizontal="center"/>
    </xf>
    <xf numFmtId="3" fontId="6" fillId="0" borderId="0" xfId="0" applyNumberFormat="1" applyFont="1" applyAlignment="1">
      <alignment horizontal="center"/>
    </xf>
    <xf numFmtId="3" fontId="0" fillId="0" borderId="0" xfId="0" applyNumberFormat="1" applyAlignment="1">
      <alignment horizontal="center"/>
    </xf>
    <xf numFmtId="3" fontId="0" fillId="0" borderId="0" xfId="0" applyNumberFormat="1"/>
    <xf numFmtId="3" fontId="4" fillId="4" borderId="2" xfId="0" applyNumberFormat="1" applyFont="1" applyFill="1" applyBorder="1" applyAlignment="1">
      <alignment horizontal="center" textRotation="90"/>
    </xf>
    <xf numFmtId="3" fontId="0" fillId="0" borderId="0" xfId="0" applyNumberFormat="1" applyAlignment="1">
      <alignment horizontal="center" textRotation="90"/>
    </xf>
    <xf numFmtId="0" fontId="2" fillId="2" borderId="0" xfId="0" applyFont="1" applyFill="1" applyAlignment="1">
      <alignment horizontal="right"/>
    </xf>
    <xf numFmtId="0" fontId="2" fillId="2" borderId="0" xfId="0" applyFont="1" applyFill="1" applyAlignment="1">
      <alignment horizontal="left"/>
    </xf>
    <xf numFmtId="0" fontId="0" fillId="0" borderId="1" xfId="0" applyBorder="1" applyAlignment="1">
      <alignment horizontal="center"/>
    </xf>
    <xf numFmtId="49" fontId="0" fillId="2" borderId="1" xfId="0" applyNumberFormat="1" applyFill="1" applyBorder="1" applyAlignment="1">
      <alignment horizontal="left"/>
    </xf>
    <xf numFmtId="49" fontId="0" fillId="2" borderId="1" xfId="0" quotePrefix="1" applyNumberFormat="1" applyFill="1" applyBorder="1" applyAlignment="1">
      <alignment horizontal="center"/>
    </xf>
    <xf numFmtId="49" fontId="0" fillId="2" borderId="1" xfId="0" applyNumberFormat="1" applyFill="1" applyBorder="1" applyAlignment="1">
      <alignment horizontal="center"/>
    </xf>
    <xf numFmtId="49" fontId="0" fillId="0" borderId="1" xfId="0" applyNumberFormat="1" applyBorder="1" applyAlignment="1">
      <alignment horizontal="left"/>
    </xf>
    <xf numFmtId="49" fontId="0" fillId="0" borderId="1" xfId="0" quotePrefix="1" applyNumberFormat="1" applyBorder="1" applyAlignment="1">
      <alignment horizontal="center"/>
    </xf>
    <xf numFmtId="49" fontId="0" fillId="0" borderId="1" xfId="0" applyNumberFormat="1" applyBorder="1" applyAlignment="1">
      <alignment horizontal="center"/>
    </xf>
    <xf numFmtId="3" fontId="0" fillId="2" borderId="1" xfId="0" applyNumberFormat="1" applyFill="1" applyBorder="1" applyAlignment="1">
      <alignment horizontal="center"/>
    </xf>
    <xf numFmtId="3" fontId="0" fillId="0" borderId="1" xfId="0" applyNumberFormat="1" applyBorder="1"/>
    <xf numFmtId="3" fontId="0" fillId="2" borderId="1" xfId="0" applyNumberFormat="1" applyFill="1" applyBorder="1"/>
    <xf numFmtId="3" fontId="0" fillId="0" borderId="1" xfId="0" applyNumberFormat="1" applyBorder="1" applyAlignment="1">
      <alignment horizontal="center"/>
    </xf>
    <xf numFmtId="0" fontId="2" fillId="0" borderId="0" xfId="0" applyFont="1" applyAlignment="1">
      <alignment horizontal="center"/>
    </xf>
    <xf numFmtId="0" fontId="8" fillId="0" borderId="3" xfId="0" applyFont="1" applyBorder="1" applyAlignment="1">
      <alignment horizontal="right"/>
    </xf>
    <xf numFmtId="165" fontId="8" fillId="0" borderId="3" xfId="2" applyNumberFormat="1" applyFont="1" applyFill="1" applyBorder="1" applyAlignment="1">
      <alignment horizontal="right"/>
    </xf>
    <xf numFmtId="165" fontId="11" fillId="0" borderId="0" xfId="0" applyNumberFormat="1" applyFont="1"/>
    <xf numFmtId="0" fontId="12" fillId="0" borderId="0" xfId="0" applyFont="1" applyAlignment="1">
      <alignment horizontal="right"/>
    </xf>
    <xf numFmtId="0" fontId="8" fillId="0" borderId="0" xfId="0" applyFont="1" applyAlignment="1">
      <alignment horizontal="right"/>
    </xf>
    <xf numFmtId="165" fontId="8" fillId="0" borderId="0" xfId="2" applyNumberFormat="1" applyFont="1" applyFill="1" applyBorder="1" applyAlignment="1">
      <alignment horizontal="right"/>
    </xf>
    <xf numFmtId="0" fontId="13" fillId="2" borderId="0" xfId="0" applyFont="1" applyFill="1" applyAlignment="1">
      <alignment horizontal="left"/>
    </xf>
    <xf numFmtId="0" fontId="8" fillId="0" borderId="0" xfId="0" applyFont="1" applyAlignment="1">
      <alignment horizontal="left"/>
    </xf>
    <xf numFmtId="0" fontId="10" fillId="0" borderId="0" xfId="0" applyFont="1"/>
    <xf numFmtId="0" fontId="14" fillId="0" borderId="0" xfId="0" applyFont="1" applyAlignment="1">
      <alignment wrapText="1"/>
    </xf>
    <xf numFmtId="0" fontId="2" fillId="0" borderId="0" xfId="0" applyFont="1" applyAlignment="1">
      <alignment wrapText="1"/>
    </xf>
    <xf numFmtId="49" fontId="0" fillId="0" borderId="0" xfId="0" applyNumberFormat="1" applyAlignment="1">
      <alignment horizontal="left"/>
    </xf>
    <xf numFmtId="49" fontId="0" fillId="0" borderId="0" xfId="0" quotePrefix="1" applyNumberFormat="1" applyAlignment="1">
      <alignment horizontal="center"/>
    </xf>
    <xf numFmtId="49" fontId="0" fillId="0" borderId="0" xfId="0" applyNumberFormat="1" applyAlignment="1">
      <alignment horizontal="center"/>
    </xf>
    <xf numFmtId="49" fontId="0" fillId="0" borderId="4" xfId="0" applyNumberFormat="1" applyBorder="1" applyAlignment="1">
      <alignment horizontal="left"/>
    </xf>
    <xf numFmtId="49" fontId="0" fillId="0" borderId="4" xfId="0" quotePrefix="1" applyNumberFormat="1" applyBorder="1" applyAlignment="1">
      <alignment horizontal="center"/>
    </xf>
    <xf numFmtId="49" fontId="0" fillId="0" borderId="4" xfId="0" applyNumberFormat="1" applyBorder="1" applyAlignment="1">
      <alignment horizontal="center"/>
    </xf>
    <xf numFmtId="3" fontId="0" fillId="0" borderId="4" xfId="0" applyNumberFormat="1" applyBorder="1"/>
    <xf numFmtId="0" fontId="2" fillId="3" borderId="0" xfId="0" applyFont="1" applyFill="1" applyAlignment="1">
      <alignment wrapText="1"/>
    </xf>
    <xf numFmtId="0" fontId="0" fillId="3" borderId="0" xfId="0" applyFill="1"/>
    <xf numFmtId="49" fontId="0" fillId="3" borderId="1" xfId="0" applyNumberFormat="1" applyFill="1" applyBorder="1" applyAlignment="1">
      <alignment horizontal="left"/>
    </xf>
    <xf numFmtId="49" fontId="0" fillId="3" borderId="1" xfId="0" quotePrefix="1" applyNumberFormat="1" applyFill="1" applyBorder="1" applyAlignment="1">
      <alignment horizontal="center"/>
    </xf>
    <xf numFmtId="49" fontId="0" fillId="3" borderId="1" xfId="0" applyNumberFormat="1" applyFill="1" applyBorder="1" applyAlignment="1">
      <alignment horizontal="center"/>
    </xf>
    <xf numFmtId="3" fontId="0" fillId="3" borderId="1" xfId="0" applyNumberFormat="1" applyFill="1" applyBorder="1"/>
    <xf numFmtId="0" fontId="0" fillId="3" borderId="0" xfId="0" applyFill="1" applyAlignment="1">
      <alignment wrapText="1"/>
    </xf>
    <xf numFmtId="0" fontId="7" fillId="3" borderId="0" xfId="0" applyFont="1" applyFill="1" applyAlignment="1">
      <alignment horizontal="center" vertical="center"/>
    </xf>
  </cellXfs>
  <cellStyles count="3">
    <cellStyle name="Comma" xfId="2" builtinId="3"/>
    <cellStyle name="Excel Built-in Normal" xfId="1" xr:uid="{B1BB4014-C42B-437D-A080-0197AF953442}"/>
    <cellStyle name="Normal" xfId="0" builtinId="0"/>
  </cellStyles>
  <dxfs count="92">
    <dxf>
      <numFmt numFmtId="3" formatCode="#,##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alignment horizontal="center" vertical="bottom" textRotation="0" wrapText="0" indent="0" justifyLastLine="0" shrinkToFit="0" readingOrder="0"/>
    </dxf>
    <dxf>
      <alignment horizontal="center" vertical="bottom" textRotation="90" wrapText="0" indent="0" justifyLastLine="0" shrinkToFit="0" readingOrder="0"/>
    </dxf>
    <dxf>
      <fill>
        <patternFill patternType="none">
          <fgColor indexed="64"/>
          <bgColor indexed="65"/>
        </patternFill>
      </fill>
    </dxf>
    <dxf>
      <fill>
        <patternFill patternType="none">
          <fgColor indexed="64"/>
          <bgColor indexed="65"/>
        </patternFill>
      </fill>
    </dxf>
    <dxf>
      <numFmt numFmtId="3" formatCode="#,##0"/>
      <fill>
        <patternFill patternType="none">
          <fgColor indexed="64"/>
          <bgColor indexed="65"/>
        </patternFill>
      </fill>
    </dxf>
    <dxf>
      <numFmt numFmtId="3" formatCode="#,##0"/>
      <fill>
        <patternFill patternType="none">
          <fgColor indexed="64"/>
          <bgColor indexed="65"/>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numFmt numFmtId="3" formatCode="#,##0"/>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numFmt numFmtId="0" formatCode="General"/>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numFmt numFmtId="0" formatCode="General"/>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strike val="0"/>
        <outline val="0"/>
        <shadow val="0"/>
        <u val="none"/>
        <vertAlign val="baseline"/>
        <sz val="11"/>
        <color theme="4"/>
        <name val="Calibri"/>
        <family val="2"/>
        <scheme val="min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M)%2056%20Version%202021%20(Spaceships%200.1)%201.2.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 - Main"/>
      <sheetName val="CS - Combat"/>
      <sheetName val="CS - Loadout"/>
      <sheetName val="CS (Opt) - Hacking"/>
      <sheetName val="CS (Opt) - MAGIC"/>
      <sheetName val="CS (Opt)- Inventory+Notes"/>
      <sheetName val="CS - Drones&amp;Vehicles"/>
      <sheetName val="Macros Roll20"/>
      <sheetName val="Rules"/>
      <sheetName val="Rules-Old"/>
      <sheetName val="Character"/>
      <sheetName val="Skills"/>
      <sheetName val="Talents"/>
      <sheetName val="Talents (Ref)"/>
      <sheetName val="Armor"/>
      <sheetName val="Weapons"/>
      <sheetName val="Evolution"/>
      <sheetName val="Magic"/>
      <sheetName val="Spells"/>
      <sheetName val="Spirit Powers"/>
      <sheetName val="Hacking"/>
      <sheetName val="Software"/>
      <sheetName val="Medical"/>
      <sheetName val="Equipment"/>
      <sheetName val="Catalog"/>
      <sheetName val="Code"/>
      <sheetName val="Changelog"/>
      <sheetName val="BADGUY"/>
      <sheetName val="Images-Armor"/>
      <sheetName val="Images-Weapons"/>
      <sheetName val="Images-Vehicules"/>
      <sheetName val="(GM) 56 Version 2021 (Spacesh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7E3644-3770-4A6D-8287-9005EAC5933A}" name="Table2" displayName="Table2" ref="J1:AN51" totalsRowShown="0" headerRowDxfId="33" dataDxfId="32" tableBorderDxfId="31">
  <autoFilter ref="J1:AN51" xr:uid="{9D7E3644-3770-4A6D-8287-9005EAC5933A}"/>
  <tableColumns count="31">
    <tableColumn id="1" xr3:uid="{46553DA9-AC91-44F3-A3E4-10177501FF32}" name="CLASS" dataDxfId="30"/>
    <tableColumn id="2" xr3:uid="{5C56D081-6087-4404-BFFE-694B166AC716}" name="TYPE" dataDxfId="29"/>
    <tableColumn id="3" xr3:uid="{420EABE2-9267-417F-B706-D679F6515CA3}" name="DESCRIPTION" dataDxfId="28"/>
    <tableColumn id="4" xr3:uid="{C509C0A9-7AB2-4258-BC9A-D270609E7C31}" name="MINIMUM_CREW" dataDxfId="27"/>
    <tableColumn id="5" xr3:uid="{EE89A921-3117-4106-8AC3-251AF3304432}" name="MAXIMUM_CREW" dataDxfId="26"/>
    <tableColumn id="6" xr3:uid="{AF97A382-BA26-4B1C-A5E3-3D663A0D0876}" name="ATMOSPHERIC_CAPABILITY" dataDxfId="25"/>
    <tableColumn id="7" xr3:uid="{2DB4DEE4-8A75-41EC-B77B-AF79ABFFAC46}" name="SPEED" dataDxfId="24"/>
    <tableColumn id="8" xr3:uid="{76E49296-A8EB-4A77-ABD8-269BD7D27144}" name="MAX_PASSENGERS" dataDxfId="23"/>
    <tableColumn id="9" xr3:uid="{94CD0A42-C315-4D66-803D-4F9568886FDC}" name="LIFE_SUPPORT" dataDxfId="22"/>
    <tableColumn id="10" xr3:uid="{5AD2CEB4-F3CE-4562-8F11-0C692EA4F8E3}" name="AVAILABLE_POWER" dataDxfId="21"/>
    <tableColumn id="11" xr3:uid="{E7E4400E-5F0C-4F05-A753-213EBE3AC3CF}" name="SHIELD" dataDxfId="20"/>
    <tableColumn id="12" xr3:uid="{637DBEDC-FB61-4BDF-BC16-9D86595FEA8C}" name="RECHARGE" dataDxfId="19"/>
    <tableColumn id="13" xr3:uid="{B0FB0BDF-36D3-4678-AE0A-0476E608215B}" name="STRUCTURE" dataDxfId="18"/>
    <tableColumn id="14" xr3:uid="{A9E2E161-9B76-4694-8035-98CE34660AF0}" name="HULL" dataDxfId="17"/>
    <tableColumn id="15" xr3:uid="{3EF8EE3F-CD49-4F6D-B5A5-4A82DDC2E2D9}" name="ECM" dataDxfId="16"/>
    <tableColumn id="16" xr3:uid="{E61B4D25-B637-4480-BCB3-43D942FF403E}" name="SYSTEM" dataDxfId="15"/>
    <tableColumn id="17" xr3:uid="{37EF0C3C-4235-4812-A025-E6AE6F768578}" name="CARGO" dataDxfId="14"/>
    <tableColumn id="18" xr3:uid="{ACEF0950-BDB4-4C8F-BC35-5CA95E370C33}" name="COMBAT_RANGE" dataDxfId="13"/>
    <tableColumn id="19" xr3:uid="{8E86A71D-DE61-4F24-8D19-C8F5423C1B03}" name="DETECT_RANGE" dataDxfId="12"/>
    <tableColumn id="20" xr3:uid="{B28C7654-D748-4E7B-B16C-86E53F25DF52}" name="JUMP_RANGE" dataDxfId="11"/>
    <tableColumn id="21" xr3:uid="{5A7B9B64-DBFB-4081-8975-A54435CEA453}" name="JUMP_CHARGE_TIME" dataDxfId="10"/>
    <tableColumn id="22" xr3:uid="{6C38AB2C-36E4-4643-858C-1B5AC72FF20D}" name="COMMAND" dataDxfId="9"/>
    <tableColumn id="23" xr3:uid="{7677538B-E965-4D17-AC79-AC7FE8DC6A5E}" name="HANDLING" dataDxfId="8"/>
    <tableColumn id="24" xr3:uid="{992BE1CD-D8D9-4559-9802-6E9D8ECB7349}" name="INSTRUMENTS" dataDxfId="7"/>
    <tableColumn id="25" xr3:uid="{9D863B15-596E-4F03-A846-7F542C1C3613}" name="ENGINEERING" dataDxfId="6"/>
    <tableColumn id="26" xr3:uid="{858DCDCD-2F13-4908-B016-60B896BC5208}" name="WARFARE" dataDxfId="5"/>
    <tableColumn id="27" xr3:uid="{258EAED1-68E3-44A8-A5B1-B2642A4D1C42}" name="TOTAL_SPACE_UNITS" dataDxfId="4"/>
    <tableColumn id="28" xr3:uid="{E0A80F39-C03E-4ACE-B61D-8851FFA91892}" name="CORE_SPACE_UNITS" dataDxfId="3"/>
    <tableColumn id="29" xr3:uid="{79AA4514-4516-4953-B901-1A51AF34C217}" name="INTERNAL_SPACE_UNITS" dataDxfId="2"/>
    <tableColumn id="30" xr3:uid="{9C502B39-8531-4D56-95BE-FE4A506E9A0A}" name="AUXILIATY_SPACE_UNITS" dataDxfId="1"/>
    <tableColumn id="31" xr3:uid="{6B972682-083B-4DCD-B891-84A45E0FD3FF}" name="Price"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02A73-80D0-40B6-AD64-0A33601364F4}" name="Table_ship_components" displayName="Table_ship_components" ref="A2:BD221" totalsRowShown="0" headerRowDxfId="91" dataDxfId="90">
  <autoFilter ref="A2:BD221" xr:uid="{30902A73-80D0-40B6-AD64-0A33601364F4}"/>
  <sortState xmlns:xlrd2="http://schemas.microsoft.com/office/spreadsheetml/2017/richdata2" ref="A3:BD202">
    <sortCondition ref="A2:A202"/>
  </sortState>
  <tableColumns count="56">
    <tableColumn id="1" xr3:uid="{C5B01830-49BB-4095-A166-D47396186A4F}" name="COMPONENT" dataDxfId="89"/>
    <tableColumn id="2" xr3:uid="{06376641-4A91-41A0-B477-50D97A727FE1}" name="DESCRIPTION" dataDxfId="88"/>
    <tableColumn id="48" xr3:uid="{4D949A91-86E8-4794-80C4-DF43B34F2706}" name="OPTIONAL" dataDxfId="87"/>
    <tableColumn id="3" xr3:uid="{0EB7C373-0A0B-47E2-A4A1-1828B940568C}" name="UNIT_SIZE" dataDxfId="86"/>
    <tableColumn id="49" xr3:uid="{B92E6DF8-59EB-4759-942D-8AEDE6BEAB29}" name="UNIT_SIZE_TOTAL" dataDxfId="85">
      <calculatedColumnFormula>SUM(Table_ship_components[[#This Row],[UNIT_SIZE]]+(Table_ship_components[[#This Row],[SIZE_PER_ADD_PERSON]]*Table_ship_components[[#This Row],[OPTIONAL]]))</calculatedColumnFormula>
    </tableColumn>
    <tableColumn id="4" xr3:uid="{44DEB309-5E58-456C-AEBF-71118542626F}" name="POWER_CONSUMPTION" dataDxfId="84"/>
    <tableColumn id="50" xr3:uid="{4F029166-A1BD-4E6C-8747-74DC55493921}" name="POWER_CONSUMPTION_TOTAL" dataDxfId="83">
      <calculatedColumnFormula>SUM(Table_ship_components[[#This Row],[POWER_CONSUMPTION]]+(Table_ship_components[[#This Row],[POWER_PER_ADD_PERSON]]*Table_ship_components[[#This Row],[OPTIONAL]]))</calculatedColumnFormula>
    </tableColumn>
    <tableColumn id="5" xr3:uid="{389D518E-E1BB-40BB-A380-AB7C1CCBECCE}" name="POWER_ACTIVATION" dataDxfId="82"/>
    <tableColumn id="6" xr3:uid="{F0EFDE47-2A71-46A8-97C5-6A6774575678}" name="POWER_CREATION" dataDxfId="81"/>
    <tableColumn id="7" xr3:uid="{F323C44D-11FE-4CD8-AD5D-D80B21823DF7}" name="ENERGY_STORAGE" dataDxfId="80"/>
    <tableColumn id="8" xr3:uid="{6DD489C4-C85A-4E9F-BF13-7EAE8732A153}" name="SHIELD_MAX" dataDxfId="79"/>
    <tableColumn id="9" xr3:uid="{40833D3E-7970-4210-8E6A-8B5A85F0961B}" name="SHIELD_RECHARGE_PER_UNIT" dataDxfId="78"/>
    <tableColumn id="10" xr3:uid="{2634AF56-A0FB-4653-96BF-84CF919CB0C1}" name="DRONE" dataDxfId="77"/>
    <tableColumn id="11" xr3:uid="{A88C2B1B-E54E-45A7-B9E1-E51599EA610C}" name="FIGHTER" dataDxfId="76"/>
    <tableColumn id="12" xr3:uid="{6F7D816A-1B53-488A-B2A3-8F25B75D2073}" name="CORVETTTE" dataDxfId="75"/>
    <tableColumn id="13" xr3:uid="{2FA54EDB-9D98-40C9-A9D5-0F515E45B123}" name="FRIGATE" dataDxfId="74"/>
    <tableColumn id="14" xr3:uid="{794EF76D-840B-4F4D-B000-4F1BBB1D95C1}" name="CRUISER" dataDxfId="73"/>
    <tableColumn id="15" xr3:uid="{A0FA3BB4-9EFB-4567-A3CB-D4E91AC7D379}" name="BATTLECRUISER" dataDxfId="72"/>
    <tableColumn id="16" xr3:uid="{DDB70827-3E5A-4042-BEE0-C7550E02CED2}" name="CARRIER" dataDxfId="71"/>
    <tableColumn id="17" xr3:uid="{5233046F-76D2-4848-AA52-112B510C3EBC}" name="NOVA" dataDxfId="70"/>
    <tableColumn id="18" xr3:uid="{F77E603B-DEEC-4E50-ADDF-B13E86F2D2CB}" name="EXPANDABLE?" dataDxfId="69"/>
    <tableColumn id="19" xr3:uid="{ABB725CF-3E86-489C-B86E-55C004DBF4D7}" name="SIZE_PER_ADD_PERSON" dataDxfId="68"/>
    <tableColumn id="20" xr3:uid="{0C38EEC4-C496-4501-8AC1-D396F613B277}" name="COST_PER_ADD_PERSON" dataDxfId="67"/>
    <tableColumn id="21" xr3:uid="{F13777BB-2FF5-4274-B950-B57DFE66DD11}" name="POWER_PER_ADD_PERSON" dataDxfId="66"/>
    <tableColumn id="22" xr3:uid="{E75172EF-CCB7-4159-A012-9BADF8BEDF74}" name="CREW_MIN" dataDxfId="65"/>
    <tableColumn id="23" xr3:uid="{F301C6E2-0C00-4D39-B3A7-2C4845A2824C}" name="CREW_MAX" dataDxfId="64"/>
    <tableColumn id="24" xr3:uid="{ABD2E061-A2BC-4F67-8DCF-C0B363E6A70E}" name="PASSANGERS" dataDxfId="63"/>
    <tableColumn id="56" xr3:uid="{14C5B56A-2E2C-4687-A0D1-93C03053A66A}" name="CARGO" dataDxfId="62"/>
    <tableColumn id="25" xr3:uid="{1EFAF3A7-6F19-48ED-B934-DF70499E810A}" name="LIFE_SUPPORT_PEOPLE" dataDxfId="61"/>
    <tableColumn id="26" xr3:uid="{4FFF32E0-F21B-472D-BC8B-2704291263D3}" name="LIFE_SUPPORT_HOURS" dataDxfId="60"/>
    <tableColumn id="27" xr3:uid="{5CCD8281-C455-462B-B48A-84DDC6EEB63B}" name="FUEL_CONSUMPTION_PER_HRS" dataDxfId="59"/>
    <tableColumn id="28" xr3:uid="{1231C100-4D7C-478E-88C6-3F8684966AE7}" name="CORONTHIA_FUEL_UNITS" dataDxfId="58"/>
    <tableColumn id="29" xr3:uid="{A8873C9D-5476-445B-8C0E-4533CA8ADE8B}" name="ATMOSPHERIC_CAPABILITY" dataDxfId="57"/>
    <tableColumn id="30" xr3:uid="{1895B061-264F-4D94-98BF-1E1879B9875D}" name="COMBAT_RANGE" dataDxfId="56"/>
    <tableColumn id="31" xr3:uid="{B71C91DB-8432-4E15-974B-EF560D140AC8}" name="DETECTION_RANGE" dataDxfId="55"/>
    <tableColumn id="32" xr3:uid="{972759D8-D0C7-4D04-9A57-0E9AFDBC9F51}" name="MAX_COM_RANGE" dataDxfId="54"/>
    <tableColumn id="33" xr3:uid="{DF5016CD-9672-4FE8-B214-2F115908A465}" name="JUMPDRIVE_RANGE" dataDxfId="53"/>
    <tableColumn id="34" xr3:uid="{5D01D7FB-091F-4727-913C-693B2130B51D}" name="SPEED" dataDxfId="52"/>
    <tableColumn id="35" xr3:uid="{F018452B-E0C1-42AC-A469-AAD64EE8840C}" name="STRUCTURE" dataDxfId="51"/>
    <tableColumn id="36" xr3:uid="{7B51CEA3-A076-4223-948B-C1FA5311B566}" name="HULL" dataDxfId="50"/>
    <tableColumn id="37" xr3:uid="{276427C3-5F9F-4B42-BB00-CC06B0D12347}" name="ECM" dataDxfId="49"/>
    <tableColumn id="38" xr3:uid="{20967DA6-E083-49ED-8AB9-7EC30FE95ED4}" name="SYSTEM" dataDxfId="48"/>
    <tableColumn id="39" xr3:uid="{77ECAA29-FCCE-4821-A122-6C0E7A97DA8E}" name="COMMAND" dataDxfId="47"/>
    <tableColumn id="40" xr3:uid="{83AA8C68-6112-40C9-AA15-758D80452690}" name="HANDLING" dataDxfId="46"/>
    <tableColumn id="41" xr3:uid="{01AC7F67-A87B-4354-994B-5446FE8DB784}" name="INSTRUMENTS" dataDxfId="45"/>
    <tableColumn id="42" xr3:uid="{9C9A0CDE-5D6F-40B5-8969-A3A03411FA55}" name="ENGINEERING" dataDxfId="44"/>
    <tableColumn id="43" xr3:uid="{BC1E283D-A0E8-4432-9EA2-2E0E68465FE7}" name="WARFARE" dataDxfId="43"/>
    <tableColumn id="54" xr3:uid="{9EA4C19A-7F35-426D-84A5-4092CEE14179}" name="TOTAL_SPACE_UNITS" dataDxfId="42"/>
    <tableColumn id="55" xr3:uid="{A22CB3FA-B4E9-481A-B5B0-AB215FF9A075}" name="CORE_SPACE_UNITS" dataDxfId="41"/>
    <tableColumn id="53" xr3:uid="{45C004D4-F628-4E8D-821E-DE999E3CE4A1}" name="INTERNAL_SPACE_UNITS" dataDxfId="40"/>
    <tableColumn id="52" xr3:uid="{9A2807E0-CEB3-4F11-8680-8DC2BA58B53C}" name="EXTERNAL_SPACE_UNITS" dataDxfId="39"/>
    <tableColumn id="44" xr3:uid="{65F3DB9D-B5C4-45B4-8880-68717A06FE56}" name="QUALITY" dataDxfId="38"/>
    <tableColumn id="45" xr3:uid="{8C6F09C7-F03A-495C-9216-B2FFC03D7901}" name="PRICE" dataDxfId="37"/>
    <tableColumn id="51" xr3:uid="{2E60B63B-E941-4C7F-B1B6-64CEF25D9B88}" name="TOTAL_PRICE" dataDxfId="36">
      <calculatedColumnFormula>SUM(Table_ship_components[[#This Row],[PRICE]]+(Table_ship_components[[#This Row],[COST_PER_ADD_PERSON]]*Table_ship_components[[#This Row],[OPTIONAL]]))</calculatedColumnFormula>
    </tableColumn>
    <tableColumn id="46" xr3:uid="{906D3EB2-3D07-47E2-8796-B7716864913D}" name="AVAILABILITY" dataDxfId="35"/>
    <tableColumn id="47" xr3:uid="{BB45300D-A8B3-4222-85D2-20FABDDD60B1}" name="LEGALITY" dataDxfId="3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D1CFA-DC18-4451-8A71-3587ED092FE6}">
  <dimension ref="A1:B127"/>
  <sheetViews>
    <sheetView workbookViewId="0">
      <selection activeCell="A24" sqref="A24:A25"/>
    </sheetView>
  </sheetViews>
  <sheetFormatPr defaultRowHeight="14.5" x14ac:dyDescent="0.35"/>
  <cols>
    <col min="1" max="1" width="78.81640625" customWidth="1"/>
    <col min="2" max="2" width="255.7265625" bestFit="1" customWidth="1"/>
  </cols>
  <sheetData>
    <row r="1" spans="1:1" x14ac:dyDescent="0.35">
      <c r="A1" s="42" t="s">
        <v>851</v>
      </c>
    </row>
    <row r="2" spans="1:1" x14ac:dyDescent="0.35">
      <c r="A2" s="1"/>
    </row>
    <row r="3" spans="1:1" x14ac:dyDescent="0.35">
      <c r="A3" s="1"/>
    </row>
    <row r="4" spans="1:1" x14ac:dyDescent="0.35">
      <c r="A4" s="1" t="s">
        <v>870</v>
      </c>
    </row>
    <row r="5" spans="1:1" ht="29" x14ac:dyDescent="0.35">
      <c r="A5" s="1" t="s">
        <v>871</v>
      </c>
    </row>
    <row r="6" spans="1:1" x14ac:dyDescent="0.35">
      <c r="A6" s="1"/>
    </row>
    <row r="7" spans="1:1" x14ac:dyDescent="0.35">
      <c r="A7" s="42" t="s">
        <v>886</v>
      </c>
    </row>
    <row r="8" spans="1:1" x14ac:dyDescent="0.35">
      <c r="A8" s="1" t="s">
        <v>873</v>
      </c>
    </row>
    <row r="9" spans="1:1" x14ac:dyDescent="0.35">
      <c r="A9" s="1" t="s">
        <v>874</v>
      </c>
    </row>
    <row r="10" spans="1:1" ht="29" x14ac:dyDescent="0.35">
      <c r="A10" s="1" t="s">
        <v>875</v>
      </c>
    </row>
    <row r="11" spans="1:1" ht="29" x14ac:dyDescent="0.35">
      <c r="A11" s="1" t="s">
        <v>876</v>
      </c>
    </row>
    <row r="12" spans="1:1" ht="29" x14ac:dyDescent="0.35">
      <c r="A12" s="1" t="s">
        <v>877</v>
      </c>
    </row>
    <row r="13" spans="1:1" ht="29" x14ac:dyDescent="0.35">
      <c r="A13" s="1" t="s">
        <v>920</v>
      </c>
    </row>
    <row r="14" spans="1:1" ht="43.5" x14ac:dyDescent="0.35">
      <c r="A14" s="1" t="s">
        <v>921</v>
      </c>
    </row>
    <row r="15" spans="1:1" ht="29" x14ac:dyDescent="0.35">
      <c r="A15" s="1" t="s">
        <v>872</v>
      </c>
    </row>
    <row r="16" spans="1:1" x14ac:dyDescent="0.35">
      <c r="A16" s="1"/>
    </row>
    <row r="17" spans="1:1" x14ac:dyDescent="0.35">
      <c r="A17" s="1"/>
    </row>
    <row r="18" spans="1:1" x14ac:dyDescent="0.35">
      <c r="A18" s="1"/>
    </row>
    <row r="19" spans="1:1" x14ac:dyDescent="0.35">
      <c r="A19" s="42" t="s">
        <v>885</v>
      </c>
    </row>
    <row r="20" spans="1:1" ht="43.5" x14ac:dyDescent="0.35">
      <c r="A20" s="1" t="s">
        <v>880</v>
      </c>
    </row>
    <row r="21" spans="1:1" x14ac:dyDescent="0.35">
      <c r="A21" s="1"/>
    </row>
    <row r="22" spans="1:1" x14ac:dyDescent="0.35">
      <c r="A22" s="1"/>
    </row>
    <row r="23" spans="1:1" x14ac:dyDescent="0.35">
      <c r="A23" s="41"/>
    </row>
    <row r="24" spans="1:1" x14ac:dyDescent="0.35">
      <c r="A24" s="1" t="s">
        <v>451</v>
      </c>
    </row>
    <row r="25" spans="1:1" ht="29" x14ac:dyDescent="0.35">
      <c r="A25" s="1" t="s">
        <v>922</v>
      </c>
    </row>
    <row r="26" spans="1:1" ht="58" x14ac:dyDescent="0.35">
      <c r="A26" s="1" t="s">
        <v>909</v>
      </c>
    </row>
    <row r="27" spans="1:1" ht="43.5" x14ac:dyDescent="0.35">
      <c r="A27" s="1" t="s">
        <v>923</v>
      </c>
    </row>
    <row r="28" spans="1:1" ht="58" x14ac:dyDescent="0.35">
      <c r="A28" s="1" t="s">
        <v>915</v>
      </c>
    </row>
    <row r="29" spans="1:1" ht="87" x14ac:dyDescent="0.35">
      <c r="A29" s="1" t="s">
        <v>924</v>
      </c>
    </row>
    <row r="30" spans="1:1" ht="72.5" x14ac:dyDescent="0.35">
      <c r="A30" s="1" t="s">
        <v>925</v>
      </c>
    </row>
    <row r="31" spans="1:1" x14ac:dyDescent="0.35">
      <c r="A31" s="1"/>
    </row>
    <row r="32" spans="1:1" x14ac:dyDescent="0.35">
      <c r="A32" s="1" t="s">
        <v>0</v>
      </c>
    </row>
    <row r="33" spans="1:1" x14ac:dyDescent="0.35">
      <c r="A33" s="1"/>
    </row>
    <row r="34" spans="1:1" x14ac:dyDescent="0.35">
      <c r="A34" s="1" t="s">
        <v>893</v>
      </c>
    </row>
    <row r="35" spans="1:1" x14ac:dyDescent="0.35">
      <c r="A35" s="1" t="s">
        <v>894</v>
      </c>
    </row>
    <row r="36" spans="1:1" ht="58" x14ac:dyDescent="0.35">
      <c r="A36" s="1" t="s">
        <v>926</v>
      </c>
    </row>
    <row r="37" spans="1:1" x14ac:dyDescent="0.35">
      <c r="A37" s="1"/>
    </row>
    <row r="38" spans="1:1" ht="58" x14ac:dyDescent="0.35">
      <c r="A38" s="1" t="s">
        <v>927</v>
      </c>
    </row>
    <row r="39" spans="1:1" x14ac:dyDescent="0.35">
      <c r="A39" s="1"/>
    </row>
    <row r="40" spans="1:1" ht="87" x14ac:dyDescent="0.35">
      <c r="A40" s="1" t="s">
        <v>928</v>
      </c>
    </row>
    <row r="41" spans="1:1" x14ac:dyDescent="0.35">
      <c r="A41" s="1"/>
    </row>
    <row r="42" spans="1:1" ht="72.5" x14ac:dyDescent="0.35">
      <c r="A42" s="1" t="s">
        <v>929</v>
      </c>
    </row>
    <row r="43" spans="1:1" x14ac:dyDescent="0.35">
      <c r="A43" s="1"/>
    </row>
    <row r="44" spans="1:1" ht="116" x14ac:dyDescent="0.35">
      <c r="A44" s="1" t="s">
        <v>930</v>
      </c>
    </row>
    <row r="45" spans="1:1" x14ac:dyDescent="0.35">
      <c r="A45" s="1"/>
    </row>
    <row r="46" spans="1:1" x14ac:dyDescent="0.35">
      <c r="A46" s="1"/>
    </row>
    <row r="47" spans="1:1" x14ac:dyDescent="0.35">
      <c r="A47" s="1"/>
    </row>
    <row r="48" spans="1:1" x14ac:dyDescent="0.35">
      <c r="A48" t="s">
        <v>902</v>
      </c>
    </row>
    <row r="49" spans="1:1" x14ac:dyDescent="0.35">
      <c r="A49" t="s">
        <v>18</v>
      </c>
    </row>
    <row r="50" spans="1:1" x14ac:dyDescent="0.35">
      <c r="A50" t="s">
        <v>903</v>
      </c>
    </row>
    <row r="51" spans="1:1" x14ac:dyDescent="0.35">
      <c r="A51" t="s">
        <v>21</v>
      </c>
    </row>
    <row r="52" spans="1:1" x14ac:dyDescent="0.35">
      <c r="A52" t="s">
        <v>904</v>
      </c>
    </row>
    <row r="53" spans="1:1" x14ac:dyDescent="0.35">
      <c r="A53" t="s">
        <v>905</v>
      </c>
    </row>
    <row r="54" spans="1:1" x14ac:dyDescent="0.35">
      <c r="A54" t="s">
        <v>22</v>
      </c>
    </row>
    <row r="55" spans="1:1" x14ac:dyDescent="0.35">
      <c r="A55" t="s">
        <v>931</v>
      </c>
    </row>
    <row r="56" spans="1:1" x14ac:dyDescent="0.35">
      <c r="A56" t="s">
        <v>932</v>
      </c>
    </row>
    <row r="57" spans="1:1" x14ac:dyDescent="0.35">
      <c r="A57" t="s">
        <v>933</v>
      </c>
    </row>
    <row r="58" spans="1:1" x14ac:dyDescent="0.35">
      <c r="A58" t="s">
        <v>934</v>
      </c>
    </row>
    <row r="59" spans="1:1" x14ac:dyDescent="0.35">
      <c r="A59" t="s">
        <v>935</v>
      </c>
    </row>
    <row r="60" spans="1:1" x14ac:dyDescent="0.35">
      <c r="A60" t="s">
        <v>936</v>
      </c>
    </row>
    <row r="61" spans="1:1" x14ac:dyDescent="0.35">
      <c r="A61" s="1"/>
    </row>
    <row r="62" spans="1:1" x14ac:dyDescent="0.35">
      <c r="A62" s="1"/>
    </row>
    <row r="63" spans="1:1" x14ac:dyDescent="0.35">
      <c r="A63" s="1"/>
    </row>
    <row r="64" spans="1:1" x14ac:dyDescent="0.35">
      <c r="A64" s="1" t="s">
        <v>763</v>
      </c>
    </row>
    <row r="65" spans="1:2" x14ac:dyDescent="0.35">
      <c r="A65" s="1"/>
    </row>
    <row r="66" spans="1:2" x14ac:dyDescent="0.35">
      <c r="A66" t="s">
        <v>764</v>
      </c>
      <c r="B66" t="s">
        <v>937</v>
      </c>
    </row>
    <row r="67" spans="1:2" x14ac:dyDescent="0.35">
      <c r="A67" t="s">
        <v>766</v>
      </c>
      <c r="B67" t="s">
        <v>767</v>
      </c>
    </row>
    <row r="68" spans="1:2" x14ac:dyDescent="0.35">
      <c r="A68" t="s">
        <v>768</v>
      </c>
      <c r="B68" t="s">
        <v>769</v>
      </c>
    </row>
    <row r="69" spans="1:2" x14ac:dyDescent="0.35">
      <c r="A69" t="s">
        <v>770</v>
      </c>
      <c r="B69" t="s">
        <v>938</v>
      </c>
    </row>
    <row r="70" spans="1:2" x14ac:dyDescent="0.35">
      <c r="A70" t="s">
        <v>772</v>
      </c>
      <c r="B70" t="s">
        <v>773</v>
      </c>
    </row>
    <row r="71" spans="1:2" x14ac:dyDescent="0.35">
      <c r="A71" t="s">
        <v>774</v>
      </c>
      <c r="B71" t="s">
        <v>775</v>
      </c>
    </row>
    <row r="72" spans="1:2" x14ac:dyDescent="0.35">
      <c r="A72" t="s">
        <v>776</v>
      </c>
      <c r="B72" t="s">
        <v>939</v>
      </c>
    </row>
    <row r="73" spans="1:2" x14ac:dyDescent="0.35">
      <c r="A73" t="s">
        <v>777</v>
      </c>
      <c r="B73" t="s">
        <v>846</v>
      </c>
    </row>
    <row r="74" spans="1:2" x14ac:dyDescent="0.35">
      <c r="A74" t="s">
        <v>778</v>
      </c>
      <c r="B74" t="s">
        <v>779</v>
      </c>
    </row>
    <row r="75" spans="1:2" x14ac:dyDescent="0.35">
      <c r="A75" t="s">
        <v>780</v>
      </c>
      <c r="B75" t="s">
        <v>781</v>
      </c>
    </row>
    <row r="76" spans="1:2" x14ac:dyDescent="0.35">
      <c r="A76" t="s">
        <v>783</v>
      </c>
      <c r="B76" t="s">
        <v>782</v>
      </c>
    </row>
    <row r="77" spans="1:2" x14ac:dyDescent="0.35">
      <c r="A77" t="s">
        <v>784</v>
      </c>
      <c r="B77" t="s">
        <v>940</v>
      </c>
    </row>
    <row r="78" spans="1:2" x14ac:dyDescent="0.35">
      <c r="A78" t="s">
        <v>800</v>
      </c>
      <c r="B78" t="s">
        <v>941</v>
      </c>
    </row>
    <row r="79" spans="1:2" x14ac:dyDescent="0.35">
      <c r="A79" t="s">
        <v>799</v>
      </c>
      <c r="B79" t="s">
        <v>942</v>
      </c>
    </row>
    <row r="80" spans="1:2" x14ac:dyDescent="0.35">
      <c r="A80" t="s">
        <v>798</v>
      </c>
      <c r="B80" t="s">
        <v>943</v>
      </c>
    </row>
    <row r="81" spans="1:2" x14ac:dyDescent="0.35">
      <c r="A81" s="1" t="s">
        <v>785</v>
      </c>
      <c r="B81" t="s">
        <v>786</v>
      </c>
    </row>
    <row r="82" spans="1:2" x14ac:dyDescent="0.35">
      <c r="A82" s="1" t="s">
        <v>787</v>
      </c>
      <c r="B82" t="s">
        <v>788</v>
      </c>
    </row>
    <row r="83" spans="1:2" x14ac:dyDescent="0.35">
      <c r="A83" t="s">
        <v>789</v>
      </c>
      <c r="B83" t="s">
        <v>944</v>
      </c>
    </row>
    <row r="84" spans="1:2" x14ac:dyDescent="0.35">
      <c r="A84" s="1" t="s">
        <v>791</v>
      </c>
      <c r="B84" t="s">
        <v>792</v>
      </c>
    </row>
    <row r="85" spans="1:2" x14ac:dyDescent="0.35">
      <c r="A85" t="s">
        <v>797</v>
      </c>
      <c r="B85" t="s">
        <v>801</v>
      </c>
    </row>
    <row r="86" spans="1:2" x14ac:dyDescent="0.35">
      <c r="A86" s="1" t="s">
        <v>802</v>
      </c>
      <c r="B86" t="s">
        <v>803</v>
      </c>
    </row>
    <row r="87" spans="1:2" x14ac:dyDescent="0.35">
      <c r="A87" t="s">
        <v>804</v>
      </c>
      <c r="B87" t="s">
        <v>805</v>
      </c>
    </row>
    <row r="88" spans="1:2" x14ac:dyDescent="0.35">
      <c r="A88" s="1" t="s">
        <v>807</v>
      </c>
      <c r="B88" t="s">
        <v>808</v>
      </c>
    </row>
    <row r="89" spans="1:2" x14ac:dyDescent="0.35">
      <c r="A89" t="s">
        <v>806</v>
      </c>
      <c r="B89" t="s">
        <v>848</v>
      </c>
    </row>
    <row r="90" spans="1:2" x14ac:dyDescent="0.35">
      <c r="A90" s="1" t="s">
        <v>849</v>
      </c>
      <c r="B90" t="s">
        <v>850</v>
      </c>
    </row>
    <row r="91" spans="1:2" x14ac:dyDescent="0.35">
      <c r="A91" t="s">
        <v>809</v>
      </c>
      <c r="B91" t="s">
        <v>810</v>
      </c>
    </row>
    <row r="92" spans="1:2" x14ac:dyDescent="0.35">
      <c r="A92" t="s">
        <v>811</v>
      </c>
      <c r="B92" t="s">
        <v>812</v>
      </c>
    </row>
    <row r="93" spans="1:2" x14ac:dyDescent="0.35">
      <c r="A93" t="s">
        <v>813</v>
      </c>
      <c r="B93" t="s">
        <v>945</v>
      </c>
    </row>
    <row r="94" spans="1:2" x14ac:dyDescent="0.35">
      <c r="A94" t="s">
        <v>815</v>
      </c>
      <c r="B94" t="s">
        <v>817</v>
      </c>
    </row>
    <row r="95" spans="1:2" x14ac:dyDescent="0.35">
      <c r="A95" t="s">
        <v>816</v>
      </c>
      <c r="B95" t="s">
        <v>819</v>
      </c>
    </row>
    <row r="96" spans="1:2" x14ac:dyDescent="0.35">
      <c r="A96" t="s">
        <v>908</v>
      </c>
      <c r="B96" t="s">
        <v>818</v>
      </c>
    </row>
    <row r="97" spans="1:2" x14ac:dyDescent="0.35">
      <c r="A97" t="s">
        <v>820</v>
      </c>
      <c r="B97" t="s">
        <v>821</v>
      </c>
    </row>
    <row r="98" spans="1:2" x14ac:dyDescent="0.35">
      <c r="A98" t="s">
        <v>826</v>
      </c>
      <c r="B98" t="s">
        <v>946</v>
      </c>
    </row>
    <row r="99" spans="1:2" x14ac:dyDescent="0.35">
      <c r="A99" t="s">
        <v>825</v>
      </c>
      <c r="B99" t="s">
        <v>823</v>
      </c>
    </row>
    <row r="100" spans="1:2" x14ac:dyDescent="0.35">
      <c r="A100" t="s">
        <v>824</v>
      </c>
      <c r="B100" t="s">
        <v>827</v>
      </c>
    </row>
    <row r="101" spans="1:2" x14ac:dyDescent="0.35">
      <c r="A101" t="s">
        <v>828</v>
      </c>
      <c r="B101" t="s">
        <v>837</v>
      </c>
    </row>
    <row r="102" spans="1:2" x14ac:dyDescent="0.35">
      <c r="A102" s="1" t="s">
        <v>829</v>
      </c>
      <c r="B102" t="s">
        <v>836</v>
      </c>
    </row>
    <row r="103" spans="1:2" x14ac:dyDescent="0.35">
      <c r="A103" s="1" t="s">
        <v>830</v>
      </c>
      <c r="B103" t="s">
        <v>947</v>
      </c>
    </row>
    <row r="104" spans="1:2" x14ac:dyDescent="0.35">
      <c r="A104" s="1" t="s">
        <v>831</v>
      </c>
      <c r="B104" t="s">
        <v>839</v>
      </c>
    </row>
    <row r="105" spans="1:2" x14ac:dyDescent="0.35">
      <c r="A105" s="1" t="s">
        <v>832</v>
      </c>
      <c r="B105" t="s">
        <v>948</v>
      </c>
    </row>
    <row r="106" spans="1:2" x14ac:dyDescent="0.35">
      <c r="A106" s="1" t="s">
        <v>833</v>
      </c>
      <c r="B106" t="s">
        <v>949</v>
      </c>
    </row>
    <row r="107" spans="1:2" x14ac:dyDescent="0.35">
      <c r="A107" s="1" t="s">
        <v>834</v>
      </c>
      <c r="B107" t="s">
        <v>842</v>
      </c>
    </row>
    <row r="108" spans="1:2" x14ac:dyDescent="0.35">
      <c r="A108" s="1" t="s">
        <v>835</v>
      </c>
      <c r="B108" t="s">
        <v>950</v>
      </c>
    </row>
    <row r="109" spans="1:2" x14ac:dyDescent="0.35">
      <c r="A109" s="1" t="s">
        <v>844</v>
      </c>
      <c r="B109" t="s">
        <v>845</v>
      </c>
    </row>
    <row r="110" spans="1:2" x14ac:dyDescent="0.35">
      <c r="A110" s="1" t="s">
        <v>852</v>
      </c>
      <c r="B110" t="s">
        <v>853</v>
      </c>
    </row>
    <row r="111" spans="1:2" x14ac:dyDescent="0.35">
      <c r="A111" s="1" t="s">
        <v>854</v>
      </c>
      <c r="B111" t="s">
        <v>855</v>
      </c>
    </row>
    <row r="112" spans="1:2" x14ac:dyDescent="0.35">
      <c r="A112" s="1" t="s">
        <v>856</v>
      </c>
      <c r="B112" t="s">
        <v>951</v>
      </c>
    </row>
    <row r="113" spans="1:2" x14ac:dyDescent="0.35">
      <c r="A113" s="1" t="s">
        <v>858</v>
      </c>
      <c r="B113" t="s">
        <v>859</v>
      </c>
    </row>
    <row r="114" spans="1:2" x14ac:dyDescent="0.35">
      <c r="A114" s="1" t="s">
        <v>860</v>
      </c>
      <c r="B114" t="s">
        <v>952</v>
      </c>
    </row>
    <row r="115" spans="1:2" x14ac:dyDescent="0.35">
      <c r="A115" s="1" t="s">
        <v>862</v>
      </c>
      <c r="B115" t="s">
        <v>863</v>
      </c>
    </row>
    <row r="116" spans="1:2" x14ac:dyDescent="0.35">
      <c r="A116" s="1" t="s">
        <v>864</v>
      </c>
      <c r="B116" t="s">
        <v>953</v>
      </c>
    </row>
    <row r="117" spans="1:2" x14ac:dyDescent="0.35">
      <c r="A117" s="1" t="s">
        <v>866</v>
      </c>
      <c r="B117" t="s">
        <v>954</v>
      </c>
    </row>
    <row r="118" spans="1:2" x14ac:dyDescent="0.35">
      <c r="A118" s="1" t="s">
        <v>868</v>
      </c>
      <c r="B118" t="s">
        <v>955</v>
      </c>
    </row>
    <row r="119" spans="1:2" x14ac:dyDescent="0.35">
      <c r="A119" s="1" t="s">
        <v>881</v>
      </c>
      <c r="B119" t="s">
        <v>956</v>
      </c>
    </row>
    <row r="120" spans="1:2" x14ac:dyDescent="0.35">
      <c r="A120" s="1" t="s">
        <v>882</v>
      </c>
      <c r="B120" t="s">
        <v>957</v>
      </c>
    </row>
    <row r="121" spans="1:2" x14ac:dyDescent="0.35">
      <c r="A121" s="1" t="s">
        <v>887</v>
      </c>
      <c r="B121" t="s">
        <v>958</v>
      </c>
    </row>
    <row r="122" spans="1:2" x14ac:dyDescent="0.35">
      <c r="A122" s="1" t="s">
        <v>889</v>
      </c>
      <c r="B122" t="s">
        <v>959</v>
      </c>
    </row>
    <row r="123" spans="1:2" x14ac:dyDescent="0.35">
      <c r="A123" s="1" t="s">
        <v>891</v>
      </c>
      <c r="B123" t="s">
        <v>892</v>
      </c>
    </row>
    <row r="124" spans="1:2" x14ac:dyDescent="0.35">
      <c r="A124" s="1" t="s">
        <v>895</v>
      </c>
      <c r="B124" t="s">
        <v>896</v>
      </c>
    </row>
    <row r="125" spans="1:2" x14ac:dyDescent="0.35">
      <c r="A125" s="1" t="s">
        <v>900</v>
      </c>
      <c r="B125" t="s">
        <v>897</v>
      </c>
    </row>
    <row r="126" spans="1:2" x14ac:dyDescent="0.35">
      <c r="A126" s="1" t="s">
        <v>898</v>
      </c>
      <c r="B126" t="s">
        <v>899</v>
      </c>
    </row>
    <row r="127" spans="1:2" x14ac:dyDescent="0.35">
      <c r="A127" s="1" t="s">
        <v>918</v>
      </c>
      <c r="B127" t="s">
        <v>919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EA0DF-EB0A-4919-86E9-3757BA0D4519}">
  <dimension ref="A1:AQ141"/>
  <sheetViews>
    <sheetView topLeftCell="D30" zoomScaleNormal="100" workbookViewId="0">
      <selection activeCell="I39" sqref="I39"/>
    </sheetView>
  </sheetViews>
  <sheetFormatPr defaultRowHeight="14.5" x14ac:dyDescent="0.35"/>
  <cols>
    <col min="1" max="1" width="41" style="1" customWidth="1"/>
    <col min="2" max="2" width="10" bestFit="1" customWidth="1"/>
    <col min="3" max="3" width="18.7265625" bestFit="1" customWidth="1"/>
    <col min="4" max="4" width="46" bestFit="1" customWidth="1"/>
    <col min="5" max="5" width="8.7265625" bestFit="1" customWidth="1"/>
    <col min="6" max="6" width="4.54296875" bestFit="1" customWidth="1"/>
    <col min="7" max="7" width="5.453125" bestFit="1" customWidth="1"/>
    <col min="8" max="8" width="8.54296875" bestFit="1" customWidth="1"/>
    <col min="9" max="9" width="5" bestFit="1" customWidth="1"/>
    <col min="10" max="10" width="10" bestFit="1" customWidth="1"/>
    <col min="11" max="11" width="18.7265625" bestFit="1" customWidth="1"/>
    <col min="12" max="12" width="46" bestFit="1" customWidth="1"/>
    <col min="13" max="13" width="13.81640625" customWidth="1"/>
    <col min="14" max="14" width="20.1796875" customWidth="1"/>
    <col min="15" max="15" width="7.453125" customWidth="1"/>
    <col min="16" max="16" width="9.1796875" customWidth="1"/>
    <col min="17" max="17" width="6" customWidth="1"/>
    <col min="18" max="18" width="12.453125" customWidth="1"/>
    <col min="19" max="19" width="8.7265625" bestFit="1" customWidth="1"/>
    <col min="20" max="20" width="9.7265625" bestFit="1" customWidth="1"/>
    <col min="21" max="26" width="6" customWidth="1"/>
    <col min="27" max="27" width="8.7265625" bestFit="1" customWidth="1"/>
    <col min="28" max="31" width="6" customWidth="1"/>
    <col min="32" max="32" width="16.26953125" style="15" customWidth="1"/>
    <col min="33" max="33" width="16.26953125" customWidth="1"/>
    <col min="34" max="34" width="14" customWidth="1"/>
    <col min="35" max="35" width="15.1796875" bestFit="1" customWidth="1"/>
    <col min="36" max="39" width="15.1796875" customWidth="1"/>
    <col min="40" max="40" width="12.7265625" bestFit="1" customWidth="1"/>
    <col min="41" max="41" width="14.453125" bestFit="1" customWidth="1"/>
  </cols>
  <sheetData>
    <row r="1" spans="1:40" ht="130.5" x14ac:dyDescent="0.35">
      <c r="J1" s="2" t="s">
        <v>2</v>
      </c>
      <c r="K1" s="2" t="s">
        <v>3</v>
      </c>
      <c r="L1" s="2" t="s">
        <v>115</v>
      </c>
      <c r="M1" s="5" t="s">
        <v>471</v>
      </c>
      <c r="N1" s="5" t="s">
        <v>472</v>
      </c>
      <c r="O1" s="5" t="s">
        <v>148</v>
      </c>
      <c r="P1" s="5" t="s">
        <v>4</v>
      </c>
      <c r="Q1" s="5" t="s">
        <v>468</v>
      </c>
      <c r="R1" s="5" t="s">
        <v>470</v>
      </c>
      <c r="S1" s="5" t="s">
        <v>469</v>
      </c>
      <c r="T1" s="5" t="s">
        <v>455</v>
      </c>
      <c r="U1" s="5" t="s">
        <v>456</v>
      </c>
      <c r="V1" s="5" t="s">
        <v>112</v>
      </c>
      <c r="W1" s="5" t="s">
        <v>5</v>
      </c>
      <c r="X1" s="5" t="s">
        <v>1</v>
      </c>
      <c r="Y1" s="5" t="s">
        <v>6</v>
      </c>
      <c r="Z1" s="5" t="s">
        <v>7</v>
      </c>
      <c r="AA1" s="5" t="s">
        <v>146</v>
      </c>
      <c r="AB1" s="5" t="s">
        <v>457</v>
      </c>
      <c r="AC1" s="5" t="s">
        <v>458</v>
      </c>
      <c r="AD1" s="5" t="s">
        <v>477</v>
      </c>
      <c r="AE1" s="5" t="s">
        <v>41</v>
      </c>
      <c r="AF1" s="5" t="s">
        <v>8</v>
      </c>
      <c r="AG1" s="5" t="s">
        <v>9</v>
      </c>
      <c r="AH1" s="5" t="s">
        <v>10</v>
      </c>
      <c r="AI1" s="5" t="s">
        <v>11</v>
      </c>
      <c r="AJ1" s="5" t="s">
        <v>474</v>
      </c>
      <c r="AK1" s="5" t="s">
        <v>473</v>
      </c>
      <c r="AL1" s="5" t="s">
        <v>475</v>
      </c>
      <c r="AM1" s="5" t="s">
        <v>476</v>
      </c>
      <c r="AN1" s="17" t="s">
        <v>507</v>
      </c>
    </row>
    <row r="2" spans="1:40" x14ac:dyDescent="0.35">
      <c r="A2" s="1" t="s">
        <v>851</v>
      </c>
      <c r="J2" s="21" t="s">
        <v>34</v>
      </c>
      <c r="K2" s="21" t="s">
        <v>459</v>
      </c>
      <c r="L2" s="21" t="s">
        <v>460</v>
      </c>
      <c r="M2" s="22" t="s">
        <v>14</v>
      </c>
      <c r="N2" s="22" t="s">
        <v>14</v>
      </c>
      <c r="O2" s="23" t="s">
        <v>14</v>
      </c>
      <c r="P2" s="23" t="s">
        <v>15</v>
      </c>
      <c r="Q2" s="23">
        <v>0</v>
      </c>
      <c r="R2" s="23" t="s">
        <v>14</v>
      </c>
      <c r="S2" s="23" t="s">
        <v>489</v>
      </c>
      <c r="T2" s="23" t="s">
        <v>487</v>
      </c>
      <c r="U2" s="23" t="s">
        <v>488</v>
      </c>
      <c r="V2" s="23" t="s">
        <v>478</v>
      </c>
      <c r="W2" s="23" t="s">
        <v>479</v>
      </c>
      <c r="X2" s="23" t="s">
        <v>478</v>
      </c>
      <c r="Y2" s="23" t="s">
        <v>479</v>
      </c>
      <c r="Z2" s="23" t="s">
        <v>480</v>
      </c>
      <c r="AA2" s="23" t="s">
        <v>490</v>
      </c>
      <c r="AB2" s="23" t="s">
        <v>491</v>
      </c>
      <c r="AC2" s="23" t="s">
        <v>14</v>
      </c>
      <c r="AD2" s="23" t="s">
        <v>14</v>
      </c>
      <c r="AE2" s="23">
        <v>0</v>
      </c>
      <c r="AF2" s="23" t="s">
        <v>481</v>
      </c>
      <c r="AG2" s="23" t="s">
        <v>482</v>
      </c>
      <c r="AH2" s="23" t="s">
        <v>483</v>
      </c>
      <c r="AI2" s="23" t="s">
        <v>484</v>
      </c>
      <c r="AJ2" s="23">
        <v>50</v>
      </c>
      <c r="AK2" s="23">
        <v>15</v>
      </c>
      <c r="AL2" s="23">
        <v>15</v>
      </c>
      <c r="AM2" s="23">
        <v>20</v>
      </c>
      <c r="AN2" s="27">
        <v>500000</v>
      </c>
    </row>
    <row r="3" spans="1:40" x14ac:dyDescent="0.35">
      <c r="J3" s="24" t="s">
        <v>34</v>
      </c>
      <c r="K3" s="24" t="s">
        <v>124</v>
      </c>
      <c r="L3" s="24" t="s">
        <v>497</v>
      </c>
      <c r="M3" s="25" t="s">
        <v>14</v>
      </c>
      <c r="N3" s="25" t="s">
        <v>14</v>
      </c>
      <c r="O3" s="26" t="s">
        <v>14</v>
      </c>
      <c r="P3" s="26" t="s">
        <v>15</v>
      </c>
      <c r="Q3" s="26">
        <v>0</v>
      </c>
      <c r="R3" s="26" t="s">
        <v>14</v>
      </c>
      <c r="S3" s="26"/>
      <c r="T3" s="26"/>
      <c r="U3" s="26"/>
      <c r="V3" s="20">
        <v>2</v>
      </c>
      <c r="W3" s="20">
        <v>10</v>
      </c>
      <c r="X3" s="20">
        <v>3</v>
      </c>
      <c r="Y3" s="20">
        <v>10</v>
      </c>
      <c r="Z3" s="20">
        <v>0</v>
      </c>
      <c r="AA3" s="20"/>
      <c r="AB3" s="20"/>
      <c r="AC3" s="20"/>
      <c r="AD3" s="20"/>
      <c r="AE3" s="20">
        <v>0</v>
      </c>
      <c r="AF3" s="20">
        <v>6</v>
      </c>
      <c r="AG3" s="20">
        <v>0</v>
      </c>
      <c r="AH3" s="20">
        <v>0</v>
      </c>
      <c r="AI3" s="20">
        <v>4</v>
      </c>
      <c r="AJ3" s="20">
        <v>50</v>
      </c>
      <c r="AK3" s="20">
        <v>5</v>
      </c>
      <c r="AL3" s="20">
        <v>10</v>
      </c>
      <c r="AM3" s="20">
        <v>5</v>
      </c>
      <c r="AN3" s="28"/>
    </row>
    <row r="4" spans="1:40" x14ac:dyDescent="0.35">
      <c r="J4" s="24" t="s">
        <v>34</v>
      </c>
      <c r="K4" s="24" t="s">
        <v>16</v>
      </c>
      <c r="L4" s="24" t="s">
        <v>125</v>
      </c>
      <c r="M4" s="25" t="s">
        <v>14</v>
      </c>
      <c r="N4" s="25" t="s">
        <v>14</v>
      </c>
      <c r="O4" s="26" t="s">
        <v>14</v>
      </c>
      <c r="P4" s="26" t="s">
        <v>17</v>
      </c>
      <c r="Q4" s="26">
        <v>0</v>
      </c>
      <c r="R4" s="26" t="s">
        <v>14</v>
      </c>
      <c r="S4" s="26"/>
      <c r="T4" s="26"/>
      <c r="U4" s="26"/>
      <c r="V4" s="20">
        <v>2</v>
      </c>
      <c r="W4" s="20">
        <v>10</v>
      </c>
      <c r="X4" s="20">
        <v>3</v>
      </c>
      <c r="Y4" s="20">
        <v>15</v>
      </c>
      <c r="Z4" s="20">
        <v>0</v>
      </c>
      <c r="AA4" s="20"/>
      <c r="AB4" s="20"/>
      <c r="AC4" s="20"/>
      <c r="AD4" s="20"/>
      <c r="AE4" s="20">
        <v>0</v>
      </c>
      <c r="AF4" s="20" t="s">
        <v>485</v>
      </c>
      <c r="AG4" s="20" t="s">
        <v>486</v>
      </c>
      <c r="AH4" s="20">
        <v>0</v>
      </c>
      <c r="AI4" s="20">
        <v>2</v>
      </c>
      <c r="AJ4" s="20">
        <v>50</v>
      </c>
      <c r="AK4" s="20">
        <v>5</v>
      </c>
      <c r="AL4" s="20">
        <v>20</v>
      </c>
      <c r="AM4" s="20">
        <v>0</v>
      </c>
      <c r="AN4" s="28"/>
    </row>
    <row r="5" spans="1:40" x14ac:dyDescent="0.35">
      <c r="A5" s="1" t="s">
        <v>870</v>
      </c>
      <c r="J5" s="24" t="s">
        <v>34</v>
      </c>
      <c r="K5" s="24" t="s">
        <v>123</v>
      </c>
      <c r="L5" s="24" t="s">
        <v>126</v>
      </c>
      <c r="M5" s="25" t="s">
        <v>14</v>
      </c>
      <c r="N5" s="25" t="s">
        <v>14</v>
      </c>
      <c r="O5" s="26" t="s">
        <v>14</v>
      </c>
      <c r="P5" s="26" t="s">
        <v>33</v>
      </c>
      <c r="Q5" s="26">
        <v>0</v>
      </c>
      <c r="R5" s="26" t="s">
        <v>14</v>
      </c>
      <c r="S5" s="26"/>
      <c r="T5" s="26"/>
      <c r="U5" s="26"/>
      <c r="V5" s="20">
        <v>1</v>
      </c>
      <c r="W5" s="20">
        <v>5</v>
      </c>
      <c r="X5" s="20">
        <v>1</v>
      </c>
      <c r="Y5" s="20">
        <v>5</v>
      </c>
      <c r="Z5" s="20">
        <v>5</v>
      </c>
      <c r="AA5" s="20"/>
      <c r="AB5" s="20"/>
      <c r="AC5" s="20"/>
      <c r="AD5" s="20"/>
      <c r="AE5" s="20">
        <v>0</v>
      </c>
      <c r="AF5" s="20">
        <v>5</v>
      </c>
      <c r="AG5" s="20">
        <v>1</v>
      </c>
      <c r="AH5" s="20">
        <v>4</v>
      </c>
      <c r="AI5" s="20">
        <v>0</v>
      </c>
      <c r="AJ5" s="20">
        <v>50</v>
      </c>
      <c r="AK5" s="20">
        <v>5</v>
      </c>
      <c r="AL5" s="20">
        <v>0</v>
      </c>
      <c r="AM5" s="20">
        <v>15</v>
      </c>
      <c r="AN5" s="28"/>
    </row>
    <row r="6" spans="1:40" ht="43.5" x14ac:dyDescent="0.35">
      <c r="A6" s="1" t="s">
        <v>871</v>
      </c>
      <c r="J6" s="24" t="s">
        <v>34</v>
      </c>
      <c r="K6" s="24" t="s">
        <v>71</v>
      </c>
      <c r="L6" s="24" t="s">
        <v>127</v>
      </c>
      <c r="M6" s="25" t="s">
        <v>14</v>
      </c>
      <c r="N6" s="25" t="s">
        <v>14</v>
      </c>
      <c r="O6" s="26" t="s">
        <v>14</v>
      </c>
      <c r="P6" s="26" t="s">
        <v>33</v>
      </c>
      <c r="Q6" s="26">
        <v>0</v>
      </c>
      <c r="R6" s="26" t="s">
        <v>14</v>
      </c>
      <c r="S6" s="26"/>
      <c r="T6" s="26"/>
      <c r="U6" s="26"/>
      <c r="V6" s="20">
        <v>1</v>
      </c>
      <c r="W6" s="20">
        <v>5</v>
      </c>
      <c r="X6" s="20">
        <v>2</v>
      </c>
      <c r="Y6" s="20">
        <v>5</v>
      </c>
      <c r="Z6" s="20">
        <v>1</v>
      </c>
      <c r="AA6" s="20"/>
      <c r="AB6" s="20"/>
      <c r="AC6" s="20"/>
      <c r="AD6" s="20"/>
      <c r="AE6" s="20">
        <v>0</v>
      </c>
      <c r="AF6" s="20">
        <v>5</v>
      </c>
      <c r="AG6" s="20">
        <v>1</v>
      </c>
      <c r="AH6" s="20">
        <v>4</v>
      </c>
      <c r="AI6" s="20">
        <v>0</v>
      </c>
      <c r="AJ6" s="20">
        <v>50</v>
      </c>
      <c r="AK6" s="20">
        <v>5</v>
      </c>
      <c r="AL6" s="20">
        <v>5</v>
      </c>
      <c r="AM6" s="20">
        <v>10</v>
      </c>
      <c r="AN6" s="28"/>
    </row>
    <row r="7" spans="1:40" x14ac:dyDescent="0.35">
      <c r="J7" s="21" t="s">
        <v>12</v>
      </c>
      <c r="K7" s="21" t="s">
        <v>459</v>
      </c>
      <c r="L7" s="21" t="s">
        <v>461</v>
      </c>
      <c r="M7" s="22">
        <v>1</v>
      </c>
      <c r="N7" s="22">
        <v>1</v>
      </c>
      <c r="O7" s="23" t="s">
        <v>14</v>
      </c>
      <c r="P7" s="23" t="s">
        <v>15</v>
      </c>
      <c r="Q7" s="23">
        <v>1</v>
      </c>
      <c r="R7" s="23" t="s">
        <v>500</v>
      </c>
      <c r="S7" s="23"/>
      <c r="T7" s="23"/>
      <c r="U7" s="23"/>
      <c r="V7" s="23">
        <v>2</v>
      </c>
      <c r="W7" s="23">
        <v>5</v>
      </c>
      <c r="X7" s="23">
        <v>2</v>
      </c>
      <c r="Y7" s="23">
        <v>5</v>
      </c>
      <c r="Z7" s="23">
        <v>1</v>
      </c>
      <c r="AA7" s="23"/>
      <c r="AB7" s="23"/>
      <c r="AC7" s="23"/>
      <c r="AD7" s="23"/>
      <c r="AE7" s="23">
        <v>0</v>
      </c>
      <c r="AF7" s="23">
        <v>3</v>
      </c>
      <c r="AG7" s="23">
        <v>2</v>
      </c>
      <c r="AH7" s="23">
        <v>2</v>
      </c>
      <c r="AI7" s="23">
        <v>3</v>
      </c>
      <c r="AJ7" s="23">
        <v>50</v>
      </c>
      <c r="AK7" s="23">
        <v>15</v>
      </c>
      <c r="AL7" s="23">
        <v>15</v>
      </c>
      <c r="AM7" s="23">
        <v>20</v>
      </c>
      <c r="AN7" s="27">
        <v>750000</v>
      </c>
    </row>
    <row r="8" spans="1:40" x14ac:dyDescent="0.35">
      <c r="A8" s="42" t="s">
        <v>886</v>
      </c>
      <c r="J8" s="24" t="s">
        <v>12</v>
      </c>
      <c r="K8" s="24" t="s">
        <v>13</v>
      </c>
      <c r="L8" s="24" t="s">
        <v>75</v>
      </c>
      <c r="M8" s="25">
        <v>1</v>
      </c>
      <c r="N8" s="25">
        <v>1</v>
      </c>
      <c r="O8" s="26" t="s">
        <v>14</v>
      </c>
      <c r="P8" s="26" t="s">
        <v>15</v>
      </c>
      <c r="Q8" s="26">
        <v>1</v>
      </c>
      <c r="R8" s="26" t="s">
        <v>499</v>
      </c>
      <c r="S8" s="26"/>
      <c r="T8" s="26"/>
      <c r="U8" s="26"/>
      <c r="V8" s="26">
        <v>2</v>
      </c>
      <c r="W8" s="26">
        <v>5</v>
      </c>
      <c r="X8" s="26">
        <v>2</v>
      </c>
      <c r="Y8" s="26">
        <v>5</v>
      </c>
      <c r="Z8" s="26">
        <v>1</v>
      </c>
      <c r="AA8" s="26"/>
      <c r="AB8" s="26"/>
      <c r="AC8" s="26"/>
      <c r="AD8" s="26"/>
      <c r="AE8" s="26">
        <v>0</v>
      </c>
      <c r="AF8" s="26">
        <v>4</v>
      </c>
      <c r="AG8" s="26">
        <v>3</v>
      </c>
      <c r="AH8" s="26">
        <v>1</v>
      </c>
      <c r="AI8" s="26">
        <v>2</v>
      </c>
      <c r="AJ8" s="26">
        <v>50</v>
      </c>
      <c r="AK8" s="26">
        <v>15</v>
      </c>
      <c r="AL8" s="26">
        <v>15</v>
      </c>
      <c r="AM8" s="26">
        <v>20</v>
      </c>
      <c r="AN8" s="28"/>
    </row>
    <row r="9" spans="1:40" ht="29" x14ac:dyDescent="0.35">
      <c r="A9" s="1" t="s">
        <v>873</v>
      </c>
      <c r="J9" s="24" t="s">
        <v>12</v>
      </c>
      <c r="K9" s="24" t="s">
        <v>16</v>
      </c>
      <c r="L9" s="24" t="s">
        <v>74</v>
      </c>
      <c r="M9" s="25">
        <v>1</v>
      </c>
      <c r="N9" s="25">
        <v>1</v>
      </c>
      <c r="O9" s="26" t="s">
        <v>14</v>
      </c>
      <c r="P9" s="26" t="s">
        <v>17</v>
      </c>
      <c r="Q9" s="26">
        <v>1</v>
      </c>
      <c r="R9" s="26" t="s">
        <v>173</v>
      </c>
      <c r="S9" s="26"/>
      <c r="T9" s="26"/>
      <c r="U9" s="26"/>
      <c r="V9" s="26">
        <v>2</v>
      </c>
      <c r="W9" s="26">
        <v>10</v>
      </c>
      <c r="X9" s="26">
        <v>2</v>
      </c>
      <c r="Y9" s="26">
        <v>5</v>
      </c>
      <c r="Z9" s="26">
        <v>1</v>
      </c>
      <c r="AA9" s="26"/>
      <c r="AB9" s="26"/>
      <c r="AC9" s="26"/>
      <c r="AD9" s="26"/>
      <c r="AE9" s="26">
        <v>0</v>
      </c>
      <c r="AF9" s="26">
        <v>3</v>
      </c>
      <c r="AG9" s="26">
        <v>2</v>
      </c>
      <c r="AH9" s="26">
        <v>1</v>
      </c>
      <c r="AI9" s="26">
        <v>4</v>
      </c>
      <c r="AJ9" s="26">
        <v>50</v>
      </c>
      <c r="AK9" s="26">
        <v>20</v>
      </c>
      <c r="AL9" s="26">
        <v>20</v>
      </c>
      <c r="AM9" s="26">
        <v>10</v>
      </c>
      <c r="AN9" s="28"/>
    </row>
    <row r="10" spans="1:40" ht="29" x14ac:dyDescent="0.35">
      <c r="A10" s="1" t="s">
        <v>874</v>
      </c>
      <c r="J10" s="24" t="s">
        <v>12</v>
      </c>
      <c r="K10" s="24" t="s">
        <v>68</v>
      </c>
      <c r="L10" s="24" t="s">
        <v>76</v>
      </c>
      <c r="M10" s="25">
        <v>1</v>
      </c>
      <c r="N10" s="25">
        <v>2</v>
      </c>
      <c r="O10" s="26" t="s">
        <v>14</v>
      </c>
      <c r="P10" s="26" t="s">
        <v>33</v>
      </c>
      <c r="Q10" s="26">
        <v>2</v>
      </c>
      <c r="R10" s="26" t="s">
        <v>173</v>
      </c>
      <c r="S10" s="26"/>
      <c r="T10" s="26"/>
      <c r="U10" s="26"/>
      <c r="V10" s="26">
        <v>3</v>
      </c>
      <c r="W10" s="26">
        <v>10</v>
      </c>
      <c r="X10" s="26">
        <v>2</v>
      </c>
      <c r="Y10" s="26">
        <v>5</v>
      </c>
      <c r="Z10" s="26">
        <v>1</v>
      </c>
      <c r="AA10" s="26"/>
      <c r="AB10" s="26"/>
      <c r="AC10" s="26"/>
      <c r="AD10" s="26"/>
      <c r="AE10" s="26">
        <v>0</v>
      </c>
      <c r="AF10" s="26">
        <v>2</v>
      </c>
      <c r="AG10" s="26">
        <v>3</v>
      </c>
      <c r="AH10" s="26">
        <v>2</v>
      </c>
      <c r="AI10" s="26">
        <v>3</v>
      </c>
      <c r="AJ10" s="26">
        <v>50</v>
      </c>
      <c r="AK10" s="26">
        <v>10</v>
      </c>
      <c r="AL10" s="26">
        <v>10</v>
      </c>
      <c r="AM10" s="26">
        <v>30</v>
      </c>
      <c r="AN10" s="28"/>
    </row>
    <row r="11" spans="1:40" ht="58" x14ac:dyDescent="0.35">
      <c r="A11" s="1" t="s">
        <v>875</v>
      </c>
      <c r="J11" s="24" t="s">
        <v>12</v>
      </c>
      <c r="K11" s="24" t="s">
        <v>19</v>
      </c>
      <c r="L11" s="24" t="s">
        <v>77</v>
      </c>
      <c r="M11" s="25">
        <v>1</v>
      </c>
      <c r="N11" s="25">
        <v>1</v>
      </c>
      <c r="O11" s="26" t="s">
        <v>20</v>
      </c>
      <c r="P11" s="26" t="s">
        <v>17</v>
      </c>
      <c r="Q11" s="26">
        <v>1</v>
      </c>
      <c r="R11" s="26" t="s">
        <v>241</v>
      </c>
      <c r="S11" s="26"/>
      <c r="T11" s="26"/>
      <c r="U11" s="26"/>
      <c r="V11" s="26">
        <v>2</v>
      </c>
      <c r="W11" s="26">
        <v>5</v>
      </c>
      <c r="X11" s="26">
        <v>2</v>
      </c>
      <c r="Y11" s="26">
        <v>5</v>
      </c>
      <c r="Z11" s="26">
        <v>3</v>
      </c>
      <c r="AA11" s="26"/>
      <c r="AB11" s="26"/>
      <c r="AC11" s="26"/>
      <c r="AD11" s="26"/>
      <c r="AE11" s="26">
        <v>0</v>
      </c>
      <c r="AF11" s="26">
        <v>3</v>
      </c>
      <c r="AG11" s="26">
        <v>2</v>
      </c>
      <c r="AH11" s="26">
        <v>2</v>
      </c>
      <c r="AI11" s="26">
        <v>3</v>
      </c>
      <c r="AJ11" s="26">
        <v>50</v>
      </c>
      <c r="AK11" s="26">
        <v>10</v>
      </c>
      <c r="AL11" s="26">
        <v>30</v>
      </c>
      <c r="AM11" s="26">
        <v>10</v>
      </c>
      <c r="AN11" s="28"/>
    </row>
    <row r="12" spans="1:40" ht="43.5" x14ac:dyDescent="0.35">
      <c r="A12" s="1" t="s">
        <v>876</v>
      </c>
      <c r="J12" s="21" t="s">
        <v>35</v>
      </c>
      <c r="K12" s="21" t="s">
        <v>459</v>
      </c>
      <c r="L12" s="21" t="s">
        <v>462</v>
      </c>
      <c r="M12" s="22">
        <v>2</v>
      </c>
      <c r="N12" s="22">
        <v>5</v>
      </c>
      <c r="O12" s="23" t="s">
        <v>14</v>
      </c>
      <c r="P12" s="23" t="s">
        <v>17</v>
      </c>
      <c r="Q12" s="23">
        <v>10</v>
      </c>
      <c r="R12" s="23" t="s">
        <v>498</v>
      </c>
      <c r="S12" s="23"/>
      <c r="T12" s="23"/>
      <c r="U12" s="23"/>
      <c r="V12" s="23" t="s">
        <v>508</v>
      </c>
      <c r="W12" s="23" t="s">
        <v>510</v>
      </c>
      <c r="X12" s="23" t="s">
        <v>484</v>
      </c>
      <c r="Y12" s="23" t="s">
        <v>510</v>
      </c>
      <c r="Z12" s="23" t="s">
        <v>511</v>
      </c>
      <c r="AA12" s="23"/>
      <c r="AB12" s="23"/>
      <c r="AC12" s="23"/>
      <c r="AD12" s="23"/>
      <c r="AE12" s="23" t="s">
        <v>482</v>
      </c>
      <c r="AF12" s="23" t="s">
        <v>484</v>
      </c>
      <c r="AG12" s="23" t="s">
        <v>484</v>
      </c>
      <c r="AH12" s="23" t="s">
        <v>478</v>
      </c>
      <c r="AI12" s="23" t="s">
        <v>478</v>
      </c>
      <c r="AJ12" s="23">
        <v>125</v>
      </c>
      <c r="AK12" s="23">
        <v>30</v>
      </c>
      <c r="AL12" s="23">
        <v>40</v>
      </c>
      <c r="AM12" s="23">
        <v>55</v>
      </c>
      <c r="AN12" s="27">
        <v>1500000</v>
      </c>
    </row>
    <row r="13" spans="1:40" ht="29" x14ac:dyDescent="0.35">
      <c r="A13" s="1" t="s">
        <v>877</v>
      </c>
      <c r="J13" s="24" t="s">
        <v>35</v>
      </c>
      <c r="K13" s="24" t="s">
        <v>46</v>
      </c>
      <c r="L13" s="24" t="s">
        <v>78</v>
      </c>
      <c r="M13" s="25">
        <v>1</v>
      </c>
      <c r="N13" s="25">
        <v>2</v>
      </c>
      <c r="O13" s="26" t="s">
        <v>20</v>
      </c>
      <c r="P13" s="26" t="s">
        <v>15</v>
      </c>
      <c r="Q13" s="26">
        <v>3</v>
      </c>
      <c r="R13" s="26" t="s">
        <v>174</v>
      </c>
      <c r="S13" s="26"/>
      <c r="T13" s="26"/>
      <c r="U13" s="26"/>
      <c r="V13" s="26">
        <v>3</v>
      </c>
      <c r="W13" s="26">
        <v>5</v>
      </c>
      <c r="X13" s="26">
        <v>3</v>
      </c>
      <c r="Y13" s="26">
        <v>10</v>
      </c>
      <c r="Z13" s="26">
        <v>5</v>
      </c>
      <c r="AA13" s="26"/>
      <c r="AB13" s="26"/>
      <c r="AC13" s="26"/>
      <c r="AD13" s="26"/>
      <c r="AE13" s="26">
        <v>0</v>
      </c>
      <c r="AF13" s="26">
        <v>5</v>
      </c>
      <c r="AG13" s="26">
        <v>3</v>
      </c>
      <c r="AH13" s="26">
        <v>1</v>
      </c>
      <c r="AI13" s="26">
        <v>2</v>
      </c>
      <c r="AJ13" s="26">
        <v>125</v>
      </c>
      <c r="AK13" s="26">
        <v>50</v>
      </c>
      <c r="AL13" s="26">
        <v>50</v>
      </c>
      <c r="AM13" s="26">
        <v>25</v>
      </c>
      <c r="AN13" s="28"/>
    </row>
    <row r="14" spans="1:40" ht="43.5" x14ac:dyDescent="0.35">
      <c r="A14" s="1" t="s">
        <v>878</v>
      </c>
      <c r="J14" s="24" t="s">
        <v>35</v>
      </c>
      <c r="K14" s="24" t="s">
        <v>44</v>
      </c>
      <c r="L14" s="24" t="s">
        <v>79</v>
      </c>
      <c r="M14" s="25">
        <v>2</v>
      </c>
      <c r="N14" s="25">
        <v>5</v>
      </c>
      <c r="O14" s="26" t="s">
        <v>20</v>
      </c>
      <c r="P14" s="26" t="s">
        <v>17</v>
      </c>
      <c r="Q14" s="26">
        <v>15</v>
      </c>
      <c r="R14" s="26" t="s">
        <v>241</v>
      </c>
      <c r="S14" s="26"/>
      <c r="T14" s="26"/>
      <c r="U14" s="26"/>
      <c r="V14" s="26">
        <v>3</v>
      </c>
      <c r="W14" s="26">
        <v>5</v>
      </c>
      <c r="X14" s="26">
        <v>3</v>
      </c>
      <c r="Y14" s="26">
        <v>10</v>
      </c>
      <c r="Z14" s="26">
        <v>10</v>
      </c>
      <c r="AA14" s="26"/>
      <c r="AB14" s="26"/>
      <c r="AC14" s="26"/>
      <c r="AD14" s="26"/>
      <c r="AE14" s="26">
        <v>1</v>
      </c>
      <c r="AF14" s="26">
        <v>5</v>
      </c>
      <c r="AG14" s="26">
        <v>2</v>
      </c>
      <c r="AH14" s="26">
        <v>3</v>
      </c>
      <c r="AI14" s="26">
        <v>0</v>
      </c>
      <c r="AJ14" s="26">
        <v>125</v>
      </c>
      <c r="AK14" s="26">
        <v>20</v>
      </c>
      <c r="AL14" s="26">
        <v>85</v>
      </c>
      <c r="AM14" s="26">
        <v>20</v>
      </c>
      <c r="AN14" s="28"/>
    </row>
    <row r="15" spans="1:40" ht="87" x14ac:dyDescent="0.35">
      <c r="A15" s="1" t="s">
        <v>879</v>
      </c>
      <c r="J15" s="24" t="s">
        <v>35</v>
      </c>
      <c r="K15" s="24" t="s">
        <v>69</v>
      </c>
      <c r="L15" s="24" t="s">
        <v>80</v>
      </c>
      <c r="M15" s="25">
        <v>1</v>
      </c>
      <c r="N15" s="25">
        <v>2</v>
      </c>
      <c r="O15" s="26" t="s">
        <v>14</v>
      </c>
      <c r="P15" s="26" t="s">
        <v>17</v>
      </c>
      <c r="Q15" s="26">
        <v>50</v>
      </c>
      <c r="R15" s="26" t="s">
        <v>173</v>
      </c>
      <c r="S15" s="26"/>
      <c r="T15" s="26"/>
      <c r="U15" s="26"/>
      <c r="V15" s="26" t="s">
        <v>495</v>
      </c>
      <c r="W15" s="26">
        <v>20</v>
      </c>
      <c r="X15" s="26">
        <v>3</v>
      </c>
      <c r="Y15" s="26">
        <v>10</v>
      </c>
      <c r="Z15" s="26">
        <v>1</v>
      </c>
      <c r="AA15" s="26"/>
      <c r="AB15" s="26"/>
      <c r="AC15" s="26"/>
      <c r="AD15" s="26"/>
      <c r="AE15" s="26">
        <v>0</v>
      </c>
      <c r="AF15" s="26">
        <v>2</v>
      </c>
      <c r="AG15" s="26">
        <v>2</v>
      </c>
      <c r="AH15" s="26">
        <v>3</v>
      </c>
      <c r="AI15" s="26">
        <v>3</v>
      </c>
      <c r="AJ15" s="26">
        <v>125</v>
      </c>
      <c r="AK15" s="26">
        <v>30</v>
      </c>
      <c r="AL15" s="26">
        <v>70</v>
      </c>
      <c r="AM15" s="26">
        <v>25</v>
      </c>
      <c r="AN15" s="28"/>
    </row>
    <row r="16" spans="1:40" ht="43.5" x14ac:dyDescent="0.35">
      <c r="A16" s="1" t="s">
        <v>872</v>
      </c>
      <c r="J16" s="24" t="s">
        <v>35</v>
      </c>
      <c r="K16" s="24" t="s">
        <v>43</v>
      </c>
      <c r="L16" s="24" t="s">
        <v>81</v>
      </c>
      <c r="M16" s="25">
        <v>2</v>
      </c>
      <c r="N16" s="25">
        <v>5</v>
      </c>
      <c r="O16" s="26" t="s">
        <v>14</v>
      </c>
      <c r="P16" s="26" t="s">
        <v>33</v>
      </c>
      <c r="Q16" s="26">
        <v>5</v>
      </c>
      <c r="R16" s="26" t="s">
        <v>174</v>
      </c>
      <c r="S16" s="26"/>
      <c r="T16" s="26"/>
      <c r="U16" s="26"/>
      <c r="V16" s="26">
        <v>3</v>
      </c>
      <c r="W16" s="26">
        <v>10</v>
      </c>
      <c r="X16" s="26">
        <v>2</v>
      </c>
      <c r="Y16" s="26">
        <v>10</v>
      </c>
      <c r="Z16" s="26">
        <v>3</v>
      </c>
      <c r="AA16" s="26"/>
      <c r="AB16" s="26"/>
      <c r="AC16" s="26"/>
      <c r="AD16" s="26"/>
      <c r="AE16" s="26">
        <v>1</v>
      </c>
      <c r="AF16" s="26">
        <v>3</v>
      </c>
      <c r="AG16" s="26">
        <v>3</v>
      </c>
      <c r="AH16" s="26" t="s">
        <v>492</v>
      </c>
      <c r="AI16" s="26" t="s">
        <v>486</v>
      </c>
      <c r="AJ16" s="26">
        <v>125</v>
      </c>
      <c r="AK16" s="26">
        <v>20</v>
      </c>
      <c r="AL16" s="26">
        <v>25</v>
      </c>
      <c r="AM16" s="26">
        <v>80</v>
      </c>
      <c r="AN16" s="28"/>
    </row>
    <row r="17" spans="1:40" x14ac:dyDescent="0.35">
      <c r="J17" s="24" t="s">
        <v>35</v>
      </c>
      <c r="K17" s="24" t="s">
        <v>70</v>
      </c>
      <c r="L17" s="24" t="s">
        <v>82</v>
      </c>
      <c r="M17" s="25">
        <v>3</v>
      </c>
      <c r="N17" s="25">
        <v>6</v>
      </c>
      <c r="O17" s="26" t="s">
        <v>27</v>
      </c>
      <c r="P17" s="26" t="s">
        <v>17</v>
      </c>
      <c r="Q17" s="26">
        <v>10</v>
      </c>
      <c r="R17" s="26" t="s">
        <v>174</v>
      </c>
      <c r="S17" s="26"/>
      <c r="T17" s="26"/>
      <c r="U17" s="26"/>
      <c r="V17" s="26" t="s">
        <v>509</v>
      </c>
      <c r="W17" s="26">
        <v>15</v>
      </c>
      <c r="X17" s="26" t="s">
        <v>509</v>
      </c>
      <c r="Y17" s="26">
        <v>10</v>
      </c>
      <c r="Z17" s="26">
        <v>3</v>
      </c>
      <c r="AA17" s="26"/>
      <c r="AB17" s="26"/>
      <c r="AC17" s="26"/>
      <c r="AD17" s="26"/>
      <c r="AE17" s="26">
        <v>1</v>
      </c>
      <c r="AF17" s="26">
        <v>2</v>
      </c>
      <c r="AG17" s="26">
        <v>2</v>
      </c>
      <c r="AH17" s="26">
        <v>2</v>
      </c>
      <c r="AI17" s="26">
        <v>3</v>
      </c>
      <c r="AJ17" s="26">
        <v>125</v>
      </c>
      <c r="AK17" s="26">
        <v>40</v>
      </c>
      <c r="AL17" s="26">
        <v>45</v>
      </c>
      <c r="AM17" s="26">
        <v>40</v>
      </c>
      <c r="AN17" s="28"/>
    </row>
    <row r="18" spans="1:40" x14ac:dyDescent="0.35">
      <c r="J18" s="24" t="s">
        <v>35</v>
      </c>
      <c r="K18" s="24" t="s">
        <v>42</v>
      </c>
      <c r="L18" s="24" t="s">
        <v>83</v>
      </c>
      <c r="M18" s="25">
        <v>1</v>
      </c>
      <c r="N18" s="25">
        <v>2</v>
      </c>
      <c r="O18" s="26" t="s">
        <v>27</v>
      </c>
      <c r="P18" s="26" t="s">
        <v>17</v>
      </c>
      <c r="Q18" s="26">
        <v>50</v>
      </c>
      <c r="R18" s="26" t="s">
        <v>173</v>
      </c>
      <c r="S18" s="26"/>
      <c r="T18" s="26"/>
      <c r="U18" s="26"/>
      <c r="V18" s="26" t="s">
        <v>495</v>
      </c>
      <c r="W18" s="26">
        <v>20</v>
      </c>
      <c r="X18" s="26">
        <v>2</v>
      </c>
      <c r="Y18" s="26">
        <v>10</v>
      </c>
      <c r="Z18" s="26">
        <v>1</v>
      </c>
      <c r="AA18" s="26"/>
      <c r="AB18" s="26"/>
      <c r="AC18" s="26"/>
      <c r="AD18" s="26"/>
      <c r="AE18" s="26">
        <v>0</v>
      </c>
      <c r="AF18" s="26">
        <v>3</v>
      </c>
      <c r="AG18" s="26">
        <v>2</v>
      </c>
      <c r="AH18" s="26">
        <v>3</v>
      </c>
      <c r="AI18" s="26">
        <v>2</v>
      </c>
      <c r="AJ18" s="26">
        <v>125</v>
      </c>
      <c r="AK18" s="26">
        <v>30</v>
      </c>
      <c r="AL18" s="26">
        <v>70</v>
      </c>
      <c r="AM18" s="26">
        <v>25</v>
      </c>
      <c r="AN18" s="28"/>
    </row>
    <row r="19" spans="1:40" x14ac:dyDescent="0.35">
      <c r="J19" s="24" t="s">
        <v>35</v>
      </c>
      <c r="K19" s="24" t="s">
        <v>84</v>
      </c>
      <c r="L19" s="24" t="s">
        <v>85</v>
      </c>
      <c r="M19" s="25">
        <v>3</v>
      </c>
      <c r="N19" s="25">
        <v>6</v>
      </c>
      <c r="O19" s="26" t="s">
        <v>20</v>
      </c>
      <c r="P19" s="26" t="s">
        <v>15</v>
      </c>
      <c r="Q19" s="26">
        <v>10</v>
      </c>
      <c r="R19" s="26" t="s">
        <v>174</v>
      </c>
      <c r="S19" s="26"/>
      <c r="T19" s="26"/>
      <c r="U19" s="26"/>
      <c r="V19" s="26">
        <v>4</v>
      </c>
      <c r="W19" s="26">
        <v>15</v>
      </c>
      <c r="X19" s="26">
        <v>4</v>
      </c>
      <c r="Y19" s="26">
        <v>15</v>
      </c>
      <c r="Z19" s="26">
        <v>10</v>
      </c>
      <c r="AA19" s="26"/>
      <c r="AB19" s="26"/>
      <c r="AC19" s="26"/>
      <c r="AD19" s="26"/>
      <c r="AE19" s="26">
        <v>1</v>
      </c>
      <c r="AF19" s="26">
        <v>4</v>
      </c>
      <c r="AG19" s="26">
        <v>3</v>
      </c>
      <c r="AH19" s="26">
        <v>1</v>
      </c>
      <c r="AI19" s="26">
        <v>1</v>
      </c>
      <c r="AJ19" s="26">
        <v>125</v>
      </c>
      <c r="AK19" s="26">
        <v>30</v>
      </c>
      <c r="AL19" s="26">
        <v>55</v>
      </c>
      <c r="AM19" s="26">
        <v>40</v>
      </c>
      <c r="AN19" s="28"/>
    </row>
    <row r="20" spans="1:40" s="51" customFormat="1" x14ac:dyDescent="0.35">
      <c r="A20" s="50" t="s">
        <v>885</v>
      </c>
      <c r="J20" s="52" t="s">
        <v>23</v>
      </c>
      <c r="K20" s="52" t="s">
        <v>459</v>
      </c>
      <c r="L20" s="52" t="s">
        <v>463</v>
      </c>
      <c r="M20" s="53">
        <v>5</v>
      </c>
      <c r="N20" s="53">
        <v>15</v>
      </c>
      <c r="O20" s="54" t="s">
        <v>14</v>
      </c>
      <c r="P20" s="54" t="s">
        <v>17</v>
      </c>
      <c r="Q20" s="54">
        <v>50</v>
      </c>
      <c r="R20" s="54" t="s">
        <v>501</v>
      </c>
      <c r="S20" s="54"/>
      <c r="T20" s="54"/>
      <c r="U20" s="54"/>
      <c r="V20" s="54">
        <v>4</v>
      </c>
      <c r="W20" s="54">
        <v>15</v>
      </c>
      <c r="X20" s="54">
        <v>4</v>
      </c>
      <c r="Y20" s="54">
        <v>15</v>
      </c>
      <c r="Z20" s="54">
        <v>30</v>
      </c>
      <c r="AA20" s="54"/>
      <c r="AB20" s="54"/>
      <c r="AC20" s="54"/>
      <c r="AD20" s="54"/>
      <c r="AE20" s="54">
        <v>2</v>
      </c>
      <c r="AF20" s="54">
        <v>2</v>
      </c>
      <c r="AG20" s="54">
        <v>2</v>
      </c>
      <c r="AH20" s="54">
        <v>2</v>
      </c>
      <c r="AI20" s="54">
        <v>2</v>
      </c>
      <c r="AJ20" s="54">
        <v>250</v>
      </c>
      <c r="AK20" s="54">
        <v>50</v>
      </c>
      <c r="AL20" s="54">
        <v>100</v>
      </c>
      <c r="AM20" s="54">
        <v>100</v>
      </c>
      <c r="AN20" s="55">
        <v>5000000</v>
      </c>
    </row>
    <row r="21" spans="1:40" ht="72.5" x14ac:dyDescent="0.35">
      <c r="A21" s="1" t="s">
        <v>880</v>
      </c>
      <c r="J21" s="24" t="s">
        <v>23</v>
      </c>
      <c r="K21" s="24" t="s">
        <v>24</v>
      </c>
      <c r="L21" s="24" t="s">
        <v>86</v>
      </c>
      <c r="M21" s="25">
        <v>5</v>
      </c>
      <c r="N21" s="25">
        <v>15</v>
      </c>
      <c r="O21" s="26" t="s">
        <v>14</v>
      </c>
      <c r="P21" s="26" t="s">
        <v>17</v>
      </c>
      <c r="Q21" s="26">
        <v>20</v>
      </c>
      <c r="R21" s="26" t="s">
        <v>453</v>
      </c>
      <c r="S21" s="26"/>
      <c r="T21" s="26"/>
      <c r="U21" s="26"/>
      <c r="V21" s="26">
        <v>5</v>
      </c>
      <c r="W21" s="26">
        <v>20</v>
      </c>
      <c r="X21" s="26">
        <v>5</v>
      </c>
      <c r="Y21" s="26">
        <v>20</v>
      </c>
      <c r="Z21" s="26">
        <v>10</v>
      </c>
      <c r="AA21" s="26"/>
      <c r="AB21" s="26"/>
      <c r="AC21" s="26"/>
      <c r="AD21" s="26"/>
      <c r="AE21" s="26">
        <v>1</v>
      </c>
      <c r="AF21" s="26">
        <v>3</v>
      </c>
      <c r="AG21" s="26">
        <v>2</v>
      </c>
      <c r="AH21" s="26">
        <v>0</v>
      </c>
      <c r="AI21" s="26">
        <v>4</v>
      </c>
      <c r="AJ21" s="26">
        <v>250</v>
      </c>
      <c r="AK21" s="26">
        <v>90</v>
      </c>
      <c r="AL21" s="26">
        <v>90</v>
      </c>
      <c r="AM21" s="26">
        <v>70</v>
      </c>
      <c r="AN21" s="28"/>
    </row>
    <row r="22" spans="1:40" x14ac:dyDescent="0.35">
      <c r="J22" s="24" t="s">
        <v>23</v>
      </c>
      <c r="K22" s="24" t="s">
        <v>72</v>
      </c>
      <c r="L22" s="24" t="s">
        <v>87</v>
      </c>
      <c r="M22" s="25">
        <v>8</v>
      </c>
      <c r="N22" s="25">
        <v>20</v>
      </c>
      <c r="O22" s="26" t="s">
        <v>20</v>
      </c>
      <c r="P22" s="26" t="s">
        <v>17</v>
      </c>
      <c r="Q22" s="26">
        <v>100</v>
      </c>
      <c r="R22" s="26" t="s">
        <v>174</v>
      </c>
      <c r="S22" s="26"/>
      <c r="T22" s="26"/>
      <c r="U22" s="26"/>
      <c r="V22" s="26">
        <v>4</v>
      </c>
      <c r="W22" s="26">
        <v>15</v>
      </c>
      <c r="X22" s="26">
        <v>4</v>
      </c>
      <c r="Y22" s="26">
        <v>15</v>
      </c>
      <c r="Z22" s="26">
        <v>30</v>
      </c>
      <c r="AA22" s="26"/>
      <c r="AB22" s="26"/>
      <c r="AC22" s="26"/>
      <c r="AD22" s="26"/>
      <c r="AE22" s="26">
        <v>1</v>
      </c>
      <c r="AF22" s="26">
        <v>3</v>
      </c>
      <c r="AG22" s="26">
        <v>3</v>
      </c>
      <c r="AH22" s="26">
        <v>3</v>
      </c>
      <c r="AI22" s="26">
        <v>0</v>
      </c>
      <c r="AJ22" s="26">
        <v>250</v>
      </c>
      <c r="AK22" s="26">
        <v>50</v>
      </c>
      <c r="AL22" s="26">
        <v>160</v>
      </c>
      <c r="AM22" s="26">
        <v>40</v>
      </c>
      <c r="AN22" s="28"/>
    </row>
    <row r="23" spans="1:40" x14ac:dyDescent="0.35">
      <c r="J23" s="24" t="s">
        <v>23</v>
      </c>
      <c r="K23" s="24" t="s">
        <v>121</v>
      </c>
      <c r="L23" s="24" t="s">
        <v>122</v>
      </c>
      <c r="M23" s="25">
        <v>5</v>
      </c>
      <c r="N23" s="25">
        <v>15</v>
      </c>
      <c r="O23" s="26" t="s">
        <v>14</v>
      </c>
      <c r="P23" s="26" t="s">
        <v>17</v>
      </c>
      <c r="Q23" s="26">
        <v>15</v>
      </c>
      <c r="R23" s="26" t="s">
        <v>453</v>
      </c>
      <c r="S23" s="26"/>
      <c r="T23" s="26"/>
      <c r="U23" s="26"/>
      <c r="V23" s="26">
        <v>5</v>
      </c>
      <c r="W23" s="26">
        <v>20</v>
      </c>
      <c r="X23" s="26">
        <v>5</v>
      </c>
      <c r="Y23" s="26">
        <v>20</v>
      </c>
      <c r="Z23" s="26">
        <v>15</v>
      </c>
      <c r="AA23" s="26"/>
      <c r="AB23" s="26"/>
      <c r="AC23" s="26"/>
      <c r="AD23" s="26"/>
      <c r="AE23" s="26">
        <v>2</v>
      </c>
      <c r="AF23" s="26">
        <v>1</v>
      </c>
      <c r="AG23" s="26">
        <v>2</v>
      </c>
      <c r="AH23" s="26">
        <v>1</v>
      </c>
      <c r="AI23" s="26">
        <v>4</v>
      </c>
      <c r="AJ23" s="26">
        <v>250</v>
      </c>
      <c r="AK23" s="26">
        <v>60</v>
      </c>
      <c r="AL23" s="26">
        <v>80</v>
      </c>
      <c r="AM23" s="26">
        <v>110</v>
      </c>
      <c r="AN23" s="28"/>
    </row>
    <row r="24" spans="1:40" x14ac:dyDescent="0.35">
      <c r="A24" s="41"/>
      <c r="J24" s="24" t="s">
        <v>23</v>
      </c>
      <c r="K24" s="24" t="s">
        <v>89</v>
      </c>
      <c r="L24" s="24" t="s">
        <v>88</v>
      </c>
      <c r="M24" s="25">
        <v>8</v>
      </c>
      <c r="N24" s="25">
        <v>20</v>
      </c>
      <c r="O24" s="26" t="s">
        <v>14</v>
      </c>
      <c r="P24" s="26" t="s">
        <v>33</v>
      </c>
      <c r="Q24" s="26">
        <v>30</v>
      </c>
      <c r="R24" s="26" t="s">
        <v>502</v>
      </c>
      <c r="S24" s="26"/>
      <c r="T24" s="26"/>
      <c r="U24" s="26"/>
      <c r="V24" s="26">
        <v>5</v>
      </c>
      <c r="W24" s="26">
        <v>20</v>
      </c>
      <c r="X24" s="26">
        <v>3</v>
      </c>
      <c r="Y24" s="26">
        <v>10</v>
      </c>
      <c r="Z24" s="26">
        <v>100</v>
      </c>
      <c r="AA24" s="26"/>
      <c r="AB24" s="26"/>
      <c r="AC24" s="26"/>
      <c r="AD24" s="26"/>
      <c r="AE24" s="26">
        <v>0</v>
      </c>
      <c r="AF24" s="26">
        <v>0</v>
      </c>
      <c r="AG24" s="26">
        <v>4</v>
      </c>
      <c r="AH24" s="26">
        <v>5</v>
      </c>
      <c r="AI24" s="26">
        <v>1</v>
      </c>
      <c r="AJ24" s="26">
        <v>250</v>
      </c>
      <c r="AK24" s="26">
        <v>40</v>
      </c>
      <c r="AL24" s="26">
        <v>30</v>
      </c>
      <c r="AM24" s="26">
        <v>180</v>
      </c>
      <c r="AN24" s="28"/>
    </row>
    <row r="25" spans="1:40" x14ac:dyDescent="0.35">
      <c r="A25" s="1" t="s">
        <v>451</v>
      </c>
      <c r="J25" s="24" t="s">
        <v>23</v>
      </c>
      <c r="K25" s="24" t="s">
        <v>47</v>
      </c>
      <c r="L25" s="24" t="s">
        <v>90</v>
      </c>
      <c r="M25" s="25">
        <v>2</v>
      </c>
      <c r="N25" s="25">
        <v>10</v>
      </c>
      <c r="O25" s="26" t="s">
        <v>27</v>
      </c>
      <c r="P25" s="26" t="s">
        <v>15</v>
      </c>
      <c r="Q25" s="26">
        <v>10</v>
      </c>
      <c r="R25" s="26" t="s">
        <v>502</v>
      </c>
      <c r="S25" s="26"/>
      <c r="T25" s="26"/>
      <c r="U25" s="26"/>
      <c r="V25" s="26">
        <v>3</v>
      </c>
      <c r="W25" s="26">
        <v>10</v>
      </c>
      <c r="X25" s="26">
        <v>5</v>
      </c>
      <c r="Y25" s="26">
        <v>20</v>
      </c>
      <c r="Z25" s="26">
        <v>10</v>
      </c>
      <c r="AA25" s="26"/>
      <c r="AB25" s="26"/>
      <c r="AC25" s="26"/>
      <c r="AD25" s="26"/>
      <c r="AE25" s="26">
        <v>1</v>
      </c>
      <c r="AF25" s="26">
        <v>3</v>
      </c>
      <c r="AG25" s="26">
        <v>5</v>
      </c>
      <c r="AH25" s="26">
        <v>1</v>
      </c>
      <c r="AI25" s="26">
        <v>0</v>
      </c>
      <c r="AJ25" s="26">
        <v>250</v>
      </c>
      <c r="AK25" s="26">
        <v>60</v>
      </c>
      <c r="AL25" s="26">
        <v>40</v>
      </c>
      <c r="AM25" s="26">
        <v>150</v>
      </c>
      <c r="AN25" s="28"/>
    </row>
    <row r="26" spans="1:40" ht="43.5" x14ac:dyDescent="0.35">
      <c r="A26" s="1" t="s">
        <v>452</v>
      </c>
      <c r="J26" s="24" t="s">
        <v>23</v>
      </c>
      <c r="K26" s="24" t="s">
        <v>65</v>
      </c>
      <c r="L26" s="24" t="s">
        <v>91</v>
      </c>
      <c r="M26" s="25">
        <v>5</v>
      </c>
      <c r="N26" s="25">
        <v>15</v>
      </c>
      <c r="O26" s="26" t="s">
        <v>20</v>
      </c>
      <c r="P26" s="26" t="s">
        <v>17</v>
      </c>
      <c r="Q26" s="26">
        <v>100</v>
      </c>
      <c r="R26" s="26" t="s">
        <v>174</v>
      </c>
      <c r="S26" s="26"/>
      <c r="T26" s="26"/>
      <c r="U26" s="26"/>
      <c r="V26" s="26">
        <v>4</v>
      </c>
      <c r="W26" s="26">
        <v>15</v>
      </c>
      <c r="X26" s="26">
        <v>4</v>
      </c>
      <c r="Y26" s="26">
        <v>15</v>
      </c>
      <c r="Z26" s="26">
        <v>60</v>
      </c>
      <c r="AA26" s="26"/>
      <c r="AB26" s="26"/>
      <c r="AC26" s="26"/>
      <c r="AD26" s="26"/>
      <c r="AE26" s="26">
        <v>1</v>
      </c>
      <c r="AF26" s="26">
        <v>2</v>
      </c>
      <c r="AG26" s="26">
        <v>3</v>
      </c>
      <c r="AH26" s="26">
        <v>3</v>
      </c>
      <c r="AI26" s="26">
        <v>1</v>
      </c>
      <c r="AJ26" s="26">
        <v>250</v>
      </c>
      <c r="AK26" s="26">
        <v>35</v>
      </c>
      <c r="AL26" s="26">
        <v>200</v>
      </c>
      <c r="AM26" s="26">
        <v>15</v>
      </c>
      <c r="AN26" s="28"/>
    </row>
    <row r="27" spans="1:40" ht="116" x14ac:dyDescent="0.35">
      <c r="A27" s="1" t="s">
        <v>909</v>
      </c>
      <c r="J27" s="24" t="s">
        <v>23</v>
      </c>
      <c r="K27" s="24" t="s">
        <v>25</v>
      </c>
      <c r="L27" s="24" t="s">
        <v>92</v>
      </c>
      <c r="M27" s="25">
        <v>8</v>
      </c>
      <c r="N27" s="25">
        <v>20</v>
      </c>
      <c r="O27" s="26" t="s">
        <v>27</v>
      </c>
      <c r="P27" s="26" t="s">
        <v>17</v>
      </c>
      <c r="Q27" s="26">
        <v>30</v>
      </c>
      <c r="R27" s="26" t="s">
        <v>453</v>
      </c>
      <c r="S27" s="26"/>
      <c r="T27" s="26"/>
      <c r="U27" s="26"/>
      <c r="V27" s="26">
        <v>3</v>
      </c>
      <c r="W27" s="26">
        <v>10</v>
      </c>
      <c r="X27" s="26">
        <v>5</v>
      </c>
      <c r="Y27" s="26">
        <v>20</v>
      </c>
      <c r="Z27" s="26">
        <v>30</v>
      </c>
      <c r="AA27" s="26"/>
      <c r="AB27" s="26"/>
      <c r="AC27" s="26"/>
      <c r="AD27" s="26"/>
      <c r="AE27" s="26">
        <v>1</v>
      </c>
      <c r="AF27" s="26">
        <v>1</v>
      </c>
      <c r="AG27" s="26">
        <v>6</v>
      </c>
      <c r="AH27" s="26">
        <v>3</v>
      </c>
      <c r="AI27" s="26">
        <v>0</v>
      </c>
      <c r="AJ27" s="26">
        <v>250</v>
      </c>
      <c r="AK27" s="26">
        <v>50</v>
      </c>
      <c r="AL27" s="26">
        <v>50</v>
      </c>
      <c r="AM27" s="26">
        <v>150</v>
      </c>
      <c r="AN27" s="28"/>
    </row>
    <row r="28" spans="1:40" ht="87" x14ac:dyDescent="0.35">
      <c r="A28" s="1" t="s">
        <v>911</v>
      </c>
      <c r="J28" s="24" t="s">
        <v>23</v>
      </c>
      <c r="K28" s="24" t="s">
        <v>71</v>
      </c>
      <c r="L28" s="24" t="s">
        <v>93</v>
      </c>
      <c r="M28" s="25">
        <v>8</v>
      </c>
      <c r="N28" s="25">
        <v>20</v>
      </c>
      <c r="O28" s="26" t="s">
        <v>14</v>
      </c>
      <c r="P28" s="26" t="s">
        <v>33</v>
      </c>
      <c r="Q28" s="26">
        <v>30</v>
      </c>
      <c r="R28" s="26" t="s">
        <v>453</v>
      </c>
      <c r="S28" s="26"/>
      <c r="T28" s="26"/>
      <c r="U28" s="26"/>
      <c r="V28" s="26">
        <v>4</v>
      </c>
      <c r="W28" s="26">
        <v>15</v>
      </c>
      <c r="X28" s="26">
        <v>4</v>
      </c>
      <c r="Y28" s="26">
        <v>15</v>
      </c>
      <c r="Z28" s="26">
        <v>50</v>
      </c>
      <c r="AA28" s="26"/>
      <c r="AB28" s="26"/>
      <c r="AC28" s="26"/>
      <c r="AD28" s="26"/>
      <c r="AE28" s="26">
        <v>0</v>
      </c>
      <c r="AF28" s="26">
        <v>1</v>
      </c>
      <c r="AG28" s="26">
        <v>2</v>
      </c>
      <c r="AH28" s="26">
        <v>7</v>
      </c>
      <c r="AI28" s="26">
        <v>0</v>
      </c>
      <c r="AJ28" s="26">
        <v>250</v>
      </c>
      <c r="AK28" s="26">
        <v>50</v>
      </c>
      <c r="AL28" s="26">
        <v>0</v>
      </c>
      <c r="AM28" s="26">
        <v>200</v>
      </c>
      <c r="AN28" s="28"/>
    </row>
    <row r="29" spans="1:40" ht="116" x14ac:dyDescent="0.35">
      <c r="A29" s="1" t="s">
        <v>915</v>
      </c>
      <c r="J29" s="21" t="s">
        <v>36</v>
      </c>
      <c r="K29" s="21" t="s">
        <v>459</v>
      </c>
      <c r="L29" s="21" t="s">
        <v>464</v>
      </c>
      <c r="M29" s="22">
        <v>8</v>
      </c>
      <c r="N29" s="22">
        <v>20</v>
      </c>
      <c r="O29" s="23" t="s">
        <v>14</v>
      </c>
      <c r="P29" s="23" t="s">
        <v>33</v>
      </c>
      <c r="Q29" s="23">
        <v>150</v>
      </c>
      <c r="R29" s="23" t="s">
        <v>505</v>
      </c>
      <c r="S29" s="23"/>
      <c r="T29" s="23"/>
      <c r="U29" s="23"/>
      <c r="V29" s="23">
        <v>5</v>
      </c>
      <c r="W29" s="23">
        <v>20</v>
      </c>
      <c r="X29" s="23">
        <v>5</v>
      </c>
      <c r="Y29" s="23">
        <v>20</v>
      </c>
      <c r="Z29" s="23">
        <v>100</v>
      </c>
      <c r="AA29" s="23"/>
      <c r="AB29" s="23"/>
      <c r="AC29" s="23"/>
      <c r="AD29" s="23"/>
      <c r="AE29" s="23">
        <v>2</v>
      </c>
      <c r="AF29" s="23">
        <v>2</v>
      </c>
      <c r="AG29" s="23">
        <v>2</v>
      </c>
      <c r="AH29" s="23">
        <v>2</v>
      </c>
      <c r="AI29" s="23">
        <v>2</v>
      </c>
      <c r="AJ29" s="23">
        <v>500</v>
      </c>
      <c r="AK29" s="23">
        <v>100</v>
      </c>
      <c r="AL29" s="23">
        <v>200</v>
      </c>
      <c r="AM29" s="23">
        <v>200</v>
      </c>
      <c r="AN29" s="29">
        <v>40000000</v>
      </c>
    </row>
    <row r="30" spans="1:40" ht="174" x14ac:dyDescent="0.35">
      <c r="A30" s="1" t="s">
        <v>916</v>
      </c>
      <c r="J30" s="24" t="s">
        <v>36</v>
      </c>
      <c r="K30" s="24" t="s">
        <v>45</v>
      </c>
      <c r="L30" s="24" t="s">
        <v>94</v>
      </c>
      <c r="M30" s="25" t="s">
        <v>113</v>
      </c>
      <c r="N30" s="25"/>
      <c r="O30" s="26" t="s">
        <v>14</v>
      </c>
      <c r="P30" s="26" t="s">
        <v>33</v>
      </c>
      <c r="Q30" s="26">
        <v>50</v>
      </c>
      <c r="R30" s="26" t="s">
        <v>504</v>
      </c>
      <c r="S30" s="26"/>
      <c r="T30" s="26"/>
      <c r="U30" s="26"/>
      <c r="V30" s="26">
        <v>5</v>
      </c>
      <c r="W30" s="26">
        <v>20</v>
      </c>
      <c r="X30" s="26">
        <v>4</v>
      </c>
      <c r="Y30" s="26">
        <v>15</v>
      </c>
      <c r="Z30" s="26">
        <v>200</v>
      </c>
      <c r="AA30" s="26"/>
      <c r="AB30" s="26"/>
      <c r="AC30" s="26"/>
      <c r="AD30" s="26"/>
      <c r="AE30" s="26">
        <v>1</v>
      </c>
      <c r="AF30" s="26">
        <v>0</v>
      </c>
      <c r="AG30" s="26">
        <v>2</v>
      </c>
      <c r="AH30" s="26">
        <v>6</v>
      </c>
      <c r="AI30" s="26">
        <v>1</v>
      </c>
      <c r="AJ30" s="26">
        <v>500</v>
      </c>
      <c r="AK30" s="26">
        <v>80</v>
      </c>
      <c r="AL30" s="26">
        <v>80</v>
      </c>
      <c r="AM30" s="26">
        <v>340</v>
      </c>
      <c r="AN30" s="28"/>
    </row>
    <row r="31" spans="1:40" ht="130.5" x14ac:dyDescent="0.35">
      <c r="A31" s="1" t="s">
        <v>917</v>
      </c>
      <c r="J31" s="24" t="s">
        <v>36</v>
      </c>
      <c r="K31" s="24" t="s">
        <v>59</v>
      </c>
      <c r="L31" s="24" t="s">
        <v>95</v>
      </c>
      <c r="M31" s="25" t="s">
        <v>114</v>
      </c>
      <c r="N31" s="25"/>
      <c r="O31" s="26" t="s">
        <v>14</v>
      </c>
      <c r="P31" s="26" t="s">
        <v>17</v>
      </c>
      <c r="Q31" s="26">
        <v>30</v>
      </c>
      <c r="R31" s="26" t="s">
        <v>454</v>
      </c>
      <c r="S31" s="26"/>
      <c r="T31" s="26"/>
      <c r="U31" s="26"/>
      <c r="V31" s="26">
        <v>4</v>
      </c>
      <c r="W31" s="26">
        <v>20</v>
      </c>
      <c r="X31" s="26">
        <v>4</v>
      </c>
      <c r="Y31" s="26">
        <v>20</v>
      </c>
      <c r="Z31" s="26">
        <v>30</v>
      </c>
      <c r="AA31" s="26"/>
      <c r="AB31" s="26"/>
      <c r="AC31" s="26"/>
      <c r="AD31" s="26"/>
      <c r="AE31" s="26">
        <v>1</v>
      </c>
      <c r="AF31" s="26">
        <v>0</v>
      </c>
      <c r="AG31" s="26">
        <v>4</v>
      </c>
      <c r="AH31" s="26">
        <v>4</v>
      </c>
      <c r="AI31" s="26">
        <v>1</v>
      </c>
      <c r="AJ31" s="26">
        <v>500</v>
      </c>
      <c r="AK31" s="26">
        <v>60</v>
      </c>
      <c r="AL31" s="26">
        <v>300</v>
      </c>
      <c r="AM31" s="26">
        <v>140</v>
      </c>
      <c r="AN31" s="28"/>
    </row>
    <row r="32" spans="1:40" x14ac:dyDescent="0.35">
      <c r="J32" s="24" t="s">
        <v>36</v>
      </c>
      <c r="K32" s="24" t="s">
        <v>56</v>
      </c>
      <c r="L32" s="24" t="s">
        <v>117</v>
      </c>
      <c r="M32" s="25" t="s">
        <v>116</v>
      </c>
      <c r="N32" s="25"/>
      <c r="O32" s="26" t="s">
        <v>27</v>
      </c>
      <c r="P32" s="26" t="s">
        <v>17</v>
      </c>
      <c r="Q32" s="26">
        <v>300</v>
      </c>
      <c r="R32" s="26" t="s">
        <v>503</v>
      </c>
      <c r="S32" s="26"/>
      <c r="T32" s="26"/>
      <c r="U32" s="26"/>
      <c r="V32" s="26">
        <v>4</v>
      </c>
      <c r="W32" s="26">
        <v>15</v>
      </c>
      <c r="X32" s="26">
        <v>5</v>
      </c>
      <c r="Y32" s="26">
        <v>20</v>
      </c>
      <c r="Z32" s="26">
        <v>180</v>
      </c>
      <c r="AA32" s="26"/>
      <c r="AB32" s="26"/>
      <c r="AC32" s="26"/>
      <c r="AD32" s="26"/>
      <c r="AE32" s="26">
        <v>3</v>
      </c>
      <c r="AF32" s="26">
        <v>1</v>
      </c>
      <c r="AG32" s="26">
        <v>3</v>
      </c>
      <c r="AH32" s="26">
        <v>3</v>
      </c>
      <c r="AI32" s="26">
        <v>0</v>
      </c>
      <c r="AJ32" s="26">
        <v>500</v>
      </c>
      <c r="AK32" s="26">
        <v>60</v>
      </c>
      <c r="AL32" s="26">
        <v>390</v>
      </c>
      <c r="AM32" s="26">
        <v>50</v>
      </c>
      <c r="AN32" s="28"/>
    </row>
    <row r="33" spans="1:41" x14ac:dyDescent="0.35">
      <c r="A33"/>
      <c r="J33" s="24" t="s">
        <v>36</v>
      </c>
      <c r="K33" s="24" t="s">
        <v>49</v>
      </c>
      <c r="L33" s="24" t="s">
        <v>96</v>
      </c>
      <c r="M33" s="25" t="s">
        <v>118</v>
      </c>
      <c r="N33" s="25"/>
      <c r="O33" s="26" t="s">
        <v>14</v>
      </c>
      <c r="P33" s="26" t="s">
        <v>33</v>
      </c>
      <c r="Q33" s="26">
        <v>50</v>
      </c>
      <c r="R33" s="26" t="s">
        <v>504</v>
      </c>
      <c r="S33" s="26"/>
      <c r="T33" s="26"/>
      <c r="U33" s="26"/>
      <c r="V33" s="26">
        <v>4</v>
      </c>
      <c r="W33" s="26">
        <v>15</v>
      </c>
      <c r="X33" s="26">
        <v>5</v>
      </c>
      <c r="Y33" s="26">
        <v>20</v>
      </c>
      <c r="Z33" s="26">
        <v>90</v>
      </c>
      <c r="AA33" s="26"/>
      <c r="AB33" s="26"/>
      <c r="AC33" s="26"/>
      <c r="AD33" s="26"/>
      <c r="AE33" s="26">
        <v>1</v>
      </c>
      <c r="AF33" s="26">
        <v>0</v>
      </c>
      <c r="AG33" s="26">
        <v>3</v>
      </c>
      <c r="AH33" s="26">
        <v>4</v>
      </c>
      <c r="AI33" s="26">
        <v>0</v>
      </c>
      <c r="AJ33" s="26">
        <v>500</v>
      </c>
      <c r="AK33" s="26">
        <v>100</v>
      </c>
      <c r="AL33" s="26">
        <v>150</v>
      </c>
      <c r="AM33" s="26">
        <v>250</v>
      </c>
      <c r="AN33" s="28"/>
    </row>
    <row r="34" spans="1:41" x14ac:dyDescent="0.35">
      <c r="A34"/>
      <c r="J34" s="24" t="s">
        <v>36</v>
      </c>
      <c r="K34" s="24" t="s">
        <v>64</v>
      </c>
      <c r="L34" s="24" t="s">
        <v>97</v>
      </c>
      <c r="M34" s="25" t="s">
        <v>119</v>
      </c>
      <c r="N34" s="25"/>
      <c r="O34" s="26" t="s">
        <v>14</v>
      </c>
      <c r="P34" s="26" t="s">
        <v>33</v>
      </c>
      <c r="Q34" s="26">
        <v>40</v>
      </c>
      <c r="R34" s="26" t="s">
        <v>504</v>
      </c>
      <c r="S34" s="26"/>
      <c r="T34" s="26"/>
      <c r="U34" s="26"/>
      <c r="V34" s="26">
        <v>5</v>
      </c>
      <c r="W34" s="26">
        <v>20</v>
      </c>
      <c r="X34" s="26">
        <v>5</v>
      </c>
      <c r="Y34" s="26">
        <v>20</v>
      </c>
      <c r="Z34" s="26">
        <v>175</v>
      </c>
      <c r="AA34" s="26"/>
      <c r="AB34" s="26"/>
      <c r="AC34" s="26"/>
      <c r="AD34" s="26"/>
      <c r="AE34" s="26">
        <v>1</v>
      </c>
      <c r="AF34" s="26">
        <v>0</v>
      </c>
      <c r="AG34" s="26">
        <v>1</v>
      </c>
      <c r="AH34" s="26">
        <v>7</v>
      </c>
      <c r="AI34" s="26">
        <v>1</v>
      </c>
      <c r="AJ34" s="26">
        <v>500</v>
      </c>
      <c r="AK34" s="26">
        <v>100</v>
      </c>
      <c r="AL34" s="26">
        <v>50</v>
      </c>
      <c r="AM34" s="26">
        <v>350</v>
      </c>
      <c r="AN34" s="28"/>
    </row>
    <row r="35" spans="1:41" x14ac:dyDescent="0.35">
      <c r="A35"/>
      <c r="J35" s="24" t="s">
        <v>36</v>
      </c>
      <c r="K35" s="24" t="s">
        <v>37</v>
      </c>
      <c r="L35" s="24" t="s">
        <v>98</v>
      </c>
      <c r="M35" s="25" t="s">
        <v>113</v>
      </c>
      <c r="N35" s="25"/>
      <c r="O35" s="26" t="s">
        <v>14</v>
      </c>
      <c r="P35" s="26" t="s">
        <v>33</v>
      </c>
      <c r="Q35" s="26">
        <v>150</v>
      </c>
      <c r="R35" s="26" t="s">
        <v>504</v>
      </c>
      <c r="S35" s="26"/>
      <c r="T35" s="26"/>
      <c r="U35" s="26"/>
      <c r="V35" s="26">
        <v>6</v>
      </c>
      <c r="W35" s="26">
        <v>25</v>
      </c>
      <c r="X35" s="26">
        <v>6</v>
      </c>
      <c r="Y35" s="26">
        <v>25</v>
      </c>
      <c r="Z35" s="26">
        <v>50</v>
      </c>
      <c r="AA35" s="26"/>
      <c r="AB35" s="26"/>
      <c r="AC35" s="26"/>
      <c r="AD35" s="26"/>
      <c r="AE35" s="26">
        <v>3</v>
      </c>
      <c r="AF35" s="26">
        <v>0</v>
      </c>
      <c r="AG35" s="26">
        <v>1</v>
      </c>
      <c r="AH35" s="26">
        <v>1</v>
      </c>
      <c r="AI35" s="26">
        <v>5</v>
      </c>
      <c r="AJ35" s="26">
        <v>500</v>
      </c>
      <c r="AK35" s="26">
        <v>150</v>
      </c>
      <c r="AL35" s="26">
        <v>230</v>
      </c>
      <c r="AM35" s="26">
        <v>120</v>
      </c>
      <c r="AN35" s="28"/>
    </row>
    <row r="36" spans="1:41" x14ac:dyDescent="0.35">
      <c r="A36"/>
      <c r="J36" s="24" t="s">
        <v>36</v>
      </c>
      <c r="K36" s="24" t="s">
        <v>73</v>
      </c>
      <c r="L36" s="24" t="s">
        <v>99</v>
      </c>
      <c r="M36" s="25" t="s">
        <v>120</v>
      </c>
      <c r="N36" s="25"/>
      <c r="O36" s="26" t="s">
        <v>27</v>
      </c>
      <c r="P36" s="26" t="s">
        <v>33</v>
      </c>
      <c r="Q36" s="26">
        <v>300</v>
      </c>
      <c r="R36" s="26" t="s">
        <v>503</v>
      </c>
      <c r="S36" s="26"/>
      <c r="T36" s="26"/>
      <c r="U36" s="26"/>
      <c r="V36" s="26">
        <v>4</v>
      </c>
      <c r="W36" s="26">
        <v>20</v>
      </c>
      <c r="X36" s="26">
        <v>4</v>
      </c>
      <c r="Y36" s="26">
        <v>20</v>
      </c>
      <c r="Z36" s="26">
        <v>90</v>
      </c>
      <c r="AA36" s="26"/>
      <c r="AB36" s="26"/>
      <c r="AC36" s="26"/>
      <c r="AD36" s="26"/>
      <c r="AE36" s="26">
        <v>2</v>
      </c>
      <c r="AF36" s="26">
        <v>1</v>
      </c>
      <c r="AG36" s="26">
        <v>1</v>
      </c>
      <c r="AH36" s="26">
        <v>4</v>
      </c>
      <c r="AI36" s="26">
        <v>1</v>
      </c>
      <c r="AJ36" s="26">
        <v>500</v>
      </c>
      <c r="AK36" s="26">
        <v>80</v>
      </c>
      <c r="AL36" s="26">
        <v>300</v>
      </c>
      <c r="AM36" s="26">
        <v>120</v>
      </c>
      <c r="AN36" s="28"/>
    </row>
    <row r="37" spans="1:41" s="51" customFormat="1" x14ac:dyDescent="0.35">
      <c r="J37" s="52" t="s">
        <v>66</v>
      </c>
      <c r="K37" s="52" t="s">
        <v>459</v>
      </c>
      <c r="L37" s="52" t="s">
        <v>465</v>
      </c>
      <c r="M37" s="53">
        <v>15</v>
      </c>
      <c r="N37" s="53">
        <v>30</v>
      </c>
      <c r="O37" s="54" t="s">
        <v>14</v>
      </c>
      <c r="P37" s="54" t="s">
        <v>33</v>
      </c>
      <c r="Q37" s="54">
        <v>500</v>
      </c>
      <c r="R37" s="54" t="s">
        <v>454</v>
      </c>
      <c r="S37" s="54"/>
      <c r="T37" s="54"/>
      <c r="U37" s="54"/>
      <c r="V37" s="54">
        <v>6</v>
      </c>
      <c r="W37" s="54">
        <v>25</v>
      </c>
      <c r="X37" s="54">
        <v>6</v>
      </c>
      <c r="Y37" s="54">
        <v>25</v>
      </c>
      <c r="Z37" s="54">
        <v>150</v>
      </c>
      <c r="AA37" s="54"/>
      <c r="AB37" s="54"/>
      <c r="AC37" s="54"/>
      <c r="AD37" s="54"/>
      <c r="AE37" s="54">
        <v>3</v>
      </c>
      <c r="AF37" s="54">
        <v>0</v>
      </c>
      <c r="AG37" s="54">
        <v>2</v>
      </c>
      <c r="AH37" s="54">
        <v>2</v>
      </c>
      <c r="AI37" s="54">
        <v>3</v>
      </c>
      <c r="AJ37" s="54">
        <v>1000</v>
      </c>
      <c r="AK37" s="54">
        <v>300</v>
      </c>
      <c r="AL37" s="54">
        <v>300</v>
      </c>
      <c r="AM37" s="54">
        <v>400</v>
      </c>
      <c r="AN37" s="55">
        <v>200000000</v>
      </c>
    </row>
    <row r="38" spans="1:41" x14ac:dyDescent="0.35">
      <c r="J38" s="24" t="s">
        <v>66</v>
      </c>
      <c r="K38" s="24" t="s">
        <v>60</v>
      </c>
      <c r="L38" s="24" t="s">
        <v>100</v>
      </c>
      <c r="M38" s="25" t="s">
        <v>26</v>
      </c>
      <c r="N38" s="25"/>
      <c r="O38" s="26" t="s">
        <v>14</v>
      </c>
      <c r="P38" s="26" t="s">
        <v>33</v>
      </c>
      <c r="Q38" s="26" t="s">
        <v>506</v>
      </c>
      <c r="R38" s="26" t="s">
        <v>128</v>
      </c>
      <c r="S38" s="26"/>
      <c r="T38" s="26"/>
      <c r="U38" s="26"/>
      <c r="V38" s="26">
        <v>4</v>
      </c>
      <c r="W38" s="26">
        <v>40</v>
      </c>
      <c r="X38" s="26">
        <v>6</v>
      </c>
      <c r="Y38" s="26">
        <v>25</v>
      </c>
      <c r="Z38" s="26">
        <v>20</v>
      </c>
      <c r="AA38" s="26"/>
      <c r="AB38" s="26"/>
      <c r="AC38" s="26"/>
      <c r="AD38" s="26"/>
      <c r="AE38" s="26">
        <v>2</v>
      </c>
      <c r="AF38" s="26">
        <v>-1</v>
      </c>
      <c r="AG38" s="26">
        <v>3</v>
      </c>
      <c r="AH38" s="26">
        <v>2</v>
      </c>
      <c r="AI38" s="26">
        <v>4</v>
      </c>
      <c r="AJ38" s="26"/>
      <c r="AK38" s="26">
        <v>200</v>
      </c>
      <c r="AL38" s="26">
        <v>100</v>
      </c>
      <c r="AM38" s="26">
        <v>700</v>
      </c>
      <c r="AN38" s="30"/>
      <c r="AO38" s="2"/>
    </row>
    <row r="39" spans="1:41" x14ac:dyDescent="0.35">
      <c r="J39" s="24" t="s">
        <v>66</v>
      </c>
      <c r="K39" s="24" t="s">
        <v>63</v>
      </c>
      <c r="L39" s="24" t="s">
        <v>101</v>
      </c>
      <c r="M39" s="25" t="s">
        <v>28</v>
      </c>
      <c r="N39" s="25"/>
      <c r="O39" s="26" t="s">
        <v>14</v>
      </c>
      <c r="P39" s="26" t="s">
        <v>33</v>
      </c>
      <c r="Q39" s="26" t="s">
        <v>496</v>
      </c>
      <c r="R39" s="26" t="s">
        <v>30</v>
      </c>
      <c r="S39" s="26"/>
      <c r="T39" s="26"/>
      <c r="U39" s="26"/>
      <c r="V39" s="26">
        <v>5</v>
      </c>
      <c r="W39" s="26">
        <v>20</v>
      </c>
      <c r="X39" s="26">
        <v>7</v>
      </c>
      <c r="Y39" s="26">
        <v>30</v>
      </c>
      <c r="Z39" s="26">
        <v>40</v>
      </c>
      <c r="AA39" s="26"/>
      <c r="AB39" s="26"/>
      <c r="AC39" s="26"/>
      <c r="AD39" s="26"/>
      <c r="AE39" s="26">
        <v>4</v>
      </c>
      <c r="AF39" s="26">
        <v>-3</v>
      </c>
      <c r="AG39" s="26">
        <v>5</v>
      </c>
      <c r="AH39" s="26">
        <v>3</v>
      </c>
      <c r="AI39" s="26">
        <v>1</v>
      </c>
      <c r="AJ39" s="26"/>
      <c r="AK39" s="26">
        <v>150</v>
      </c>
      <c r="AL39" s="26">
        <v>150</v>
      </c>
      <c r="AM39" s="26">
        <v>700</v>
      </c>
      <c r="AN39" s="30"/>
      <c r="AO39" s="2"/>
    </row>
    <row r="40" spans="1:41" x14ac:dyDescent="0.35">
      <c r="J40" s="24" t="s">
        <v>66</v>
      </c>
      <c r="K40" s="24" t="s">
        <v>61</v>
      </c>
      <c r="L40" s="24" t="s">
        <v>102</v>
      </c>
      <c r="M40" s="25" t="s">
        <v>29</v>
      </c>
      <c r="N40" s="25"/>
      <c r="O40" s="26" t="s">
        <v>14</v>
      </c>
      <c r="P40" s="26" t="s">
        <v>17</v>
      </c>
      <c r="Q40" s="26" t="s">
        <v>494</v>
      </c>
      <c r="R40" s="26" t="s">
        <v>32</v>
      </c>
      <c r="S40" s="26"/>
      <c r="T40" s="26"/>
      <c r="U40" s="26"/>
      <c r="V40" s="26">
        <v>6</v>
      </c>
      <c r="W40" s="26">
        <v>30</v>
      </c>
      <c r="X40" s="26">
        <v>6</v>
      </c>
      <c r="Y40" s="26">
        <v>25</v>
      </c>
      <c r="Z40" s="26">
        <v>20</v>
      </c>
      <c r="AA40" s="26"/>
      <c r="AB40" s="26"/>
      <c r="AC40" s="26"/>
      <c r="AD40" s="26"/>
      <c r="AE40" s="26">
        <v>2</v>
      </c>
      <c r="AF40" s="26">
        <v>1</v>
      </c>
      <c r="AG40" s="26">
        <v>2</v>
      </c>
      <c r="AH40" s="26">
        <v>0</v>
      </c>
      <c r="AI40" s="26">
        <v>5</v>
      </c>
      <c r="AJ40" s="26"/>
      <c r="AK40" s="26">
        <v>400</v>
      </c>
      <c r="AL40" s="26">
        <v>200</v>
      </c>
      <c r="AM40" s="26">
        <v>400</v>
      </c>
      <c r="AN40" s="30"/>
    </row>
    <row r="41" spans="1:41" x14ac:dyDescent="0.35">
      <c r="J41" s="24" t="s">
        <v>66</v>
      </c>
      <c r="K41" s="24" t="s">
        <v>67</v>
      </c>
      <c r="L41" s="24" t="s">
        <v>103</v>
      </c>
      <c r="M41" s="25" t="s">
        <v>129</v>
      </c>
      <c r="N41" s="25"/>
      <c r="O41" s="26" t="s">
        <v>14</v>
      </c>
      <c r="P41" s="26" t="s">
        <v>33</v>
      </c>
      <c r="Q41" s="26" t="s">
        <v>493</v>
      </c>
      <c r="R41" s="26" t="s">
        <v>31</v>
      </c>
      <c r="S41" s="26"/>
      <c r="T41" s="26"/>
      <c r="U41" s="26"/>
      <c r="V41" s="26">
        <v>7</v>
      </c>
      <c r="W41" s="26">
        <v>30</v>
      </c>
      <c r="X41" s="26">
        <v>6</v>
      </c>
      <c r="Y41" s="26">
        <v>25</v>
      </c>
      <c r="Z41" s="26">
        <v>30</v>
      </c>
      <c r="AA41" s="26"/>
      <c r="AB41" s="26"/>
      <c r="AC41" s="26"/>
      <c r="AD41" s="26"/>
      <c r="AE41" s="26">
        <v>2</v>
      </c>
      <c r="AF41" s="26">
        <v>-3</v>
      </c>
      <c r="AG41" s="26">
        <v>2</v>
      </c>
      <c r="AH41" s="26">
        <v>3</v>
      </c>
      <c r="AI41" s="26">
        <v>6</v>
      </c>
      <c r="AJ41" s="26"/>
      <c r="AK41" s="26">
        <v>300</v>
      </c>
      <c r="AL41" s="26">
        <v>600</v>
      </c>
      <c r="AM41" s="26">
        <v>100</v>
      </c>
      <c r="AN41" s="30"/>
    </row>
    <row r="42" spans="1:41" x14ac:dyDescent="0.35">
      <c r="J42" s="21" t="s">
        <v>50</v>
      </c>
      <c r="K42" s="21" t="s">
        <v>459</v>
      </c>
      <c r="L42" s="21" t="s">
        <v>466</v>
      </c>
      <c r="M42" s="22">
        <v>30</v>
      </c>
      <c r="N42" s="22">
        <v>100</v>
      </c>
      <c r="O42" s="23" t="s">
        <v>14</v>
      </c>
      <c r="P42" s="23" t="s">
        <v>33</v>
      </c>
      <c r="Q42" s="23">
        <v>1000</v>
      </c>
      <c r="R42" s="23" t="s">
        <v>454</v>
      </c>
      <c r="S42" s="23"/>
      <c r="T42" s="23"/>
      <c r="U42" s="23"/>
      <c r="V42" s="23">
        <v>4</v>
      </c>
      <c r="W42" s="23">
        <v>30</v>
      </c>
      <c r="X42" s="23">
        <v>5</v>
      </c>
      <c r="Y42" s="23">
        <v>30</v>
      </c>
      <c r="Z42" s="23">
        <v>500</v>
      </c>
      <c r="AA42" s="23"/>
      <c r="AB42" s="23"/>
      <c r="AC42" s="23"/>
      <c r="AD42" s="23"/>
      <c r="AE42" s="23">
        <v>4</v>
      </c>
      <c r="AF42" s="23">
        <v>0</v>
      </c>
      <c r="AG42" s="23">
        <v>2</v>
      </c>
      <c r="AH42" s="23">
        <v>2</v>
      </c>
      <c r="AI42" s="23">
        <v>2</v>
      </c>
      <c r="AJ42" s="23">
        <v>5000</v>
      </c>
      <c r="AK42" s="23">
        <v>1000</v>
      </c>
      <c r="AL42" s="23">
        <v>3000</v>
      </c>
      <c r="AM42" s="23">
        <v>1000</v>
      </c>
      <c r="AN42" s="29">
        <v>1000000000</v>
      </c>
    </row>
    <row r="43" spans="1:41" x14ac:dyDescent="0.35">
      <c r="J43" s="24" t="s">
        <v>50</v>
      </c>
      <c r="K43" s="24" t="s">
        <v>51</v>
      </c>
      <c r="L43" s="24" t="s">
        <v>104</v>
      </c>
      <c r="M43" s="25" t="s">
        <v>130</v>
      </c>
      <c r="N43" s="25"/>
      <c r="O43" s="26" t="s">
        <v>14</v>
      </c>
      <c r="P43" s="26" t="s">
        <v>33</v>
      </c>
      <c r="Q43" s="26"/>
      <c r="R43" s="26" t="s">
        <v>135</v>
      </c>
      <c r="S43" s="26"/>
      <c r="T43" s="26"/>
      <c r="U43" s="26"/>
      <c r="V43" s="26">
        <v>4</v>
      </c>
      <c r="W43" s="26">
        <v>30</v>
      </c>
      <c r="X43" s="26">
        <v>4</v>
      </c>
      <c r="Y43" s="26">
        <v>30</v>
      </c>
      <c r="Z43" s="26">
        <v>4000</v>
      </c>
      <c r="AA43" s="26"/>
      <c r="AB43" s="26"/>
      <c r="AC43" s="26"/>
      <c r="AD43" s="26"/>
      <c r="AE43" s="26">
        <v>1</v>
      </c>
      <c r="AF43" s="26">
        <v>-3</v>
      </c>
      <c r="AG43" s="26">
        <v>2</v>
      </c>
      <c r="AH43" s="26">
        <v>8</v>
      </c>
      <c r="AI43" s="26">
        <v>2</v>
      </c>
      <c r="AJ43" s="26"/>
      <c r="AK43" s="26">
        <v>1000</v>
      </c>
      <c r="AL43" s="26">
        <v>500</v>
      </c>
      <c r="AM43" s="26">
        <v>3500</v>
      </c>
      <c r="AN43" s="30"/>
    </row>
    <row r="44" spans="1:41" x14ac:dyDescent="0.35">
      <c r="J44" s="24" t="s">
        <v>50</v>
      </c>
      <c r="K44" s="24" t="s">
        <v>54</v>
      </c>
      <c r="L44" s="24" t="s">
        <v>105</v>
      </c>
      <c r="M44" s="25" t="s">
        <v>131</v>
      </c>
      <c r="N44" s="25"/>
      <c r="O44" s="26" t="s">
        <v>14</v>
      </c>
      <c r="P44" s="26" t="s">
        <v>33</v>
      </c>
      <c r="Q44" s="26"/>
      <c r="R44" s="26" t="s">
        <v>136</v>
      </c>
      <c r="S44" s="26"/>
      <c r="T44" s="26"/>
      <c r="U44" s="26"/>
      <c r="V44" s="26">
        <v>5</v>
      </c>
      <c r="W44" s="26">
        <v>8</v>
      </c>
      <c r="X44" s="26">
        <v>4</v>
      </c>
      <c r="Y44" s="26">
        <v>30</v>
      </c>
      <c r="Z44" s="26">
        <v>2500</v>
      </c>
      <c r="AA44" s="26"/>
      <c r="AB44" s="26"/>
      <c r="AC44" s="26"/>
      <c r="AD44" s="26"/>
      <c r="AE44" s="26">
        <v>1</v>
      </c>
      <c r="AF44" s="26">
        <v>-5</v>
      </c>
      <c r="AG44" s="26">
        <v>3</v>
      </c>
      <c r="AH44" s="26">
        <v>10</v>
      </c>
      <c r="AI44" s="26">
        <v>1</v>
      </c>
      <c r="AJ44" s="26"/>
      <c r="AK44" s="26">
        <v>1000</v>
      </c>
      <c r="AL44" s="26">
        <v>3000</v>
      </c>
      <c r="AM44" s="26">
        <v>1000</v>
      </c>
      <c r="AN44" s="28"/>
    </row>
    <row r="45" spans="1:41" x14ac:dyDescent="0.35">
      <c r="J45" s="24" t="s">
        <v>50</v>
      </c>
      <c r="K45" s="24" t="s">
        <v>48</v>
      </c>
      <c r="L45" s="24" t="s">
        <v>106</v>
      </c>
      <c r="M45" s="25" t="s">
        <v>132</v>
      </c>
      <c r="N45" s="25"/>
      <c r="O45" s="26" t="s">
        <v>14</v>
      </c>
      <c r="P45" s="26" t="s">
        <v>17</v>
      </c>
      <c r="Q45" s="26"/>
      <c r="R45" s="26" t="s">
        <v>137</v>
      </c>
      <c r="S45" s="26"/>
      <c r="T45" s="26"/>
      <c r="U45" s="26"/>
      <c r="V45" s="26">
        <v>4</v>
      </c>
      <c r="W45" s="26">
        <v>10</v>
      </c>
      <c r="X45" s="26">
        <v>4</v>
      </c>
      <c r="Y45" s="26">
        <v>30</v>
      </c>
      <c r="Z45" s="26">
        <v>800</v>
      </c>
      <c r="AA45" s="26"/>
      <c r="AB45" s="26"/>
      <c r="AC45" s="26"/>
      <c r="AD45" s="26"/>
      <c r="AE45" s="26">
        <v>4</v>
      </c>
      <c r="AF45" s="26">
        <v>-2</v>
      </c>
      <c r="AG45" s="26">
        <v>2</v>
      </c>
      <c r="AH45" s="26">
        <v>5</v>
      </c>
      <c r="AI45" s="26">
        <v>1</v>
      </c>
      <c r="AJ45" s="26"/>
      <c r="AK45" s="26">
        <v>1000</v>
      </c>
      <c r="AL45" s="26">
        <v>3500</v>
      </c>
      <c r="AM45" s="26">
        <v>500</v>
      </c>
      <c r="AN45" s="28"/>
    </row>
    <row r="46" spans="1:41" ht="29" x14ac:dyDescent="0.35">
      <c r="A46" s="1" t="s">
        <v>0</v>
      </c>
      <c r="J46" s="24" t="s">
        <v>50</v>
      </c>
      <c r="K46" s="24" t="s">
        <v>53</v>
      </c>
      <c r="L46" s="24" t="s">
        <v>107</v>
      </c>
      <c r="M46" s="25" t="s">
        <v>133</v>
      </c>
      <c r="N46" s="25"/>
      <c r="O46" s="26" t="s">
        <v>14</v>
      </c>
      <c r="P46" s="26" t="s">
        <v>33</v>
      </c>
      <c r="Q46" s="26"/>
      <c r="R46" s="26" t="s">
        <v>138</v>
      </c>
      <c r="S46" s="26"/>
      <c r="T46" s="26"/>
      <c r="U46" s="26"/>
      <c r="V46" s="26">
        <v>4</v>
      </c>
      <c r="W46" s="26">
        <v>50</v>
      </c>
      <c r="X46" s="26">
        <v>5</v>
      </c>
      <c r="Y46" s="26">
        <v>35</v>
      </c>
      <c r="Z46" s="26">
        <v>300</v>
      </c>
      <c r="AA46" s="26"/>
      <c r="AB46" s="26"/>
      <c r="AC46" s="26"/>
      <c r="AD46" s="26"/>
      <c r="AE46" s="26">
        <v>2</v>
      </c>
      <c r="AF46" s="26">
        <v>-3</v>
      </c>
      <c r="AG46" s="26">
        <v>3</v>
      </c>
      <c r="AH46" s="26">
        <v>6</v>
      </c>
      <c r="AI46" s="26">
        <v>2</v>
      </c>
      <c r="AJ46" s="26"/>
      <c r="AK46" s="26">
        <v>2000</v>
      </c>
      <c r="AL46" s="26">
        <v>500</v>
      </c>
      <c r="AM46" s="26">
        <v>2500</v>
      </c>
      <c r="AN46" s="28"/>
    </row>
    <row r="47" spans="1:41" x14ac:dyDescent="0.35">
      <c r="J47" s="24" t="s">
        <v>50</v>
      </c>
      <c r="K47" s="24" t="s">
        <v>52</v>
      </c>
      <c r="L47" s="24" t="s">
        <v>108</v>
      </c>
      <c r="M47" s="25" t="s">
        <v>134</v>
      </c>
      <c r="N47" s="25"/>
      <c r="O47" s="26" t="s">
        <v>14</v>
      </c>
      <c r="P47" s="26" t="s">
        <v>33</v>
      </c>
      <c r="Q47" s="26"/>
      <c r="R47" s="26" t="s">
        <v>139</v>
      </c>
      <c r="S47" s="26"/>
      <c r="T47" s="26"/>
      <c r="U47" s="26"/>
      <c r="V47" s="26">
        <v>4</v>
      </c>
      <c r="W47" s="26">
        <v>50</v>
      </c>
      <c r="X47" s="26">
        <v>5</v>
      </c>
      <c r="Y47" s="26">
        <v>40</v>
      </c>
      <c r="Z47" s="26">
        <v>500</v>
      </c>
      <c r="AA47" s="26"/>
      <c r="AB47" s="26"/>
      <c r="AC47" s="26"/>
      <c r="AD47" s="26"/>
      <c r="AE47" s="26">
        <v>5</v>
      </c>
      <c r="AF47" s="26">
        <v>-3</v>
      </c>
      <c r="AG47" s="26">
        <v>4</v>
      </c>
      <c r="AH47" s="26">
        <v>2</v>
      </c>
      <c r="AI47" s="26">
        <v>2</v>
      </c>
      <c r="AJ47" s="26"/>
      <c r="AK47" s="26">
        <v>500</v>
      </c>
      <c r="AL47" s="26">
        <v>500</v>
      </c>
      <c r="AM47" s="26">
        <v>4000</v>
      </c>
      <c r="AN47" s="28"/>
    </row>
    <row r="48" spans="1:41" s="51" customFormat="1" ht="29" x14ac:dyDescent="0.35">
      <c r="A48" s="56" t="s">
        <v>893</v>
      </c>
      <c r="J48" s="52" t="s">
        <v>55</v>
      </c>
      <c r="K48" s="52" t="s">
        <v>459</v>
      </c>
      <c r="L48" s="52" t="s">
        <v>467</v>
      </c>
      <c r="M48" s="53">
        <v>100</v>
      </c>
      <c r="N48" s="53">
        <v>500</v>
      </c>
      <c r="O48" s="54" t="s">
        <v>14</v>
      </c>
      <c r="P48" s="54" t="s">
        <v>33</v>
      </c>
      <c r="Q48" s="54">
        <v>1000</v>
      </c>
      <c r="R48" s="54" t="s">
        <v>454</v>
      </c>
      <c r="S48" s="54"/>
      <c r="T48" s="54"/>
      <c r="U48" s="54"/>
      <c r="V48" s="54">
        <v>6</v>
      </c>
      <c r="W48" s="54">
        <v>35</v>
      </c>
      <c r="X48" s="54">
        <v>6</v>
      </c>
      <c r="Y48" s="54">
        <v>35</v>
      </c>
      <c r="Z48" s="54">
        <v>500</v>
      </c>
      <c r="AA48" s="54"/>
      <c r="AB48" s="54"/>
      <c r="AC48" s="54"/>
      <c r="AD48" s="54"/>
      <c r="AE48" s="54">
        <v>3</v>
      </c>
      <c r="AF48" s="54">
        <v>-1</v>
      </c>
      <c r="AG48" s="54">
        <v>2</v>
      </c>
      <c r="AH48" s="54">
        <v>3</v>
      </c>
      <c r="AI48" s="54">
        <v>3</v>
      </c>
      <c r="AJ48" s="54">
        <v>5000</v>
      </c>
      <c r="AK48" s="54">
        <v>2000</v>
      </c>
      <c r="AL48" s="54">
        <v>2000</v>
      </c>
      <c r="AM48" s="54">
        <v>1000</v>
      </c>
      <c r="AN48" s="55">
        <v>5000000000000</v>
      </c>
    </row>
    <row r="49" spans="1:43" ht="29" x14ac:dyDescent="0.35">
      <c r="A49" s="1" t="s">
        <v>894</v>
      </c>
      <c r="J49" s="24" t="s">
        <v>55</v>
      </c>
      <c r="K49" s="24" t="s">
        <v>62</v>
      </c>
      <c r="L49" s="24" t="s">
        <v>109</v>
      </c>
      <c r="M49" s="25" t="s">
        <v>140</v>
      </c>
      <c r="N49" s="25"/>
      <c r="O49" s="26" t="s">
        <v>14</v>
      </c>
      <c r="P49" s="26" t="s">
        <v>17</v>
      </c>
      <c r="Q49" s="26"/>
      <c r="R49" s="26" t="s">
        <v>143</v>
      </c>
      <c r="S49" s="26"/>
      <c r="T49" s="26"/>
      <c r="U49" s="26"/>
      <c r="V49" s="26">
        <v>7</v>
      </c>
      <c r="W49" s="26">
        <v>50</v>
      </c>
      <c r="X49" s="26">
        <v>5</v>
      </c>
      <c r="Y49" s="26">
        <v>35</v>
      </c>
      <c r="Z49" s="26">
        <v>1000</v>
      </c>
      <c r="AA49" s="26"/>
      <c r="AB49" s="26"/>
      <c r="AC49" s="26"/>
      <c r="AD49" s="26"/>
      <c r="AE49" s="26">
        <v>2</v>
      </c>
      <c r="AF49" s="26">
        <v>-6</v>
      </c>
      <c r="AG49" s="26">
        <v>4</v>
      </c>
      <c r="AH49" s="26">
        <v>4</v>
      </c>
      <c r="AI49" s="26">
        <v>6</v>
      </c>
      <c r="AJ49" s="26"/>
      <c r="AK49" s="26">
        <v>2000</v>
      </c>
      <c r="AL49" s="26">
        <v>2500</v>
      </c>
      <c r="AM49" s="26">
        <v>500</v>
      </c>
      <c r="AN49" s="28"/>
    </row>
    <row r="50" spans="1:43" ht="116" x14ac:dyDescent="0.35">
      <c r="A50" s="1" t="s">
        <v>910</v>
      </c>
      <c r="J50" s="24" t="s">
        <v>55</v>
      </c>
      <c r="K50" s="24" t="s">
        <v>57</v>
      </c>
      <c r="L50" s="24" t="s">
        <v>110</v>
      </c>
      <c r="M50" s="25" t="s">
        <v>145</v>
      </c>
      <c r="N50" s="25"/>
      <c r="O50" s="26" t="s">
        <v>14</v>
      </c>
      <c r="P50" s="26" t="s">
        <v>33</v>
      </c>
      <c r="Q50" s="26"/>
      <c r="R50" s="26" t="s">
        <v>142</v>
      </c>
      <c r="S50" s="26"/>
      <c r="T50" s="26"/>
      <c r="U50" s="26"/>
      <c r="V50" s="26">
        <v>5</v>
      </c>
      <c r="W50" s="26">
        <v>35</v>
      </c>
      <c r="X50" s="26">
        <v>6</v>
      </c>
      <c r="Y50" s="26">
        <v>35</v>
      </c>
      <c r="Z50" s="26">
        <v>300</v>
      </c>
      <c r="AA50" s="26"/>
      <c r="AB50" s="26"/>
      <c r="AC50" s="26"/>
      <c r="AD50" s="26"/>
      <c r="AE50" s="26">
        <v>2</v>
      </c>
      <c r="AF50" s="26">
        <v>-5</v>
      </c>
      <c r="AG50" s="26">
        <v>5</v>
      </c>
      <c r="AH50" s="26">
        <v>3</v>
      </c>
      <c r="AI50" s="26">
        <v>5</v>
      </c>
      <c r="AJ50" s="26"/>
      <c r="AK50" s="26">
        <v>100</v>
      </c>
      <c r="AL50" s="26">
        <v>900</v>
      </c>
      <c r="AM50" s="26">
        <v>4000</v>
      </c>
      <c r="AN50" s="28"/>
    </row>
    <row r="51" spans="1:43" x14ac:dyDescent="0.35">
      <c r="J51" s="46" t="s">
        <v>55</v>
      </c>
      <c r="K51" s="46" t="s">
        <v>58</v>
      </c>
      <c r="L51" s="46" t="s">
        <v>111</v>
      </c>
      <c r="M51" s="47" t="s">
        <v>144</v>
      </c>
      <c r="N51" s="47"/>
      <c r="O51" s="48" t="s">
        <v>14</v>
      </c>
      <c r="P51" s="48" t="s">
        <v>33</v>
      </c>
      <c r="Q51" s="48"/>
      <c r="R51" s="48" t="s">
        <v>141</v>
      </c>
      <c r="S51" s="48"/>
      <c r="T51" s="48"/>
      <c r="U51" s="48"/>
      <c r="V51" s="48">
        <v>4</v>
      </c>
      <c r="W51" s="48">
        <v>35</v>
      </c>
      <c r="X51" s="48">
        <v>5</v>
      </c>
      <c r="Y51" s="48">
        <v>35</v>
      </c>
      <c r="Z51" s="48">
        <v>3000</v>
      </c>
      <c r="AA51" s="48"/>
      <c r="AB51" s="48"/>
      <c r="AC51" s="48"/>
      <c r="AD51" s="48"/>
      <c r="AE51" s="48">
        <v>4</v>
      </c>
      <c r="AF51" s="48">
        <v>0</v>
      </c>
      <c r="AG51" s="48">
        <v>2</v>
      </c>
      <c r="AH51" s="48">
        <v>4</v>
      </c>
      <c r="AI51" s="48">
        <v>0</v>
      </c>
      <c r="AJ51" s="48"/>
      <c r="AK51" s="48">
        <v>500</v>
      </c>
      <c r="AL51" s="48">
        <v>3500</v>
      </c>
      <c r="AM51" s="48">
        <v>1000</v>
      </c>
      <c r="AN51" s="49"/>
    </row>
    <row r="52" spans="1:43" ht="116" x14ac:dyDescent="0.35">
      <c r="A52" s="1" t="s">
        <v>901</v>
      </c>
      <c r="J52" s="43"/>
      <c r="K52" s="43"/>
      <c r="L52" s="43"/>
      <c r="M52" s="44"/>
      <c r="N52" s="44"/>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15"/>
    </row>
    <row r="54" spans="1:43" ht="174" x14ac:dyDescent="0.35">
      <c r="A54" s="1" t="s">
        <v>913</v>
      </c>
    </row>
    <row r="56" spans="1:43" ht="145" x14ac:dyDescent="0.35">
      <c r="A56" s="1" t="s">
        <v>912</v>
      </c>
    </row>
    <row r="58" spans="1:43" ht="217.5" x14ac:dyDescent="0.35">
      <c r="A58" s="1" t="s">
        <v>914</v>
      </c>
    </row>
    <row r="62" spans="1:43" x14ac:dyDescent="0.35">
      <c r="A62" t="s">
        <v>902</v>
      </c>
      <c r="AF62" s="14"/>
      <c r="AG62" s="2"/>
      <c r="AH62" s="2"/>
      <c r="AI62" s="2"/>
      <c r="AJ62" s="2"/>
      <c r="AK62" s="2"/>
      <c r="AL62" s="2"/>
      <c r="AM62" s="2"/>
      <c r="AN62" s="2"/>
      <c r="AO62" s="2"/>
      <c r="AP62" s="2"/>
      <c r="AQ62" s="2"/>
    </row>
    <row r="63" spans="1:43" x14ac:dyDescent="0.35">
      <c r="A63" t="s">
        <v>18</v>
      </c>
      <c r="AF63" s="14"/>
      <c r="AG63" s="2"/>
      <c r="AH63" s="2"/>
      <c r="AI63" s="2"/>
      <c r="AJ63" s="2"/>
      <c r="AK63" s="2"/>
      <c r="AL63" s="2"/>
      <c r="AM63" s="2"/>
      <c r="AN63" s="2"/>
      <c r="AO63" s="2"/>
      <c r="AP63" s="2"/>
      <c r="AQ63" s="2"/>
    </row>
    <row r="64" spans="1:43" x14ac:dyDescent="0.35">
      <c r="A64" t="s">
        <v>903</v>
      </c>
      <c r="AF64" s="14"/>
      <c r="AG64" s="2"/>
      <c r="AH64" s="2"/>
      <c r="AI64" s="2"/>
      <c r="AJ64" s="2"/>
      <c r="AK64" s="2"/>
      <c r="AL64" s="2"/>
      <c r="AM64" s="2"/>
      <c r="AN64" s="2"/>
      <c r="AO64" s="2"/>
      <c r="AP64" s="2"/>
      <c r="AQ64" s="2"/>
    </row>
    <row r="65" spans="1:43" x14ac:dyDescent="0.35">
      <c r="A65" t="s">
        <v>21</v>
      </c>
      <c r="AF65" s="14"/>
      <c r="AG65" s="2"/>
      <c r="AH65" s="2"/>
      <c r="AI65" s="2"/>
      <c r="AJ65" s="2"/>
      <c r="AK65" s="2"/>
      <c r="AL65" s="2"/>
      <c r="AM65" s="2"/>
      <c r="AN65" s="2"/>
      <c r="AO65" s="2"/>
      <c r="AP65" s="2"/>
      <c r="AQ65" s="2"/>
    </row>
    <row r="66" spans="1:43" x14ac:dyDescent="0.35">
      <c r="A66" t="s">
        <v>904</v>
      </c>
      <c r="AF66" s="14"/>
      <c r="AG66" s="2"/>
      <c r="AH66" s="2"/>
      <c r="AI66" s="2"/>
      <c r="AJ66" s="2"/>
      <c r="AK66" s="2"/>
      <c r="AL66" s="2"/>
      <c r="AM66" s="2"/>
      <c r="AN66" s="2"/>
      <c r="AO66" s="2"/>
      <c r="AP66" s="2"/>
      <c r="AQ66" s="2"/>
    </row>
    <row r="67" spans="1:43" x14ac:dyDescent="0.35">
      <c r="A67" t="s">
        <v>905</v>
      </c>
      <c r="AF67" s="14"/>
      <c r="AG67" s="2"/>
      <c r="AH67" s="2"/>
      <c r="AI67" s="2"/>
      <c r="AJ67" s="2"/>
      <c r="AK67" s="2"/>
      <c r="AL67" s="2"/>
      <c r="AM67" s="2"/>
      <c r="AN67" s="2"/>
      <c r="AO67" s="2"/>
      <c r="AP67" s="2"/>
      <c r="AQ67" s="2"/>
    </row>
    <row r="68" spans="1:43" x14ac:dyDescent="0.35">
      <c r="A68" t="s">
        <v>22</v>
      </c>
      <c r="AF68" s="14"/>
      <c r="AG68" s="2"/>
      <c r="AH68" s="2"/>
      <c r="AI68" s="2"/>
      <c r="AJ68" s="2"/>
      <c r="AK68" s="2"/>
      <c r="AL68" s="2"/>
      <c r="AM68" s="2"/>
      <c r="AN68" s="2"/>
      <c r="AO68" s="2"/>
      <c r="AP68" s="2"/>
      <c r="AQ68" s="2"/>
    </row>
    <row r="69" spans="1:43" x14ac:dyDescent="0.35">
      <c r="A69" t="s">
        <v>906</v>
      </c>
      <c r="AF69" s="14"/>
      <c r="AG69" s="2"/>
      <c r="AH69" s="2"/>
      <c r="AI69" s="2"/>
      <c r="AJ69" s="2"/>
      <c r="AK69" s="2"/>
      <c r="AL69" s="2"/>
      <c r="AM69" s="2"/>
      <c r="AN69" s="2"/>
      <c r="AO69" s="2"/>
      <c r="AP69" s="2"/>
      <c r="AQ69" s="2"/>
    </row>
    <row r="70" spans="1:43" x14ac:dyDescent="0.35">
      <c r="A70" t="s">
        <v>150</v>
      </c>
      <c r="AF70" s="14"/>
      <c r="AG70" s="2"/>
      <c r="AH70" s="2"/>
      <c r="AI70" s="2"/>
      <c r="AJ70" s="2"/>
      <c r="AK70" s="2"/>
      <c r="AL70" s="2"/>
      <c r="AM70" s="2"/>
      <c r="AN70" s="2"/>
      <c r="AO70" s="2"/>
      <c r="AP70" s="2"/>
      <c r="AQ70" s="2"/>
    </row>
    <row r="71" spans="1:43" x14ac:dyDescent="0.35">
      <c r="A71" t="s">
        <v>907</v>
      </c>
    </row>
    <row r="72" spans="1:43" x14ac:dyDescent="0.35">
      <c r="A72" t="s">
        <v>151</v>
      </c>
    </row>
    <row r="73" spans="1:43" x14ac:dyDescent="0.35">
      <c r="A73" t="s">
        <v>152</v>
      </c>
    </row>
    <row r="74" spans="1:43" x14ac:dyDescent="0.35">
      <c r="A74" t="s">
        <v>153</v>
      </c>
    </row>
    <row r="78" spans="1:43" x14ac:dyDescent="0.35">
      <c r="A78" s="1" t="s">
        <v>763</v>
      </c>
    </row>
    <row r="80" spans="1:43" x14ac:dyDescent="0.35">
      <c r="A80" t="s">
        <v>764</v>
      </c>
      <c r="B80" t="s">
        <v>765</v>
      </c>
    </row>
    <row r="81" spans="1:2" x14ac:dyDescent="0.35">
      <c r="A81" t="s">
        <v>766</v>
      </c>
      <c r="B81" t="s">
        <v>767</v>
      </c>
    </row>
    <row r="82" spans="1:2" x14ac:dyDescent="0.35">
      <c r="A82" t="s">
        <v>768</v>
      </c>
      <c r="B82" t="s">
        <v>769</v>
      </c>
    </row>
    <row r="83" spans="1:2" x14ac:dyDescent="0.35">
      <c r="A83" t="s">
        <v>770</v>
      </c>
      <c r="B83" t="s">
        <v>771</v>
      </c>
    </row>
    <row r="84" spans="1:2" x14ac:dyDescent="0.35">
      <c r="A84" t="s">
        <v>772</v>
      </c>
      <c r="B84" t="s">
        <v>773</v>
      </c>
    </row>
    <row r="85" spans="1:2" x14ac:dyDescent="0.35">
      <c r="A85" t="s">
        <v>774</v>
      </c>
      <c r="B85" t="s">
        <v>775</v>
      </c>
    </row>
    <row r="86" spans="1:2" x14ac:dyDescent="0.35">
      <c r="A86" t="s">
        <v>776</v>
      </c>
      <c r="B86" t="s">
        <v>847</v>
      </c>
    </row>
    <row r="87" spans="1:2" x14ac:dyDescent="0.35">
      <c r="A87" t="s">
        <v>777</v>
      </c>
      <c r="B87" t="s">
        <v>846</v>
      </c>
    </row>
    <row r="88" spans="1:2" x14ac:dyDescent="0.35">
      <c r="A88" t="s">
        <v>778</v>
      </c>
      <c r="B88" t="s">
        <v>779</v>
      </c>
    </row>
    <row r="89" spans="1:2" x14ac:dyDescent="0.35">
      <c r="A89" t="s">
        <v>780</v>
      </c>
      <c r="B89" t="s">
        <v>781</v>
      </c>
    </row>
    <row r="90" spans="1:2" x14ac:dyDescent="0.35">
      <c r="A90" t="s">
        <v>783</v>
      </c>
      <c r="B90" t="s">
        <v>782</v>
      </c>
    </row>
    <row r="91" spans="1:2" x14ac:dyDescent="0.35">
      <c r="A91" t="s">
        <v>784</v>
      </c>
      <c r="B91" t="s">
        <v>795</v>
      </c>
    </row>
    <row r="92" spans="1:2" x14ac:dyDescent="0.35">
      <c r="A92" t="s">
        <v>800</v>
      </c>
      <c r="B92" t="s">
        <v>793</v>
      </c>
    </row>
    <row r="93" spans="1:2" x14ac:dyDescent="0.35">
      <c r="A93" t="s">
        <v>799</v>
      </c>
      <c r="B93" t="s">
        <v>794</v>
      </c>
    </row>
    <row r="94" spans="1:2" x14ac:dyDescent="0.35">
      <c r="A94" t="s">
        <v>798</v>
      </c>
      <c r="B94" t="s">
        <v>796</v>
      </c>
    </row>
    <row r="95" spans="1:2" x14ac:dyDescent="0.35">
      <c r="A95" s="1" t="s">
        <v>785</v>
      </c>
      <c r="B95" t="s">
        <v>786</v>
      </c>
    </row>
    <row r="96" spans="1:2" x14ac:dyDescent="0.35">
      <c r="A96" s="1" t="s">
        <v>787</v>
      </c>
      <c r="B96" t="s">
        <v>788</v>
      </c>
    </row>
    <row r="97" spans="1:2" x14ac:dyDescent="0.35">
      <c r="A97" t="s">
        <v>789</v>
      </c>
      <c r="B97" t="s">
        <v>790</v>
      </c>
    </row>
    <row r="98" spans="1:2" x14ac:dyDescent="0.35">
      <c r="A98" s="1" t="s">
        <v>791</v>
      </c>
      <c r="B98" t="s">
        <v>792</v>
      </c>
    </row>
    <row r="99" spans="1:2" x14ac:dyDescent="0.35">
      <c r="A99" t="s">
        <v>797</v>
      </c>
      <c r="B99" t="s">
        <v>801</v>
      </c>
    </row>
    <row r="100" spans="1:2" x14ac:dyDescent="0.35">
      <c r="A100" s="1" t="s">
        <v>802</v>
      </c>
      <c r="B100" t="s">
        <v>803</v>
      </c>
    </row>
    <row r="101" spans="1:2" x14ac:dyDescent="0.35">
      <c r="A101" t="s">
        <v>804</v>
      </c>
      <c r="B101" t="s">
        <v>805</v>
      </c>
    </row>
    <row r="102" spans="1:2" x14ac:dyDescent="0.35">
      <c r="A102" s="1" t="s">
        <v>807</v>
      </c>
      <c r="B102" t="s">
        <v>808</v>
      </c>
    </row>
    <row r="103" spans="1:2" x14ac:dyDescent="0.35">
      <c r="A103" t="s">
        <v>806</v>
      </c>
      <c r="B103" t="s">
        <v>848</v>
      </c>
    </row>
    <row r="104" spans="1:2" x14ac:dyDescent="0.35">
      <c r="A104" s="1" t="s">
        <v>849</v>
      </c>
      <c r="B104" t="s">
        <v>850</v>
      </c>
    </row>
    <row r="105" spans="1:2" x14ac:dyDescent="0.35">
      <c r="A105" t="s">
        <v>809</v>
      </c>
      <c r="B105" t="s">
        <v>810</v>
      </c>
    </row>
    <row r="106" spans="1:2" x14ac:dyDescent="0.35">
      <c r="A106" t="s">
        <v>811</v>
      </c>
      <c r="B106" t="s">
        <v>812</v>
      </c>
    </row>
    <row r="107" spans="1:2" x14ac:dyDescent="0.35">
      <c r="A107" t="s">
        <v>813</v>
      </c>
      <c r="B107" t="s">
        <v>814</v>
      </c>
    </row>
    <row r="108" spans="1:2" x14ac:dyDescent="0.35">
      <c r="A108" t="s">
        <v>815</v>
      </c>
      <c r="B108" t="s">
        <v>817</v>
      </c>
    </row>
    <row r="109" spans="1:2" x14ac:dyDescent="0.35">
      <c r="A109" t="s">
        <v>816</v>
      </c>
      <c r="B109" t="s">
        <v>819</v>
      </c>
    </row>
    <row r="110" spans="1:2" x14ac:dyDescent="0.35">
      <c r="A110" t="s">
        <v>908</v>
      </c>
      <c r="B110" t="s">
        <v>818</v>
      </c>
    </row>
    <row r="111" spans="1:2" x14ac:dyDescent="0.35">
      <c r="A111" t="s">
        <v>820</v>
      </c>
      <c r="B111" t="s">
        <v>821</v>
      </c>
    </row>
    <row r="112" spans="1:2" x14ac:dyDescent="0.35">
      <c r="A112" t="s">
        <v>826</v>
      </c>
      <c r="B112" t="s">
        <v>822</v>
      </c>
    </row>
    <row r="113" spans="1:2" x14ac:dyDescent="0.35">
      <c r="A113" t="s">
        <v>825</v>
      </c>
      <c r="B113" t="s">
        <v>823</v>
      </c>
    </row>
    <row r="114" spans="1:2" x14ac:dyDescent="0.35">
      <c r="A114" t="s">
        <v>824</v>
      </c>
      <c r="B114" t="s">
        <v>827</v>
      </c>
    </row>
    <row r="115" spans="1:2" x14ac:dyDescent="0.35">
      <c r="A115" t="s">
        <v>828</v>
      </c>
      <c r="B115" t="s">
        <v>837</v>
      </c>
    </row>
    <row r="116" spans="1:2" x14ac:dyDescent="0.35">
      <c r="A116" s="1" t="s">
        <v>829</v>
      </c>
      <c r="B116" t="s">
        <v>836</v>
      </c>
    </row>
    <row r="117" spans="1:2" x14ac:dyDescent="0.35">
      <c r="A117" s="1" t="s">
        <v>830</v>
      </c>
      <c r="B117" t="s">
        <v>838</v>
      </c>
    </row>
    <row r="118" spans="1:2" x14ac:dyDescent="0.35">
      <c r="A118" s="1" t="s">
        <v>831</v>
      </c>
      <c r="B118" t="s">
        <v>839</v>
      </c>
    </row>
    <row r="119" spans="1:2" x14ac:dyDescent="0.35">
      <c r="A119" s="1" t="s">
        <v>832</v>
      </c>
      <c r="B119" t="s">
        <v>840</v>
      </c>
    </row>
    <row r="120" spans="1:2" x14ac:dyDescent="0.35">
      <c r="A120" s="1" t="s">
        <v>833</v>
      </c>
      <c r="B120" t="s">
        <v>841</v>
      </c>
    </row>
    <row r="121" spans="1:2" x14ac:dyDescent="0.35">
      <c r="A121" s="1" t="s">
        <v>834</v>
      </c>
      <c r="B121" t="s">
        <v>842</v>
      </c>
    </row>
    <row r="122" spans="1:2" x14ac:dyDescent="0.35">
      <c r="A122" s="1" t="s">
        <v>835</v>
      </c>
      <c r="B122" t="s">
        <v>843</v>
      </c>
    </row>
    <row r="123" spans="1:2" x14ac:dyDescent="0.35">
      <c r="A123" s="1" t="s">
        <v>844</v>
      </c>
      <c r="B123" t="s">
        <v>845</v>
      </c>
    </row>
    <row r="124" spans="1:2" x14ac:dyDescent="0.35">
      <c r="A124" s="1" t="s">
        <v>852</v>
      </c>
      <c r="B124" t="s">
        <v>853</v>
      </c>
    </row>
    <row r="125" spans="1:2" x14ac:dyDescent="0.35">
      <c r="A125" s="1" t="s">
        <v>854</v>
      </c>
      <c r="B125" t="s">
        <v>855</v>
      </c>
    </row>
    <row r="126" spans="1:2" x14ac:dyDescent="0.35">
      <c r="A126" s="1" t="s">
        <v>856</v>
      </c>
      <c r="B126" t="s">
        <v>857</v>
      </c>
    </row>
    <row r="127" spans="1:2" x14ac:dyDescent="0.35">
      <c r="A127" s="1" t="s">
        <v>858</v>
      </c>
      <c r="B127" t="s">
        <v>859</v>
      </c>
    </row>
    <row r="128" spans="1:2" x14ac:dyDescent="0.35">
      <c r="A128" s="1" t="s">
        <v>860</v>
      </c>
      <c r="B128" t="s">
        <v>861</v>
      </c>
    </row>
    <row r="129" spans="1:2" x14ac:dyDescent="0.35">
      <c r="A129" s="1" t="s">
        <v>862</v>
      </c>
      <c r="B129" t="s">
        <v>863</v>
      </c>
    </row>
    <row r="130" spans="1:2" x14ac:dyDescent="0.35">
      <c r="A130" s="1" t="s">
        <v>864</v>
      </c>
      <c r="B130" t="s">
        <v>865</v>
      </c>
    </row>
    <row r="131" spans="1:2" x14ac:dyDescent="0.35">
      <c r="A131" s="1" t="s">
        <v>866</v>
      </c>
      <c r="B131" t="s">
        <v>867</v>
      </c>
    </row>
    <row r="132" spans="1:2" x14ac:dyDescent="0.35">
      <c r="A132" s="1" t="s">
        <v>868</v>
      </c>
      <c r="B132" t="s">
        <v>869</v>
      </c>
    </row>
    <row r="133" spans="1:2" x14ac:dyDescent="0.35">
      <c r="A133" s="1" t="s">
        <v>881</v>
      </c>
      <c r="B133" t="s">
        <v>884</v>
      </c>
    </row>
    <row r="134" spans="1:2" x14ac:dyDescent="0.35">
      <c r="A134" s="1" t="s">
        <v>882</v>
      </c>
      <c r="B134" t="s">
        <v>883</v>
      </c>
    </row>
    <row r="135" spans="1:2" x14ac:dyDescent="0.35">
      <c r="A135" s="1" t="s">
        <v>887</v>
      </c>
      <c r="B135" t="s">
        <v>888</v>
      </c>
    </row>
    <row r="136" spans="1:2" x14ac:dyDescent="0.35">
      <c r="A136" s="1" t="s">
        <v>889</v>
      </c>
      <c r="B136" t="s">
        <v>890</v>
      </c>
    </row>
    <row r="137" spans="1:2" x14ac:dyDescent="0.35">
      <c r="A137" s="1" t="s">
        <v>891</v>
      </c>
      <c r="B137" t="s">
        <v>892</v>
      </c>
    </row>
    <row r="138" spans="1:2" x14ac:dyDescent="0.35">
      <c r="A138" s="1" t="s">
        <v>895</v>
      </c>
      <c r="B138" t="s">
        <v>896</v>
      </c>
    </row>
    <row r="139" spans="1:2" x14ac:dyDescent="0.35">
      <c r="A139" s="1" t="s">
        <v>900</v>
      </c>
      <c r="B139" t="s">
        <v>897</v>
      </c>
    </row>
    <row r="140" spans="1:2" x14ac:dyDescent="0.35">
      <c r="A140" s="1" t="s">
        <v>898</v>
      </c>
      <c r="B140" t="s">
        <v>899</v>
      </c>
    </row>
    <row r="141" spans="1:2" x14ac:dyDescent="0.35">
      <c r="A141" s="1" t="s">
        <v>918</v>
      </c>
      <c r="B141" t="s">
        <v>919</v>
      </c>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5A72F-60A7-41C1-8FA3-16767A227C71}">
  <sheetPr>
    <outlinePr summaryBelow="0"/>
  </sheetPr>
  <dimension ref="A1:BD727"/>
  <sheetViews>
    <sheetView tabSelected="1" workbookViewId="0">
      <pane ySplit="2" topLeftCell="A6" activePane="bottomLeft" state="frozen"/>
      <selection pane="bottomLeft" activeCell="A27" sqref="A27:B35"/>
    </sheetView>
  </sheetViews>
  <sheetFormatPr defaultRowHeight="14.5" outlineLevelRow="1" x14ac:dyDescent="0.35"/>
  <cols>
    <col min="1" max="1" width="40.453125" customWidth="1"/>
    <col min="2" max="2" width="34.1796875" bestFit="1" customWidth="1"/>
    <col min="3" max="3" width="4.7265625" style="2" bestFit="1" customWidth="1"/>
    <col min="4" max="4" width="7.26953125" bestFit="1" customWidth="1"/>
    <col min="5" max="5" width="7.26953125" customWidth="1"/>
    <col min="6" max="22" width="6" customWidth="1"/>
    <col min="23" max="23" width="9.1796875" style="15" bestFit="1" customWidth="1"/>
    <col min="24" max="52" width="6" customWidth="1"/>
    <col min="53" max="53" width="14.26953125" style="15" bestFit="1" customWidth="1"/>
    <col min="54" max="54" width="16.453125" style="15" bestFit="1" customWidth="1"/>
    <col min="55" max="55" width="16.81640625" bestFit="1" customWidth="1"/>
    <col min="56" max="56" width="11.26953125" customWidth="1"/>
    <col min="57" max="57" width="6.1796875" bestFit="1" customWidth="1"/>
    <col min="58" max="58" width="8" bestFit="1" customWidth="1"/>
    <col min="59" max="59" width="8.54296875" bestFit="1" customWidth="1"/>
    <col min="60" max="60" width="9" bestFit="1" customWidth="1"/>
    <col min="61" max="73" width="3.7265625" bestFit="1" customWidth="1"/>
  </cols>
  <sheetData>
    <row r="1" spans="1:56" ht="155" x14ac:dyDescent="0.35">
      <c r="A1" s="10" t="str">
        <f>Table_ship_components[[#Headers],[COMPONENT]]</f>
        <v>COMPONENT</v>
      </c>
      <c r="B1" s="10" t="str">
        <f>Table_ship_components[[#Headers],[DESCRIPTION]]</f>
        <v>DESCRIPTION</v>
      </c>
      <c r="C1" s="11" t="str">
        <f>Table_ship_components[[#Headers],[OPTIONAL]]</f>
        <v>OPTIONAL</v>
      </c>
      <c r="D1" s="11" t="str">
        <f>Table_ship_components[[#Headers],[UNIT_SIZE]]</f>
        <v>UNIT_SIZE</v>
      </c>
      <c r="E1" s="11" t="str">
        <f>Table_ship_components[[#Headers],[UNIT_SIZE_TOTAL]]</f>
        <v>UNIT_SIZE_TOTAL</v>
      </c>
      <c r="F1" s="11" t="str">
        <f>Table_ship_components[[#Headers],[POWER_CONSUMPTION]]</f>
        <v>POWER_CONSUMPTION</v>
      </c>
      <c r="G1" s="11" t="str">
        <f>Table_ship_components[[#Headers],[POWER_CONSUMPTION_TOTAL]]</f>
        <v>POWER_CONSUMPTION_TOTAL</v>
      </c>
      <c r="H1" s="11" t="str">
        <f>Table_ship_components[[#Headers],[POWER_ACTIVATION]]</f>
        <v>POWER_ACTIVATION</v>
      </c>
      <c r="I1" s="11" t="str">
        <f>Table_ship_components[[#Headers],[POWER_CREATION]]</f>
        <v>POWER_CREATION</v>
      </c>
      <c r="J1" s="11" t="str">
        <f>Table_ship_components[[#Headers],[ENERGY_STORAGE]]</f>
        <v>ENERGY_STORAGE</v>
      </c>
      <c r="K1" s="11" t="str">
        <f>Table_ship_components[[#Headers],[SHIELD_MAX]]</f>
        <v>SHIELD_MAX</v>
      </c>
      <c r="L1" s="11" t="str">
        <f>Table_ship_components[[#Headers],[SHIELD_RECHARGE_PER_UNIT]]</f>
        <v>SHIELD_RECHARGE_PER_UNIT</v>
      </c>
      <c r="M1" s="11" t="str">
        <f>Table_ship_components[[#Headers],[DRONE]]</f>
        <v>DRONE</v>
      </c>
      <c r="N1" s="11" t="str">
        <f>Table_ship_components[[#Headers],[FIGHTER]]</f>
        <v>FIGHTER</v>
      </c>
      <c r="O1" s="11" t="str">
        <f>Table_ship_components[[#Headers],[CORVETTTE]]</f>
        <v>CORVETTTE</v>
      </c>
      <c r="P1" s="11" t="str">
        <f>Table_ship_components[[#Headers],[FRIGATE]]</f>
        <v>FRIGATE</v>
      </c>
      <c r="Q1" s="11" t="str">
        <f>Table_ship_components[[#Headers],[CRUISER]]</f>
        <v>CRUISER</v>
      </c>
      <c r="R1" s="11" t="str">
        <f>Table_ship_components[[#Headers],[BATTLECRUISER]]</f>
        <v>BATTLECRUISER</v>
      </c>
      <c r="S1" s="11" t="str">
        <f>Table_ship_components[[#Headers],[CARRIER]]</f>
        <v>CARRIER</v>
      </c>
      <c r="T1" s="11" t="str">
        <f>Table_ship_components[[#Headers],[NOVA]]</f>
        <v>NOVA</v>
      </c>
      <c r="U1" s="11" t="str">
        <f>Table_ship_components[[#Headers],[EXPANDABLE?]]</f>
        <v>EXPANDABLE?</v>
      </c>
      <c r="V1" s="11" t="str">
        <f>Table_ship_components[[#Headers],[SIZE_PER_ADD_PERSON]]</f>
        <v>SIZE_PER_ADD_PERSON</v>
      </c>
      <c r="W1" s="16" t="str">
        <f>Table_ship_components[[#Headers],[COST_PER_ADD_PERSON]]</f>
        <v>COST_PER_ADD_PERSON</v>
      </c>
      <c r="X1" s="11" t="str">
        <f>Table_ship_components[[#Headers],[POWER_PER_ADD_PERSON]]</f>
        <v>POWER_PER_ADD_PERSON</v>
      </c>
      <c r="Y1" s="11" t="str">
        <f>Table_ship_components[[#Headers],[CREW_MIN]]</f>
        <v>CREW_MIN</v>
      </c>
      <c r="Z1" s="11" t="str">
        <f>Table_ship_components[[#Headers],[CREW_MAX]]</f>
        <v>CREW_MAX</v>
      </c>
      <c r="AA1" s="11" t="str">
        <f>Table_ship_components[[#Headers],[PASSANGERS]]</f>
        <v>PASSANGERS</v>
      </c>
      <c r="AB1" s="11" t="str">
        <f>Table_ship_components[[#Headers],[CARGO]]</f>
        <v>CARGO</v>
      </c>
      <c r="AC1" s="11" t="str">
        <f>Table_ship_components[[#Headers],[LIFE_SUPPORT_PEOPLE]]</f>
        <v>LIFE_SUPPORT_PEOPLE</v>
      </c>
      <c r="AD1" s="11" t="str">
        <f>Table_ship_components[[#Headers],[LIFE_SUPPORT_HOURS]]</f>
        <v>LIFE_SUPPORT_HOURS</v>
      </c>
      <c r="AE1" s="11" t="str">
        <f>Table_ship_components[[#Headers],[FUEL_CONSUMPTION_PER_HRS]]</f>
        <v>FUEL_CONSUMPTION_PER_HRS</v>
      </c>
      <c r="AF1" s="11" t="str">
        <f>Table_ship_components[[#Headers],[CORONTHIA_FUEL_UNITS]]</f>
        <v>CORONTHIA_FUEL_UNITS</v>
      </c>
      <c r="AG1" s="11" t="str">
        <f>Table_ship_components[[#Headers],[ATMOSPHERIC_CAPABILITY]]</f>
        <v>ATMOSPHERIC_CAPABILITY</v>
      </c>
      <c r="AH1" s="11" t="str">
        <f>Table_ship_components[[#Headers],[COMBAT_RANGE]]</f>
        <v>COMBAT_RANGE</v>
      </c>
      <c r="AI1" s="11" t="str">
        <f>Table_ship_components[[#Headers],[DETECTION_RANGE]]</f>
        <v>DETECTION_RANGE</v>
      </c>
      <c r="AJ1" s="11" t="str">
        <f>Table_ship_components[[#Headers],[MAX_COM_RANGE]]</f>
        <v>MAX_COM_RANGE</v>
      </c>
      <c r="AK1" s="11" t="str">
        <f>Table_ship_components[[#Headers],[JUMPDRIVE_RANGE]]</f>
        <v>JUMPDRIVE_RANGE</v>
      </c>
      <c r="AL1" s="11" t="str">
        <f>Table_ship_components[[#Headers],[SPEED]]</f>
        <v>SPEED</v>
      </c>
      <c r="AM1" s="11" t="str">
        <f>Table_ship_components[[#Headers],[STRUCTURE]]</f>
        <v>STRUCTURE</v>
      </c>
      <c r="AN1" s="11" t="str">
        <f>Table_ship_components[[#Headers],[HULL]]</f>
        <v>HULL</v>
      </c>
      <c r="AO1" s="11" t="str">
        <f>Table_ship_components[[#Headers],[ECM]]</f>
        <v>ECM</v>
      </c>
      <c r="AP1" s="11" t="str">
        <f>Table_ship_components[[#Headers],[SYSTEM]]</f>
        <v>SYSTEM</v>
      </c>
      <c r="AQ1" s="11" t="str">
        <f>Table_ship_components[[#Headers],[COMMAND]]</f>
        <v>COMMAND</v>
      </c>
      <c r="AR1" s="11" t="str">
        <f>Table_ship_components[[#Headers],[HANDLING]]</f>
        <v>HANDLING</v>
      </c>
      <c r="AS1" s="11" t="str">
        <f>Table_ship_components[[#Headers],[INSTRUMENTS]]</f>
        <v>INSTRUMENTS</v>
      </c>
      <c r="AT1" s="11" t="str">
        <f>Table_ship_components[[#Headers],[ENGINEERING]]</f>
        <v>ENGINEERING</v>
      </c>
      <c r="AU1" s="11" t="str">
        <f>Table_ship_components[[#Headers],[WARFARE]]</f>
        <v>WARFARE</v>
      </c>
      <c r="AV1" s="11" t="str">
        <f>Table_ship_components[[#Headers],[TOTAL_SPACE_UNITS]]</f>
        <v>TOTAL_SPACE_UNITS</v>
      </c>
      <c r="AW1" s="11" t="str">
        <f>Table_ship_components[[#Headers],[CORE_SPACE_UNITS]]</f>
        <v>CORE_SPACE_UNITS</v>
      </c>
      <c r="AX1" s="11" t="str">
        <f>Table_ship_components[[#Headers],[INTERNAL_SPACE_UNITS]]</f>
        <v>INTERNAL_SPACE_UNITS</v>
      </c>
      <c r="AY1" s="11" t="str">
        <f>Table_ship_components[[#Headers],[EXTERNAL_SPACE_UNITS]]</f>
        <v>EXTERNAL_SPACE_UNITS</v>
      </c>
      <c r="AZ1" s="11" t="str">
        <f>Table_ship_components[[#Headers],[QUALITY]]</f>
        <v>QUALITY</v>
      </c>
      <c r="BA1" s="12" t="str">
        <f>Table_ship_components[[#Headers],[PRICE]]</f>
        <v>PRICE</v>
      </c>
      <c r="BB1" s="12" t="str">
        <f>Table_ship_components[[#Headers],[TOTAL_PRICE]]</f>
        <v>TOTAL_PRICE</v>
      </c>
      <c r="BC1" s="10" t="str">
        <f>Table_ship_components[[#Headers],[AVAILABILITY]]</f>
        <v>AVAILABILITY</v>
      </c>
      <c r="BD1" s="10" t="str">
        <f>Table_ship_components[[#Headers],[LEGALITY]]</f>
        <v>LEGALITY</v>
      </c>
    </row>
    <row r="2" spans="1:56" s="7" customFormat="1" x14ac:dyDescent="0.35">
      <c r="A2" s="8" t="s">
        <v>300</v>
      </c>
      <c r="B2" s="8" t="s">
        <v>115</v>
      </c>
      <c r="C2" s="8" t="s">
        <v>620</v>
      </c>
      <c r="D2" s="8" t="s">
        <v>157</v>
      </c>
      <c r="E2" s="8" t="s">
        <v>297</v>
      </c>
      <c r="F2" s="9" t="s">
        <v>158</v>
      </c>
      <c r="G2" s="9" t="s">
        <v>298</v>
      </c>
      <c r="H2" s="9" t="s">
        <v>267</v>
      </c>
      <c r="I2" s="9" t="s">
        <v>178</v>
      </c>
      <c r="J2" s="9" t="s">
        <v>186</v>
      </c>
      <c r="K2" s="9" t="s">
        <v>177</v>
      </c>
      <c r="L2" s="9" t="s">
        <v>301</v>
      </c>
      <c r="M2" s="9" t="s">
        <v>166</v>
      </c>
      <c r="N2" s="9" t="s">
        <v>165</v>
      </c>
      <c r="O2" s="9" t="s">
        <v>164</v>
      </c>
      <c r="P2" s="9" t="s">
        <v>163</v>
      </c>
      <c r="Q2" s="9" t="s">
        <v>162</v>
      </c>
      <c r="R2" s="9" t="s">
        <v>159</v>
      </c>
      <c r="S2" s="9" t="s">
        <v>160</v>
      </c>
      <c r="T2" s="9" t="s">
        <v>161</v>
      </c>
      <c r="U2" s="9" t="s">
        <v>293</v>
      </c>
      <c r="V2" s="9" t="s">
        <v>292</v>
      </c>
      <c r="W2" s="13" t="s">
        <v>291</v>
      </c>
      <c r="X2" s="9" t="s">
        <v>290</v>
      </c>
      <c r="Y2" s="9" t="s">
        <v>294</v>
      </c>
      <c r="Z2" s="9" t="s">
        <v>295</v>
      </c>
      <c r="AA2" s="9" t="s">
        <v>149</v>
      </c>
      <c r="AB2" s="9" t="s">
        <v>7</v>
      </c>
      <c r="AC2" s="9" t="s">
        <v>296</v>
      </c>
      <c r="AD2" s="9" t="s">
        <v>686</v>
      </c>
      <c r="AE2" s="9" t="s">
        <v>259</v>
      </c>
      <c r="AF2" s="9" t="s">
        <v>255</v>
      </c>
      <c r="AG2" s="9" t="s">
        <v>148</v>
      </c>
      <c r="AH2" s="9" t="s">
        <v>146</v>
      </c>
      <c r="AI2" s="9" t="s">
        <v>147</v>
      </c>
      <c r="AJ2" s="9" t="s">
        <v>685</v>
      </c>
      <c r="AK2" s="9" t="s">
        <v>684</v>
      </c>
      <c r="AL2" s="9" t="s">
        <v>4</v>
      </c>
      <c r="AM2" s="9" t="s">
        <v>112</v>
      </c>
      <c r="AN2" s="9" t="s">
        <v>5</v>
      </c>
      <c r="AO2" s="9" t="s">
        <v>1</v>
      </c>
      <c r="AP2" s="9" t="s">
        <v>6</v>
      </c>
      <c r="AQ2" s="9" t="s">
        <v>41</v>
      </c>
      <c r="AR2" s="9" t="s">
        <v>8</v>
      </c>
      <c r="AS2" s="9" t="s">
        <v>9</v>
      </c>
      <c r="AT2" s="9" t="s">
        <v>10</v>
      </c>
      <c r="AU2" s="9" t="s">
        <v>11</v>
      </c>
      <c r="AV2" s="9" t="s">
        <v>474</v>
      </c>
      <c r="AW2" s="9" t="s">
        <v>473</v>
      </c>
      <c r="AX2" s="9" t="s">
        <v>475</v>
      </c>
      <c r="AY2" s="9" t="s">
        <v>698</v>
      </c>
      <c r="AZ2" s="9" t="s">
        <v>156</v>
      </c>
      <c r="BA2" s="13" t="s">
        <v>155</v>
      </c>
      <c r="BB2" s="13" t="s">
        <v>299</v>
      </c>
      <c r="BC2" s="9" t="s">
        <v>154</v>
      </c>
      <c r="BD2" s="9" t="s">
        <v>227</v>
      </c>
    </row>
    <row r="3" spans="1:56" x14ac:dyDescent="0.35">
      <c r="A3" t="s">
        <v>288</v>
      </c>
      <c r="B3" t="s">
        <v>289</v>
      </c>
      <c r="C3" s="2">
        <v>0</v>
      </c>
      <c r="D3" s="2">
        <v>0</v>
      </c>
      <c r="E3" s="2">
        <f>SUM(Table_ship_components[[#This Row],[UNIT_SIZE]]+(Table_ship_components[[#This Row],[SIZE_PER_ADD_PERSON]]*Table_ship_components[[#This Row],[OPTIONAL]]))</f>
        <v>0</v>
      </c>
      <c r="F3" s="2">
        <v>0</v>
      </c>
      <c r="G3" s="2">
        <f>SUM(Table_ship_components[[#This Row],[POWER_CONSUMPTION]]+(Table_ship_components[[#This Row],[POWER_PER_ADD_PERSON]]*Table_ship_components[[#This Row],[OPTIONAL]]))</f>
        <v>0</v>
      </c>
      <c r="H3" s="2">
        <v>0</v>
      </c>
      <c r="I3" s="2">
        <v>0</v>
      </c>
      <c r="J3" s="2">
        <v>0</v>
      </c>
      <c r="K3" s="2">
        <v>0</v>
      </c>
      <c r="L3" s="2">
        <v>0</v>
      </c>
      <c r="M3" s="2">
        <v>0</v>
      </c>
      <c r="N3" s="2">
        <v>0</v>
      </c>
      <c r="O3" s="2">
        <v>0</v>
      </c>
      <c r="P3" s="2">
        <v>0</v>
      </c>
      <c r="Q3" s="2">
        <v>0</v>
      </c>
      <c r="R3" s="2">
        <v>0</v>
      </c>
      <c r="S3" s="2">
        <v>0</v>
      </c>
      <c r="T3" s="2">
        <v>0</v>
      </c>
      <c r="U3" s="2">
        <v>0</v>
      </c>
      <c r="V3" s="2">
        <v>0</v>
      </c>
      <c r="W3" s="14">
        <v>0</v>
      </c>
      <c r="X3" s="2">
        <v>0</v>
      </c>
      <c r="Y3" s="2">
        <v>0</v>
      </c>
      <c r="Z3" s="2">
        <v>0</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W3" s="2">
        <v>0</v>
      </c>
      <c r="AX3" s="2">
        <v>0</v>
      </c>
      <c r="AY3" s="2">
        <v>0</v>
      </c>
      <c r="AZ3" s="2" t="s">
        <v>39</v>
      </c>
      <c r="BA3" s="14">
        <v>0</v>
      </c>
      <c r="BB3" s="14">
        <f>SUM(Table_ship_components[[#This Row],[PRICE]]+(Table_ship_components[[#This Row],[COST_PER_ADD_PERSON]]*Table_ship_components[[#This Row],[OPTIONAL]]))</f>
        <v>0</v>
      </c>
      <c r="BC3" s="2">
        <v>0</v>
      </c>
      <c r="BD3" s="2">
        <v>0</v>
      </c>
    </row>
    <row r="4" spans="1:56" x14ac:dyDescent="0.35">
      <c r="A4" t="s">
        <v>714</v>
      </c>
      <c r="B4" t="s">
        <v>715</v>
      </c>
      <c r="C4" s="2">
        <v>0</v>
      </c>
      <c r="D4" s="2">
        <v>2</v>
      </c>
      <c r="E4" s="2">
        <f>SUM(Table_ship_components[[#This Row],[UNIT_SIZE]]+(Table_ship_components[[#This Row],[SIZE_PER_ADD_PERSON]]*Table_ship_components[[#This Row],[OPTIONAL]]))</f>
        <v>2</v>
      </c>
      <c r="F4" s="2">
        <v>1</v>
      </c>
      <c r="G4" s="2">
        <f>SUM(Table_ship_components[[#This Row],[POWER_CONSUMPTION]]+(Table_ship_components[[#This Row],[POWER_PER_ADD_PERSON]]*Table_ship_components[[#This Row],[OPTIONAL]]))</f>
        <v>1</v>
      </c>
      <c r="H4" s="2">
        <v>0</v>
      </c>
      <c r="I4" s="2">
        <v>0</v>
      </c>
      <c r="J4" s="2">
        <v>0</v>
      </c>
      <c r="K4" s="2">
        <v>0</v>
      </c>
      <c r="L4" s="2">
        <v>0</v>
      </c>
      <c r="M4" s="2">
        <v>0</v>
      </c>
      <c r="N4" s="2">
        <v>0</v>
      </c>
      <c r="O4" s="2">
        <v>1</v>
      </c>
      <c r="P4" s="2">
        <v>1</v>
      </c>
      <c r="Q4" s="2">
        <v>1</v>
      </c>
      <c r="R4" s="2">
        <v>1</v>
      </c>
      <c r="S4" s="2">
        <v>1</v>
      </c>
      <c r="T4" s="2">
        <v>1</v>
      </c>
      <c r="U4" s="2">
        <v>0</v>
      </c>
      <c r="V4" s="2">
        <v>0</v>
      </c>
      <c r="W4" s="14">
        <v>0</v>
      </c>
      <c r="X4" s="2">
        <v>0</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0</v>
      </c>
      <c r="AX4" s="2">
        <v>0</v>
      </c>
      <c r="AY4" s="2">
        <v>0</v>
      </c>
      <c r="AZ4" s="2" t="s">
        <v>39</v>
      </c>
      <c r="BA4" s="14"/>
      <c r="BB4" s="14">
        <f>SUM(Table_ship_components[[#This Row],[PRICE]]+(Table_ship_components[[#This Row],[COST_PER_ADD_PERSON]]*Table_ship_components[[#This Row],[OPTIONAL]]))</f>
        <v>0</v>
      </c>
      <c r="BC4" s="2"/>
      <c r="BD4" s="2"/>
    </row>
    <row r="5" spans="1:56" x14ac:dyDescent="0.35">
      <c r="A5" t="s">
        <v>311</v>
      </c>
      <c r="B5" t="s">
        <v>280</v>
      </c>
      <c r="C5" s="2">
        <v>0</v>
      </c>
      <c r="D5" s="2">
        <v>2</v>
      </c>
      <c r="E5" s="2">
        <f>SUM(Table_ship_components[[#This Row],[UNIT_SIZE]]+(Table_ship_components[[#This Row],[SIZE_PER_ADD_PERSON]]*Table_ship_components[[#This Row],[OPTIONAL]]))</f>
        <v>2</v>
      </c>
      <c r="F5" s="2">
        <v>1</v>
      </c>
      <c r="G5" s="2">
        <f>SUM(Table_ship_components[[#This Row],[POWER_CONSUMPTION]]+(Table_ship_components[[#This Row],[POWER_PER_ADD_PERSON]]*Table_ship_components[[#This Row],[OPTIONAL]]))</f>
        <v>1</v>
      </c>
      <c r="H5" s="2">
        <v>0</v>
      </c>
      <c r="I5" s="2">
        <v>0</v>
      </c>
      <c r="J5" s="2">
        <v>0</v>
      </c>
      <c r="K5" s="2">
        <v>0</v>
      </c>
      <c r="L5" s="2">
        <v>0</v>
      </c>
      <c r="M5" s="2">
        <v>1</v>
      </c>
      <c r="N5" s="2">
        <v>1</v>
      </c>
      <c r="O5" s="2">
        <v>1</v>
      </c>
      <c r="P5" s="2">
        <v>1</v>
      </c>
      <c r="Q5" s="2">
        <v>1</v>
      </c>
      <c r="R5" s="2">
        <v>1</v>
      </c>
      <c r="S5" s="2">
        <v>1</v>
      </c>
      <c r="T5" s="2">
        <v>1</v>
      </c>
      <c r="U5" s="2">
        <v>1</v>
      </c>
      <c r="V5" s="2">
        <v>1</v>
      </c>
      <c r="W5" s="14">
        <v>15000</v>
      </c>
      <c r="X5" s="2">
        <v>0</v>
      </c>
      <c r="Y5" s="2">
        <v>0</v>
      </c>
      <c r="Z5" s="2">
        <v>0</v>
      </c>
      <c r="AA5" s="2">
        <v>0</v>
      </c>
      <c r="AB5" s="2">
        <v>0</v>
      </c>
      <c r="AC5" s="2">
        <v>0</v>
      </c>
      <c r="AD5" s="2">
        <v>0</v>
      </c>
      <c r="AE5" s="2">
        <v>0</v>
      </c>
      <c r="AF5" s="2">
        <v>0</v>
      </c>
      <c r="AG5" s="2">
        <v>0</v>
      </c>
      <c r="AH5" s="2">
        <v>0</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t="s">
        <v>39</v>
      </c>
      <c r="BA5" s="14">
        <v>20000</v>
      </c>
      <c r="BB5" s="14">
        <f>SUM(Table_ship_components[[#This Row],[PRICE]]+(Table_ship_components[[#This Row],[COST_PER_ADD_PERSON]]*Table_ship_components[[#This Row],[OPTIONAL]]))</f>
        <v>20000</v>
      </c>
      <c r="BC5" s="2">
        <v>0</v>
      </c>
      <c r="BD5" s="2">
        <v>0</v>
      </c>
    </row>
    <row r="6" spans="1:56" x14ac:dyDescent="0.35">
      <c r="A6" t="s">
        <v>312</v>
      </c>
      <c r="B6" t="s">
        <v>281</v>
      </c>
      <c r="C6" s="2">
        <v>0</v>
      </c>
      <c r="D6" s="2">
        <v>4</v>
      </c>
      <c r="E6" s="2">
        <f>SUM(Table_ship_components[[#This Row],[UNIT_SIZE]]+(Table_ship_components[[#This Row],[SIZE_PER_ADD_PERSON]]*Table_ship_components[[#This Row],[OPTIONAL]]))</f>
        <v>4</v>
      </c>
      <c r="F6" s="2">
        <v>2</v>
      </c>
      <c r="G6" s="2">
        <f>SUM(Table_ship_components[[#This Row],[POWER_CONSUMPTION]]+(Table_ship_components[[#This Row],[POWER_PER_ADD_PERSON]]*Table_ship_components[[#This Row],[OPTIONAL]]))</f>
        <v>2</v>
      </c>
      <c r="H6" s="2">
        <v>0</v>
      </c>
      <c r="I6" s="2">
        <v>0</v>
      </c>
      <c r="J6" s="2">
        <v>0</v>
      </c>
      <c r="K6" s="2">
        <v>0</v>
      </c>
      <c r="L6" s="2">
        <v>0</v>
      </c>
      <c r="M6" s="2">
        <v>0</v>
      </c>
      <c r="N6" s="2">
        <v>1</v>
      </c>
      <c r="O6" s="2">
        <v>1</v>
      </c>
      <c r="P6" s="2">
        <v>1</v>
      </c>
      <c r="Q6" s="2">
        <v>1</v>
      </c>
      <c r="R6" s="2">
        <v>1</v>
      </c>
      <c r="S6" s="2">
        <v>1</v>
      </c>
      <c r="T6" s="2">
        <v>1</v>
      </c>
      <c r="U6" s="2">
        <v>1</v>
      </c>
      <c r="V6" s="2">
        <v>2</v>
      </c>
      <c r="W6" s="14">
        <v>30000</v>
      </c>
      <c r="X6" s="2">
        <v>0</v>
      </c>
      <c r="Y6" s="2">
        <v>0</v>
      </c>
      <c r="Z6" s="2">
        <v>0</v>
      </c>
      <c r="AA6" s="2">
        <v>0</v>
      </c>
      <c r="AB6" s="2">
        <v>0</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W6" s="2">
        <v>0</v>
      </c>
      <c r="AX6" s="2">
        <v>0</v>
      </c>
      <c r="AY6" s="2">
        <v>0</v>
      </c>
      <c r="AZ6" s="2" t="s">
        <v>39</v>
      </c>
      <c r="BA6" s="14">
        <v>40000</v>
      </c>
      <c r="BB6" s="14">
        <f>SUM(Table_ship_components[[#This Row],[PRICE]]+(Table_ship_components[[#This Row],[COST_PER_ADD_PERSON]]*Table_ship_components[[#This Row],[OPTIONAL]]))</f>
        <v>40000</v>
      </c>
      <c r="BC6" s="2">
        <v>0</v>
      </c>
      <c r="BD6" s="2">
        <v>0</v>
      </c>
    </row>
    <row r="7" spans="1:56" x14ac:dyDescent="0.35">
      <c r="A7" t="s">
        <v>313</v>
      </c>
      <c r="B7" t="s">
        <v>282</v>
      </c>
      <c r="C7" s="2">
        <v>0</v>
      </c>
      <c r="D7" s="2">
        <v>12</v>
      </c>
      <c r="E7" s="2">
        <f>SUM(Table_ship_components[[#This Row],[UNIT_SIZE]]+(Table_ship_components[[#This Row],[SIZE_PER_ADD_PERSON]]*Table_ship_components[[#This Row],[OPTIONAL]]))</f>
        <v>12</v>
      </c>
      <c r="F7" s="2">
        <v>5</v>
      </c>
      <c r="G7" s="2">
        <f>SUM(Table_ship_components[[#This Row],[POWER_CONSUMPTION]]+(Table_ship_components[[#This Row],[POWER_PER_ADD_PERSON]]*Table_ship_components[[#This Row],[OPTIONAL]]))</f>
        <v>5</v>
      </c>
      <c r="H7" s="2">
        <v>0</v>
      </c>
      <c r="I7" s="2">
        <v>0</v>
      </c>
      <c r="J7" s="2">
        <v>0</v>
      </c>
      <c r="K7" s="2">
        <v>0</v>
      </c>
      <c r="L7" s="2">
        <v>0</v>
      </c>
      <c r="M7" s="2">
        <v>0</v>
      </c>
      <c r="N7" s="2">
        <v>0</v>
      </c>
      <c r="O7" s="2">
        <v>0</v>
      </c>
      <c r="P7" s="2">
        <v>1</v>
      </c>
      <c r="Q7" s="2">
        <v>1</v>
      </c>
      <c r="R7" s="2">
        <v>1</v>
      </c>
      <c r="S7" s="2">
        <v>1</v>
      </c>
      <c r="T7" s="2">
        <v>1</v>
      </c>
      <c r="U7" s="2">
        <v>1</v>
      </c>
      <c r="V7" s="2">
        <v>8</v>
      </c>
      <c r="W7" s="14">
        <v>60000</v>
      </c>
      <c r="X7" s="2">
        <v>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0</v>
      </c>
      <c r="AT7" s="2">
        <v>0</v>
      </c>
      <c r="AU7" s="2">
        <v>0</v>
      </c>
      <c r="AV7" s="2">
        <v>0</v>
      </c>
      <c r="AW7" s="2">
        <v>0</v>
      </c>
      <c r="AX7" s="2">
        <v>0</v>
      </c>
      <c r="AY7" s="2">
        <v>0</v>
      </c>
      <c r="AZ7" s="2" t="s">
        <v>39</v>
      </c>
      <c r="BA7" s="14">
        <v>80000</v>
      </c>
      <c r="BB7" s="14">
        <f>SUM(Table_ship_components[[#This Row],[PRICE]]+(Table_ship_components[[#This Row],[COST_PER_ADD_PERSON]]*Table_ship_components[[#This Row],[OPTIONAL]]))</f>
        <v>80000</v>
      </c>
      <c r="BC7" s="2">
        <v>0</v>
      </c>
      <c r="BD7" s="2">
        <v>0</v>
      </c>
    </row>
    <row r="8" spans="1:56" x14ac:dyDescent="0.35">
      <c r="A8" t="s">
        <v>314</v>
      </c>
      <c r="B8" t="s">
        <v>282</v>
      </c>
      <c r="C8" s="2">
        <v>0</v>
      </c>
      <c r="D8" s="2">
        <v>75</v>
      </c>
      <c r="E8" s="2">
        <f>SUM(Table_ship_components[[#This Row],[UNIT_SIZE]]+(Table_ship_components[[#This Row],[SIZE_PER_ADD_PERSON]]*Table_ship_components[[#This Row],[OPTIONAL]]))</f>
        <v>75</v>
      </c>
      <c r="F8" s="2">
        <v>10</v>
      </c>
      <c r="G8" s="2">
        <f>SUM(Table_ship_components[[#This Row],[POWER_CONSUMPTION]]+(Table_ship_components[[#This Row],[POWER_PER_ADD_PERSON]]*Table_ship_components[[#This Row],[OPTIONAL]]))</f>
        <v>10</v>
      </c>
      <c r="H8" s="2">
        <v>0</v>
      </c>
      <c r="I8" s="2">
        <v>0</v>
      </c>
      <c r="J8" s="2">
        <v>0</v>
      </c>
      <c r="K8" s="2">
        <v>0</v>
      </c>
      <c r="L8" s="2">
        <v>0</v>
      </c>
      <c r="M8" s="2">
        <v>0</v>
      </c>
      <c r="N8" s="2">
        <v>0</v>
      </c>
      <c r="O8" s="2">
        <v>0</v>
      </c>
      <c r="P8" s="2">
        <v>0</v>
      </c>
      <c r="Q8" s="2">
        <v>0</v>
      </c>
      <c r="R8" s="2">
        <v>1</v>
      </c>
      <c r="S8" s="2">
        <v>1</v>
      </c>
      <c r="T8" s="2">
        <v>1</v>
      </c>
      <c r="U8" s="2">
        <v>1</v>
      </c>
      <c r="V8" s="2">
        <v>50</v>
      </c>
      <c r="W8" s="14">
        <v>120000</v>
      </c>
      <c r="X8" s="2">
        <v>0</v>
      </c>
      <c r="Y8" s="2">
        <v>0</v>
      </c>
      <c r="Z8" s="2">
        <v>0</v>
      </c>
      <c r="AA8" s="2">
        <v>0</v>
      </c>
      <c r="AB8" s="2">
        <v>0</v>
      </c>
      <c r="AC8" s="2">
        <v>0</v>
      </c>
      <c r="AD8" s="2">
        <v>0</v>
      </c>
      <c r="AE8" s="2">
        <v>0</v>
      </c>
      <c r="AF8" s="2">
        <v>0</v>
      </c>
      <c r="AG8" s="2">
        <v>0</v>
      </c>
      <c r="AH8" s="2">
        <v>0</v>
      </c>
      <c r="AI8" s="2">
        <v>0</v>
      </c>
      <c r="AJ8" s="2">
        <v>0</v>
      </c>
      <c r="AK8" s="2">
        <v>0</v>
      </c>
      <c r="AL8" s="2">
        <v>0</v>
      </c>
      <c r="AM8" s="2">
        <v>0</v>
      </c>
      <c r="AN8" s="2">
        <v>0</v>
      </c>
      <c r="AO8" s="2">
        <v>0</v>
      </c>
      <c r="AP8" s="2">
        <v>0</v>
      </c>
      <c r="AQ8" s="2">
        <v>0</v>
      </c>
      <c r="AR8" s="2">
        <v>0</v>
      </c>
      <c r="AS8" s="2">
        <v>0</v>
      </c>
      <c r="AT8" s="2">
        <v>0</v>
      </c>
      <c r="AU8" s="2">
        <v>0</v>
      </c>
      <c r="AV8" s="2">
        <v>0</v>
      </c>
      <c r="AW8" s="2">
        <v>0</v>
      </c>
      <c r="AX8" s="2">
        <v>0</v>
      </c>
      <c r="AY8" s="2">
        <v>0</v>
      </c>
      <c r="AZ8" s="2" t="s">
        <v>39</v>
      </c>
      <c r="BA8" s="14">
        <v>160000</v>
      </c>
      <c r="BB8" s="14">
        <f>SUM(Table_ship_components[[#This Row],[PRICE]]+(Table_ship_components[[#This Row],[COST_PER_ADD_PERSON]]*Table_ship_components[[#This Row],[OPTIONAL]]))</f>
        <v>160000</v>
      </c>
      <c r="BC8" s="2">
        <v>0</v>
      </c>
      <c r="BD8" s="2">
        <v>0</v>
      </c>
    </row>
    <row r="9" spans="1:56" x14ac:dyDescent="0.35">
      <c r="A9" t="s">
        <v>325</v>
      </c>
      <c r="B9" t="s">
        <v>181</v>
      </c>
      <c r="C9" s="2">
        <v>0</v>
      </c>
      <c r="D9" s="2">
        <v>8</v>
      </c>
      <c r="E9" s="2">
        <f>SUM(Table_ship_components[[#This Row],[UNIT_SIZE]]+(Table_ship_components[[#This Row],[SIZE_PER_ADD_PERSON]]*Table_ship_components[[#This Row],[OPTIONAL]]))</f>
        <v>8</v>
      </c>
      <c r="F9" s="2">
        <v>0</v>
      </c>
      <c r="G9" s="2">
        <f>SUM(Table_ship_components[[#This Row],[POWER_CONSUMPTION]]+(Table_ship_components[[#This Row],[POWER_PER_ADD_PERSON]]*Table_ship_components[[#This Row],[OPTIONAL]]))</f>
        <v>0</v>
      </c>
      <c r="H9" s="2">
        <v>5</v>
      </c>
      <c r="I9" s="2">
        <v>0</v>
      </c>
      <c r="J9" s="2">
        <v>0</v>
      </c>
      <c r="K9" s="2">
        <v>0</v>
      </c>
      <c r="L9" s="2">
        <v>0</v>
      </c>
      <c r="M9" s="2">
        <v>0</v>
      </c>
      <c r="N9" s="2">
        <v>1</v>
      </c>
      <c r="O9" s="2">
        <v>0</v>
      </c>
      <c r="P9" s="2">
        <v>0</v>
      </c>
      <c r="Q9" s="2">
        <v>0</v>
      </c>
      <c r="R9" s="2">
        <v>0</v>
      </c>
      <c r="S9" s="2">
        <v>0</v>
      </c>
      <c r="T9" s="2">
        <v>0</v>
      </c>
      <c r="U9" s="2">
        <v>0</v>
      </c>
      <c r="V9" s="2">
        <v>0</v>
      </c>
      <c r="W9" s="14">
        <v>0</v>
      </c>
      <c r="X9" s="2">
        <v>0</v>
      </c>
      <c r="Y9" s="2">
        <v>0</v>
      </c>
      <c r="Z9" s="2">
        <v>0</v>
      </c>
      <c r="AA9" s="2">
        <v>0</v>
      </c>
      <c r="AB9" s="2">
        <v>0</v>
      </c>
      <c r="AC9" s="2">
        <v>0</v>
      </c>
      <c r="AD9" s="2">
        <v>0</v>
      </c>
      <c r="AE9" s="2">
        <v>0</v>
      </c>
      <c r="AF9" s="2">
        <v>0</v>
      </c>
      <c r="AG9" s="2">
        <v>2</v>
      </c>
      <c r="AH9" s="2">
        <v>0</v>
      </c>
      <c r="AI9" s="2">
        <v>0</v>
      </c>
      <c r="AJ9" s="2">
        <v>0</v>
      </c>
      <c r="AK9" s="2">
        <v>0</v>
      </c>
      <c r="AL9" s="2">
        <v>0</v>
      </c>
      <c r="AM9" s="2">
        <v>0</v>
      </c>
      <c r="AN9" s="2">
        <v>0</v>
      </c>
      <c r="AO9" s="2">
        <v>0</v>
      </c>
      <c r="AP9" s="2">
        <v>0</v>
      </c>
      <c r="AQ9" s="2">
        <v>0</v>
      </c>
      <c r="AR9" s="2">
        <v>0</v>
      </c>
      <c r="AS9" s="2">
        <v>0</v>
      </c>
      <c r="AT9" s="2">
        <v>0</v>
      </c>
      <c r="AU9" s="2">
        <v>0</v>
      </c>
      <c r="AV9" s="2">
        <v>0</v>
      </c>
      <c r="AW9" s="2">
        <v>0</v>
      </c>
      <c r="AX9" s="2">
        <v>0</v>
      </c>
      <c r="AY9" s="2">
        <v>0</v>
      </c>
      <c r="AZ9" s="2" t="s">
        <v>39</v>
      </c>
      <c r="BA9" s="14">
        <v>800000</v>
      </c>
      <c r="BB9" s="14">
        <f>SUM(Table_ship_components[[#This Row],[PRICE]]+(Table_ship_components[[#This Row],[COST_PER_ADD_PERSON]]*Table_ship_components[[#This Row],[OPTIONAL]]))</f>
        <v>800000</v>
      </c>
      <c r="BC9" s="2">
        <v>0</v>
      </c>
      <c r="BD9" s="2">
        <v>0</v>
      </c>
    </row>
    <row r="10" spans="1:56" x14ac:dyDescent="0.35">
      <c r="A10" t="s">
        <v>344</v>
      </c>
      <c r="B10" t="s">
        <v>237</v>
      </c>
      <c r="C10" s="2">
        <v>0</v>
      </c>
      <c r="D10" s="2">
        <v>20</v>
      </c>
      <c r="E10" s="2">
        <f>SUM(Table_ship_components[[#This Row],[UNIT_SIZE]]+(Table_ship_components[[#This Row],[SIZE_PER_ADD_PERSON]]*Table_ship_components[[#This Row],[OPTIONAL]]))</f>
        <v>20</v>
      </c>
      <c r="F10" s="2">
        <v>0</v>
      </c>
      <c r="G10" s="2">
        <f>SUM(Table_ship_components[[#This Row],[POWER_CONSUMPTION]]+(Table_ship_components[[#This Row],[POWER_PER_ADD_PERSON]]*Table_ship_components[[#This Row],[OPTIONAL]]))</f>
        <v>0</v>
      </c>
      <c r="H10" s="2">
        <v>10</v>
      </c>
      <c r="I10" s="2">
        <v>0</v>
      </c>
      <c r="J10" s="2">
        <v>0</v>
      </c>
      <c r="K10" s="2">
        <v>0</v>
      </c>
      <c r="L10" s="2">
        <v>0</v>
      </c>
      <c r="M10" s="2">
        <v>0</v>
      </c>
      <c r="N10" s="2">
        <v>1</v>
      </c>
      <c r="O10" s="2">
        <v>0</v>
      </c>
      <c r="P10" s="2">
        <v>0</v>
      </c>
      <c r="Q10" s="2">
        <v>0</v>
      </c>
      <c r="R10" s="2">
        <v>0</v>
      </c>
      <c r="S10" s="2">
        <v>0</v>
      </c>
      <c r="T10" s="2">
        <v>0</v>
      </c>
      <c r="U10" s="2">
        <v>0</v>
      </c>
      <c r="V10" s="2">
        <v>0</v>
      </c>
      <c r="W10" s="14">
        <v>0</v>
      </c>
      <c r="X10" s="2">
        <v>0</v>
      </c>
      <c r="Y10" s="2">
        <v>0</v>
      </c>
      <c r="Z10" s="2">
        <v>0</v>
      </c>
      <c r="AA10" s="2">
        <v>0</v>
      </c>
      <c r="AB10" s="2">
        <v>0</v>
      </c>
      <c r="AC10" s="2">
        <v>0</v>
      </c>
      <c r="AD10" s="2">
        <v>0</v>
      </c>
      <c r="AE10" s="2">
        <v>0</v>
      </c>
      <c r="AF10" s="2">
        <v>0</v>
      </c>
      <c r="AG10" s="2">
        <v>2</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c r="AY10" s="2">
        <v>0</v>
      </c>
      <c r="AZ10" s="2" t="s">
        <v>39</v>
      </c>
      <c r="BA10" s="14">
        <v>2000000</v>
      </c>
      <c r="BB10" s="14">
        <f>SUM(Table_ship_components[[#This Row],[PRICE]]+(Table_ship_components[[#This Row],[COST_PER_ADD_PERSON]]*Table_ship_components[[#This Row],[OPTIONAL]]))</f>
        <v>2000000</v>
      </c>
      <c r="BC10" s="2">
        <v>0</v>
      </c>
      <c r="BD10" s="2">
        <v>0</v>
      </c>
    </row>
    <row r="11" spans="1:56" x14ac:dyDescent="0.35">
      <c r="A11" t="s">
        <v>441</v>
      </c>
      <c r="B11" t="s">
        <v>442</v>
      </c>
      <c r="C11" s="2">
        <v>0</v>
      </c>
      <c r="D11" s="2">
        <v>6</v>
      </c>
      <c r="E11" s="2">
        <f>SUM(Table_ship_components[[#This Row],[UNIT_SIZE]]+(Table_ship_components[[#This Row],[SIZE_PER_ADD_PERSON]]*Table_ship_components[[#This Row],[OPTIONAL]]))</f>
        <v>6</v>
      </c>
      <c r="F11" s="2">
        <v>2</v>
      </c>
      <c r="G11" s="2">
        <f>SUM(Table_ship_components[[#This Row],[POWER_CONSUMPTION]]+(Table_ship_components[[#This Row],[POWER_PER_ADD_PERSON]]*Table_ship_components[[#This Row],[OPTIONAL]]))</f>
        <v>2</v>
      </c>
      <c r="H11" s="2">
        <v>0</v>
      </c>
      <c r="I11" s="2">
        <v>0</v>
      </c>
      <c r="J11" s="2">
        <v>0</v>
      </c>
      <c r="K11" s="2">
        <v>0</v>
      </c>
      <c r="L11" s="2">
        <v>0</v>
      </c>
      <c r="M11" s="2">
        <v>0</v>
      </c>
      <c r="N11" s="2">
        <v>0</v>
      </c>
      <c r="O11" s="2">
        <v>1</v>
      </c>
      <c r="P11" s="2">
        <v>1</v>
      </c>
      <c r="Q11" s="2">
        <v>1</v>
      </c>
      <c r="R11" s="2">
        <v>1</v>
      </c>
      <c r="S11" s="2">
        <v>1</v>
      </c>
      <c r="T11" s="2">
        <v>1</v>
      </c>
      <c r="U11" s="2">
        <v>1</v>
      </c>
      <c r="V11" s="2">
        <v>1</v>
      </c>
      <c r="W11" s="14">
        <v>25000</v>
      </c>
      <c r="X11" s="2">
        <v>1</v>
      </c>
      <c r="Y11" s="2">
        <v>0</v>
      </c>
      <c r="Z11" s="2">
        <v>0</v>
      </c>
      <c r="AA11" s="2">
        <v>0</v>
      </c>
      <c r="AB11" s="2">
        <v>0</v>
      </c>
      <c r="AC11" s="2">
        <v>0</v>
      </c>
      <c r="AD11" s="2">
        <v>0</v>
      </c>
      <c r="AE11" s="2">
        <v>0</v>
      </c>
      <c r="AF11" s="2">
        <v>0</v>
      </c>
      <c r="AG11" s="2">
        <v>0</v>
      </c>
      <c r="AH11" s="2">
        <v>0</v>
      </c>
      <c r="AI11" s="2">
        <v>0</v>
      </c>
      <c r="AJ11" s="2">
        <v>0</v>
      </c>
      <c r="AK11" s="2">
        <v>0</v>
      </c>
      <c r="AL11" s="2">
        <v>0</v>
      </c>
      <c r="AM11" s="2">
        <v>0</v>
      </c>
      <c r="AN11" s="2">
        <v>0</v>
      </c>
      <c r="AO11" s="2">
        <v>0</v>
      </c>
      <c r="AP11" s="2">
        <v>0</v>
      </c>
      <c r="AQ11" s="2">
        <v>0</v>
      </c>
      <c r="AR11" s="2">
        <v>0</v>
      </c>
      <c r="AS11" s="2">
        <v>0</v>
      </c>
      <c r="AT11" s="2">
        <v>0</v>
      </c>
      <c r="AU11" s="2">
        <v>0</v>
      </c>
      <c r="AV11" s="2">
        <v>0</v>
      </c>
      <c r="AW11" s="2">
        <v>0</v>
      </c>
      <c r="AX11" s="2">
        <v>0</v>
      </c>
      <c r="AY11" s="2">
        <v>0</v>
      </c>
      <c r="AZ11" s="2" t="s">
        <v>39</v>
      </c>
      <c r="BA11" s="14">
        <v>75000</v>
      </c>
      <c r="BB11" s="14">
        <f>SUM(Table_ship_components[[#This Row],[PRICE]]+(Table_ship_components[[#This Row],[COST_PER_ADD_PERSON]]*Table_ship_components[[#This Row],[OPTIONAL]]))</f>
        <v>75000</v>
      </c>
      <c r="BC11" s="2">
        <v>0</v>
      </c>
      <c r="BD11" s="2">
        <v>0</v>
      </c>
    </row>
    <row r="12" spans="1:56" x14ac:dyDescent="0.35">
      <c r="A12" t="s">
        <v>444</v>
      </c>
      <c r="B12" t="s">
        <v>446</v>
      </c>
      <c r="C12" s="2">
        <v>0</v>
      </c>
      <c r="D12" s="2">
        <v>18</v>
      </c>
      <c r="E12" s="2">
        <f>SUM(Table_ship_components[[#This Row],[UNIT_SIZE]]+(Table_ship_components[[#This Row],[SIZE_PER_ADD_PERSON]]*Table_ship_components[[#This Row],[OPTIONAL]]))</f>
        <v>18</v>
      </c>
      <c r="F12" s="2">
        <v>6</v>
      </c>
      <c r="G12" s="2">
        <f>SUM(Table_ship_components[[#This Row],[POWER_CONSUMPTION]]+(Table_ship_components[[#This Row],[POWER_PER_ADD_PERSON]]*Table_ship_components[[#This Row],[OPTIONAL]]))</f>
        <v>6</v>
      </c>
      <c r="H12" s="2">
        <v>0</v>
      </c>
      <c r="I12" s="2">
        <v>0</v>
      </c>
      <c r="J12" s="2">
        <v>0</v>
      </c>
      <c r="K12" s="2">
        <v>0</v>
      </c>
      <c r="L12" s="2">
        <v>0</v>
      </c>
      <c r="M12" s="2">
        <v>0</v>
      </c>
      <c r="N12" s="2">
        <v>0</v>
      </c>
      <c r="O12" s="2">
        <v>1</v>
      </c>
      <c r="P12" s="2">
        <v>1</v>
      </c>
      <c r="Q12" s="2">
        <v>1</v>
      </c>
      <c r="R12" s="2">
        <v>1</v>
      </c>
      <c r="S12" s="2">
        <v>1</v>
      </c>
      <c r="T12" s="2">
        <v>1</v>
      </c>
      <c r="U12" s="2">
        <v>1</v>
      </c>
      <c r="V12" s="2">
        <v>3</v>
      </c>
      <c r="W12" s="14">
        <v>100000</v>
      </c>
      <c r="X12" s="2">
        <v>3</v>
      </c>
      <c r="Y12" s="2">
        <v>0</v>
      </c>
      <c r="Z12" s="2">
        <v>0</v>
      </c>
      <c r="AA12" s="2">
        <v>0</v>
      </c>
      <c r="AB12" s="2">
        <v>0</v>
      </c>
      <c r="AC12" s="2">
        <v>0</v>
      </c>
      <c r="AD12" s="2">
        <v>0</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W12" s="2">
        <v>0</v>
      </c>
      <c r="AX12" s="2">
        <v>0</v>
      </c>
      <c r="AY12" s="2">
        <v>0</v>
      </c>
      <c r="AZ12" s="2" t="s">
        <v>39</v>
      </c>
      <c r="BA12" s="14">
        <v>300000</v>
      </c>
      <c r="BB12" s="14">
        <f>SUM(Table_ship_components[[#This Row],[PRICE]]+(Table_ship_components[[#This Row],[COST_PER_ADD_PERSON]]*Table_ship_components[[#This Row],[OPTIONAL]]))</f>
        <v>300000</v>
      </c>
      <c r="BC12" s="2">
        <v>0</v>
      </c>
      <c r="BD12" s="2">
        <v>0</v>
      </c>
    </row>
    <row r="13" spans="1:56" x14ac:dyDescent="0.35">
      <c r="A13" t="s">
        <v>443</v>
      </c>
      <c r="B13" t="s">
        <v>445</v>
      </c>
      <c r="C13" s="2">
        <v>0</v>
      </c>
      <c r="D13" s="2">
        <v>12</v>
      </c>
      <c r="E13" s="2">
        <f>SUM(Table_ship_components[[#This Row],[UNIT_SIZE]]+(Table_ship_components[[#This Row],[SIZE_PER_ADD_PERSON]]*Table_ship_components[[#This Row],[OPTIONAL]]))</f>
        <v>12</v>
      </c>
      <c r="F13" s="2">
        <v>4</v>
      </c>
      <c r="G13" s="2">
        <f>SUM(Table_ship_components[[#This Row],[POWER_CONSUMPTION]]+(Table_ship_components[[#This Row],[POWER_PER_ADD_PERSON]]*Table_ship_components[[#This Row],[OPTIONAL]]))</f>
        <v>4</v>
      </c>
      <c r="H13" s="2">
        <v>0</v>
      </c>
      <c r="I13" s="2">
        <v>0</v>
      </c>
      <c r="J13" s="2">
        <v>0</v>
      </c>
      <c r="K13" s="2">
        <v>0</v>
      </c>
      <c r="L13" s="2">
        <v>0</v>
      </c>
      <c r="M13" s="2">
        <v>0</v>
      </c>
      <c r="N13" s="2">
        <v>0</v>
      </c>
      <c r="O13" s="2">
        <v>1</v>
      </c>
      <c r="P13" s="2">
        <v>1</v>
      </c>
      <c r="Q13" s="2">
        <v>1</v>
      </c>
      <c r="R13" s="2">
        <v>1</v>
      </c>
      <c r="S13" s="2">
        <v>1</v>
      </c>
      <c r="T13" s="2">
        <v>1</v>
      </c>
      <c r="U13" s="2">
        <v>1</v>
      </c>
      <c r="V13" s="2">
        <v>2</v>
      </c>
      <c r="W13" s="14">
        <v>50000</v>
      </c>
      <c r="X13" s="2">
        <v>2</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0</v>
      </c>
      <c r="AW13" s="2">
        <v>0</v>
      </c>
      <c r="AX13" s="2">
        <v>0</v>
      </c>
      <c r="AY13" s="2">
        <v>0</v>
      </c>
      <c r="AZ13" s="2" t="s">
        <v>39</v>
      </c>
      <c r="BA13" s="14">
        <v>150000</v>
      </c>
      <c r="BB13" s="14">
        <f>SUM(Table_ship_components[[#This Row],[PRICE]]+(Table_ship_components[[#This Row],[COST_PER_ADD_PERSON]]*Table_ship_components[[#This Row],[OPTIONAL]]))</f>
        <v>150000</v>
      </c>
      <c r="BC13" s="2">
        <v>0</v>
      </c>
      <c r="BD13" s="2">
        <v>0</v>
      </c>
    </row>
    <row r="14" spans="1:56" x14ac:dyDescent="0.35">
      <c r="A14" t="s">
        <v>590</v>
      </c>
      <c r="B14" t="s">
        <v>593</v>
      </c>
      <c r="C14" s="2">
        <v>0</v>
      </c>
      <c r="D14" s="2">
        <v>125</v>
      </c>
      <c r="E14" s="2">
        <f>SUM(Table_ship_components[[#This Row],[UNIT_SIZE]]+(Table_ship_components[[#This Row],[SIZE_PER_ADD_PERSON]]*Table_ship_components[[#This Row],[OPTIONAL]]))</f>
        <v>125</v>
      </c>
      <c r="F14" s="2">
        <v>150</v>
      </c>
      <c r="G14" s="2">
        <f>SUM(Table_ship_components[[#This Row],[POWER_CONSUMPTION]]+(Table_ship_components[[#This Row],[POWER_PER_ADD_PERSON]]*Table_ship_components[[#This Row],[OPTIONAL]]))</f>
        <v>150</v>
      </c>
      <c r="H14" s="2">
        <v>0</v>
      </c>
      <c r="I14" s="2">
        <v>0</v>
      </c>
      <c r="J14" s="2">
        <v>0</v>
      </c>
      <c r="K14" s="2">
        <v>0</v>
      </c>
      <c r="L14" s="2">
        <v>0</v>
      </c>
      <c r="M14" s="2">
        <v>0</v>
      </c>
      <c r="N14" s="2">
        <v>0</v>
      </c>
      <c r="O14" s="2">
        <v>0</v>
      </c>
      <c r="P14" s="2">
        <v>0</v>
      </c>
      <c r="Q14" s="2">
        <v>1</v>
      </c>
      <c r="R14" s="2">
        <v>1</v>
      </c>
      <c r="S14" s="2">
        <v>1</v>
      </c>
      <c r="T14" s="2">
        <v>1</v>
      </c>
      <c r="U14" s="2">
        <v>1</v>
      </c>
      <c r="V14" s="2">
        <v>100</v>
      </c>
      <c r="W14" s="14">
        <v>750000</v>
      </c>
      <c r="X14" s="2">
        <v>50</v>
      </c>
      <c r="Y14" s="2">
        <v>0</v>
      </c>
      <c r="Z14" s="2">
        <v>0</v>
      </c>
      <c r="AA14" s="2">
        <v>0</v>
      </c>
      <c r="AB14" s="2">
        <v>0</v>
      </c>
      <c r="AC14" s="2">
        <v>0</v>
      </c>
      <c r="AD14" s="2">
        <v>0</v>
      </c>
      <c r="AE14" s="2">
        <v>0</v>
      </c>
      <c r="AF14" s="2">
        <v>0</v>
      </c>
      <c r="AG14" s="2">
        <v>0</v>
      </c>
      <c r="AH14" s="2">
        <v>0</v>
      </c>
      <c r="AI14" s="2">
        <v>0</v>
      </c>
      <c r="AJ14" s="2">
        <v>0</v>
      </c>
      <c r="AK14" s="2">
        <v>0</v>
      </c>
      <c r="AL14" s="2">
        <v>0</v>
      </c>
      <c r="AM14" s="2">
        <v>0</v>
      </c>
      <c r="AN14" s="2">
        <v>0</v>
      </c>
      <c r="AO14" s="2">
        <v>0</v>
      </c>
      <c r="AP14" s="2">
        <v>0</v>
      </c>
      <c r="AQ14" s="2">
        <v>0</v>
      </c>
      <c r="AR14" s="2">
        <v>0</v>
      </c>
      <c r="AS14" s="2">
        <v>0</v>
      </c>
      <c r="AT14" s="2">
        <v>0</v>
      </c>
      <c r="AU14" s="2">
        <v>0</v>
      </c>
      <c r="AV14" s="2">
        <v>0</v>
      </c>
      <c r="AW14" s="2">
        <v>0</v>
      </c>
      <c r="AX14" s="2">
        <v>0</v>
      </c>
      <c r="AY14" s="2">
        <v>0</v>
      </c>
      <c r="AZ14" s="2" t="s">
        <v>39</v>
      </c>
      <c r="BA14" s="14">
        <v>2500000</v>
      </c>
      <c r="BB14" s="14">
        <f>SUM(Table_ship_components[[#This Row],[PRICE]]+(Table_ship_components[[#This Row],[COST_PER_ADD_PERSON]]*Table_ship_components[[#This Row],[OPTIONAL]]))</f>
        <v>2500000</v>
      </c>
      <c r="BC14" s="2">
        <v>0</v>
      </c>
      <c r="BD14" s="2">
        <v>0</v>
      </c>
    </row>
    <row r="15" spans="1:56" x14ac:dyDescent="0.35">
      <c r="A15" t="s">
        <v>588</v>
      </c>
      <c r="B15" t="s">
        <v>591</v>
      </c>
      <c r="C15" s="2">
        <v>0</v>
      </c>
      <c r="D15" s="2">
        <v>30</v>
      </c>
      <c r="E15" s="2">
        <f>SUM(Table_ship_components[[#This Row],[UNIT_SIZE]]+(Table_ship_components[[#This Row],[SIZE_PER_ADD_PERSON]]*Table_ship_components[[#This Row],[OPTIONAL]]))</f>
        <v>30</v>
      </c>
      <c r="F15" s="2">
        <v>15</v>
      </c>
      <c r="G15" s="2">
        <f>SUM(Table_ship_components[[#This Row],[POWER_CONSUMPTION]]+(Table_ship_components[[#This Row],[POWER_PER_ADD_PERSON]]*Table_ship_components[[#This Row],[OPTIONAL]]))</f>
        <v>15</v>
      </c>
      <c r="H15" s="2">
        <v>0</v>
      </c>
      <c r="I15" s="2">
        <v>0</v>
      </c>
      <c r="J15" s="2">
        <v>0</v>
      </c>
      <c r="K15" s="2">
        <v>0</v>
      </c>
      <c r="L15" s="2">
        <v>0</v>
      </c>
      <c r="M15" s="2">
        <v>0</v>
      </c>
      <c r="N15" s="2">
        <v>0</v>
      </c>
      <c r="O15" s="2">
        <v>1</v>
      </c>
      <c r="P15" s="2">
        <v>1</v>
      </c>
      <c r="Q15" s="2">
        <v>1</v>
      </c>
      <c r="R15" s="2">
        <v>1</v>
      </c>
      <c r="S15" s="2">
        <v>1</v>
      </c>
      <c r="T15" s="2">
        <v>1</v>
      </c>
      <c r="U15" s="2">
        <v>1</v>
      </c>
      <c r="V15" s="2">
        <v>20</v>
      </c>
      <c r="W15" s="14">
        <v>45000</v>
      </c>
      <c r="X15" s="2">
        <v>5</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t="s">
        <v>39</v>
      </c>
      <c r="BA15" s="14">
        <v>350000</v>
      </c>
      <c r="BB15" s="14">
        <f>SUM(Table_ship_components[[#This Row],[PRICE]]+(Table_ship_components[[#This Row],[COST_PER_ADD_PERSON]]*Table_ship_components[[#This Row],[OPTIONAL]]))</f>
        <v>350000</v>
      </c>
      <c r="BC15" s="2">
        <v>0</v>
      </c>
      <c r="BD15" s="2">
        <v>0</v>
      </c>
    </row>
    <row r="16" spans="1:56" x14ac:dyDescent="0.35">
      <c r="A16" t="s">
        <v>589</v>
      </c>
      <c r="B16" t="s">
        <v>592</v>
      </c>
      <c r="C16" s="2">
        <v>0</v>
      </c>
      <c r="D16" s="2">
        <v>50</v>
      </c>
      <c r="E16" s="2">
        <f>SUM(Table_ship_components[[#This Row],[UNIT_SIZE]]+(Table_ship_components[[#This Row],[SIZE_PER_ADD_PERSON]]*Table_ship_components[[#This Row],[OPTIONAL]]))</f>
        <v>50</v>
      </c>
      <c r="F16" s="2">
        <v>75</v>
      </c>
      <c r="G16" s="2">
        <f>SUM(Table_ship_components[[#This Row],[POWER_CONSUMPTION]]+(Table_ship_components[[#This Row],[POWER_PER_ADD_PERSON]]*Table_ship_components[[#This Row],[OPTIONAL]]))</f>
        <v>75</v>
      </c>
      <c r="H16" s="2">
        <v>0</v>
      </c>
      <c r="I16" s="2">
        <v>0</v>
      </c>
      <c r="J16" s="2">
        <v>0</v>
      </c>
      <c r="K16" s="2">
        <v>0</v>
      </c>
      <c r="L16" s="2">
        <v>0</v>
      </c>
      <c r="M16" s="2">
        <v>0</v>
      </c>
      <c r="N16" s="2">
        <v>0</v>
      </c>
      <c r="O16" s="2">
        <v>0</v>
      </c>
      <c r="P16" s="2">
        <v>1</v>
      </c>
      <c r="Q16" s="2">
        <v>1</v>
      </c>
      <c r="R16" s="2">
        <v>1</v>
      </c>
      <c r="S16" s="2">
        <v>1</v>
      </c>
      <c r="T16" s="2">
        <v>1</v>
      </c>
      <c r="U16" s="2">
        <v>1</v>
      </c>
      <c r="V16" s="2">
        <v>40</v>
      </c>
      <c r="W16" s="14">
        <v>300000</v>
      </c>
      <c r="X16" s="2">
        <v>25</v>
      </c>
      <c r="Y16" s="2">
        <v>0</v>
      </c>
      <c r="Z16" s="2">
        <v>0</v>
      </c>
      <c r="AA16" s="2">
        <v>0</v>
      </c>
      <c r="AB16" s="2">
        <v>0</v>
      </c>
      <c r="AC16" s="2">
        <v>0</v>
      </c>
      <c r="AD16" s="2">
        <v>0</v>
      </c>
      <c r="AE16" s="2">
        <v>0</v>
      </c>
      <c r="AF16" s="2">
        <v>0</v>
      </c>
      <c r="AG16" s="2">
        <v>0</v>
      </c>
      <c r="AH16" s="2">
        <v>0</v>
      </c>
      <c r="AI16" s="2">
        <v>0</v>
      </c>
      <c r="AJ16" s="2">
        <v>0</v>
      </c>
      <c r="AK16" s="2">
        <v>0</v>
      </c>
      <c r="AL16" s="2">
        <v>0</v>
      </c>
      <c r="AM16" s="2">
        <v>0</v>
      </c>
      <c r="AN16" s="2">
        <v>0</v>
      </c>
      <c r="AO16" s="2">
        <v>0</v>
      </c>
      <c r="AP16" s="2">
        <v>0</v>
      </c>
      <c r="AQ16" s="2">
        <v>0</v>
      </c>
      <c r="AR16" s="2">
        <v>0</v>
      </c>
      <c r="AS16" s="2">
        <v>0</v>
      </c>
      <c r="AT16" s="2">
        <v>0</v>
      </c>
      <c r="AU16" s="2">
        <v>0</v>
      </c>
      <c r="AV16" s="2">
        <v>0</v>
      </c>
      <c r="AW16" s="2">
        <v>0</v>
      </c>
      <c r="AX16" s="2">
        <v>0</v>
      </c>
      <c r="AY16" s="2">
        <v>0</v>
      </c>
      <c r="AZ16" s="2" t="s">
        <v>39</v>
      </c>
      <c r="BA16" s="14">
        <v>700000</v>
      </c>
      <c r="BB16" s="14">
        <f>SUM(Table_ship_components[[#This Row],[PRICE]]+(Table_ship_components[[#This Row],[COST_PER_ADD_PERSON]]*Table_ship_components[[#This Row],[OPTIONAL]]))</f>
        <v>700000</v>
      </c>
      <c r="BC16" s="2">
        <v>0</v>
      </c>
      <c r="BD16" s="2">
        <v>0</v>
      </c>
    </row>
    <row r="17" spans="1:56" x14ac:dyDescent="0.35">
      <c r="A17" t="s">
        <v>345</v>
      </c>
      <c r="B17" t="s">
        <v>234</v>
      </c>
      <c r="C17" s="2">
        <v>0</v>
      </c>
      <c r="D17" s="2">
        <v>4</v>
      </c>
      <c r="E17" s="2">
        <f>SUM(Table_ship_components[[#This Row],[UNIT_SIZE]]+(Table_ship_components[[#This Row],[SIZE_PER_ADD_PERSON]]*Table_ship_components[[#This Row],[OPTIONAL]]))</f>
        <v>4</v>
      </c>
      <c r="F17" s="2">
        <v>4</v>
      </c>
      <c r="G17" s="2">
        <f>SUM(Table_ship_components[[#This Row],[POWER_CONSUMPTION]]+(Table_ship_components[[#This Row],[POWER_PER_ADD_PERSON]]*Table_ship_components[[#This Row],[OPTIONAL]]))</f>
        <v>4</v>
      </c>
      <c r="H17" s="2">
        <v>0</v>
      </c>
      <c r="I17" s="2">
        <v>0</v>
      </c>
      <c r="J17" s="2">
        <v>0</v>
      </c>
      <c r="K17" s="2">
        <v>0</v>
      </c>
      <c r="L17" s="2">
        <v>0</v>
      </c>
      <c r="M17" s="2">
        <v>0</v>
      </c>
      <c r="N17" s="2">
        <v>0</v>
      </c>
      <c r="O17" s="2">
        <v>1</v>
      </c>
      <c r="P17" s="2">
        <v>0</v>
      </c>
      <c r="Q17" s="2">
        <v>0</v>
      </c>
      <c r="R17" s="2">
        <v>0</v>
      </c>
      <c r="S17" s="2">
        <v>0</v>
      </c>
      <c r="T17" s="2">
        <v>0</v>
      </c>
      <c r="U17" s="2">
        <v>0</v>
      </c>
      <c r="V17" s="2">
        <v>0</v>
      </c>
      <c r="W17" s="14">
        <v>0</v>
      </c>
      <c r="X17" s="2">
        <v>0</v>
      </c>
      <c r="Y17" s="2">
        <v>0</v>
      </c>
      <c r="Z17" s="2">
        <v>0</v>
      </c>
      <c r="AA17" s="2">
        <v>0</v>
      </c>
      <c r="AB17" s="2">
        <v>0</v>
      </c>
      <c r="AC17" s="2">
        <v>0</v>
      </c>
      <c r="AD17" s="2">
        <v>0</v>
      </c>
      <c r="AE17" s="2">
        <v>0</v>
      </c>
      <c r="AF17" s="2">
        <v>0</v>
      </c>
      <c r="AG17" s="2">
        <v>0</v>
      </c>
      <c r="AH17" s="2">
        <v>0</v>
      </c>
      <c r="AI17" s="2">
        <v>0</v>
      </c>
      <c r="AJ17" s="2">
        <v>0</v>
      </c>
      <c r="AK17" s="2">
        <v>0</v>
      </c>
      <c r="AL17" s="2">
        <v>0</v>
      </c>
      <c r="AM17" s="2">
        <v>0</v>
      </c>
      <c r="AN17" s="2">
        <v>0</v>
      </c>
      <c r="AO17" s="2">
        <v>0</v>
      </c>
      <c r="AP17" s="2">
        <v>0</v>
      </c>
      <c r="AQ17" s="2">
        <v>-1</v>
      </c>
      <c r="AR17" s="2">
        <v>0</v>
      </c>
      <c r="AS17" s="2">
        <v>0</v>
      </c>
      <c r="AT17" s="2">
        <v>0</v>
      </c>
      <c r="AU17" s="2">
        <v>0</v>
      </c>
      <c r="AV17" s="2">
        <v>0</v>
      </c>
      <c r="AW17" s="2">
        <v>0</v>
      </c>
      <c r="AX17" s="2">
        <v>0</v>
      </c>
      <c r="AY17" s="2">
        <v>0</v>
      </c>
      <c r="AZ17" s="2" t="s">
        <v>39</v>
      </c>
      <c r="BA17" s="14">
        <v>125000</v>
      </c>
      <c r="BB17" s="14">
        <f>SUM(Table_ship_components[[#This Row],[PRICE]]+(Table_ship_components[[#This Row],[COST_PER_ADD_PERSON]]*Table_ship_components[[#This Row],[OPTIONAL]]))</f>
        <v>125000</v>
      </c>
      <c r="BC17" s="2">
        <v>0</v>
      </c>
      <c r="BD17" s="2">
        <v>0</v>
      </c>
    </row>
    <row r="18" spans="1:56" x14ac:dyDescent="0.35">
      <c r="A18" t="s">
        <v>346</v>
      </c>
      <c r="B18" t="s">
        <v>235</v>
      </c>
      <c r="C18" s="2">
        <v>0</v>
      </c>
      <c r="D18" s="2">
        <v>8</v>
      </c>
      <c r="E18" s="2">
        <f>SUM(Table_ship_components[[#This Row],[UNIT_SIZE]]+(Table_ship_components[[#This Row],[SIZE_PER_ADD_PERSON]]*Table_ship_components[[#This Row],[OPTIONAL]]))</f>
        <v>8</v>
      </c>
      <c r="F18" s="2">
        <v>8</v>
      </c>
      <c r="G18" s="2">
        <f>SUM(Table_ship_components[[#This Row],[POWER_CONSUMPTION]]+(Table_ship_components[[#This Row],[POWER_PER_ADD_PERSON]]*Table_ship_components[[#This Row],[OPTIONAL]]))</f>
        <v>8</v>
      </c>
      <c r="H18" s="2">
        <v>0</v>
      </c>
      <c r="I18" s="2">
        <v>0</v>
      </c>
      <c r="J18" s="2">
        <v>0</v>
      </c>
      <c r="K18" s="2">
        <v>0</v>
      </c>
      <c r="L18" s="2">
        <v>0</v>
      </c>
      <c r="M18" s="2">
        <v>0</v>
      </c>
      <c r="N18" s="2">
        <v>0</v>
      </c>
      <c r="O18" s="2">
        <v>1</v>
      </c>
      <c r="P18" s="2">
        <v>0</v>
      </c>
      <c r="Q18" s="2">
        <v>0</v>
      </c>
      <c r="R18" s="2">
        <v>0</v>
      </c>
      <c r="S18" s="2">
        <v>0</v>
      </c>
      <c r="T18" s="2">
        <v>0</v>
      </c>
      <c r="U18" s="2">
        <v>0</v>
      </c>
      <c r="V18" s="2">
        <v>0</v>
      </c>
      <c r="W18" s="14">
        <v>0</v>
      </c>
      <c r="X18" s="2">
        <v>0</v>
      </c>
      <c r="Y18" s="2">
        <v>0</v>
      </c>
      <c r="Z18" s="2">
        <v>0</v>
      </c>
      <c r="AA18" s="2">
        <v>0</v>
      </c>
      <c r="AB18" s="2">
        <v>0</v>
      </c>
      <c r="AC18" s="2">
        <v>0</v>
      </c>
      <c r="AD18" s="2">
        <v>0</v>
      </c>
      <c r="AE18" s="2">
        <v>0</v>
      </c>
      <c r="AF18" s="2">
        <v>0</v>
      </c>
      <c r="AG18" s="2">
        <v>0</v>
      </c>
      <c r="AH18" s="2">
        <v>0</v>
      </c>
      <c r="AI18" s="2">
        <v>0</v>
      </c>
      <c r="AJ18" s="2">
        <v>0</v>
      </c>
      <c r="AK18" s="2">
        <v>0</v>
      </c>
      <c r="AL18" s="2">
        <v>0</v>
      </c>
      <c r="AM18" s="2">
        <v>0</v>
      </c>
      <c r="AN18" s="2">
        <v>0</v>
      </c>
      <c r="AO18" s="2">
        <v>0</v>
      </c>
      <c r="AP18" s="2">
        <v>0</v>
      </c>
      <c r="AQ18" s="2">
        <v>0</v>
      </c>
      <c r="AR18" s="2">
        <v>0</v>
      </c>
      <c r="AS18" s="2">
        <v>0</v>
      </c>
      <c r="AT18" s="2">
        <v>0</v>
      </c>
      <c r="AU18" s="2">
        <v>0</v>
      </c>
      <c r="AV18" s="2">
        <v>0</v>
      </c>
      <c r="AW18" s="2">
        <v>0</v>
      </c>
      <c r="AX18" s="2">
        <v>0</v>
      </c>
      <c r="AY18" s="2">
        <v>0</v>
      </c>
      <c r="AZ18" s="2" t="s">
        <v>39</v>
      </c>
      <c r="BA18" s="14">
        <v>250000</v>
      </c>
      <c r="BB18" s="14">
        <f>SUM(Table_ship_components[[#This Row],[PRICE]]+(Table_ship_components[[#This Row],[COST_PER_ADD_PERSON]]*Table_ship_components[[#This Row],[OPTIONAL]]))</f>
        <v>250000</v>
      </c>
      <c r="BC18" s="2">
        <v>0</v>
      </c>
      <c r="BD18" s="2">
        <v>0</v>
      </c>
    </row>
    <row r="19" spans="1:56" x14ac:dyDescent="0.35">
      <c r="A19" t="s">
        <v>347</v>
      </c>
      <c r="B19" t="s">
        <v>236</v>
      </c>
      <c r="C19" s="2">
        <v>0</v>
      </c>
      <c r="D19" s="2">
        <v>12</v>
      </c>
      <c r="E19" s="2">
        <f>SUM(Table_ship_components[[#This Row],[UNIT_SIZE]]+(Table_ship_components[[#This Row],[SIZE_PER_ADD_PERSON]]*Table_ship_components[[#This Row],[OPTIONAL]]))</f>
        <v>12</v>
      </c>
      <c r="F19" s="2">
        <v>12</v>
      </c>
      <c r="G19" s="2">
        <f>SUM(Table_ship_components[[#This Row],[POWER_CONSUMPTION]]+(Table_ship_components[[#This Row],[POWER_PER_ADD_PERSON]]*Table_ship_components[[#This Row],[OPTIONAL]]))</f>
        <v>12</v>
      </c>
      <c r="H19" s="2">
        <v>0</v>
      </c>
      <c r="I19" s="2">
        <v>0</v>
      </c>
      <c r="J19" s="2">
        <v>0</v>
      </c>
      <c r="K19" s="2">
        <v>0</v>
      </c>
      <c r="L19" s="2">
        <v>0</v>
      </c>
      <c r="M19" s="2">
        <v>0</v>
      </c>
      <c r="N19" s="2">
        <v>0</v>
      </c>
      <c r="O19" s="2">
        <v>1</v>
      </c>
      <c r="P19" s="2">
        <v>0</v>
      </c>
      <c r="Q19" s="2">
        <v>0</v>
      </c>
      <c r="R19" s="2">
        <v>0</v>
      </c>
      <c r="S19" s="2">
        <v>0</v>
      </c>
      <c r="T19" s="2">
        <v>0</v>
      </c>
      <c r="U19" s="2">
        <v>0</v>
      </c>
      <c r="V19" s="2">
        <v>0</v>
      </c>
      <c r="W19" s="14">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c r="AQ19" s="2">
        <v>1</v>
      </c>
      <c r="AR19" s="2">
        <v>0</v>
      </c>
      <c r="AS19" s="2">
        <v>0</v>
      </c>
      <c r="AT19" s="2">
        <v>0</v>
      </c>
      <c r="AU19" s="2">
        <v>0</v>
      </c>
      <c r="AV19" s="2">
        <v>0</v>
      </c>
      <c r="AW19" s="2">
        <v>0</v>
      </c>
      <c r="AX19" s="2">
        <v>0</v>
      </c>
      <c r="AY19" s="2">
        <v>0</v>
      </c>
      <c r="AZ19" s="2" t="s">
        <v>39</v>
      </c>
      <c r="BA19" s="14">
        <v>500000</v>
      </c>
      <c r="BB19" s="14">
        <f>SUM(Table_ship_components[[#This Row],[PRICE]]+(Table_ship_components[[#This Row],[COST_PER_ADD_PERSON]]*Table_ship_components[[#This Row],[OPTIONAL]]))</f>
        <v>500000</v>
      </c>
      <c r="BC19" s="2">
        <v>0</v>
      </c>
      <c r="BD19" s="2">
        <v>0</v>
      </c>
    </row>
    <row r="20" spans="1:56" x14ac:dyDescent="0.35">
      <c r="A20" t="s">
        <v>315</v>
      </c>
      <c r="B20" t="s">
        <v>426</v>
      </c>
      <c r="C20" s="2">
        <v>0</v>
      </c>
      <c r="D20" s="2">
        <v>0</v>
      </c>
      <c r="E20" s="2">
        <f>SUM(Table_ship_components[[#This Row],[UNIT_SIZE]]+(Table_ship_components[[#This Row],[SIZE_PER_ADD_PERSON]]*Table_ship_components[[#This Row],[OPTIONAL]]))</f>
        <v>0</v>
      </c>
      <c r="F20" s="2">
        <v>0</v>
      </c>
      <c r="G20" s="2">
        <f>SUM(Table_ship_components[[#This Row],[POWER_CONSUMPTION]]+(Table_ship_components[[#This Row],[POWER_PER_ADD_PERSON]]*Table_ship_components[[#This Row],[OPTIONAL]]))</f>
        <v>0</v>
      </c>
      <c r="H20" s="2">
        <v>0</v>
      </c>
      <c r="I20" s="2">
        <v>0</v>
      </c>
      <c r="J20" s="2">
        <v>0</v>
      </c>
      <c r="K20" s="2">
        <v>0</v>
      </c>
      <c r="L20" s="2">
        <v>0</v>
      </c>
      <c r="M20" s="2">
        <v>0</v>
      </c>
      <c r="N20" s="2">
        <v>1</v>
      </c>
      <c r="O20" s="2">
        <v>1</v>
      </c>
      <c r="P20" s="2">
        <v>1</v>
      </c>
      <c r="Q20" s="2">
        <v>1</v>
      </c>
      <c r="R20" s="2">
        <v>1</v>
      </c>
      <c r="S20" s="2">
        <v>1</v>
      </c>
      <c r="T20" s="2">
        <v>1</v>
      </c>
      <c r="U20" s="2">
        <v>1</v>
      </c>
      <c r="V20" s="2">
        <v>1</v>
      </c>
      <c r="W20" s="14">
        <v>5000</v>
      </c>
      <c r="X20" s="2">
        <v>0</v>
      </c>
      <c r="Y20" s="2">
        <v>0</v>
      </c>
      <c r="Z20" s="2">
        <v>0</v>
      </c>
      <c r="AA20" s="2">
        <v>0</v>
      </c>
      <c r="AB20" s="2">
        <v>0</v>
      </c>
      <c r="AC20" s="2">
        <v>0</v>
      </c>
      <c r="AD20" s="2">
        <v>0</v>
      </c>
      <c r="AE20" s="2">
        <v>0</v>
      </c>
      <c r="AF20" s="2">
        <v>0</v>
      </c>
      <c r="AG20" s="2">
        <v>0</v>
      </c>
      <c r="AH20" s="2">
        <v>0</v>
      </c>
      <c r="AI20" s="2">
        <v>0</v>
      </c>
      <c r="AJ20" s="2">
        <v>0</v>
      </c>
      <c r="AK20" s="2">
        <v>0</v>
      </c>
      <c r="AL20" s="2">
        <v>0</v>
      </c>
      <c r="AM20" s="2">
        <v>0</v>
      </c>
      <c r="AN20" s="2">
        <v>0</v>
      </c>
      <c r="AO20" s="2">
        <v>0</v>
      </c>
      <c r="AP20" s="2">
        <v>0</v>
      </c>
      <c r="AQ20" s="2">
        <v>0</v>
      </c>
      <c r="AR20" s="2">
        <v>0</v>
      </c>
      <c r="AS20" s="2">
        <v>0</v>
      </c>
      <c r="AT20" s="2">
        <v>0</v>
      </c>
      <c r="AU20" s="2">
        <v>0</v>
      </c>
      <c r="AV20" s="2">
        <v>0</v>
      </c>
      <c r="AW20" s="2">
        <v>0</v>
      </c>
      <c r="AX20" s="2">
        <v>0</v>
      </c>
      <c r="AY20" s="2">
        <v>0</v>
      </c>
      <c r="AZ20" s="2" t="s">
        <v>39</v>
      </c>
      <c r="BA20" s="14">
        <v>5000</v>
      </c>
      <c r="BB20" s="14">
        <f>SUM(Table_ship_components[[#This Row],[PRICE]]+(Table_ship_components[[#This Row],[COST_PER_ADD_PERSON]]*Table_ship_components[[#This Row],[OPTIONAL]]))</f>
        <v>5000</v>
      </c>
      <c r="BC20" s="2">
        <v>0</v>
      </c>
      <c r="BD20" s="2">
        <v>0</v>
      </c>
    </row>
    <row r="21" spans="1:56" x14ac:dyDescent="0.35">
      <c r="A21" t="s">
        <v>736</v>
      </c>
      <c r="B21" t="s">
        <v>741</v>
      </c>
      <c r="C21" s="2">
        <v>0</v>
      </c>
      <c r="D21" s="2">
        <v>2</v>
      </c>
      <c r="E21" s="2">
        <f>SUM(Table_ship_components[[#This Row],[UNIT_SIZE]]+(Table_ship_components[[#This Row],[SIZE_PER_ADD_PERSON]]*Table_ship_components[[#This Row],[OPTIONAL]]))</f>
        <v>2</v>
      </c>
      <c r="F21" s="2">
        <v>1</v>
      </c>
      <c r="G21" s="2">
        <f>SUM(Table_ship_components[[#This Row],[POWER_CONSUMPTION]]+(Table_ship_components[[#This Row],[POWER_PER_ADD_PERSON]]*Table_ship_components[[#This Row],[OPTIONAL]]))</f>
        <v>1</v>
      </c>
      <c r="H21" s="2">
        <v>0</v>
      </c>
      <c r="I21" s="2">
        <v>0</v>
      </c>
      <c r="J21" s="2">
        <v>0</v>
      </c>
      <c r="K21" s="2">
        <v>0</v>
      </c>
      <c r="L21" s="2">
        <v>0</v>
      </c>
      <c r="M21" s="2">
        <v>0</v>
      </c>
      <c r="N21" s="2">
        <v>1</v>
      </c>
      <c r="O21" s="2">
        <v>0</v>
      </c>
      <c r="P21" s="2">
        <v>0</v>
      </c>
      <c r="Q21" s="2">
        <v>0</v>
      </c>
      <c r="R21" s="2">
        <v>0</v>
      </c>
      <c r="S21" s="2">
        <v>0</v>
      </c>
      <c r="T21" s="2">
        <v>0</v>
      </c>
      <c r="U21" s="2">
        <v>0</v>
      </c>
      <c r="V21" s="2">
        <v>0</v>
      </c>
      <c r="W21" s="14">
        <v>0</v>
      </c>
      <c r="X21" s="2">
        <v>1</v>
      </c>
      <c r="Y21" s="2">
        <v>1</v>
      </c>
      <c r="Z21" s="2">
        <v>1</v>
      </c>
      <c r="AA21" s="2">
        <v>0</v>
      </c>
      <c r="AB21" s="2">
        <v>0</v>
      </c>
      <c r="AC21" s="2">
        <v>0</v>
      </c>
      <c r="AD21" s="2">
        <v>0</v>
      </c>
      <c r="AE21" s="2">
        <v>0</v>
      </c>
      <c r="AF21" s="2">
        <v>0</v>
      </c>
      <c r="AG21" s="2">
        <v>0</v>
      </c>
      <c r="AH21" s="2">
        <v>0</v>
      </c>
      <c r="AI21" s="2">
        <v>0</v>
      </c>
      <c r="AJ21" s="2">
        <v>0</v>
      </c>
      <c r="AK21" s="2">
        <v>0</v>
      </c>
      <c r="AL21" s="2">
        <v>0</v>
      </c>
      <c r="AM21" s="2">
        <v>0</v>
      </c>
      <c r="AN21" s="2">
        <v>0</v>
      </c>
      <c r="AO21" s="2">
        <v>0</v>
      </c>
      <c r="AP21" s="2">
        <v>0</v>
      </c>
      <c r="AQ21" s="2">
        <v>0</v>
      </c>
      <c r="AR21" s="2">
        <v>0</v>
      </c>
      <c r="AS21" s="2">
        <v>0</v>
      </c>
      <c r="AT21" s="2">
        <v>0</v>
      </c>
      <c r="AU21" s="2">
        <v>0</v>
      </c>
      <c r="AV21" s="2">
        <v>0</v>
      </c>
      <c r="AW21" s="2">
        <v>0</v>
      </c>
      <c r="AX21" s="2">
        <v>0</v>
      </c>
      <c r="AY21" s="2">
        <v>0</v>
      </c>
      <c r="AZ21" s="2" t="s">
        <v>39</v>
      </c>
      <c r="BA21" s="14">
        <v>50000</v>
      </c>
      <c r="BB21" s="14">
        <f>SUM(Table_ship_components[[#This Row],[PRICE]]+(Table_ship_components[[#This Row],[COST_PER_ADD_PERSON]]*Table_ship_components[[#This Row],[OPTIONAL]]))</f>
        <v>50000</v>
      </c>
      <c r="BC21" s="2">
        <v>0</v>
      </c>
      <c r="BD21" s="2">
        <v>0</v>
      </c>
    </row>
    <row r="22" spans="1:56" x14ac:dyDescent="0.35">
      <c r="A22" t="s">
        <v>737</v>
      </c>
      <c r="B22" t="s">
        <v>739</v>
      </c>
      <c r="C22" s="2">
        <v>0</v>
      </c>
      <c r="D22" s="2">
        <v>3</v>
      </c>
      <c r="E22" s="2">
        <f>SUM(Table_ship_components[[#This Row],[UNIT_SIZE]]+(Table_ship_components[[#This Row],[SIZE_PER_ADD_PERSON]]*Table_ship_components[[#This Row],[OPTIONAL]]))</f>
        <v>3</v>
      </c>
      <c r="F22" s="2">
        <v>2</v>
      </c>
      <c r="G22" s="2">
        <f>SUM(Table_ship_components[[#This Row],[POWER_CONSUMPTION]]+(Table_ship_components[[#This Row],[POWER_PER_ADD_PERSON]]*Table_ship_components[[#This Row],[OPTIONAL]]))</f>
        <v>2</v>
      </c>
      <c r="H22" s="2">
        <v>0</v>
      </c>
      <c r="I22" s="2">
        <v>0</v>
      </c>
      <c r="J22" s="2">
        <v>0</v>
      </c>
      <c r="K22" s="2">
        <v>0</v>
      </c>
      <c r="L22" s="2">
        <v>0</v>
      </c>
      <c r="M22" s="2">
        <v>0</v>
      </c>
      <c r="N22" s="2">
        <v>1</v>
      </c>
      <c r="O22" s="2">
        <v>0</v>
      </c>
      <c r="P22" s="2">
        <v>0</v>
      </c>
      <c r="Q22" s="2">
        <v>0</v>
      </c>
      <c r="R22" s="2">
        <v>0</v>
      </c>
      <c r="S22" s="2">
        <v>0</v>
      </c>
      <c r="T22" s="2">
        <v>0</v>
      </c>
      <c r="U22" s="2">
        <v>0</v>
      </c>
      <c r="V22" s="2">
        <v>0</v>
      </c>
      <c r="W22" s="14">
        <v>0</v>
      </c>
      <c r="X22" s="2">
        <v>2</v>
      </c>
      <c r="Y22" s="2">
        <v>1</v>
      </c>
      <c r="Z22" s="2">
        <v>2</v>
      </c>
      <c r="AA22" s="2">
        <v>0</v>
      </c>
      <c r="AB22" s="2">
        <v>0</v>
      </c>
      <c r="AC22" s="2">
        <v>0</v>
      </c>
      <c r="AD22" s="2">
        <v>0</v>
      </c>
      <c r="AE22" s="2">
        <v>0</v>
      </c>
      <c r="AF22" s="2">
        <v>0</v>
      </c>
      <c r="AG22" s="2">
        <v>0</v>
      </c>
      <c r="AH22" s="2">
        <v>0</v>
      </c>
      <c r="AI22" s="2">
        <v>0</v>
      </c>
      <c r="AJ22" s="2">
        <v>0</v>
      </c>
      <c r="AK22" s="2">
        <v>0</v>
      </c>
      <c r="AL22" s="2">
        <v>0</v>
      </c>
      <c r="AM22" s="2">
        <v>0</v>
      </c>
      <c r="AN22" s="2">
        <v>0</v>
      </c>
      <c r="AO22" s="2">
        <v>0</v>
      </c>
      <c r="AP22" s="2">
        <v>0</v>
      </c>
      <c r="AQ22" s="2">
        <v>0</v>
      </c>
      <c r="AR22" s="2">
        <v>0</v>
      </c>
      <c r="AS22" s="2">
        <v>1</v>
      </c>
      <c r="AT22" s="2">
        <v>1</v>
      </c>
      <c r="AU22" s="2">
        <v>0</v>
      </c>
      <c r="AV22" s="2">
        <v>0</v>
      </c>
      <c r="AW22" s="2">
        <v>0</v>
      </c>
      <c r="AX22" s="2">
        <v>0</v>
      </c>
      <c r="AY22" s="2">
        <v>0</v>
      </c>
      <c r="AZ22" s="2" t="s">
        <v>39</v>
      </c>
      <c r="BA22" s="14">
        <v>100000</v>
      </c>
      <c r="BB22" s="14">
        <f>SUM(Table_ship_components[[#This Row],[PRICE]]+(Table_ship_components[[#This Row],[COST_PER_ADD_PERSON]]*Table_ship_components[[#This Row],[OPTIONAL]]))</f>
        <v>100000</v>
      </c>
      <c r="BC22" s="2">
        <v>0</v>
      </c>
      <c r="BD22" s="2">
        <v>0</v>
      </c>
    </row>
    <row r="23" spans="1:56" x14ac:dyDescent="0.35">
      <c r="A23" t="s">
        <v>738</v>
      </c>
      <c r="B23" t="s">
        <v>740</v>
      </c>
      <c r="C23" s="2">
        <v>0</v>
      </c>
      <c r="D23" s="2">
        <v>4</v>
      </c>
      <c r="E23" s="2">
        <f>SUM(Table_ship_components[[#This Row],[UNIT_SIZE]]+(Table_ship_components[[#This Row],[SIZE_PER_ADD_PERSON]]*Table_ship_components[[#This Row],[OPTIONAL]]))</f>
        <v>4</v>
      </c>
      <c r="F23" s="2">
        <v>3</v>
      </c>
      <c r="G23" s="2">
        <f>SUM(Table_ship_components[[#This Row],[POWER_CONSUMPTION]]+(Table_ship_components[[#This Row],[POWER_PER_ADD_PERSON]]*Table_ship_components[[#This Row],[OPTIONAL]]))</f>
        <v>3</v>
      </c>
      <c r="H23" s="2">
        <v>0</v>
      </c>
      <c r="I23" s="2">
        <v>0</v>
      </c>
      <c r="J23" s="2">
        <v>0</v>
      </c>
      <c r="K23" s="2">
        <v>0</v>
      </c>
      <c r="L23" s="2">
        <v>0</v>
      </c>
      <c r="M23" s="2">
        <v>0</v>
      </c>
      <c r="N23" s="2">
        <v>1</v>
      </c>
      <c r="O23" s="2">
        <v>0</v>
      </c>
      <c r="P23" s="2">
        <v>0</v>
      </c>
      <c r="Q23" s="2">
        <v>0</v>
      </c>
      <c r="R23" s="2">
        <v>0</v>
      </c>
      <c r="S23" s="2">
        <v>0</v>
      </c>
      <c r="T23" s="2">
        <v>0</v>
      </c>
      <c r="U23" s="2">
        <v>0</v>
      </c>
      <c r="V23" s="2">
        <v>0</v>
      </c>
      <c r="W23" s="14">
        <v>0</v>
      </c>
      <c r="X23" s="2">
        <v>3</v>
      </c>
      <c r="Y23" s="2">
        <v>1</v>
      </c>
      <c r="Z23" s="2">
        <v>3</v>
      </c>
      <c r="AA23" s="2">
        <v>0</v>
      </c>
      <c r="AB23" s="2">
        <v>0</v>
      </c>
      <c r="AC23" s="2">
        <v>0</v>
      </c>
      <c r="AD23" s="2">
        <v>0</v>
      </c>
      <c r="AE23" s="2">
        <v>0</v>
      </c>
      <c r="AF23" s="2">
        <v>0</v>
      </c>
      <c r="AG23" s="2">
        <v>0</v>
      </c>
      <c r="AH23" s="2">
        <v>0</v>
      </c>
      <c r="AI23" s="2">
        <v>0</v>
      </c>
      <c r="AJ23" s="2">
        <v>0</v>
      </c>
      <c r="AK23" s="2">
        <v>0</v>
      </c>
      <c r="AL23" s="2">
        <v>0</v>
      </c>
      <c r="AM23" s="2">
        <v>0</v>
      </c>
      <c r="AN23" s="2">
        <v>0</v>
      </c>
      <c r="AO23" s="2">
        <v>0</v>
      </c>
      <c r="AP23" s="2">
        <v>0</v>
      </c>
      <c r="AQ23" s="2">
        <v>0</v>
      </c>
      <c r="AR23" s="2">
        <v>1</v>
      </c>
      <c r="AS23" s="2">
        <v>1</v>
      </c>
      <c r="AT23" s="2">
        <v>1</v>
      </c>
      <c r="AU23" s="2">
        <v>0</v>
      </c>
      <c r="AV23" s="2">
        <v>0</v>
      </c>
      <c r="AW23" s="2">
        <v>0</v>
      </c>
      <c r="AX23" s="2">
        <v>0</v>
      </c>
      <c r="AY23" s="2">
        <v>0</v>
      </c>
      <c r="AZ23" s="2" t="s">
        <v>39</v>
      </c>
      <c r="BA23" s="14">
        <v>200000</v>
      </c>
      <c r="BB23" s="14">
        <f>SUM(Table_ship_components[[#This Row],[PRICE]]+(Table_ship_components[[#This Row],[COST_PER_ADD_PERSON]]*Table_ship_components[[#This Row],[OPTIONAL]]))</f>
        <v>200000</v>
      </c>
      <c r="BC23" s="2">
        <v>0</v>
      </c>
      <c r="BD23" s="2">
        <v>0</v>
      </c>
    </row>
    <row r="24" spans="1:56" x14ac:dyDescent="0.35">
      <c r="A24" t="s">
        <v>624</v>
      </c>
      <c r="B24" t="s">
        <v>617</v>
      </c>
      <c r="C24" s="2">
        <v>0</v>
      </c>
      <c r="D24" s="2">
        <v>5</v>
      </c>
      <c r="E24" s="2">
        <f>SUM(Table_ship_components[[#This Row],[UNIT_SIZE]]+(Table_ship_components[[#This Row],[SIZE_PER_ADD_PERSON]]*Table_ship_components[[#This Row],[OPTIONAL]]))</f>
        <v>5</v>
      </c>
      <c r="F24" s="2">
        <v>3</v>
      </c>
      <c r="G24" s="2">
        <f>SUM(Table_ship_components[[#This Row],[POWER_CONSUMPTION]]+(Table_ship_components[[#This Row],[POWER_PER_ADD_PERSON]]*Table_ship_components[[#This Row],[OPTIONAL]]))</f>
        <v>3</v>
      </c>
      <c r="H24" s="2">
        <v>0</v>
      </c>
      <c r="I24" s="2">
        <v>0</v>
      </c>
      <c r="J24" s="2">
        <v>0</v>
      </c>
      <c r="K24" s="2">
        <v>0</v>
      </c>
      <c r="L24" s="2">
        <v>0</v>
      </c>
      <c r="M24" s="2">
        <v>0</v>
      </c>
      <c r="N24" s="2">
        <v>0</v>
      </c>
      <c r="O24" s="2">
        <v>1</v>
      </c>
      <c r="P24" s="2">
        <v>0</v>
      </c>
      <c r="Q24" s="2">
        <v>0</v>
      </c>
      <c r="R24" s="2">
        <v>0</v>
      </c>
      <c r="S24" s="2">
        <v>0</v>
      </c>
      <c r="T24" s="2">
        <v>0</v>
      </c>
      <c r="U24" s="2">
        <v>0</v>
      </c>
      <c r="V24" s="2">
        <v>0</v>
      </c>
      <c r="W24" s="14">
        <v>0</v>
      </c>
      <c r="X24" s="2">
        <v>0</v>
      </c>
      <c r="Y24" s="2">
        <v>0</v>
      </c>
      <c r="Z24" s="2">
        <v>0</v>
      </c>
      <c r="AA24" s="2">
        <v>0</v>
      </c>
      <c r="AB24" s="2">
        <v>0</v>
      </c>
      <c r="AC24" s="2">
        <v>0</v>
      </c>
      <c r="AD24" s="2">
        <v>0</v>
      </c>
      <c r="AE24" s="2">
        <v>0</v>
      </c>
      <c r="AF24" s="2">
        <v>0</v>
      </c>
      <c r="AG24" s="2">
        <v>0</v>
      </c>
      <c r="AH24" s="2">
        <v>0</v>
      </c>
      <c r="AI24" s="2">
        <v>0</v>
      </c>
      <c r="AJ24" s="2">
        <v>0</v>
      </c>
      <c r="AK24" s="2">
        <v>0</v>
      </c>
      <c r="AL24" s="2">
        <v>0</v>
      </c>
      <c r="AM24" s="2">
        <v>0</v>
      </c>
      <c r="AN24" s="2">
        <v>0</v>
      </c>
      <c r="AO24" s="2">
        <v>0</v>
      </c>
      <c r="AP24" s="2">
        <v>0</v>
      </c>
      <c r="AQ24" s="2">
        <v>1</v>
      </c>
      <c r="AR24" s="2">
        <v>0</v>
      </c>
      <c r="AS24" s="2">
        <v>0</v>
      </c>
      <c r="AT24" s="2">
        <v>0</v>
      </c>
      <c r="AU24" s="2">
        <v>0</v>
      </c>
      <c r="AV24" s="2">
        <v>0</v>
      </c>
      <c r="AW24" s="2">
        <v>0</v>
      </c>
      <c r="AX24" s="2">
        <v>0</v>
      </c>
      <c r="AY24" s="2">
        <v>0</v>
      </c>
      <c r="AZ24" s="2" t="s">
        <v>39</v>
      </c>
      <c r="BA24" s="14">
        <v>140000</v>
      </c>
      <c r="BB24" s="14">
        <f>SUM(Table_ship_components[[#This Row],[PRICE]]+(Table_ship_components[[#This Row],[COST_PER_ADD_PERSON]]*Table_ship_components[[#This Row],[OPTIONAL]]))</f>
        <v>140000</v>
      </c>
      <c r="BC24" s="2">
        <v>0</v>
      </c>
      <c r="BD24" s="2">
        <v>0</v>
      </c>
    </row>
    <row r="25" spans="1:56" x14ac:dyDescent="0.35">
      <c r="A25" t="s">
        <v>625</v>
      </c>
      <c r="B25" t="s">
        <v>618</v>
      </c>
      <c r="C25" s="2">
        <v>0</v>
      </c>
      <c r="D25" s="2">
        <v>6</v>
      </c>
      <c r="E25" s="2">
        <f>SUM(Table_ship_components[[#This Row],[UNIT_SIZE]]+(Table_ship_components[[#This Row],[SIZE_PER_ADD_PERSON]]*Table_ship_components[[#This Row],[OPTIONAL]]))</f>
        <v>6</v>
      </c>
      <c r="F25" s="2">
        <v>4</v>
      </c>
      <c r="G25" s="2">
        <f>SUM(Table_ship_components[[#This Row],[POWER_CONSUMPTION]]+(Table_ship_components[[#This Row],[POWER_PER_ADD_PERSON]]*Table_ship_components[[#This Row],[OPTIONAL]]))</f>
        <v>4</v>
      </c>
      <c r="H25" s="2">
        <v>0</v>
      </c>
      <c r="I25" s="2">
        <v>0</v>
      </c>
      <c r="J25" s="2">
        <v>0</v>
      </c>
      <c r="K25" s="2">
        <v>0</v>
      </c>
      <c r="L25" s="2">
        <v>0</v>
      </c>
      <c r="M25" s="2">
        <v>0</v>
      </c>
      <c r="N25" s="2">
        <v>0</v>
      </c>
      <c r="O25" s="2">
        <v>1</v>
      </c>
      <c r="P25" s="2">
        <v>0</v>
      </c>
      <c r="Q25" s="2">
        <v>0</v>
      </c>
      <c r="R25" s="2">
        <v>0</v>
      </c>
      <c r="S25" s="2">
        <v>0</v>
      </c>
      <c r="T25" s="2">
        <v>0</v>
      </c>
      <c r="U25" s="2">
        <v>0</v>
      </c>
      <c r="V25" s="2">
        <v>0</v>
      </c>
      <c r="W25" s="14">
        <v>0</v>
      </c>
      <c r="X25" s="2">
        <v>0</v>
      </c>
      <c r="Y25" s="2">
        <v>0</v>
      </c>
      <c r="Z25" s="2">
        <v>0</v>
      </c>
      <c r="AA25" s="2">
        <v>0</v>
      </c>
      <c r="AB25" s="2">
        <v>0</v>
      </c>
      <c r="AC25" s="2">
        <v>0</v>
      </c>
      <c r="AD25" s="2">
        <v>0</v>
      </c>
      <c r="AE25" s="2">
        <v>0</v>
      </c>
      <c r="AF25" s="2">
        <v>0</v>
      </c>
      <c r="AG25" s="2">
        <v>0</v>
      </c>
      <c r="AH25" s="2">
        <v>0</v>
      </c>
      <c r="AI25" s="2">
        <v>0</v>
      </c>
      <c r="AJ25" s="2">
        <v>0</v>
      </c>
      <c r="AK25" s="2">
        <v>0</v>
      </c>
      <c r="AL25" s="2">
        <v>0</v>
      </c>
      <c r="AM25" s="2">
        <v>0</v>
      </c>
      <c r="AN25" s="2">
        <v>0</v>
      </c>
      <c r="AO25" s="2">
        <v>0</v>
      </c>
      <c r="AP25" s="2">
        <v>0</v>
      </c>
      <c r="AQ25" s="2">
        <v>2</v>
      </c>
      <c r="AR25" s="2">
        <v>0</v>
      </c>
      <c r="AS25" s="2">
        <v>0</v>
      </c>
      <c r="AT25" s="2">
        <v>0</v>
      </c>
      <c r="AU25" s="2">
        <v>0</v>
      </c>
      <c r="AV25" s="2">
        <v>0</v>
      </c>
      <c r="AW25" s="2">
        <v>0</v>
      </c>
      <c r="AX25" s="2">
        <v>0</v>
      </c>
      <c r="AY25" s="2">
        <v>0</v>
      </c>
      <c r="AZ25" s="2" t="s">
        <v>39</v>
      </c>
      <c r="BA25" s="14">
        <v>280000</v>
      </c>
      <c r="BB25" s="14">
        <f>SUM(Table_ship_components[[#This Row],[PRICE]]+(Table_ship_components[[#This Row],[COST_PER_ADD_PERSON]]*Table_ship_components[[#This Row],[OPTIONAL]]))</f>
        <v>280000</v>
      </c>
      <c r="BC25" s="2">
        <v>0</v>
      </c>
      <c r="BD25" s="2">
        <v>0</v>
      </c>
    </row>
    <row r="26" spans="1:56" x14ac:dyDescent="0.35">
      <c r="A26" t="s">
        <v>626</v>
      </c>
      <c r="B26" t="s">
        <v>619</v>
      </c>
      <c r="C26" s="2">
        <v>0</v>
      </c>
      <c r="D26" s="2">
        <v>7</v>
      </c>
      <c r="E26" s="2">
        <f>SUM(Table_ship_components[[#This Row],[UNIT_SIZE]]+(Table_ship_components[[#This Row],[SIZE_PER_ADD_PERSON]]*Table_ship_components[[#This Row],[OPTIONAL]]))</f>
        <v>7</v>
      </c>
      <c r="F26" s="2">
        <v>5</v>
      </c>
      <c r="G26" s="2">
        <f>SUM(Table_ship_components[[#This Row],[POWER_CONSUMPTION]]+(Table_ship_components[[#This Row],[POWER_PER_ADD_PERSON]]*Table_ship_components[[#This Row],[OPTIONAL]]))</f>
        <v>5</v>
      </c>
      <c r="H26" s="2">
        <v>0</v>
      </c>
      <c r="I26" s="2">
        <v>0</v>
      </c>
      <c r="J26" s="2">
        <v>0</v>
      </c>
      <c r="K26" s="2">
        <v>0</v>
      </c>
      <c r="L26" s="2">
        <v>0</v>
      </c>
      <c r="M26" s="2">
        <v>0</v>
      </c>
      <c r="N26" s="2">
        <v>0</v>
      </c>
      <c r="O26" s="2">
        <v>1</v>
      </c>
      <c r="P26" s="2">
        <v>0</v>
      </c>
      <c r="Q26" s="2">
        <v>0</v>
      </c>
      <c r="R26" s="2">
        <v>0</v>
      </c>
      <c r="S26" s="2">
        <v>0</v>
      </c>
      <c r="T26" s="2">
        <v>0</v>
      </c>
      <c r="U26" s="2">
        <v>0</v>
      </c>
      <c r="V26" s="2">
        <v>0</v>
      </c>
      <c r="W26" s="14">
        <v>0</v>
      </c>
      <c r="X26" s="2">
        <v>0</v>
      </c>
      <c r="Y26" s="2">
        <v>0</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s="2">
        <v>0</v>
      </c>
      <c r="AQ26" s="2">
        <v>3</v>
      </c>
      <c r="AR26" s="2">
        <v>0</v>
      </c>
      <c r="AS26" s="2">
        <v>0</v>
      </c>
      <c r="AT26" s="2">
        <v>0</v>
      </c>
      <c r="AU26" s="2">
        <v>0</v>
      </c>
      <c r="AV26" s="2">
        <v>0</v>
      </c>
      <c r="AW26" s="2">
        <v>0</v>
      </c>
      <c r="AX26" s="2">
        <v>0</v>
      </c>
      <c r="AY26" s="2">
        <v>0</v>
      </c>
      <c r="AZ26" s="2" t="s">
        <v>39</v>
      </c>
      <c r="BA26" s="14">
        <v>560000</v>
      </c>
      <c r="BB26" s="14">
        <f>SUM(Table_ship_components[[#This Row],[PRICE]]+(Table_ship_components[[#This Row],[COST_PER_ADD_PERSON]]*Table_ship_components[[#This Row],[OPTIONAL]]))</f>
        <v>560000</v>
      </c>
      <c r="BC26" s="2">
        <v>0</v>
      </c>
      <c r="BD26" s="2">
        <v>0</v>
      </c>
    </row>
    <row r="27" spans="1:56" x14ac:dyDescent="0.35">
      <c r="A27" t="s">
        <v>745</v>
      </c>
      <c r="B27" t="s">
        <v>754</v>
      </c>
      <c r="C27" s="2">
        <v>0</v>
      </c>
      <c r="D27" s="2">
        <v>4</v>
      </c>
      <c r="E27" s="2">
        <f>SUM(Table_ship_components[[#This Row],[UNIT_SIZE]]+(Table_ship_components[[#This Row],[SIZE_PER_ADD_PERSON]]*Table_ship_components[[#This Row],[OPTIONAL]]))</f>
        <v>4</v>
      </c>
      <c r="F27" s="2">
        <v>2</v>
      </c>
      <c r="G27" s="2">
        <f>SUM(Table_ship_components[[#This Row],[POWER_CONSUMPTION]]+(Table_ship_components[[#This Row],[POWER_PER_ADD_PERSON]]*Table_ship_components[[#This Row],[OPTIONAL]]))</f>
        <v>2</v>
      </c>
      <c r="H27" s="2">
        <v>0</v>
      </c>
      <c r="I27" s="2">
        <v>0</v>
      </c>
      <c r="J27" s="2">
        <v>0</v>
      </c>
      <c r="K27" s="2">
        <v>0</v>
      </c>
      <c r="L27" s="2">
        <v>0</v>
      </c>
      <c r="M27" s="2">
        <v>1</v>
      </c>
      <c r="N27" s="2">
        <v>0</v>
      </c>
      <c r="O27" s="2">
        <v>0</v>
      </c>
      <c r="P27" s="2">
        <v>0</v>
      </c>
      <c r="Q27" s="2">
        <v>0</v>
      </c>
      <c r="R27" s="2">
        <v>0</v>
      </c>
      <c r="S27" s="2">
        <v>0</v>
      </c>
      <c r="T27" s="2">
        <v>0</v>
      </c>
      <c r="U27" s="2">
        <v>0</v>
      </c>
      <c r="V27" s="2">
        <v>0</v>
      </c>
      <c r="W27" s="14">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c r="AQ27" s="2">
        <v>0</v>
      </c>
      <c r="AR27" s="2">
        <v>-1</v>
      </c>
      <c r="AS27" s="2">
        <v>0</v>
      </c>
      <c r="AT27" s="2">
        <v>1</v>
      </c>
      <c r="AU27" s="2">
        <v>0</v>
      </c>
      <c r="AV27" s="2">
        <v>0</v>
      </c>
      <c r="AW27" s="2">
        <v>0</v>
      </c>
      <c r="AX27" s="2">
        <v>0</v>
      </c>
      <c r="AY27" s="2">
        <v>0</v>
      </c>
      <c r="AZ27" s="2" t="s">
        <v>39</v>
      </c>
      <c r="BA27" s="14">
        <v>40000</v>
      </c>
      <c r="BB27" s="14">
        <f>SUM(Table_ship_components[[#This Row],[PRICE]]+(Table_ship_components[[#This Row],[COST_PER_ADD_PERSON]]*Table_ship_components[[#This Row],[OPTIONAL]]))</f>
        <v>40000</v>
      </c>
      <c r="BC27" s="2">
        <v>0</v>
      </c>
      <c r="BD27" s="2">
        <v>0</v>
      </c>
    </row>
    <row r="28" spans="1:56" x14ac:dyDescent="0.35">
      <c r="A28" t="s">
        <v>746</v>
      </c>
      <c r="B28" t="s">
        <v>755</v>
      </c>
      <c r="C28" s="2">
        <v>0</v>
      </c>
      <c r="D28" s="2">
        <v>7</v>
      </c>
      <c r="E28" s="2">
        <f>SUM(Table_ship_components[[#This Row],[UNIT_SIZE]]+(Table_ship_components[[#This Row],[SIZE_PER_ADD_PERSON]]*Table_ship_components[[#This Row],[OPTIONAL]]))</f>
        <v>7</v>
      </c>
      <c r="F28" s="2">
        <v>4</v>
      </c>
      <c r="G28" s="2">
        <f>SUM(Table_ship_components[[#This Row],[POWER_CONSUMPTION]]+(Table_ship_components[[#This Row],[POWER_PER_ADD_PERSON]]*Table_ship_components[[#This Row],[OPTIONAL]]))</f>
        <v>4</v>
      </c>
      <c r="H28" s="2">
        <v>0</v>
      </c>
      <c r="I28" s="2">
        <v>0</v>
      </c>
      <c r="J28" s="2">
        <v>0</v>
      </c>
      <c r="K28" s="2">
        <v>0</v>
      </c>
      <c r="L28" s="2">
        <v>0</v>
      </c>
      <c r="M28" s="2">
        <v>1</v>
      </c>
      <c r="N28" s="2">
        <v>0</v>
      </c>
      <c r="O28" s="2">
        <v>0</v>
      </c>
      <c r="P28" s="2">
        <v>0</v>
      </c>
      <c r="Q28" s="2">
        <v>0</v>
      </c>
      <c r="R28" s="2">
        <v>0</v>
      </c>
      <c r="S28" s="2">
        <v>0</v>
      </c>
      <c r="T28" s="2">
        <v>0</v>
      </c>
      <c r="U28" s="2">
        <v>0</v>
      </c>
      <c r="V28" s="2">
        <v>0</v>
      </c>
      <c r="W28" s="14">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0</v>
      </c>
      <c r="AO28" s="2">
        <v>0</v>
      </c>
      <c r="AP28" s="2">
        <v>0</v>
      </c>
      <c r="AQ28" s="2">
        <v>0</v>
      </c>
      <c r="AR28" s="2">
        <v>-1</v>
      </c>
      <c r="AS28" s="2">
        <v>0</v>
      </c>
      <c r="AT28" s="2">
        <v>2</v>
      </c>
      <c r="AU28" s="2">
        <v>0</v>
      </c>
      <c r="AV28" s="2">
        <v>0</v>
      </c>
      <c r="AW28" s="2">
        <v>0</v>
      </c>
      <c r="AX28" s="2">
        <v>0</v>
      </c>
      <c r="AY28" s="2">
        <v>0</v>
      </c>
      <c r="AZ28" s="2" t="s">
        <v>39</v>
      </c>
      <c r="BA28" s="14">
        <v>80000</v>
      </c>
      <c r="BB28" s="14">
        <f>SUM(Table_ship_components[[#This Row],[PRICE]]+(Table_ship_components[[#This Row],[COST_PER_ADD_PERSON]]*Table_ship_components[[#This Row],[OPTIONAL]]))</f>
        <v>80000</v>
      </c>
      <c r="BC28" s="2">
        <v>0</v>
      </c>
      <c r="BD28" s="2">
        <v>0</v>
      </c>
    </row>
    <row r="29" spans="1:56" x14ac:dyDescent="0.35">
      <c r="A29" t="s">
        <v>747</v>
      </c>
      <c r="B29" t="s">
        <v>756</v>
      </c>
      <c r="C29" s="2">
        <v>0</v>
      </c>
      <c r="D29" s="2">
        <v>10</v>
      </c>
      <c r="E29" s="2">
        <f>SUM(Table_ship_components[[#This Row],[UNIT_SIZE]]+(Table_ship_components[[#This Row],[SIZE_PER_ADD_PERSON]]*Table_ship_components[[#This Row],[OPTIONAL]]))</f>
        <v>10</v>
      </c>
      <c r="F29" s="2">
        <v>6</v>
      </c>
      <c r="G29" s="2">
        <f>SUM(Table_ship_components[[#This Row],[POWER_CONSUMPTION]]+(Table_ship_components[[#This Row],[POWER_PER_ADD_PERSON]]*Table_ship_components[[#This Row],[OPTIONAL]]))</f>
        <v>6</v>
      </c>
      <c r="H29" s="2">
        <v>0</v>
      </c>
      <c r="I29" s="2">
        <v>0</v>
      </c>
      <c r="J29" s="2">
        <v>0</v>
      </c>
      <c r="K29" s="2">
        <v>0</v>
      </c>
      <c r="L29" s="2">
        <v>0</v>
      </c>
      <c r="M29" s="2">
        <v>1</v>
      </c>
      <c r="N29" s="2">
        <v>0</v>
      </c>
      <c r="O29" s="2">
        <v>0</v>
      </c>
      <c r="P29" s="2">
        <v>0</v>
      </c>
      <c r="Q29" s="2">
        <v>0</v>
      </c>
      <c r="R29" s="2">
        <v>0</v>
      </c>
      <c r="S29" s="2">
        <v>0</v>
      </c>
      <c r="T29" s="2">
        <v>0</v>
      </c>
      <c r="U29" s="2">
        <v>0</v>
      </c>
      <c r="V29" s="2">
        <v>0</v>
      </c>
      <c r="W29" s="14">
        <v>0</v>
      </c>
      <c r="X29" s="2">
        <v>0</v>
      </c>
      <c r="Y29" s="2">
        <v>0</v>
      </c>
      <c r="Z29" s="2">
        <v>0</v>
      </c>
      <c r="AA29" s="2">
        <v>0</v>
      </c>
      <c r="AB29" s="2">
        <v>0</v>
      </c>
      <c r="AC29" s="2">
        <v>0</v>
      </c>
      <c r="AD29" s="2">
        <v>0</v>
      </c>
      <c r="AE29" s="2">
        <v>0</v>
      </c>
      <c r="AF29" s="2">
        <v>0</v>
      </c>
      <c r="AG29" s="2">
        <v>0</v>
      </c>
      <c r="AH29" s="2">
        <v>0</v>
      </c>
      <c r="AI29" s="2">
        <v>0</v>
      </c>
      <c r="AJ29" s="2">
        <v>0</v>
      </c>
      <c r="AK29" s="2">
        <v>0</v>
      </c>
      <c r="AL29" s="2">
        <v>0</v>
      </c>
      <c r="AM29" s="2">
        <v>0</v>
      </c>
      <c r="AN29" s="2">
        <v>0</v>
      </c>
      <c r="AO29" s="2">
        <v>0</v>
      </c>
      <c r="AP29" s="2">
        <v>0</v>
      </c>
      <c r="AQ29" s="2">
        <v>0</v>
      </c>
      <c r="AR29" s="2">
        <v>-1</v>
      </c>
      <c r="AS29" s="2">
        <v>0</v>
      </c>
      <c r="AT29" s="2">
        <v>3</v>
      </c>
      <c r="AU29" s="2">
        <v>0</v>
      </c>
      <c r="AV29" s="2">
        <v>0</v>
      </c>
      <c r="AW29" s="2">
        <v>0</v>
      </c>
      <c r="AX29" s="2">
        <v>0</v>
      </c>
      <c r="AY29" s="2">
        <v>0</v>
      </c>
      <c r="AZ29" s="2" t="s">
        <v>39</v>
      </c>
      <c r="BA29" s="14">
        <v>160000</v>
      </c>
      <c r="BB29" s="14">
        <f>SUM(Table_ship_components[[#This Row],[PRICE]]+(Table_ship_components[[#This Row],[COST_PER_ADD_PERSON]]*Table_ship_components[[#This Row],[OPTIONAL]]))</f>
        <v>160000</v>
      </c>
      <c r="BC29" s="2">
        <v>0</v>
      </c>
      <c r="BD29" s="2">
        <v>0</v>
      </c>
    </row>
    <row r="30" spans="1:56" x14ac:dyDescent="0.35">
      <c r="A30" t="s">
        <v>748</v>
      </c>
      <c r="B30" t="s">
        <v>757</v>
      </c>
      <c r="C30" s="2">
        <v>0</v>
      </c>
      <c r="D30" s="2">
        <v>13</v>
      </c>
      <c r="E30" s="2">
        <f>SUM(Table_ship_components[[#This Row],[UNIT_SIZE]]+(Table_ship_components[[#This Row],[SIZE_PER_ADD_PERSON]]*Table_ship_components[[#This Row],[OPTIONAL]]))</f>
        <v>13</v>
      </c>
      <c r="F30" s="2">
        <v>8</v>
      </c>
      <c r="G30" s="2">
        <f>SUM(Table_ship_components[[#This Row],[POWER_CONSUMPTION]]+(Table_ship_components[[#This Row],[POWER_PER_ADD_PERSON]]*Table_ship_components[[#This Row],[OPTIONAL]]))</f>
        <v>8</v>
      </c>
      <c r="H30" s="2">
        <v>0</v>
      </c>
      <c r="I30" s="2">
        <v>0</v>
      </c>
      <c r="J30" s="2">
        <v>0</v>
      </c>
      <c r="K30" s="2">
        <v>0</v>
      </c>
      <c r="L30" s="2">
        <v>0</v>
      </c>
      <c r="M30" s="2">
        <v>0</v>
      </c>
      <c r="N30" s="2">
        <v>1</v>
      </c>
      <c r="O30" s="2">
        <v>0</v>
      </c>
      <c r="P30" s="2">
        <v>0</v>
      </c>
      <c r="Q30" s="2">
        <v>0</v>
      </c>
      <c r="R30" s="2">
        <v>0</v>
      </c>
      <c r="S30" s="2">
        <v>0</v>
      </c>
      <c r="T30" s="2">
        <v>0</v>
      </c>
      <c r="U30" s="2">
        <v>0</v>
      </c>
      <c r="V30" s="2">
        <v>0</v>
      </c>
      <c r="W30" s="14">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-1</v>
      </c>
      <c r="AS30" s="2">
        <v>0</v>
      </c>
      <c r="AT30" s="2">
        <v>1</v>
      </c>
      <c r="AU30" s="2">
        <v>0</v>
      </c>
      <c r="AV30" s="2">
        <v>0</v>
      </c>
      <c r="AW30" s="2">
        <v>0</v>
      </c>
      <c r="AX30" s="2">
        <v>0</v>
      </c>
      <c r="AY30" s="2">
        <v>0</v>
      </c>
      <c r="AZ30" s="2" t="s">
        <v>39</v>
      </c>
      <c r="BA30" s="14">
        <v>75000</v>
      </c>
      <c r="BB30" s="14">
        <f>SUM(Table_ship_components[[#This Row],[PRICE]]+(Table_ship_components[[#This Row],[COST_PER_ADD_PERSON]]*Table_ship_components[[#This Row],[OPTIONAL]]))</f>
        <v>75000</v>
      </c>
      <c r="BC30" s="2">
        <v>0</v>
      </c>
      <c r="BD30" s="2">
        <v>0</v>
      </c>
    </row>
    <row r="31" spans="1:56" x14ac:dyDescent="0.35">
      <c r="A31" t="s">
        <v>749</v>
      </c>
      <c r="B31" t="s">
        <v>758</v>
      </c>
      <c r="C31" s="2">
        <v>0</v>
      </c>
      <c r="D31" s="2">
        <v>16</v>
      </c>
      <c r="E31" s="2">
        <f>SUM(Table_ship_components[[#This Row],[UNIT_SIZE]]+(Table_ship_components[[#This Row],[SIZE_PER_ADD_PERSON]]*Table_ship_components[[#This Row],[OPTIONAL]]))</f>
        <v>16</v>
      </c>
      <c r="F31" s="2">
        <v>10</v>
      </c>
      <c r="G31" s="2">
        <f>SUM(Table_ship_components[[#This Row],[POWER_CONSUMPTION]]+(Table_ship_components[[#This Row],[POWER_PER_ADD_PERSON]]*Table_ship_components[[#This Row],[OPTIONAL]]))</f>
        <v>10</v>
      </c>
      <c r="H31" s="2">
        <v>0</v>
      </c>
      <c r="I31" s="2">
        <v>0</v>
      </c>
      <c r="J31" s="2">
        <v>0</v>
      </c>
      <c r="K31" s="2">
        <v>0</v>
      </c>
      <c r="L31" s="2">
        <v>0</v>
      </c>
      <c r="M31" s="2">
        <v>0</v>
      </c>
      <c r="N31" s="2">
        <v>1</v>
      </c>
      <c r="O31" s="2">
        <v>0</v>
      </c>
      <c r="P31" s="2">
        <v>0</v>
      </c>
      <c r="Q31" s="2">
        <v>0</v>
      </c>
      <c r="R31" s="2">
        <v>0</v>
      </c>
      <c r="S31" s="2">
        <v>0</v>
      </c>
      <c r="T31" s="2">
        <v>0</v>
      </c>
      <c r="U31" s="2">
        <v>0</v>
      </c>
      <c r="V31" s="2">
        <v>0</v>
      </c>
      <c r="W31" s="14">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0</v>
      </c>
      <c r="AR31" s="2">
        <v>-1</v>
      </c>
      <c r="AS31" s="2">
        <v>0</v>
      </c>
      <c r="AT31" s="2">
        <v>2</v>
      </c>
      <c r="AU31" s="2">
        <v>0</v>
      </c>
      <c r="AV31" s="2">
        <v>0</v>
      </c>
      <c r="AW31" s="2">
        <v>0</v>
      </c>
      <c r="AX31" s="2">
        <v>0</v>
      </c>
      <c r="AY31" s="2">
        <v>0</v>
      </c>
      <c r="AZ31" s="2" t="s">
        <v>39</v>
      </c>
      <c r="BA31" s="14">
        <v>150000</v>
      </c>
      <c r="BB31" s="14">
        <f>SUM(Table_ship_components[[#This Row],[PRICE]]+(Table_ship_components[[#This Row],[COST_PER_ADD_PERSON]]*Table_ship_components[[#This Row],[OPTIONAL]]))</f>
        <v>150000</v>
      </c>
      <c r="BC31" s="2">
        <v>0</v>
      </c>
      <c r="BD31" s="2">
        <v>0</v>
      </c>
    </row>
    <row r="32" spans="1:56" x14ac:dyDescent="0.35">
      <c r="A32" t="s">
        <v>750</v>
      </c>
      <c r="B32" t="s">
        <v>759</v>
      </c>
      <c r="C32" s="2">
        <v>0</v>
      </c>
      <c r="D32" s="2">
        <v>19</v>
      </c>
      <c r="E32" s="2">
        <f>SUM(Table_ship_components[[#This Row],[UNIT_SIZE]]+(Table_ship_components[[#This Row],[SIZE_PER_ADD_PERSON]]*Table_ship_components[[#This Row],[OPTIONAL]]))</f>
        <v>19</v>
      </c>
      <c r="F32" s="2">
        <v>12</v>
      </c>
      <c r="G32" s="2">
        <f>SUM(Table_ship_components[[#This Row],[POWER_CONSUMPTION]]+(Table_ship_components[[#This Row],[POWER_PER_ADD_PERSON]]*Table_ship_components[[#This Row],[OPTIONAL]]))</f>
        <v>12</v>
      </c>
      <c r="H32" s="2">
        <v>0</v>
      </c>
      <c r="I32" s="2">
        <v>0</v>
      </c>
      <c r="J32" s="2">
        <v>0</v>
      </c>
      <c r="K32" s="2">
        <v>0</v>
      </c>
      <c r="L32" s="2">
        <v>0</v>
      </c>
      <c r="M32" s="2">
        <v>0</v>
      </c>
      <c r="N32" s="2">
        <v>1</v>
      </c>
      <c r="O32" s="2">
        <v>0</v>
      </c>
      <c r="P32" s="2">
        <v>0</v>
      </c>
      <c r="Q32" s="2">
        <v>0</v>
      </c>
      <c r="R32" s="2">
        <v>0</v>
      </c>
      <c r="S32" s="2">
        <v>0</v>
      </c>
      <c r="T32" s="2">
        <v>0</v>
      </c>
      <c r="U32" s="2">
        <v>0</v>
      </c>
      <c r="V32" s="2">
        <v>0</v>
      </c>
      <c r="W32" s="14">
        <v>0</v>
      </c>
      <c r="X32" s="2">
        <v>0</v>
      </c>
      <c r="Y32" s="2">
        <v>0</v>
      </c>
      <c r="Z32" s="2">
        <v>0</v>
      </c>
      <c r="AA32" s="2">
        <v>0</v>
      </c>
      <c r="AB32" s="2">
        <v>0</v>
      </c>
      <c r="AC32" s="2">
        <v>0</v>
      </c>
      <c r="AD32" s="2">
        <v>0</v>
      </c>
      <c r="AE32" s="2">
        <v>0</v>
      </c>
      <c r="AF32" s="2">
        <v>0</v>
      </c>
      <c r="AG32" s="2">
        <v>0</v>
      </c>
      <c r="AH32" s="2">
        <v>0</v>
      </c>
      <c r="AI32" s="2">
        <v>0</v>
      </c>
      <c r="AJ32" s="2">
        <v>0</v>
      </c>
      <c r="AK32" s="2">
        <v>0</v>
      </c>
      <c r="AL32" s="2">
        <v>0</v>
      </c>
      <c r="AM32" s="2">
        <v>0</v>
      </c>
      <c r="AN32" s="2">
        <v>0</v>
      </c>
      <c r="AO32" s="2">
        <v>0</v>
      </c>
      <c r="AP32" s="2">
        <v>0</v>
      </c>
      <c r="AQ32" s="2">
        <v>0</v>
      </c>
      <c r="AR32" s="2">
        <v>-1</v>
      </c>
      <c r="AS32" s="2">
        <v>0</v>
      </c>
      <c r="AT32" s="2">
        <v>3</v>
      </c>
      <c r="AU32" s="2">
        <v>0</v>
      </c>
      <c r="AV32" s="2">
        <v>0</v>
      </c>
      <c r="AW32" s="2">
        <v>0</v>
      </c>
      <c r="AX32" s="2">
        <v>0</v>
      </c>
      <c r="AY32" s="2">
        <v>0</v>
      </c>
      <c r="AZ32" s="2" t="s">
        <v>39</v>
      </c>
      <c r="BA32" s="14">
        <v>300000</v>
      </c>
      <c r="BB32" s="14">
        <f>SUM(Table_ship_components[[#This Row],[PRICE]]+(Table_ship_components[[#This Row],[COST_PER_ADD_PERSON]]*Table_ship_components[[#This Row],[OPTIONAL]]))</f>
        <v>300000</v>
      </c>
      <c r="BC32" s="2">
        <v>0</v>
      </c>
      <c r="BD32" s="2">
        <v>0</v>
      </c>
    </row>
    <row r="33" spans="1:56" x14ac:dyDescent="0.35">
      <c r="A33" t="s">
        <v>751</v>
      </c>
      <c r="B33" t="s">
        <v>760</v>
      </c>
      <c r="C33" s="2">
        <v>0</v>
      </c>
      <c r="D33" s="2">
        <v>22</v>
      </c>
      <c r="E33" s="2">
        <f>SUM(Table_ship_components[[#This Row],[UNIT_SIZE]]+(Table_ship_components[[#This Row],[SIZE_PER_ADD_PERSON]]*Table_ship_components[[#This Row],[OPTIONAL]]))</f>
        <v>22</v>
      </c>
      <c r="F33" s="2">
        <v>14</v>
      </c>
      <c r="G33" s="2">
        <f>SUM(Table_ship_components[[#This Row],[POWER_CONSUMPTION]]+(Table_ship_components[[#This Row],[POWER_PER_ADD_PERSON]]*Table_ship_components[[#This Row],[OPTIONAL]]))</f>
        <v>14</v>
      </c>
      <c r="H33" s="2">
        <v>0</v>
      </c>
      <c r="I33" s="2">
        <v>0</v>
      </c>
      <c r="J33" s="2">
        <v>0</v>
      </c>
      <c r="K33" s="2">
        <v>0</v>
      </c>
      <c r="L33" s="2">
        <v>0</v>
      </c>
      <c r="M33" s="2">
        <v>0</v>
      </c>
      <c r="N33" s="2">
        <v>0</v>
      </c>
      <c r="O33" s="2">
        <v>1</v>
      </c>
      <c r="P33" s="2">
        <v>0</v>
      </c>
      <c r="Q33" s="2">
        <v>0</v>
      </c>
      <c r="R33" s="2">
        <v>0</v>
      </c>
      <c r="S33" s="2">
        <v>0</v>
      </c>
      <c r="T33" s="2">
        <v>0</v>
      </c>
      <c r="U33" s="2">
        <v>0</v>
      </c>
      <c r="V33" s="2">
        <v>0</v>
      </c>
      <c r="W33" s="14">
        <v>0</v>
      </c>
      <c r="X33" s="2">
        <v>0</v>
      </c>
      <c r="Y33" s="2">
        <v>0</v>
      </c>
      <c r="Z33" s="2">
        <v>0</v>
      </c>
      <c r="AA33" s="2">
        <v>0</v>
      </c>
      <c r="AB33" s="2">
        <v>0</v>
      </c>
      <c r="AC33" s="2">
        <v>0</v>
      </c>
      <c r="AD33" s="2">
        <v>0</v>
      </c>
      <c r="AE33" s="2">
        <v>0</v>
      </c>
      <c r="AF33" s="2">
        <v>0</v>
      </c>
      <c r="AG33" s="2">
        <v>0</v>
      </c>
      <c r="AH33" s="2">
        <v>0</v>
      </c>
      <c r="AI33" s="2">
        <v>0</v>
      </c>
      <c r="AJ33" s="2">
        <v>0</v>
      </c>
      <c r="AK33" s="2">
        <v>0</v>
      </c>
      <c r="AL33" s="2">
        <v>0</v>
      </c>
      <c r="AM33" s="2">
        <v>0</v>
      </c>
      <c r="AN33" s="2">
        <v>0</v>
      </c>
      <c r="AO33" s="2">
        <v>0</v>
      </c>
      <c r="AP33" s="2">
        <v>0</v>
      </c>
      <c r="AQ33" s="2">
        <v>0</v>
      </c>
      <c r="AR33" s="2">
        <v>-1</v>
      </c>
      <c r="AS33" s="2">
        <v>0</v>
      </c>
      <c r="AT33" s="2">
        <v>1</v>
      </c>
      <c r="AU33" s="2">
        <v>0</v>
      </c>
      <c r="AV33" s="2">
        <v>0</v>
      </c>
      <c r="AW33" s="2">
        <v>0</v>
      </c>
      <c r="AX33" s="2">
        <v>0</v>
      </c>
      <c r="AY33" s="2">
        <v>0</v>
      </c>
      <c r="AZ33" s="2" t="s">
        <v>39</v>
      </c>
      <c r="BA33" s="14">
        <v>100000</v>
      </c>
      <c r="BB33" s="14">
        <f>SUM(Table_ship_components[[#This Row],[PRICE]]+(Table_ship_components[[#This Row],[COST_PER_ADD_PERSON]]*Table_ship_components[[#This Row],[OPTIONAL]]))</f>
        <v>100000</v>
      </c>
      <c r="BC33" s="2">
        <v>0</v>
      </c>
      <c r="BD33" s="2">
        <v>0</v>
      </c>
    </row>
    <row r="34" spans="1:56" x14ac:dyDescent="0.35">
      <c r="A34" t="s">
        <v>752</v>
      </c>
      <c r="B34" t="s">
        <v>761</v>
      </c>
      <c r="C34" s="2">
        <v>0</v>
      </c>
      <c r="D34" s="2">
        <v>25</v>
      </c>
      <c r="E34" s="2">
        <f>SUM(Table_ship_components[[#This Row],[UNIT_SIZE]]+(Table_ship_components[[#This Row],[SIZE_PER_ADD_PERSON]]*Table_ship_components[[#This Row],[OPTIONAL]]))</f>
        <v>25</v>
      </c>
      <c r="F34" s="2">
        <v>16</v>
      </c>
      <c r="G34" s="2">
        <f>SUM(Table_ship_components[[#This Row],[POWER_CONSUMPTION]]+(Table_ship_components[[#This Row],[POWER_PER_ADD_PERSON]]*Table_ship_components[[#This Row],[OPTIONAL]]))</f>
        <v>16</v>
      </c>
      <c r="H34" s="2">
        <v>0</v>
      </c>
      <c r="I34" s="2">
        <v>0</v>
      </c>
      <c r="J34" s="2">
        <v>0</v>
      </c>
      <c r="K34" s="2">
        <v>0</v>
      </c>
      <c r="L34" s="2">
        <v>0</v>
      </c>
      <c r="M34" s="2">
        <v>0</v>
      </c>
      <c r="N34" s="2">
        <v>0</v>
      </c>
      <c r="O34" s="2">
        <v>1</v>
      </c>
      <c r="P34" s="2">
        <v>0</v>
      </c>
      <c r="Q34" s="2">
        <v>0</v>
      </c>
      <c r="R34" s="2">
        <v>0</v>
      </c>
      <c r="S34" s="2">
        <v>0</v>
      </c>
      <c r="T34" s="2">
        <v>0</v>
      </c>
      <c r="U34" s="2">
        <v>0</v>
      </c>
      <c r="V34" s="2">
        <v>0</v>
      </c>
      <c r="W34" s="14">
        <v>0</v>
      </c>
      <c r="X34" s="2">
        <v>0</v>
      </c>
      <c r="Y34" s="2">
        <v>0</v>
      </c>
      <c r="Z34" s="2">
        <v>0</v>
      </c>
      <c r="AA34" s="2">
        <v>0</v>
      </c>
      <c r="AB34" s="2">
        <v>0</v>
      </c>
      <c r="AC34" s="2">
        <v>0</v>
      </c>
      <c r="AD34" s="2">
        <v>0</v>
      </c>
      <c r="AE34" s="2">
        <v>0</v>
      </c>
      <c r="AF34" s="2">
        <v>0</v>
      </c>
      <c r="AG34" s="2">
        <v>0</v>
      </c>
      <c r="AH34" s="2">
        <v>0</v>
      </c>
      <c r="AI34" s="2">
        <v>0</v>
      </c>
      <c r="AJ34" s="2">
        <v>0</v>
      </c>
      <c r="AK34" s="2">
        <v>0</v>
      </c>
      <c r="AL34" s="2">
        <v>0</v>
      </c>
      <c r="AM34" s="2">
        <v>0</v>
      </c>
      <c r="AN34" s="2">
        <v>0</v>
      </c>
      <c r="AO34" s="2">
        <v>0</v>
      </c>
      <c r="AP34" s="2">
        <v>0</v>
      </c>
      <c r="AQ34" s="2">
        <v>0</v>
      </c>
      <c r="AR34" s="2">
        <v>-1</v>
      </c>
      <c r="AS34" s="2">
        <v>0</v>
      </c>
      <c r="AT34" s="2">
        <v>2</v>
      </c>
      <c r="AU34" s="2">
        <v>0</v>
      </c>
      <c r="AV34" s="2">
        <v>0</v>
      </c>
      <c r="AW34" s="2">
        <v>0</v>
      </c>
      <c r="AX34" s="2">
        <v>0</v>
      </c>
      <c r="AY34" s="2">
        <v>0</v>
      </c>
      <c r="AZ34" s="2" t="s">
        <v>39</v>
      </c>
      <c r="BA34" s="14">
        <v>200000</v>
      </c>
      <c r="BB34" s="14">
        <f>SUM(Table_ship_components[[#This Row],[PRICE]]+(Table_ship_components[[#This Row],[COST_PER_ADD_PERSON]]*Table_ship_components[[#This Row],[OPTIONAL]]))</f>
        <v>200000</v>
      </c>
      <c r="BC34" s="2">
        <v>0</v>
      </c>
      <c r="BD34" s="2">
        <v>0</v>
      </c>
    </row>
    <row r="35" spans="1:56" x14ac:dyDescent="0.35">
      <c r="A35" t="s">
        <v>753</v>
      </c>
      <c r="B35" t="s">
        <v>762</v>
      </c>
      <c r="C35" s="2">
        <v>0</v>
      </c>
      <c r="D35" s="2">
        <v>28</v>
      </c>
      <c r="E35" s="2">
        <f>SUM(Table_ship_components[[#This Row],[UNIT_SIZE]]+(Table_ship_components[[#This Row],[SIZE_PER_ADD_PERSON]]*Table_ship_components[[#This Row],[OPTIONAL]]))</f>
        <v>28</v>
      </c>
      <c r="F35" s="2">
        <v>18</v>
      </c>
      <c r="G35" s="2">
        <f>SUM(Table_ship_components[[#This Row],[POWER_CONSUMPTION]]+(Table_ship_components[[#This Row],[POWER_PER_ADD_PERSON]]*Table_ship_components[[#This Row],[OPTIONAL]]))</f>
        <v>18</v>
      </c>
      <c r="H35" s="2">
        <v>0</v>
      </c>
      <c r="I35" s="2">
        <v>0</v>
      </c>
      <c r="J35" s="2">
        <v>0</v>
      </c>
      <c r="K35" s="2">
        <v>0</v>
      </c>
      <c r="L35" s="2">
        <v>0</v>
      </c>
      <c r="M35" s="2">
        <v>0</v>
      </c>
      <c r="N35" s="2">
        <v>0</v>
      </c>
      <c r="O35" s="2">
        <v>1</v>
      </c>
      <c r="P35" s="2">
        <v>0</v>
      </c>
      <c r="Q35" s="2">
        <v>0</v>
      </c>
      <c r="R35" s="2">
        <v>0</v>
      </c>
      <c r="S35" s="2">
        <v>0</v>
      </c>
      <c r="T35" s="2">
        <v>0</v>
      </c>
      <c r="U35" s="2">
        <v>0</v>
      </c>
      <c r="V35" s="2">
        <v>0</v>
      </c>
      <c r="W35" s="14">
        <v>0</v>
      </c>
      <c r="X35" s="2">
        <v>0</v>
      </c>
      <c r="Y35" s="2">
        <v>0</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s="2">
        <v>0</v>
      </c>
      <c r="AQ35" s="2">
        <v>0</v>
      </c>
      <c r="AR35" s="2">
        <v>-1</v>
      </c>
      <c r="AS35" s="2">
        <v>0</v>
      </c>
      <c r="AT35" s="2">
        <v>3</v>
      </c>
      <c r="AU35" s="2">
        <v>0</v>
      </c>
      <c r="AV35" s="2">
        <v>0</v>
      </c>
      <c r="AW35" s="2">
        <v>0</v>
      </c>
      <c r="AX35" s="2">
        <v>0</v>
      </c>
      <c r="AY35" s="2">
        <v>0</v>
      </c>
      <c r="AZ35" s="2" t="s">
        <v>39</v>
      </c>
      <c r="BA35" s="14">
        <v>400000</v>
      </c>
      <c r="BB35" s="14">
        <f>SUM(Table_ship_components[[#This Row],[PRICE]]+(Table_ship_components[[#This Row],[COST_PER_ADD_PERSON]]*Table_ship_components[[#This Row],[OPTIONAL]]))</f>
        <v>400000</v>
      </c>
      <c r="BC35" s="2">
        <v>0</v>
      </c>
      <c r="BD35" s="2">
        <v>0</v>
      </c>
    </row>
    <row r="36" spans="1:56" x14ac:dyDescent="0.35">
      <c r="A36" t="s">
        <v>348</v>
      </c>
      <c r="B36" t="s">
        <v>231</v>
      </c>
      <c r="C36" s="2">
        <v>0</v>
      </c>
      <c r="D36" s="2">
        <v>2</v>
      </c>
      <c r="E36" s="2">
        <f>SUM(Table_ship_components[[#This Row],[UNIT_SIZE]]+(Table_ship_components[[#This Row],[SIZE_PER_ADD_PERSON]]*Table_ship_components[[#This Row],[OPTIONAL]]))</f>
        <v>2</v>
      </c>
      <c r="F36" s="2">
        <v>3</v>
      </c>
      <c r="G36" s="2">
        <f>SUM(Table_ship_components[[#This Row],[POWER_CONSUMPTION]]+(Table_ship_components[[#This Row],[POWER_PER_ADD_PERSON]]*Table_ship_components[[#This Row],[OPTIONAL]]))</f>
        <v>3</v>
      </c>
      <c r="H36" s="2">
        <v>0</v>
      </c>
      <c r="I36" s="2">
        <v>0</v>
      </c>
      <c r="J36" s="2">
        <v>0</v>
      </c>
      <c r="K36" s="2">
        <v>0</v>
      </c>
      <c r="L36" s="2">
        <v>0</v>
      </c>
      <c r="M36" s="2">
        <v>0</v>
      </c>
      <c r="N36" s="2">
        <v>0</v>
      </c>
      <c r="O36" s="2">
        <v>1</v>
      </c>
      <c r="P36" s="2">
        <v>0</v>
      </c>
      <c r="Q36" s="2">
        <v>0</v>
      </c>
      <c r="R36" s="2">
        <v>0</v>
      </c>
      <c r="S36" s="2">
        <v>0</v>
      </c>
      <c r="T36" s="2">
        <v>0</v>
      </c>
      <c r="U36" s="2">
        <v>0</v>
      </c>
      <c r="V36" s="2">
        <v>0</v>
      </c>
      <c r="W36" s="14">
        <v>0</v>
      </c>
      <c r="X36" s="2">
        <v>0</v>
      </c>
      <c r="Y36" s="2">
        <v>3</v>
      </c>
      <c r="Z36" s="2">
        <v>6</v>
      </c>
      <c r="AA36" s="2">
        <v>0</v>
      </c>
      <c r="AB36" s="2">
        <v>0</v>
      </c>
      <c r="AC36" s="2">
        <v>0</v>
      </c>
      <c r="AD36" s="2">
        <v>0</v>
      </c>
      <c r="AE36" s="2">
        <v>0</v>
      </c>
      <c r="AF36" s="2">
        <v>0</v>
      </c>
      <c r="AG36" s="2">
        <v>0</v>
      </c>
      <c r="AH36" s="2">
        <v>0</v>
      </c>
      <c r="AI36" s="2">
        <v>0</v>
      </c>
      <c r="AJ36" s="2">
        <v>0</v>
      </c>
      <c r="AK36" s="2">
        <v>0</v>
      </c>
      <c r="AL36" s="2">
        <v>0</v>
      </c>
      <c r="AM36" s="2">
        <v>0</v>
      </c>
      <c r="AN36" s="2">
        <v>0</v>
      </c>
      <c r="AO36" s="2">
        <v>0</v>
      </c>
      <c r="AP36" s="2">
        <v>0</v>
      </c>
      <c r="AQ36" s="2">
        <v>0</v>
      </c>
      <c r="AR36" s="2">
        <v>0</v>
      </c>
      <c r="AS36" s="2">
        <v>0</v>
      </c>
      <c r="AT36" s="2">
        <v>0</v>
      </c>
      <c r="AU36" s="2">
        <v>0</v>
      </c>
      <c r="AV36" s="2">
        <v>0</v>
      </c>
      <c r="AW36" s="2">
        <v>0</v>
      </c>
      <c r="AX36" s="2">
        <v>0</v>
      </c>
      <c r="AY36" s="2">
        <v>0</v>
      </c>
      <c r="AZ36" s="2" t="s">
        <v>39</v>
      </c>
      <c r="BA36" s="14">
        <v>40000</v>
      </c>
      <c r="BB36" s="14">
        <f>SUM(Table_ship_components[[#This Row],[PRICE]]+(Table_ship_components[[#This Row],[COST_PER_ADD_PERSON]]*Table_ship_components[[#This Row],[OPTIONAL]]))</f>
        <v>40000</v>
      </c>
      <c r="BC36" s="2">
        <v>0</v>
      </c>
      <c r="BD36" s="2">
        <v>0</v>
      </c>
    </row>
    <row r="37" spans="1:56" x14ac:dyDescent="0.35">
      <c r="A37" t="s">
        <v>349</v>
      </c>
      <c r="B37" t="s">
        <v>232</v>
      </c>
      <c r="C37" s="2">
        <v>0</v>
      </c>
      <c r="D37" s="2">
        <v>4</v>
      </c>
      <c r="E37" s="2">
        <f>SUM(Table_ship_components[[#This Row],[UNIT_SIZE]]+(Table_ship_components[[#This Row],[SIZE_PER_ADD_PERSON]]*Table_ship_components[[#This Row],[OPTIONAL]]))</f>
        <v>4</v>
      </c>
      <c r="F37" s="2">
        <v>5</v>
      </c>
      <c r="G37" s="2">
        <f>SUM(Table_ship_components[[#This Row],[POWER_CONSUMPTION]]+(Table_ship_components[[#This Row],[POWER_PER_ADD_PERSON]]*Table_ship_components[[#This Row],[OPTIONAL]]))</f>
        <v>5</v>
      </c>
      <c r="H37" s="2">
        <v>0</v>
      </c>
      <c r="I37" s="2">
        <v>0</v>
      </c>
      <c r="J37" s="2">
        <v>0</v>
      </c>
      <c r="K37" s="2">
        <v>0</v>
      </c>
      <c r="L37" s="2">
        <v>0</v>
      </c>
      <c r="M37" s="2">
        <v>0</v>
      </c>
      <c r="N37" s="2">
        <v>0</v>
      </c>
      <c r="O37" s="2">
        <v>1</v>
      </c>
      <c r="P37" s="2">
        <v>0</v>
      </c>
      <c r="Q37" s="2">
        <v>0</v>
      </c>
      <c r="R37" s="2">
        <v>0</v>
      </c>
      <c r="S37" s="2">
        <v>0</v>
      </c>
      <c r="T37" s="2">
        <v>0</v>
      </c>
      <c r="U37" s="2">
        <v>0</v>
      </c>
      <c r="V37" s="2">
        <v>0</v>
      </c>
      <c r="W37" s="14">
        <v>0</v>
      </c>
      <c r="X37" s="2">
        <v>0</v>
      </c>
      <c r="Y37" s="2">
        <v>2</v>
      </c>
      <c r="Z37" s="2">
        <v>5</v>
      </c>
      <c r="AA37" s="2">
        <v>0</v>
      </c>
      <c r="AB37" s="2">
        <v>0</v>
      </c>
      <c r="AC37" s="2">
        <v>0</v>
      </c>
      <c r="AD37" s="2">
        <v>0</v>
      </c>
      <c r="AE37" s="2">
        <v>0</v>
      </c>
      <c r="AF37" s="2">
        <v>0</v>
      </c>
      <c r="AG37" s="2">
        <v>0</v>
      </c>
      <c r="AH37" s="2">
        <v>0</v>
      </c>
      <c r="AI37" s="2">
        <v>0</v>
      </c>
      <c r="AJ37" s="2">
        <v>0</v>
      </c>
      <c r="AK37" s="2">
        <v>0</v>
      </c>
      <c r="AL37" s="2">
        <v>0</v>
      </c>
      <c r="AM37" s="2">
        <v>0</v>
      </c>
      <c r="AN37" s="2">
        <v>0</v>
      </c>
      <c r="AO37" s="2">
        <v>0</v>
      </c>
      <c r="AP37" s="2">
        <v>0</v>
      </c>
      <c r="AQ37" s="2">
        <v>0</v>
      </c>
      <c r="AR37" s="2">
        <v>0</v>
      </c>
      <c r="AS37" s="2">
        <v>0</v>
      </c>
      <c r="AT37" s="2">
        <v>0</v>
      </c>
      <c r="AU37" s="2">
        <v>0</v>
      </c>
      <c r="AV37" s="2">
        <v>0</v>
      </c>
      <c r="AW37" s="2">
        <v>0</v>
      </c>
      <c r="AX37" s="2">
        <v>0</v>
      </c>
      <c r="AY37" s="2">
        <v>0</v>
      </c>
      <c r="AZ37" s="2" t="s">
        <v>39</v>
      </c>
      <c r="BA37" s="14">
        <v>200000</v>
      </c>
      <c r="BB37" s="14">
        <f>SUM(Table_ship_components[[#This Row],[PRICE]]+(Table_ship_components[[#This Row],[COST_PER_ADD_PERSON]]*Table_ship_components[[#This Row],[OPTIONAL]]))</f>
        <v>200000</v>
      </c>
      <c r="BC37" s="2">
        <v>0</v>
      </c>
      <c r="BD37" s="2">
        <v>0</v>
      </c>
    </row>
    <row r="38" spans="1:56" x14ac:dyDescent="0.35">
      <c r="A38" t="s">
        <v>350</v>
      </c>
      <c r="B38" t="s">
        <v>233</v>
      </c>
      <c r="C38" s="2">
        <v>0</v>
      </c>
      <c r="D38" s="2">
        <v>6</v>
      </c>
      <c r="E38" s="2">
        <f>SUM(Table_ship_components[[#This Row],[UNIT_SIZE]]+(Table_ship_components[[#This Row],[SIZE_PER_ADD_PERSON]]*Table_ship_components[[#This Row],[OPTIONAL]]))</f>
        <v>6</v>
      </c>
      <c r="F38" s="2">
        <v>7</v>
      </c>
      <c r="G38" s="2">
        <f>SUM(Table_ship_components[[#This Row],[POWER_CONSUMPTION]]+(Table_ship_components[[#This Row],[POWER_PER_ADD_PERSON]]*Table_ship_components[[#This Row],[OPTIONAL]]))</f>
        <v>7</v>
      </c>
      <c r="H38" s="2">
        <v>0</v>
      </c>
      <c r="I38" s="2">
        <v>0</v>
      </c>
      <c r="J38" s="2">
        <v>0</v>
      </c>
      <c r="K38" s="2">
        <v>0</v>
      </c>
      <c r="L38" s="2">
        <v>0</v>
      </c>
      <c r="M38" s="2">
        <v>0</v>
      </c>
      <c r="N38" s="2">
        <v>0</v>
      </c>
      <c r="O38" s="2">
        <v>1</v>
      </c>
      <c r="P38" s="2">
        <v>0</v>
      </c>
      <c r="Q38" s="2">
        <v>0</v>
      </c>
      <c r="R38" s="2">
        <v>0</v>
      </c>
      <c r="S38" s="2">
        <v>0</v>
      </c>
      <c r="T38" s="2">
        <v>0</v>
      </c>
      <c r="U38" s="2">
        <v>0</v>
      </c>
      <c r="V38" s="2">
        <v>0</v>
      </c>
      <c r="W38" s="14">
        <v>0</v>
      </c>
      <c r="X38" s="2">
        <v>0</v>
      </c>
      <c r="Y38" s="2">
        <v>1</v>
      </c>
      <c r="Z38" s="2">
        <v>2</v>
      </c>
      <c r="AA38" s="2">
        <v>0</v>
      </c>
      <c r="AB38" s="2">
        <v>0</v>
      </c>
      <c r="AC38" s="2">
        <v>0</v>
      </c>
      <c r="AD38" s="2">
        <v>0</v>
      </c>
      <c r="AE38" s="2">
        <v>0</v>
      </c>
      <c r="AF38" s="2">
        <v>0</v>
      </c>
      <c r="AG38" s="2">
        <v>0</v>
      </c>
      <c r="AH38" s="2">
        <v>0</v>
      </c>
      <c r="AI38" s="2">
        <v>0</v>
      </c>
      <c r="AJ38" s="2">
        <v>0</v>
      </c>
      <c r="AK38" s="2">
        <v>0</v>
      </c>
      <c r="AL38" s="2">
        <v>0</v>
      </c>
      <c r="AM38" s="2">
        <v>0</v>
      </c>
      <c r="AN38" s="2">
        <v>0</v>
      </c>
      <c r="AO38" s="2">
        <v>0</v>
      </c>
      <c r="AP38" s="2">
        <v>0</v>
      </c>
      <c r="AQ38" s="2">
        <v>0</v>
      </c>
      <c r="AR38" s="2">
        <v>0</v>
      </c>
      <c r="AS38" s="2">
        <v>0</v>
      </c>
      <c r="AT38" s="2">
        <v>0</v>
      </c>
      <c r="AU38" s="2">
        <v>0</v>
      </c>
      <c r="AV38" s="2">
        <v>0</v>
      </c>
      <c r="AW38" s="2">
        <v>0</v>
      </c>
      <c r="AX38" s="2">
        <v>0</v>
      </c>
      <c r="AY38" s="2">
        <v>0</v>
      </c>
      <c r="AZ38" s="2" t="s">
        <v>39</v>
      </c>
      <c r="BA38" s="14">
        <v>1000000</v>
      </c>
      <c r="BB38" s="14">
        <f>SUM(Table_ship_components[[#This Row],[PRICE]]+(Table_ship_components[[#This Row],[COST_PER_ADD_PERSON]]*Table_ship_components[[#This Row],[OPTIONAL]]))</f>
        <v>1000000</v>
      </c>
      <c r="BC38" s="2">
        <v>0</v>
      </c>
      <c r="BD38" s="2">
        <v>0</v>
      </c>
    </row>
    <row r="39" spans="1:56" x14ac:dyDescent="0.35">
      <c r="A39" t="s">
        <v>404</v>
      </c>
      <c r="B39" t="s">
        <v>405</v>
      </c>
      <c r="C39" s="2">
        <v>0</v>
      </c>
      <c r="D39" s="2">
        <v>5</v>
      </c>
      <c r="E39" s="2">
        <f>SUM(Table_ship_components[[#This Row],[UNIT_SIZE]]+(Table_ship_components[[#This Row],[SIZE_PER_ADD_PERSON]]*Table_ship_components[[#This Row],[OPTIONAL]]))</f>
        <v>5</v>
      </c>
      <c r="F39" s="2">
        <v>2</v>
      </c>
      <c r="G39" s="2">
        <f>SUM(Table_ship_components[[#This Row],[POWER_CONSUMPTION]]+(Table_ship_components[[#This Row],[POWER_PER_ADD_PERSON]]*Table_ship_components[[#This Row],[OPTIONAL]]))</f>
        <v>2</v>
      </c>
      <c r="H39" s="2">
        <v>0</v>
      </c>
      <c r="I39" s="2">
        <v>0</v>
      </c>
      <c r="J39" s="2">
        <v>0</v>
      </c>
      <c r="K39" s="2">
        <v>0</v>
      </c>
      <c r="L39" s="2">
        <v>0</v>
      </c>
      <c r="M39" s="2">
        <v>0</v>
      </c>
      <c r="N39" s="2">
        <v>0</v>
      </c>
      <c r="O39" s="2">
        <v>1</v>
      </c>
      <c r="P39" s="2">
        <v>1</v>
      </c>
      <c r="Q39" s="2">
        <v>1</v>
      </c>
      <c r="R39" s="2">
        <v>1</v>
      </c>
      <c r="S39" s="2">
        <v>1</v>
      </c>
      <c r="T39" s="2">
        <v>1</v>
      </c>
      <c r="U39" s="2">
        <v>1</v>
      </c>
      <c r="V39" s="2">
        <v>3</v>
      </c>
      <c r="W39" s="14">
        <v>50000</v>
      </c>
      <c r="X39" s="2">
        <v>1</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0</v>
      </c>
      <c r="AX39" s="2">
        <v>0</v>
      </c>
      <c r="AY39" s="2">
        <v>0</v>
      </c>
      <c r="AZ39" s="2" t="s">
        <v>39</v>
      </c>
      <c r="BA39" s="14">
        <v>80000</v>
      </c>
      <c r="BB39" s="14">
        <f>SUM(Table_ship_components[[#This Row],[PRICE]]+(Table_ship_components[[#This Row],[COST_PER_ADD_PERSON]]*Table_ship_components[[#This Row],[OPTIONAL]]))</f>
        <v>80000</v>
      </c>
      <c r="BC39" s="2">
        <v>0</v>
      </c>
      <c r="BD39" s="2">
        <v>0</v>
      </c>
    </row>
    <row r="40" spans="1:56" x14ac:dyDescent="0.35">
      <c r="A40" t="s">
        <v>430</v>
      </c>
      <c r="B40" t="s">
        <v>406</v>
      </c>
      <c r="C40" s="2">
        <v>0</v>
      </c>
      <c r="D40" s="2">
        <v>8</v>
      </c>
      <c r="E40" s="2">
        <f>SUM(Table_ship_components[[#This Row],[UNIT_SIZE]]+(Table_ship_components[[#This Row],[SIZE_PER_ADD_PERSON]]*Table_ship_components[[#This Row],[OPTIONAL]]))</f>
        <v>8</v>
      </c>
      <c r="F40" s="2">
        <v>3</v>
      </c>
      <c r="G40" s="2">
        <f>SUM(Table_ship_components[[#This Row],[POWER_CONSUMPTION]]+(Table_ship_components[[#This Row],[POWER_PER_ADD_PERSON]]*Table_ship_components[[#This Row],[OPTIONAL]]))</f>
        <v>3</v>
      </c>
      <c r="H40" s="2">
        <v>0</v>
      </c>
      <c r="I40" s="2">
        <v>0</v>
      </c>
      <c r="J40" s="2">
        <v>0</v>
      </c>
      <c r="K40" s="2">
        <v>0</v>
      </c>
      <c r="L40" s="2">
        <v>0</v>
      </c>
      <c r="M40" s="2">
        <v>0</v>
      </c>
      <c r="N40" s="2">
        <v>0</v>
      </c>
      <c r="O40" s="2">
        <v>1</v>
      </c>
      <c r="P40" s="2">
        <v>1</v>
      </c>
      <c r="Q40" s="2">
        <v>1</v>
      </c>
      <c r="R40" s="2">
        <v>1</v>
      </c>
      <c r="S40" s="2">
        <v>1</v>
      </c>
      <c r="T40" s="2">
        <v>1</v>
      </c>
      <c r="U40" s="2">
        <v>1</v>
      </c>
      <c r="V40" s="2">
        <v>4</v>
      </c>
      <c r="W40" s="14">
        <v>100000</v>
      </c>
      <c r="X40" s="2">
        <v>2</v>
      </c>
      <c r="Y40" s="2">
        <v>0</v>
      </c>
      <c r="Z40" s="2">
        <v>0</v>
      </c>
      <c r="AA40" s="2">
        <v>0</v>
      </c>
      <c r="AB40" s="2">
        <v>0</v>
      </c>
      <c r="AC40" s="2">
        <v>0</v>
      </c>
      <c r="AD40" s="2">
        <v>0</v>
      </c>
      <c r="AE40" s="2">
        <v>0</v>
      </c>
      <c r="AF40" s="2">
        <v>0</v>
      </c>
      <c r="AG40" s="2">
        <v>0</v>
      </c>
      <c r="AH40" s="2">
        <v>0</v>
      </c>
      <c r="AI40" s="2">
        <v>0</v>
      </c>
      <c r="AJ40" s="2">
        <v>0</v>
      </c>
      <c r="AK40" s="2">
        <v>0</v>
      </c>
      <c r="AL40" s="2">
        <v>0</v>
      </c>
      <c r="AM40" s="2">
        <v>0</v>
      </c>
      <c r="AN40" s="2">
        <v>0</v>
      </c>
      <c r="AO40" s="2">
        <v>0</v>
      </c>
      <c r="AP40" s="2">
        <v>0</v>
      </c>
      <c r="AQ40" s="2">
        <v>0</v>
      </c>
      <c r="AR40" s="2">
        <v>0</v>
      </c>
      <c r="AS40" s="2">
        <v>0</v>
      </c>
      <c r="AT40" s="2">
        <v>0</v>
      </c>
      <c r="AU40" s="2">
        <v>0</v>
      </c>
      <c r="AV40" s="2">
        <v>0</v>
      </c>
      <c r="AW40" s="2">
        <v>0</v>
      </c>
      <c r="AX40" s="2">
        <v>0</v>
      </c>
      <c r="AY40" s="2">
        <v>0</v>
      </c>
      <c r="AZ40" s="2" t="s">
        <v>39</v>
      </c>
      <c r="BA40" s="14">
        <v>140000</v>
      </c>
      <c r="BB40" s="14">
        <f>SUM(Table_ship_components[[#This Row],[PRICE]]+(Table_ship_components[[#This Row],[COST_PER_ADD_PERSON]]*Table_ship_components[[#This Row],[OPTIONAL]]))</f>
        <v>140000</v>
      </c>
      <c r="BC40" s="2">
        <v>0</v>
      </c>
      <c r="BD40" s="2">
        <v>0</v>
      </c>
    </row>
    <row r="41" spans="1:56" x14ac:dyDescent="0.35">
      <c r="A41" t="s">
        <v>431</v>
      </c>
      <c r="B41" t="s">
        <v>407</v>
      </c>
      <c r="C41" s="2">
        <v>0</v>
      </c>
      <c r="D41" s="2">
        <v>11</v>
      </c>
      <c r="E41" s="2">
        <f>SUM(Table_ship_components[[#This Row],[UNIT_SIZE]]+(Table_ship_components[[#This Row],[SIZE_PER_ADD_PERSON]]*Table_ship_components[[#This Row],[OPTIONAL]]))</f>
        <v>11</v>
      </c>
      <c r="F41" s="2">
        <v>4</v>
      </c>
      <c r="G41" s="2">
        <f>SUM(Table_ship_components[[#This Row],[POWER_CONSUMPTION]]+(Table_ship_components[[#This Row],[POWER_PER_ADD_PERSON]]*Table_ship_components[[#This Row],[OPTIONAL]]))</f>
        <v>4</v>
      </c>
      <c r="H41" s="2">
        <v>0</v>
      </c>
      <c r="I41" s="2">
        <v>0</v>
      </c>
      <c r="J41" s="2">
        <v>0</v>
      </c>
      <c r="K41" s="2">
        <v>0</v>
      </c>
      <c r="L41" s="2">
        <v>0</v>
      </c>
      <c r="M41" s="2">
        <v>0</v>
      </c>
      <c r="N41" s="2">
        <v>0</v>
      </c>
      <c r="O41" s="2">
        <v>1</v>
      </c>
      <c r="P41" s="2">
        <v>1</v>
      </c>
      <c r="Q41" s="2">
        <v>1</v>
      </c>
      <c r="R41" s="2">
        <v>1</v>
      </c>
      <c r="S41" s="2">
        <v>1</v>
      </c>
      <c r="T41" s="2">
        <v>1</v>
      </c>
      <c r="U41" s="2">
        <v>1</v>
      </c>
      <c r="V41" s="2">
        <v>5</v>
      </c>
      <c r="W41" s="14">
        <v>250000</v>
      </c>
      <c r="X41" s="2">
        <v>3</v>
      </c>
      <c r="Y41" s="2">
        <v>0</v>
      </c>
      <c r="Z41" s="2">
        <v>0</v>
      </c>
      <c r="AA41" s="2">
        <v>0</v>
      </c>
      <c r="AB41" s="2">
        <v>0</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0</v>
      </c>
      <c r="AW41" s="2">
        <v>0</v>
      </c>
      <c r="AX41" s="2">
        <v>0</v>
      </c>
      <c r="AY41" s="2">
        <v>0</v>
      </c>
      <c r="AZ41" s="2" t="s">
        <v>39</v>
      </c>
      <c r="BA41" s="14">
        <v>300000</v>
      </c>
      <c r="BB41" s="14">
        <f>SUM(Table_ship_components[[#This Row],[PRICE]]+(Table_ship_components[[#This Row],[COST_PER_ADD_PERSON]]*Table_ship_components[[#This Row],[OPTIONAL]]))</f>
        <v>300000</v>
      </c>
      <c r="BC41" s="2">
        <v>0</v>
      </c>
      <c r="BD41" s="2">
        <v>0</v>
      </c>
    </row>
    <row r="42" spans="1:56" x14ac:dyDescent="0.35">
      <c r="A42" t="s">
        <v>525</v>
      </c>
      <c r="B42" t="s">
        <v>526</v>
      </c>
      <c r="C42" s="2">
        <v>0</v>
      </c>
      <c r="D42" s="2">
        <v>1</v>
      </c>
      <c r="E42" s="2">
        <f>SUM(Table_ship_components[[#This Row],[UNIT_SIZE]]+(Table_ship_components[[#This Row],[SIZE_PER_ADD_PERSON]]*Table_ship_components[[#This Row],[OPTIONAL]]))</f>
        <v>1</v>
      </c>
      <c r="F42" s="2">
        <v>1</v>
      </c>
      <c r="G42" s="2">
        <f>SUM(Table_ship_components[[#This Row],[POWER_CONSUMPTION]]+(Table_ship_components[[#This Row],[POWER_PER_ADD_PERSON]]*Table_ship_components[[#This Row],[OPTIONAL]]))</f>
        <v>1</v>
      </c>
      <c r="H42" s="2">
        <v>0</v>
      </c>
      <c r="I42" s="2">
        <v>0</v>
      </c>
      <c r="J42" s="2">
        <v>0</v>
      </c>
      <c r="K42" s="2">
        <v>0</v>
      </c>
      <c r="L42" s="2">
        <v>0</v>
      </c>
      <c r="M42" s="2">
        <v>1</v>
      </c>
      <c r="N42" s="2">
        <v>0</v>
      </c>
      <c r="O42" s="2">
        <v>0</v>
      </c>
      <c r="P42" s="2">
        <v>0</v>
      </c>
      <c r="Q42" s="2">
        <v>0</v>
      </c>
      <c r="R42" s="2">
        <v>0</v>
      </c>
      <c r="S42" s="2">
        <v>0</v>
      </c>
      <c r="T42" s="2">
        <v>0</v>
      </c>
      <c r="U42" s="2">
        <v>0</v>
      </c>
      <c r="V42" s="2">
        <v>0</v>
      </c>
      <c r="W42" s="2">
        <v>0</v>
      </c>
      <c r="X42" s="2">
        <v>0</v>
      </c>
      <c r="Y42" s="2">
        <v>0</v>
      </c>
      <c r="Z42" s="2">
        <v>0</v>
      </c>
      <c r="AA42" s="2">
        <v>0</v>
      </c>
      <c r="AB42" s="2">
        <v>0</v>
      </c>
      <c r="AC42" s="2">
        <v>0</v>
      </c>
      <c r="AD42" s="2">
        <v>0</v>
      </c>
      <c r="AE42" s="2">
        <v>0</v>
      </c>
      <c r="AF42" s="2">
        <v>0</v>
      </c>
      <c r="AG42" s="2">
        <v>0</v>
      </c>
      <c r="AH42" s="2">
        <v>0</v>
      </c>
      <c r="AI42" s="2">
        <v>0</v>
      </c>
      <c r="AJ42" s="2">
        <v>0</v>
      </c>
      <c r="AK42" s="2">
        <v>0</v>
      </c>
      <c r="AL42" s="2">
        <v>0</v>
      </c>
      <c r="AM42" s="2">
        <v>0</v>
      </c>
      <c r="AN42" s="2">
        <v>0</v>
      </c>
      <c r="AO42" s="2">
        <v>1</v>
      </c>
      <c r="AP42" s="2">
        <v>0</v>
      </c>
      <c r="AQ42" s="2">
        <v>0</v>
      </c>
      <c r="AR42" s="2">
        <v>0</v>
      </c>
      <c r="AS42" s="2">
        <v>0</v>
      </c>
      <c r="AT42" s="2">
        <v>0</v>
      </c>
      <c r="AU42" s="2">
        <v>0</v>
      </c>
      <c r="AV42" s="2">
        <v>0</v>
      </c>
      <c r="AW42" s="2">
        <v>0</v>
      </c>
      <c r="AX42" s="2">
        <v>0</v>
      </c>
      <c r="AY42" s="2">
        <v>0</v>
      </c>
      <c r="AZ42" s="2" t="s">
        <v>39</v>
      </c>
      <c r="BA42" s="14">
        <v>10000</v>
      </c>
      <c r="BB42" s="14">
        <f>SUM(Table_ship_components[[#This Row],[PRICE]]+(Table_ship_components[[#This Row],[COST_PER_ADD_PERSON]]*Table_ship_components[[#This Row],[OPTIONAL]]))</f>
        <v>10000</v>
      </c>
      <c r="BC42" s="2">
        <v>0</v>
      </c>
      <c r="BD42" s="2">
        <v>0</v>
      </c>
    </row>
    <row r="43" spans="1:56" x14ac:dyDescent="0.35">
      <c r="A43" t="s">
        <v>530</v>
      </c>
      <c r="B43" t="s">
        <v>527</v>
      </c>
      <c r="C43" s="2">
        <v>0</v>
      </c>
      <c r="D43" s="2">
        <v>2</v>
      </c>
      <c r="E43" s="2">
        <f>SUM(Table_ship_components[[#This Row],[UNIT_SIZE]]+(Table_ship_components[[#This Row],[SIZE_PER_ADD_PERSON]]*Table_ship_components[[#This Row],[OPTIONAL]]))</f>
        <v>2</v>
      </c>
      <c r="F43" s="2">
        <v>2</v>
      </c>
      <c r="G43" s="2">
        <f>SUM(Table_ship_components[[#This Row],[POWER_CONSUMPTION]]+(Table_ship_components[[#This Row],[POWER_PER_ADD_PERSON]]*Table_ship_components[[#This Row],[OPTIONAL]]))</f>
        <v>2</v>
      </c>
      <c r="H43" s="2">
        <v>0</v>
      </c>
      <c r="I43" s="2">
        <v>0</v>
      </c>
      <c r="J43" s="2">
        <v>0</v>
      </c>
      <c r="K43" s="2">
        <v>0</v>
      </c>
      <c r="L43" s="2">
        <v>0</v>
      </c>
      <c r="M43" s="2">
        <v>1</v>
      </c>
      <c r="N43" s="2">
        <v>0</v>
      </c>
      <c r="O43" s="2">
        <v>0</v>
      </c>
      <c r="P43" s="2">
        <v>0</v>
      </c>
      <c r="Q43" s="2">
        <v>0</v>
      </c>
      <c r="R43" s="2">
        <v>0</v>
      </c>
      <c r="S43" s="2">
        <v>0</v>
      </c>
      <c r="T43" s="2">
        <v>0</v>
      </c>
      <c r="U43" s="2">
        <v>0</v>
      </c>
      <c r="V43" s="2">
        <v>0</v>
      </c>
      <c r="W43" s="2">
        <v>0</v>
      </c>
      <c r="X43" s="2">
        <v>0</v>
      </c>
      <c r="Y43" s="2">
        <v>0</v>
      </c>
      <c r="Z43" s="2">
        <v>0</v>
      </c>
      <c r="AA43" s="2">
        <v>0</v>
      </c>
      <c r="AB43" s="2">
        <v>0</v>
      </c>
      <c r="AC43" s="2">
        <v>0</v>
      </c>
      <c r="AD43" s="2">
        <v>0</v>
      </c>
      <c r="AE43" s="2">
        <v>0</v>
      </c>
      <c r="AF43" s="2">
        <v>0</v>
      </c>
      <c r="AG43" s="2">
        <v>0</v>
      </c>
      <c r="AH43" s="2">
        <v>0</v>
      </c>
      <c r="AI43" s="2">
        <v>0</v>
      </c>
      <c r="AJ43" s="2">
        <v>0</v>
      </c>
      <c r="AK43" s="2">
        <v>0</v>
      </c>
      <c r="AL43" s="2">
        <v>0</v>
      </c>
      <c r="AM43" s="2">
        <v>0</v>
      </c>
      <c r="AN43" s="2">
        <v>0</v>
      </c>
      <c r="AO43" s="2">
        <v>2</v>
      </c>
      <c r="AP43" s="2">
        <v>0</v>
      </c>
      <c r="AQ43" s="2">
        <v>0</v>
      </c>
      <c r="AR43" s="2">
        <v>0</v>
      </c>
      <c r="AS43" s="2">
        <v>0</v>
      </c>
      <c r="AT43" s="2">
        <v>0</v>
      </c>
      <c r="AU43" s="2">
        <v>0</v>
      </c>
      <c r="AV43" s="2">
        <v>0</v>
      </c>
      <c r="AW43" s="2">
        <v>0</v>
      </c>
      <c r="AX43" s="2">
        <v>0</v>
      </c>
      <c r="AY43" s="2">
        <v>0</v>
      </c>
      <c r="AZ43" s="2" t="s">
        <v>39</v>
      </c>
      <c r="BA43" s="14">
        <v>25000</v>
      </c>
      <c r="BB43" s="14">
        <f>SUM(Table_ship_components[[#This Row],[PRICE]]+(Table_ship_components[[#This Row],[COST_PER_ADD_PERSON]]*Table_ship_components[[#This Row],[OPTIONAL]]))</f>
        <v>25000</v>
      </c>
      <c r="BC43" s="2">
        <v>0</v>
      </c>
      <c r="BD43" s="2">
        <v>0</v>
      </c>
    </row>
    <row r="44" spans="1:56" x14ac:dyDescent="0.35">
      <c r="A44" t="s">
        <v>531</v>
      </c>
      <c r="B44" t="s">
        <v>528</v>
      </c>
      <c r="C44" s="2">
        <v>0</v>
      </c>
      <c r="D44" s="2">
        <v>3</v>
      </c>
      <c r="E44" s="2">
        <f>SUM(Table_ship_components[[#This Row],[UNIT_SIZE]]+(Table_ship_components[[#This Row],[SIZE_PER_ADD_PERSON]]*Table_ship_components[[#This Row],[OPTIONAL]]))</f>
        <v>3</v>
      </c>
      <c r="F44" s="2">
        <v>3</v>
      </c>
      <c r="G44" s="2">
        <f>SUM(Table_ship_components[[#This Row],[POWER_CONSUMPTION]]+(Table_ship_components[[#This Row],[POWER_PER_ADD_PERSON]]*Table_ship_components[[#This Row],[OPTIONAL]]))</f>
        <v>3</v>
      </c>
      <c r="H44" s="2">
        <v>0</v>
      </c>
      <c r="I44" s="2">
        <v>0</v>
      </c>
      <c r="J44" s="2">
        <v>0</v>
      </c>
      <c r="K44" s="2">
        <v>0</v>
      </c>
      <c r="L44" s="2">
        <v>0</v>
      </c>
      <c r="M44" s="2">
        <v>1</v>
      </c>
      <c r="N44" s="2">
        <v>0</v>
      </c>
      <c r="O44" s="2">
        <v>0</v>
      </c>
      <c r="P44" s="2">
        <v>0</v>
      </c>
      <c r="Q44" s="2">
        <v>0</v>
      </c>
      <c r="R44" s="2">
        <v>0</v>
      </c>
      <c r="S44" s="2">
        <v>0</v>
      </c>
      <c r="T44" s="2">
        <v>0</v>
      </c>
      <c r="U44" s="2">
        <v>0</v>
      </c>
      <c r="V44" s="2">
        <v>0</v>
      </c>
      <c r="W44" s="2">
        <v>0</v>
      </c>
      <c r="X44" s="2">
        <v>0</v>
      </c>
      <c r="Y44" s="2">
        <v>0</v>
      </c>
      <c r="Z44" s="2">
        <v>0</v>
      </c>
      <c r="AA44" s="2">
        <v>0</v>
      </c>
      <c r="AB44" s="2">
        <v>0</v>
      </c>
      <c r="AC44" s="2">
        <v>0</v>
      </c>
      <c r="AD44" s="2">
        <v>0</v>
      </c>
      <c r="AE44" s="2">
        <v>0</v>
      </c>
      <c r="AF44" s="2">
        <v>0</v>
      </c>
      <c r="AG44" s="2">
        <v>0</v>
      </c>
      <c r="AH44" s="2">
        <v>0</v>
      </c>
      <c r="AI44" s="2">
        <v>0</v>
      </c>
      <c r="AJ44" s="2">
        <v>0</v>
      </c>
      <c r="AK44" s="2">
        <v>0</v>
      </c>
      <c r="AL44" s="2">
        <v>0</v>
      </c>
      <c r="AM44" s="2">
        <v>0</v>
      </c>
      <c r="AN44" s="2">
        <v>0</v>
      </c>
      <c r="AO44" s="2">
        <v>3</v>
      </c>
      <c r="AP44" s="2">
        <v>0</v>
      </c>
      <c r="AQ44" s="2">
        <v>0</v>
      </c>
      <c r="AR44" s="2">
        <v>0</v>
      </c>
      <c r="AS44" s="2">
        <v>0</v>
      </c>
      <c r="AT44" s="2">
        <v>0</v>
      </c>
      <c r="AU44" s="2">
        <v>0</v>
      </c>
      <c r="AV44" s="2">
        <v>0</v>
      </c>
      <c r="AW44" s="2">
        <v>0</v>
      </c>
      <c r="AX44" s="2">
        <v>0</v>
      </c>
      <c r="AY44" s="2">
        <v>0</v>
      </c>
      <c r="AZ44" s="2" t="s">
        <v>39</v>
      </c>
      <c r="BA44" s="14">
        <v>75000</v>
      </c>
      <c r="BB44" s="14">
        <f>SUM(Table_ship_components[[#This Row],[PRICE]]+(Table_ship_components[[#This Row],[COST_PER_ADD_PERSON]]*Table_ship_components[[#This Row],[OPTIONAL]]))</f>
        <v>75000</v>
      </c>
      <c r="BC44" s="2">
        <v>0</v>
      </c>
      <c r="BD44" s="2">
        <v>0</v>
      </c>
    </row>
    <row r="45" spans="1:56" x14ac:dyDescent="0.35">
      <c r="A45" t="s">
        <v>326</v>
      </c>
      <c r="B45" t="s">
        <v>303</v>
      </c>
      <c r="C45" s="2">
        <v>0</v>
      </c>
      <c r="D45" s="2">
        <v>1</v>
      </c>
      <c r="E45" s="2">
        <f>SUM(Table_ship_components[[#This Row],[UNIT_SIZE]]+(Table_ship_components[[#This Row],[SIZE_PER_ADD_PERSON]]*Table_ship_components[[#This Row],[OPTIONAL]]))</f>
        <v>1</v>
      </c>
      <c r="F45" s="2">
        <v>1</v>
      </c>
      <c r="G45" s="2">
        <f>SUM(Table_ship_components[[#This Row],[POWER_CONSUMPTION]]+(Table_ship_components[[#This Row],[POWER_PER_ADD_PERSON]]*Table_ship_components[[#This Row],[OPTIONAL]]))</f>
        <v>1</v>
      </c>
      <c r="H45" s="2">
        <v>0</v>
      </c>
      <c r="I45" s="2">
        <v>0</v>
      </c>
      <c r="J45" s="2">
        <v>0</v>
      </c>
      <c r="K45" s="2">
        <v>0</v>
      </c>
      <c r="L45" s="2">
        <v>0</v>
      </c>
      <c r="M45" s="2">
        <v>0</v>
      </c>
      <c r="N45" s="2">
        <v>1</v>
      </c>
      <c r="O45" s="2">
        <v>0</v>
      </c>
      <c r="P45" s="2">
        <v>0</v>
      </c>
      <c r="Q45" s="2">
        <v>0</v>
      </c>
      <c r="R45" s="2">
        <v>0</v>
      </c>
      <c r="S45" s="2">
        <v>0</v>
      </c>
      <c r="T45" s="2">
        <v>0</v>
      </c>
      <c r="U45" s="2">
        <v>0</v>
      </c>
      <c r="V45" s="2">
        <v>0</v>
      </c>
      <c r="W45" s="14">
        <v>0</v>
      </c>
      <c r="X45" s="2">
        <v>0</v>
      </c>
      <c r="Y45" s="2">
        <v>0</v>
      </c>
      <c r="Z45" s="2">
        <v>0</v>
      </c>
      <c r="AA45" s="2">
        <v>0</v>
      </c>
      <c r="AB45" s="2">
        <v>0</v>
      </c>
      <c r="AC45" s="2">
        <v>0</v>
      </c>
      <c r="AD45" s="2">
        <v>0</v>
      </c>
      <c r="AE45" s="2">
        <v>0</v>
      </c>
      <c r="AF45" s="2">
        <v>0</v>
      </c>
      <c r="AG45" s="2">
        <v>0</v>
      </c>
      <c r="AH45" s="2">
        <v>0</v>
      </c>
      <c r="AI45" s="2">
        <v>0</v>
      </c>
      <c r="AJ45" s="2">
        <v>0</v>
      </c>
      <c r="AK45" s="2">
        <v>0</v>
      </c>
      <c r="AL45" s="2">
        <v>0</v>
      </c>
      <c r="AM45" s="2">
        <v>0</v>
      </c>
      <c r="AN45" s="2">
        <v>0</v>
      </c>
      <c r="AO45" s="2">
        <v>1</v>
      </c>
      <c r="AP45" s="2">
        <v>0</v>
      </c>
      <c r="AQ45" s="2">
        <v>0</v>
      </c>
      <c r="AR45" s="2">
        <v>0</v>
      </c>
      <c r="AS45" s="2">
        <v>0</v>
      </c>
      <c r="AT45" s="2">
        <v>0</v>
      </c>
      <c r="AU45" s="2">
        <v>0</v>
      </c>
      <c r="AV45" s="2">
        <v>0</v>
      </c>
      <c r="AW45" s="2">
        <v>0</v>
      </c>
      <c r="AX45" s="2">
        <v>0</v>
      </c>
      <c r="AY45" s="2">
        <v>0</v>
      </c>
      <c r="AZ45" s="2" t="s">
        <v>39</v>
      </c>
      <c r="BA45" s="14">
        <v>10000</v>
      </c>
      <c r="BB45" s="14">
        <f>SUM(Table_ship_components[[#This Row],[PRICE]]+(Table_ship_components[[#This Row],[COST_PER_ADD_PERSON]]*Table_ship_components[[#This Row],[OPTIONAL]]))</f>
        <v>10000</v>
      </c>
      <c r="BC45" s="2">
        <v>0</v>
      </c>
      <c r="BD45" s="2">
        <v>0</v>
      </c>
    </row>
    <row r="46" spans="1:56" x14ac:dyDescent="0.35">
      <c r="A46" t="s">
        <v>327</v>
      </c>
      <c r="B46" t="s">
        <v>302</v>
      </c>
      <c r="C46" s="2">
        <v>0</v>
      </c>
      <c r="D46" s="2">
        <v>2</v>
      </c>
      <c r="E46" s="2">
        <f>SUM(Table_ship_components[[#This Row],[UNIT_SIZE]]+(Table_ship_components[[#This Row],[SIZE_PER_ADD_PERSON]]*Table_ship_components[[#This Row],[OPTIONAL]]))</f>
        <v>2</v>
      </c>
      <c r="F46" s="2">
        <v>2</v>
      </c>
      <c r="G46" s="2">
        <f>SUM(Table_ship_components[[#This Row],[POWER_CONSUMPTION]]+(Table_ship_components[[#This Row],[POWER_PER_ADD_PERSON]]*Table_ship_components[[#This Row],[OPTIONAL]]))</f>
        <v>2</v>
      </c>
      <c r="H46" s="2">
        <v>0</v>
      </c>
      <c r="I46" s="2">
        <v>0</v>
      </c>
      <c r="J46" s="2">
        <v>0</v>
      </c>
      <c r="K46" s="2">
        <v>0</v>
      </c>
      <c r="L46" s="2">
        <v>0</v>
      </c>
      <c r="M46" s="2">
        <v>0</v>
      </c>
      <c r="N46" s="2">
        <v>1</v>
      </c>
      <c r="O46" s="2">
        <v>0</v>
      </c>
      <c r="P46" s="2">
        <v>0</v>
      </c>
      <c r="Q46" s="2">
        <v>0</v>
      </c>
      <c r="R46" s="2">
        <v>0</v>
      </c>
      <c r="S46" s="2">
        <v>0</v>
      </c>
      <c r="T46" s="2">
        <v>0</v>
      </c>
      <c r="U46" s="2">
        <v>0</v>
      </c>
      <c r="V46" s="2">
        <v>0</v>
      </c>
      <c r="W46" s="14">
        <v>0</v>
      </c>
      <c r="X46" s="2">
        <v>0</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2</v>
      </c>
      <c r="AP46" s="2">
        <v>0</v>
      </c>
      <c r="AQ46" s="2">
        <v>0</v>
      </c>
      <c r="AR46" s="2">
        <v>0</v>
      </c>
      <c r="AS46" s="2">
        <v>0</v>
      </c>
      <c r="AT46" s="2">
        <v>0</v>
      </c>
      <c r="AU46" s="2">
        <v>0</v>
      </c>
      <c r="AV46" s="2">
        <v>0</v>
      </c>
      <c r="AW46" s="2">
        <v>0</v>
      </c>
      <c r="AX46" s="2">
        <v>0</v>
      </c>
      <c r="AY46" s="2">
        <v>0</v>
      </c>
      <c r="AZ46" s="2" t="s">
        <v>39</v>
      </c>
      <c r="BA46" s="14">
        <v>25000</v>
      </c>
      <c r="BB46" s="14">
        <f>SUM(Table_ship_components[[#This Row],[PRICE]]+(Table_ship_components[[#This Row],[COST_PER_ADD_PERSON]]*Table_ship_components[[#This Row],[OPTIONAL]]))</f>
        <v>25000</v>
      </c>
      <c r="BC46" s="2">
        <v>0</v>
      </c>
      <c r="BD46" s="2">
        <v>0</v>
      </c>
    </row>
    <row r="47" spans="1:56" x14ac:dyDescent="0.35">
      <c r="A47" t="s">
        <v>328</v>
      </c>
      <c r="B47" t="s">
        <v>304</v>
      </c>
      <c r="C47" s="2">
        <v>0</v>
      </c>
      <c r="D47" s="2">
        <v>3</v>
      </c>
      <c r="E47" s="2">
        <f>SUM(Table_ship_components[[#This Row],[UNIT_SIZE]]+(Table_ship_components[[#This Row],[SIZE_PER_ADD_PERSON]]*Table_ship_components[[#This Row],[OPTIONAL]]))</f>
        <v>3</v>
      </c>
      <c r="F47" s="2">
        <v>3</v>
      </c>
      <c r="G47" s="2">
        <f>SUM(Table_ship_components[[#This Row],[POWER_CONSUMPTION]]+(Table_ship_components[[#This Row],[POWER_PER_ADD_PERSON]]*Table_ship_components[[#This Row],[OPTIONAL]]))</f>
        <v>3</v>
      </c>
      <c r="H47" s="2">
        <v>0</v>
      </c>
      <c r="I47" s="2">
        <v>0</v>
      </c>
      <c r="J47" s="2">
        <v>0</v>
      </c>
      <c r="K47" s="2">
        <v>0</v>
      </c>
      <c r="L47" s="2">
        <v>0</v>
      </c>
      <c r="M47" s="2">
        <v>0</v>
      </c>
      <c r="N47" s="2">
        <v>1</v>
      </c>
      <c r="O47" s="2">
        <v>0</v>
      </c>
      <c r="P47" s="2">
        <v>0</v>
      </c>
      <c r="Q47" s="2">
        <v>0</v>
      </c>
      <c r="R47" s="2">
        <v>0</v>
      </c>
      <c r="S47" s="2">
        <v>0</v>
      </c>
      <c r="T47" s="2">
        <v>0</v>
      </c>
      <c r="U47" s="2">
        <v>0</v>
      </c>
      <c r="V47" s="2">
        <v>0</v>
      </c>
      <c r="W47" s="14">
        <v>0</v>
      </c>
      <c r="X47" s="2">
        <v>0</v>
      </c>
      <c r="Y47" s="2">
        <v>0</v>
      </c>
      <c r="Z47" s="2">
        <v>0</v>
      </c>
      <c r="AA47" s="2">
        <v>0</v>
      </c>
      <c r="AB47" s="2">
        <v>0</v>
      </c>
      <c r="AC47" s="2">
        <v>0</v>
      </c>
      <c r="AD47" s="2">
        <v>0</v>
      </c>
      <c r="AE47" s="2">
        <v>0</v>
      </c>
      <c r="AF47" s="2">
        <v>0</v>
      </c>
      <c r="AG47" s="2">
        <v>0</v>
      </c>
      <c r="AH47" s="2">
        <v>0</v>
      </c>
      <c r="AI47" s="2">
        <v>0</v>
      </c>
      <c r="AJ47" s="2">
        <v>0</v>
      </c>
      <c r="AK47" s="2">
        <v>0</v>
      </c>
      <c r="AL47" s="2">
        <v>0</v>
      </c>
      <c r="AM47" s="2">
        <v>0</v>
      </c>
      <c r="AN47" s="2">
        <v>0</v>
      </c>
      <c r="AO47" s="2">
        <v>3</v>
      </c>
      <c r="AP47" s="2">
        <v>0</v>
      </c>
      <c r="AQ47" s="2">
        <v>0</v>
      </c>
      <c r="AR47" s="2">
        <v>0</v>
      </c>
      <c r="AS47" s="2">
        <v>0</v>
      </c>
      <c r="AT47" s="2">
        <v>0</v>
      </c>
      <c r="AU47" s="2">
        <v>0</v>
      </c>
      <c r="AV47" s="2">
        <v>0</v>
      </c>
      <c r="AW47" s="2">
        <v>0</v>
      </c>
      <c r="AX47" s="2">
        <v>0</v>
      </c>
      <c r="AY47" s="2">
        <v>0</v>
      </c>
      <c r="AZ47" s="2" t="s">
        <v>39</v>
      </c>
      <c r="BA47" s="14">
        <v>75000</v>
      </c>
      <c r="BB47" s="14">
        <f>SUM(Table_ship_components[[#This Row],[PRICE]]+(Table_ship_components[[#This Row],[COST_PER_ADD_PERSON]]*Table_ship_components[[#This Row],[OPTIONAL]]))</f>
        <v>75000</v>
      </c>
      <c r="BC47" s="2">
        <v>0</v>
      </c>
      <c r="BD47" s="2">
        <v>0</v>
      </c>
    </row>
    <row r="48" spans="1:56" x14ac:dyDescent="0.35">
      <c r="A48" t="s">
        <v>351</v>
      </c>
      <c r="B48" t="s">
        <v>250</v>
      </c>
      <c r="C48" s="2">
        <v>0</v>
      </c>
      <c r="D48" s="2">
        <v>2</v>
      </c>
      <c r="E48" s="2">
        <f>SUM(Table_ship_components[[#This Row],[UNIT_SIZE]]+(Table_ship_components[[#This Row],[SIZE_PER_ADD_PERSON]]*Table_ship_components[[#This Row],[OPTIONAL]]))</f>
        <v>2</v>
      </c>
      <c r="F48" s="2">
        <v>4</v>
      </c>
      <c r="G48" s="2">
        <f>SUM(Table_ship_components[[#This Row],[POWER_CONSUMPTION]]+(Table_ship_components[[#This Row],[POWER_PER_ADD_PERSON]]*Table_ship_components[[#This Row],[OPTIONAL]]))</f>
        <v>4</v>
      </c>
      <c r="H48" s="2">
        <v>0</v>
      </c>
      <c r="I48" s="2">
        <v>0</v>
      </c>
      <c r="J48" s="2">
        <v>0</v>
      </c>
      <c r="K48" s="2">
        <v>0</v>
      </c>
      <c r="L48" s="2">
        <v>0</v>
      </c>
      <c r="M48" s="2">
        <v>0</v>
      </c>
      <c r="N48" s="2">
        <v>0</v>
      </c>
      <c r="O48" s="2">
        <v>1</v>
      </c>
      <c r="P48" s="2">
        <v>0</v>
      </c>
      <c r="Q48" s="2">
        <v>0</v>
      </c>
      <c r="R48" s="2">
        <v>0</v>
      </c>
      <c r="S48" s="2">
        <v>0</v>
      </c>
      <c r="T48" s="2">
        <v>0</v>
      </c>
      <c r="U48" s="2">
        <v>0</v>
      </c>
      <c r="V48" s="2">
        <v>0</v>
      </c>
      <c r="W48" s="14">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1</v>
      </c>
      <c r="AP48" s="2">
        <v>0</v>
      </c>
      <c r="AQ48" s="2">
        <v>0</v>
      </c>
      <c r="AR48" s="2">
        <v>0</v>
      </c>
      <c r="AS48" s="2">
        <v>0</v>
      </c>
      <c r="AT48" s="2">
        <v>0</v>
      </c>
      <c r="AU48" s="2">
        <v>0</v>
      </c>
      <c r="AV48" s="2">
        <v>0</v>
      </c>
      <c r="AW48" s="2">
        <v>0</v>
      </c>
      <c r="AX48" s="2">
        <v>0</v>
      </c>
      <c r="AY48" s="2">
        <v>0</v>
      </c>
      <c r="AZ48" s="2" t="s">
        <v>39</v>
      </c>
      <c r="BA48" s="14">
        <v>80000</v>
      </c>
      <c r="BB48" s="14">
        <f>SUM(Table_ship_components[[#This Row],[PRICE]]+(Table_ship_components[[#This Row],[COST_PER_ADD_PERSON]]*Table_ship_components[[#This Row],[OPTIONAL]]))</f>
        <v>80000</v>
      </c>
      <c r="BC48" s="2">
        <v>0</v>
      </c>
      <c r="BD48" s="2">
        <v>0</v>
      </c>
    </row>
    <row r="49" spans="1:56" x14ac:dyDescent="0.35">
      <c r="A49" t="s">
        <v>352</v>
      </c>
      <c r="B49" t="s">
        <v>251</v>
      </c>
      <c r="C49" s="2">
        <v>0</v>
      </c>
      <c r="D49" s="2">
        <v>4</v>
      </c>
      <c r="E49" s="2">
        <f>SUM(Table_ship_components[[#This Row],[UNIT_SIZE]]+(Table_ship_components[[#This Row],[SIZE_PER_ADD_PERSON]]*Table_ship_components[[#This Row],[OPTIONAL]]))</f>
        <v>4</v>
      </c>
      <c r="F49" s="2">
        <v>5</v>
      </c>
      <c r="G49" s="2">
        <f>SUM(Table_ship_components[[#This Row],[POWER_CONSUMPTION]]+(Table_ship_components[[#This Row],[POWER_PER_ADD_PERSON]]*Table_ship_components[[#This Row],[OPTIONAL]]))</f>
        <v>5</v>
      </c>
      <c r="H49" s="2">
        <v>0</v>
      </c>
      <c r="I49" s="2">
        <v>0</v>
      </c>
      <c r="J49" s="2">
        <v>0</v>
      </c>
      <c r="K49" s="2">
        <v>0</v>
      </c>
      <c r="L49" s="2">
        <v>0</v>
      </c>
      <c r="M49" s="2">
        <v>0</v>
      </c>
      <c r="N49" s="2">
        <v>0</v>
      </c>
      <c r="O49" s="2">
        <v>1</v>
      </c>
      <c r="P49" s="2">
        <v>0</v>
      </c>
      <c r="Q49" s="2">
        <v>0</v>
      </c>
      <c r="R49" s="2">
        <v>0</v>
      </c>
      <c r="S49" s="2">
        <v>0</v>
      </c>
      <c r="T49" s="2">
        <v>0</v>
      </c>
      <c r="U49" s="2">
        <v>0</v>
      </c>
      <c r="V49" s="2">
        <v>0</v>
      </c>
      <c r="W49" s="14">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2</v>
      </c>
      <c r="AP49" s="2">
        <v>0</v>
      </c>
      <c r="AQ49" s="2">
        <v>0</v>
      </c>
      <c r="AR49" s="2">
        <v>0</v>
      </c>
      <c r="AS49" s="2">
        <v>0</v>
      </c>
      <c r="AT49" s="2">
        <v>0</v>
      </c>
      <c r="AU49" s="2">
        <v>0</v>
      </c>
      <c r="AV49" s="2">
        <v>0</v>
      </c>
      <c r="AW49" s="2">
        <v>0</v>
      </c>
      <c r="AX49" s="2">
        <v>0</v>
      </c>
      <c r="AY49" s="2">
        <v>0</v>
      </c>
      <c r="AZ49" s="2" t="s">
        <v>39</v>
      </c>
      <c r="BA49" s="14">
        <v>200000</v>
      </c>
      <c r="BB49" s="14">
        <f>SUM(Table_ship_components[[#This Row],[PRICE]]+(Table_ship_components[[#This Row],[COST_PER_ADD_PERSON]]*Table_ship_components[[#This Row],[OPTIONAL]]))</f>
        <v>200000</v>
      </c>
      <c r="BC49" s="2">
        <v>0</v>
      </c>
      <c r="BD49" s="2">
        <v>0</v>
      </c>
    </row>
    <row r="50" spans="1:56" x14ac:dyDescent="0.35">
      <c r="A50" t="s">
        <v>353</v>
      </c>
      <c r="B50" t="s">
        <v>252</v>
      </c>
      <c r="C50" s="2">
        <v>0</v>
      </c>
      <c r="D50" s="2">
        <v>6</v>
      </c>
      <c r="E50" s="2">
        <f>SUM(Table_ship_components[[#This Row],[UNIT_SIZE]]+(Table_ship_components[[#This Row],[SIZE_PER_ADD_PERSON]]*Table_ship_components[[#This Row],[OPTIONAL]]))</f>
        <v>6</v>
      </c>
      <c r="F50" s="2">
        <v>6</v>
      </c>
      <c r="G50" s="2">
        <f>SUM(Table_ship_components[[#This Row],[POWER_CONSUMPTION]]+(Table_ship_components[[#This Row],[POWER_PER_ADD_PERSON]]*Table_ship_components[[#This Row],[OPTIONAL]]))</f>
        <v>6</v>
      </c>
      <c r="H50" s="2">
        <v>0</v>
      </c>
      <c r="I50" s="2">
        <v>0</v>
      </c>
      <c r="J50" s="2">
        <v>0</v>
      </c>
      <c r="K50" s="2">
        <v>0</v>
      </c>
      <c r="L50" s="2">
        <v>0</v>
      </c>
      <c r="M50" s="2">
        <v>0</v>
      </c>
      <c r="N50" s="2">
        <v>0</v>
      </c>
      <c r="O50" s="2">
        <v>1</v>
      </c>
      <c r="P50" s="2">
        <v>0</v>
      </c>
      <c r="Q50" s="2">
        <v>0</v>
      </c>
      <c r="R50" s="2">
        <v>0</v>
      </c>
      <c r="S50" s="2">
        <v>0</v>
      </c>
      <c r="T50" s="2">
        <v>0</v>
      </c>
      <c r="U50" s="2">
        <v>0</v>
      </c>
      <c r="V50" s="2">
        <v>0</v>
      </c>
      <c r="W50" s="14">
        <v>0</v>
      </c>
      <c r="X50" s="2">
        <v>0</v>
      </c>
      <c r="Y50" s="2">
        <v>0</v>
      </c>
      <c r="Z50" s="2">
        <v>0</v>
      </c>
      <c r="AA50" s="2">
        <v>0</v>
      </c>
      <c r="AB50" s="2">
        <v>0</v>
      </c>
      <c r="AC50" s="2">
        <v>0</v>
      </c>
      <c r="AD50" s="2">
        <v>0</v>
      </c>
      <c r="AE50" s="2">
        <v>0</v>
      </c>
      <c r="AF50" s="2">
        <v>0</v>
      </c>
      <c r="AG50" s="2">
        <v>0</v>
      </c>
      <c r="AH50" s="2">
        <v>0</v>
      </c>
      <c r="AI50" s="2">
        <v>0</v>
      </c>
      <c r="AJ50" s="2">
        <v>0</v>
      </c>
      <c r="AK50" s="2">
        <v>0</v>
      </c>
      <c r="AL50" s="2">
        <v>0</v>
      </c>
      <c r="AM50" s="2">
        <v>0</v>
      </c>
      <c r="AN50" s="2">
        <v>0</v>
      </c>
      <c r="AO50" s="2">
        <v>3</v>
      </c>
      <c r="AP50" s="2">
        <v>0</v>
      </c>
      <c r="AQ50" s="2">
        <v>0</v>
      </c>
      <c r="AR50" s="2">
        <v>0</v>
      </c>
      <c r="AS50" s="2">
        <v>0</v>
      </c>
      <c r="AT50" s="2">
        <v>0</v>
      </c>
      <c r="AU50" s="2">
        <v>0</v>
      </c>
      <c r="AV50" s="2">
        <v>0</v>
      </c>
      <c r="AW50" s="2">
        <v>0</v>
      </c>
      <c r="AX50" s="2">
        <v>0</v>
      </c>
      <c r="AY50" s="2">
        <v>0</v>
      </c>
      <c r="AZ50" s="2" t="s">
        <v>39</v>
      </c>
      <c r="BA50" s="14">
        <v>500000</v>
      </c>
      <c r="BB50" s="14">
        <f>SUM(Table_ship_components[[#This Row],[PRICE]]+(Table_ship_components[[#This Row],[COST_PER_ADD_PERSON]]*Table_ship_components[[#This Row],[OPTIONAL]]))</f>
        <v>500000</v>
      </c>
      <c r="BC50" s="2">
        <v>0</v>
      </c>
      <c r="BD50" s="2">
        <v>0</v>
      </c>
    </row>
    <row r="51" spans="1:56" x14ac:dyDescent="0.35">
      <c r="A51" t="s">
        <v>529</v>
      </c>
      <c r="B51" t="s">
        <v>536</v>
      </c>
      <c r="C51" s="2">
        <v>0</v>
      </c>
      <c r="D51" s="2">
        <v>1</v>
      </c>
      <c r="E51" s="2">
        <f>SUM(Table_ship_components[[#This Row],[UNIT_SIZE]]+(Table_ship_components[[#This Row],[SIZE_PER_ADD_PERSON]]*Table_ship_components[[#This Row],[OPTIONAL]]))</f>
        <v>1</v>
      </c>
      <c r="F51" s="2">
        <v>0</v>
      </c>
      <c r="G51" s="2">
        <f>SUM(Table_ship_components[[#This Row],[POWER_CONSUMPTION]]+(Table_ship_components[[#This Row],[POWER_PER_ADD_PERSON]]*Table_ship_components[[#This Row],[OPTIONAL]]))</f>
        <v>0</v>
      </c>
      <c r="H51" s="2">
        <v>0</v>
      </c>
      <c r="I51" s="2">
        <v>0</v>
      </c>
      <c r="J51" s="2">
        <v>2</v>
      </c>
      <c r="K51" s="2">
        <v>0</v>
      </c>
      <c r="L51" s="2">
        <v>0</v>
      </c>
      <c r="M51" s="2">
        <v>1</v>
      </c>
      <c r="N51" s="2">
        <v>0</v>
      </c>
      <c r="O51" s="2">
        <v>0</v>
      </c>
      <c r="P51" s="2">
        <v>0</v>
      </c>
      <c r="Q51" s="2">
        <v>0</v>
      </c>
      <c r="R51" s="2">
        <v>0</v>
      </c>
      <c r="S51" s="2">
        <v>0</v>
      </c>
      <c r="T51" s="2">
        <v>0</v>
      </c>
      <c r="U51" s="2">
        <v>0</v>
      </c>
      <c r="V51" s="2">
        <v>0</v>
      </c>
      <c r="W51" s="14">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t="s">
        <v>39</v>
      </c>
      <c r="BA51" s="14">
        <v>25000</v>
      </c>
      <c r="BB51" s="14">
        <f>SUM(Table_ship_components[[#This Row],[PRICE]]+(Table_ship_components[[#This Row],[COST_PER_ADD_PERSON]]*Table_ship_components[[#This Row],[OPTIONAL]]))</f>
        <v>25000</v>
      </c>
      <c r="BC51" s="2">
        <v>0</v>
      </c>
      <c r="BD51" s="2">
        <v>0</v>
      </c>
    </row>
    <row r="52" spans="1:56" x14ac:dyDescent="0.35">
      <c r="A52" t="s">
        <v>532</v>
      </c>
      <c r="B52" t="s">
        <v>535</v>
      </c>
      <c r="C52" s="2">
        <v>0</v>
      </c>
      <c r="D52" s="2">
        <v>3</v>
      </c>
      <c r="E52" s="2">
        <f>SUM(Table_ship_components[[#This Row],[UNIT_SIZE]]+(Table_ship_components[[#This Row],[SIZE_PER_ADD_PERSON]]*Table_ship_components[[#This Row],[OPTIONAL]]))</f>
        <v>3</v>
      </c>
      <c r="F52" s="2">
        <v>0</v>
      </c>
      <c r="G52" s="2">
        <f>SUM(Table_ship_components[[#This Row],[POWER_CONSUMPTION]]+(Table_ship_components[[#This Row],[POWER_PER_ADD_PERSON]]*Table_ship_components[[#This Row],[OPTIONAL]]))</f>
        <v>0</v>
      </c>
      <c r="H52" s="2">
        <v>0</v>
      </c>
      <c r="I52" s="2">
        <v>0</v>
      </c>
      <c r="J52" s="2">
        <v>4</v>
      </c>
      <c r="K52" s="2">
        <v>0</v>
      </c>
      <c r="L52" s="2">
        <v>0</v>
      </c>
      <c r="M52" s="2">
        <v>1</v>
      </c>
      <c r="N52" s="2">
        <v>0</v>
      </c>
      <c r="O52" s="2">
        <v>0</v>
      </c>
      <c r="P52" s="2">
        <v>0</v>
      </c>
      <c r="Q52" s="2">
        <v>0</v>
      </c>
      <c r="R52" s="2">
        <v>0</v>
      </c>
      <c r="S52" s="2">
        <v>0</v>
      </c>
      <c r="T52" s="2">
        <v>0</v>
      </c>
      <c r="U52" s="2">
        <v>0</v>
      </c>
      <c r="V52" s="2">
        <v>0</v>
      </c>
      <c r="W52" s="14">
        <v>0</v>
      </c>
      <c r="X52" s="2">
        <v>0</v>
      </c>
      <c r="Y52" s="2">
        <v>0</v>
      </c>
      <c r="Z52" s="2">
        <v>0</v>
      </c>
      <c r="AA52" s="2">
        <v>0</v>
      </c>
      <c r="AB52" s="2">
        <v>0</v>
      </c>
      <c r="AC52" s="2">
        <v>0</v>
      </c>
      <c r="AD52" s="2">
        <v>0</v>
      </c>
      <c r="AE52" s="2">
        <v>0</v>
      </c>
      <c r="AF52" s="2">
        <v>0</v>
      </c>
      <c r="AG52" s="2">
        <v>0</v>
      </c>
      <c r="AH52" s="2">
        <v>0</v>
      </c>
      <c r="AI52" s="2">
        <v>0</v>
      </c>
      <c r="AJ52" s="2">
        <v>0</v>
      </c>
      <c r="AK52" s="2">
        <v>0</v>
      </c>
      <c r="AL52" s="2">
        <v>0</v>
      </c>
      <c r="AM52" s="2">
        <v>0</v>
      </c>
      <c r="AN52" s="2">
        <v>0</v>
      </c>
      <c r="AO52" s="2">
        <v>0</v>
      </c>
      <c r="AP52" s="2">
        <v>0</v>
      </c>
      <c r="AQ52" s="2">
        <v>0</v>
      </c>
      <c r="AR52" s="2">
        <v>0</v>
      </c>
      <c r="AS52" s="2">
        <v>0</v>
      </c>
      <c r="AT52" s="2">
        <v>0</v>
      </c>
      <c r="AU52" s="2">
        <v>0</v>
      </c>
      <c r="AV52" s="2">
        <v>0</v>
      </c>
      <c r="AW52" s="2">
        <v>0</v>
      </c>
      <c r="AX52" s="2">
        <v>0</v>
      </c>
      <c r="AY52" s="2">
        <v>0</v>
      </c>
      <c r="AZ52" s="2" t="s">
        <v>39</v>
      </c>
      <c r="BA52" s="14">
        <v>60000</v>
      </c>
      <c r="BB52" s="14">
        <f>SUM(Table_ship_components[[#This Row],[PRICE]]+(Table_ship_components[[#This Row],[COST_PER_ADD_PERSON]]*Table_ship_components[[#This Row],[OPTIONAL]]))</f>
        <v>60000</v>
      </c>
      <c r="BC52" s="2">
        <v>0</v>
      </c>
      <c r="BD52" s="2">
        <v>0</v>
      </c>
    </row>
    <row r="53" spans="1:56" x14ac:dyDescent="0.35">
      <c r="A53" t="s">
        <v>533</v>
      </c>
      <c r="B53" t="s">
        <v>534</v>
      </c>
      <c r="C53" s="2">
        <v>0</v>
      </c>
      <c r="D53" s="2">
        <v>5</v>
      </c>
      <c r="E53" s="2">
        <f>SUM(Table_ship_components[[#This Row],[UNIT_SIZE]]+(Table_ship_components[[#This Row],[SIZE_PER_ADD_PERSON]]*Table_ship_components[[#This Row],[OPTIONAL]]))</f>
        <v>5</v>
      </c>
      <c r="F53" s="2">
        <v>0</v>
      </c>
      <c r="G53" s="2">
        <f>SUM(Table_ship_components[[#This Row],[POWER_CONSUMPTION]]+(Table_ship_components[[#This Row],[POWER_PER_ADD_PERSON]]*Table_ship_components[[#This Row],[OPTIONAL]]))</f>
        <v>0</v>
      </c>
      <c r="H53" s="2">
        <v>0</v>
      </c>
      <c r="I53" s="2">
        <v>0</v>
      </c>
      <c r="J53" s="2">
        <v>6</v>
      </c>
      <c r="K53" s="2">
        <v>0</v>
      </c>
      <c r="L53" s="2">
        <v>0</v>
      </c>
      <c r="M53" s="2">
        <v>1</v>
      </c>
      <c r="N53" s="2">
        <v>0</v>
      </c>
      <c r="O53" s="2">
        <v>0</v>
      </c>
      <c r="P53" s="2">
        <v>0</v>
      </c>
      <c r="Q53" s="2">
        <v>0</v>
      </c>
      <c r="R53" s="2">
        <v>0</v>
      </c>
      <c r="S53" s="2">
        <v>0</v>
      </c>
      <c r="T53" s="2">
        <v>0</v>
      </c>
      <c r="U53" s="2">
        <v>0</v>
      </c>
      <c r="V53" s="2">
        <v>0</v>
      </c>
      <c r="W53" s="14">
        <v>0</v>
      </c>
      <c r="X53" s="2">
        <v>0</v>
      </c>
      <c r="Y53" s="2">
        <v>0</v>
      </c>
      <c r="Z53" s="2">
        <v>0</v>
      </c>
      <c r="AA53" s="2">
        <v>0</v>
      </c>
      <c r="AB53" s="2">
        <v>0</v>
      </c>
      <c r="AC53" s="2">
        <v>0</v>
      </c>
      <c r="AD53" s="2">
        <v>0</v>
      </c>
      <c r="AE53" s="2">
        <v>0</v>
      </c>
      <c r="AF53" s="2">
        <v>0</v>
      </c>
      <c r="AG53" s="2">
        <v>0</v>
      </c>
      <c r="AH53" s="2">
        <v>0</v>
      </c>
      <c r="AI53" s="2">
        <v>0</v>
      </c>
      <c r="AJ53" s="2">
        <v>0</v>
      </c>
      <c r="AK53" s="2">
        <v>0</v>
      </c>
      <c r="AL53" s="2">
        <v>0</v>
      </c>
      <c r="AM53" s="2">
        <v>0</v>
      </c>
      <c r="AN53" s="2">
        <v>0</v>
      </c>
      <c r="AO53" s="2">
        <v>0</v>
      </c>
      <c r="AP53" s="2">
        <v>0</v>
      </c>
      <c r="AQ53" s="2">
        <v>0</v>
      </c>
      <c r="AR53" s="2">
        <v>0</v>
      </c>
      <c r="AS53" s="2">
        <v>0</v>
      </c>
      <c r="AT53" s="2">
        <v>0</v>
      </c>
      <c r="AU53" s="2">
        <v>0</v>
      </c>
      <c r="AV53" s="2">
        <v>0</v>
      </c>
      <c r="AW53" s="2">
        <v>0</v>
      </c>
      <c r="AX53" s="2">
        <v>0</v>
      </c>
      <c r="AY53" s="2">
        <v>0</v>
      </c>
      <c r="AZ53" s="2" t="s">
        <v>39</v>
      </c>
      <c r="BA53" s="14">
        <v>150000</v>
      </c>
      <c r="BB53" s="14">
        <f>SUM(Table_ship_components[[#This Row],[PRICE]]+(Table_ship_components[[#This Row],[COST_PER_ADD_PERSON]]*Table_ship_components[[#This Row],[OPTIONAL]]))</f>
        <v>150000</v>
      </c>
      <c r="BC53" s="2">
        <v>0</v>
      </c>
      <c r="BD53" s="2">
        <v>0</v>
      </c>
    </row>
    <row r="54" spans="1:56" x14ac:dyDescent="0.35">
      <c r="A54" t="s">
        <v>387</v>
      </c>
      <c r="B54" t="s">
        <v>395</v>
      </c>
      <c r="C54" s="2">
        <v>0</v>
      </c>
      <c r="D54" s="2">
        <v>2</v>
      </c>
      <c r="E54" s="2">
        <f>SUM(Table_ship_components[[#This Row],[UNIT_SIZE]]+(Table_ship_components[[#This Row],[SIZE_PER_ADD_PERSON]]*Table_ship_components[[#This Row],[OPTIONAL]]))</f>
        <v>2</v>
      </c>
      <c r="F54" s="2">
        <v>0</v>
      </c>
      <c r="G54" s="2">
        <f>SUM(Table_ship_components[[#This Row],[POWER_CONSUMPTION]]+(Table_ship_components[[#This Row],[POWER_PER_ADD_PERSON]]*Table_ship_components[[#This Row],[OPTIONAL]]))</f>
        <v>0</v>
      </c>
      <c r="H54" s="2">
        <v>0</v>
      </c>
      <c r="I54" s="2">
        <v>0</v>
      </c>
      <c r="J54" s="2">
        <v>3</v>
      </c>
      <c r="K54" s="2">
        <v>0</v>
      </c>
      <c r="L54" s="2">
        <v>0</v>
      </c>
      <c r="M54" s="2">
        <v>0</v>
      </c>
      <c r="N54" s="2">
        <v>1</v>
      </c>
      <c r="O54" s="2">
        <v>0</v>
      </c>
      <c r="P54" s="2">
        <v>0</v>
      </c>
      <c r="Q54" s="2">
        <v>0</v>
      </c>
      <c r="R54" s="2">
        <v>0</v>
      </c>
      <c r="S54" s="2">
        <v>0</v>
      </c>
      <c r="T54" s="2">
        <v>0</v>
      </c>
      <c r="U54" s="2">
        <v>0</v>
      </c>
      <c r="V54" s="2">
        <v>0</v>
      </c>
      <c r="W54" s="14">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t="s">
        <v>39</v>
      </c>
      <c r="BA54" s="14">
        <v>40000</v>
      </c>
      <c r="BB54" s="14">
        <f>SUM(Table_ship_components[[#This Row],[PRICE]]+(Table_ship_components[[#This Row],[COST_PER_ADD_PERSON]]*Table_ship_components[[#This Row],[OPTIONAL]]))</f>
        <v>40000</v>
      </c>
      <c r="BC54" s="2">
        <v>0</v>
      </c>
      <c r="BD54" s="2">
        <v>0</v>
      </c>
    </row>
    <row r="55" spans="1:56" x14ac:dyDescent="0.35">
      <c r="A55" t="s">
        <v>393</v>
      </c>
      <c r="B55" t="s">
        <v>396</v>
      </c>
      <c r="C55" s="2">
        <v>0</v>
      </c>
      <c r="D55" s="2">
        <v>4</v>
      </c>
      <c r="E55" s="2">
        <f>SUM(Table_ship_components[[#This Row],[UNIT_SIZE]]+(Table_ship_components[[#This Row],[SIZE_PER_ADD_PERSON]]*Table_ship_components[[#This Row],[OPTIONAL]]))</f>
        <v>4</v>
      </c>
      <c r="F55" s="2">
        <v>0</v>
      </c>
      <c r="G55" s="2">
        <f>SUM(Table_ship_components[[#This Row],[POWER_CONSUMPTION]]+(Table_ship_components[[#This Row],[POWER_PER_ADD_PERSON]]*Table_ship_components[[#This Row],[OPTIONAL]]))</f>
        <v>0</v>
      </c>
      <c r="H55" s="2">
        <v>0</v>
      </c>
      <c r="I55" s="2">
        <v>0</v>
      </c>
      <c r="J55" s="2">
        <v>5</v>
      </c>
      <c r="K55" s="2">
        <v>0</v>
      </c>
      <c r="L55" s="2">
        <v>0</v>
      </c>
      <c r="M55" s="2">
        <v>0</v>
      </c>
      <c r="N55" s="2">
        <v>1</v>
      </c>
      <c r="O55" s="2">
        <v>0</v>
      </c>
      <c r="P55" s="2">
        <v>0</v>
      </c>
      <c r="Q55" s="2">
        <v>0</v>
      </c>
      <c r="R55" s="2">
        <v>0</v>
      </c>
      <c r="S55" s="2">
        <v>0</v>
      </c>
      <c r="T55" s="2">
        <v>0</v>
      </c>
      <c r="U55" s="2">
        <v>0</v>
      </c>
      <c r="V55" s="2">
        <v>0</v>
      </c>
      <c r="W55" s="14">
        <v>0</v>
      </c>
      <c r="X55" s="2">
        <v>0</v>
      </c>
      <c r="Y55" s="2">
        <v>0</v>
      </c>
      <c r="Z55" s="2">
        <v>0</v>
      </c>
      <c r="AA55" s="2">
        <v>0</v>
      </c>
      <c r="AB55" s="2">
        <v>0</v>
      </c>
      <c r="AC55" s="2">
        <v>0</v>
      </c>
      <c r="AD55" s="2">
        <v>0</v>
      </c>
      <c r="AE55" s="2">
        <v>0</v>
      </c>
      <c r="AF55" s="2">
        <v>0</v>
      </c>
      <c r="AG55" s="2">
        <v>0</v>
      </c>
      <c r="AH55" s="2">
        <v>0</v>
      </c>
      <c r="AI55" s="2">
        <v>0</v>
      </c>
      <c r="AJ55" s="2">
        <v>0</v>
      </c>
      <c r="AK55" s="2">
        <v>0</v>
      </c>
      <c r="AL55" s="2">
        <v>0</v>
      </c>
      <c r="AM55" s="2">
        <v>0</v>
      </c>
      <c r="AN55" s="2">
        <v>0</v>
      </c>
      <c r="AO55" s="2">
        <v>0</v>
      </c>
      <c r="AP55" s="2">
        <v>0</v>
      </c>
      <c r="AQ55" s="2">
        <v>0</v>
      </c>
      <c r="AR55" s="2">
        <v>0</v>
      </c>
      <c r="AS55" s="2">
        <v>0</v>
      </c>
      <c r="AT55" s="2">
        <v>0</v>
      </c>
      <c r="AU55" s="2">
        <v>0</v>
      </c>
      <c r="AV55" s="2">
        <v>0</v>
      </c>
      <c r="AW55" s="2">
        <v>0</v>
      </c>
      <c r="AX55" s="2">
        <v>0</v>
      </c>
      <c r="AY55" s="2">
        <v>0</v>
      </c>
      <c r="AZ55" s="2" t="s">
        <v>39</v>
      </c>
      <c r="BA55" s="14">
        <v>80000</v>
      </c>
      <c r="BB55" s="14">
        <f>SUM(Table_ship_components[[#This Row],[PRICE]]+(Table_ship_components[[#This Row],[COST_PER_ADD_PERSON]]*Table_ship_components[[#This Row],[OPTIONAL]]))</f>
        <v>80000</v>
      </c>
      <c r="BC55" s="2">
        <v>0</v>
      </c>
      <c r="BD55" s="2">
        <v>0</v>
      </c>
    </row>
    <row r="56" spans="1:56" x14ac:dyDescent="0.35">
      <c r="A56" t="s">
        <v>394</v>
      </c>
      <c r="B56" t="s">
        <v>397</v>
      </c>
      <c r="C56" s="2">
        <v>0</v>
      </c>
      <c r="D56" s="2">
        <v>6</v>
      </c>
      <c r="E56" s="2">
        <f>SUM(Table_ship_components[[#This Row],[UNIT_SIZE]]+(Table_ship_components[[#This Row],[SIZE_PER_ADD_PERSON]]*Table_ship_components[[#This Row],[OPTIONAL]]))</f>
        <v>6</v>
      </c>
      <c r="F56" s="2">
        <v>0</v>
      </c>
      <c r="G56" s="2">
        <f>SUM(Table_ship_components[[#This Row],[POWER_CONSUMPTION]]+(Table_ship_components[[#This Row],[POWER_PER_ADD_PERSON]]*Table_ship_components[[#This Row],[OPTIONAL]]))</f>
        <v>0</v>
      </c>
      <c r="H56" s="2">
        <v>0</v>
      </c>
      <c r="I56" s="2">
        <v>0</v>
      </c>
      <c r="J56" s="2">
        <v>7</v>
      </c>
      <c r="K56" s="2">
        <v>0</v>
      </c>
      <c r="L56" s="2">
        <v>0</v>
      </c>
      <c r="M56" s="2">
        <v>0</v>
      </c>
      <c r="N56" s="2">
        <v>1</v>
      </c>
      <c r="O56" s="2">
        <v>0</v>
      </c>
      <c r="P56" s="2">
        <v>0</v>
      </c>
      <c r="Q56" s="2">
        <v>0</v>
      </c>
      <c r="R56" s="2">
        <v>0</v>
      </c>
      <c r="S56" s="2">
        <v>0</v>
      </c>
      <c r="T56" s="2">
        <v>0</v>
      </c>
      <c r="U56" s="2">
        <v>0</v>
      </c>
      <c r="V56" s="2">
        <v>0</v>
      </c>
      <c r="W56" s="14">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s="2">
        <v>0</v>
      </c>
      <c r="AQ56" s="2">
        <v>0</v>
      </c>
      <c r="AR56" s="2">
        <v>0</v>
      </c>
      <c r="AS56" s="2">
        <v>0</v>
      </c>
      <c r="AT56" s="2">
        <v>0</v>
      </c>
      <c r="AU56" s="2">
        <v>0</v>
      </c>
      <c r="AV56" s="2">
        <v>0</v>
      </c>
      <c r="AW56" s="2">
        <v>0</v>
      </c>
      <c r="AX56" s="2">
        <v>0</v>
      </c>
      <c r="AY56" s="2">
        <v>0</v>
      </c>
      <c r="AZ56" s="2" t="s">
        <v>39</v>
      </c>
      <c r="BA56" s="14">
        <v>160000</v>
      </c>
      <c r="BB56" s="14">
        <f>SUM(Table_ship_components[[#This Row],[PRICE]]+(Table_ship_components[[#This Row],[COST_PER_ADD_PERSON]]*Table_ship_components[[#This Row],[OPTIONAL]]))</f>
        <v>160000</v>
      </c>
      <c r="BC56" s="2">
        <v>0</v>
      </c>
      <c r="BD56" s="2">
        <v>0</v>
      </c>
    </row>
    <row r="57" spans="1:56" x14ac:dyDescent="0.35">
      <c r="A57" t="s">
        <v>388</v>
      </c>
      <c r="B57" t="s">
        <v>285</v>
      </c>
      <c r="C57" s="2">
        <v>0</v>
      </c>
      <c r="D57" s="2">
        <v>8</v>
      </c>
      <c r="E57" s="2">
        <f>SUM(Table_ship_components[[#This Row],[UNIT_SIZE]]+(Table_ship_components[[#This Row],[SIZE_PER_ADD_PERSON]]*Table_ship_components[[#This Row],[OPTIONAL]]))</f>
        <v>8</v>
      </c>
      <c r="F57" s="2">
        <v>0</v>
      </c>
      <c r="G57" s="2">
        <f>SUM(Table_ship_components[[#This Row],[POWER_CONSUMPTION]]+(Table_ship_components[[#This Row],[POWER_PER_ADD_PERSON]]*Table_ship_components[[#This Row],[OPTIONAL]]))</f>
        <v>0</v>
      </c>
      <c r="H57" s="2">
        <v>0</v>
      </c>
      <c r="I57" s="2">
        <v>0</v>
      </c>
      <c r="J57" s="2">
        <v>10</v>
      </c>
      <c r="K57" s="2">
        <v>0</v>
      </c>
      <c r="L57" s="2">
        <v>0</v>
      </c>
      <c r="M57" s="2">
        <v>0</v>
      </c>
      <c r="N57" s="2">
        <v>0</v>
      </c>
      <c r="O57" s="2">
        <v>1</v>
      </c>
      <c r="P57" s="2">
        <v>0</v>
      </c>
      <c r="Q57" s="2">
        <v>0</v>
      </c>
      <c r="R57" s="2">
        <v>0</v>
      </c>
      <c r="S57" s="2">
        <v>0</v>
      </c>
      <c r="T57" s="2">
        <v>0</v>
      </c>
      <c r="U57" s="2">
        <v>0</v>
      </c>
      <c r="V57" s="2">
        <v>0</v>
      </c>
      <c r="W57" s="14">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s="2">
        <v>0</v>
      </c>
      <c r="AQ57" s="2">
        <v>0</v>
      </c>
      <c r="AR57" s="2">
        <v>0</v>
      </c>
      <c r="AS57" s="2">
        <v>0</v>
      </c>
      <c r="AT57" s="2">
        <v>0</v>
      </c>
      <c r="AU57" s="2">
        <v>0</v>
      </c>
      <c r="AV57" s="2">
        <v>0</v>
      </c>
      <c r="AW57" s="2">
        <v>0</v>
      </c>
      <c r="AX57" s="2">
        <v>0</v>
      </c>
      <c r="AY57" s="2">
        <v>0</v>
      </c>
      <c r="AZ57" s="2" t="s">
        <v>39</v>
      </c>
      <c r="BA57" s="14">
        <v>320000</v>
      </c>
      <c r="BB57" s="14">
        <f>SUM(Table_ship_components[[#This Row],[PRICE]]+(Table_ship_components[[#This Row],[COST_PER_ADD_PERSON]]*Table_ship_components[[#This Row],[OPTIONAL]]))</f>
        <v>320000</v>
      </c>
      <c r="BC57" s="2">
        <v>0</v>
      </c>
      <c r="BD57" s="2">
        <v>0</v>
      </c>
    </row>
    <row r="58" spans="1:56" x14ac:dyDescent="0.35">
      <c r="A58" t="s">
        <v>389</v>
      </c>
      <c r="B58" t="s">
        <v>286</v>
      </c>
      <c r="C58" s="2">
        <v>0</v>
      </c>
      <c r="D58" s="2">
        <v>10</v>
      </c>
      <c r="E58" s="2">
        <f>SUM(Table_ship_components[[#This Row],[UNIT_SIZE]]+(Table_ship_components[[#This Row],[SIZE_PER_ADD_PERSON]]*Table_ship_components[[#This Row],[OPTIONAL]]))</f>
        <v>10</v>
      </c>
      <c r="F58" s="2">
        <v>0</v>
      </c>
      <c r="G58" s="2">
        <f>SUM(Table_ship_components[[#This Row],[POWER_CONSUMPTION]]+(Table_ship_components[[#This Row],[POWER_PER_ADD_PERSON]]*Table_ship_components[[#This Row],[OPTIONAL]]))</f>
        <v>0</v>
      </c>
      <c r="H58" s="2">
        <v>0</v>
      </c>
      <c r="I58" s="2">
        <v>0</v>
      </c>
      <c r="J58" s="2">
        <v>15</v>
      </c>
      <c r="K58" s="2">
        <v>0</v>
      </c>
      <c r="L58" s="2">
        <v>0</v>
      </c>
      <c r="M58" s="2">
        <v>0</v>
      </c>
      <c r="N58" s="2">
        <v>0</v>
      </c>
      <c r="O58" s="2">
        <v>1</v>
      </c>
      <c r="P58" s="2">
        <v>0</v>
      </c>
      <c r="Q58" s="2">
        <v>0</v>
      </c>
      <c r="R58" s="2">
        <v>0</v>
      </c>
      <c r="S58" s="2">
        <v>0</v>
      </c>
      <c r="T58" s="2">
        <v>0</v>
      </c>
      <c r="U58" s="2">
        <v>0</v>
      </c>
      <c r="V58" s="2">
        <v>0</v>
      </c>
      <c r="W58" s="14">
        <v>0</v>
      </c>
      <c r="X58" s="2">
        <v>0</v>
      </c>
      <c r="Y58" s="2">
        <v>0</v>
      </c>
      <c r="Z58" s="2">
        <v>0</v>
      </c>
      <c r="AA58" s="2">
        <v>0</v>
      </c>
      <c r="AB58" s="2">
        <v>0</v>
      </c>
      <c r="AC58" s="2">
        <v>0</v>
      </c>
      <c r="AD58" s="2">
        <v>0</v>
      </c>
      <c r="AE58" s="2">
        <v>0</v>
      </c>
      <c r="AF58" s="2">
        <v>0</v>
      </c>
      <c r="AG58" s="2">
        <v>0</v>
      </c>
      <c r="AH58" s="2">
        <v>0</v>
      </c>
      <c r="AI58" s="2">
        <v>0</v>
      </c>
      <c r="AJ58" s="2">
        <v>0</v>
      </c>
      <c r="AK58" s="2">
        <v>0</v>
      </c>
      <c r="AL58" s="2">
        <v>0</v>
      </c>
      <c r="AM58" s="2">
        <v>0</v>
      </c>
      <c r="AN58" s="2">
        <v>0</v>
      </c>
      <c r="AO58" s="2">
        <v>0</v>
      </c>
      <c r="AP58" s="2">
        <v>0</v>
      </c>
      <c r="AQ58" s="2">
        <v>0</v>
      </c>
      <c r="AR58" s="2">
        <v>0</v>
      </c>
      <c r="AS58" s="2">
        <v>0</v>
      </c>
      <c r="AT58" s="2">
        <v>0</v>
      </c>
      <c r="AU58" s="2">
        <v>0</v>
      </c>
      <c r="AV58" s="2">
        <v>0</v>
      </c>
      <c r="AW58" s="2">
        <v>0</v>
      </c>
      <c r="AX58" s="2">
        <v>0</v>
      </c>
      <c r="AY58" s="2">
        <v>0</v>
      </c>
      <c r="AZ58" s="2" t="s">
        <v>39</v>
      </c>
      <c r="BA58" s="14">
        <v>640000</v>
      </c>
      <c r="BB58" s="14">
        <f>SUM(Table_ship_components[[#This Row],[PRICE]]+(Table_ship_components[[#This Row],[COST_PER_ADD_PERSON]]*Table_ship_components[[#This Row],[OPTIONAL]]))</f>
        <v>640000</v>
      </c>
      <c r="BC58" s="2">
        <v>0</v>
      </c>
      <c r="BD58" s="2">
        <v>0</v>
      </c>
    </row>
    <row r="59" spans="1:56" x14ac:dyDescent="0.35">
      <c r="A59" t="s">
        <v>390</v>
      </c>
      <c r="B59" t="s">
        <v>287</v>
      </c>
      <c r="C59" s="2">
        <v>0</v>
      </c>
      <c r="D59" s="2">
        <v>12</v>
      </c>
      <c r="E59" s="2">
        <f>SUM(Table_ship_components[[#This Row],[UNIT_SIZE]]+(Table_ship_components[[#This Row],[SIZE_PER_ADD_PERSON]]*Table_ship_components[[#This Row],[OPTIONAL]]))</f>
        <v>12</v>
      </c>
      <c r="F59" s="2">
        <v>0</v>
      </c>
      <c r="G59" s="2">
        <f>SUM(Table_ship_components[[#This Row],[POWER_CONSUMPTION]]+(Table_ship_components[[#This Row],[POWER_PER_ADD_PERSON]]*Table_ship_components[[#This Row],[OPTIONAL]]))</f>
        <v>0</v>
      </c>
      <c r="H59" s="2">
        <v>0</v>
      </c>
      <c r="I59" s="2">
        <v>0</v>
      </c>
      <c r="J59" s="2">
        <v>20</v>
      </c>
      <c r="K59" s="2">
        <v>0</v>
      </c>
      <c r="L59" s="2">
        <v>0</v>
      </c>
      <c r="M59" s="2">
        <v>0</v>
      </c>
      <c r="N59" s="2">
        <v>0</v>
      </c>
      <c r="O59" s="2">
        <v>1</v>
      </c>
      <c r="P59" s="2">
        <v>0</v>
      </c>
      <c r="Q59" s="2">
        <v>0</v>
      </c>
      <c r="R59" s="2">
        <v>0</v>
      </c>
      <c r="S59" s="2">
        <v>0</v>
      </c>
      <c r="T59" s="2">
        <v>0</v>
      </c>
      <c r="U59" s="2">
        <v>0</v>
      </c>
      <c r="V59" s="2">
        <v>0</v>
      </c>
      <c r="W59" s="14">
        <v>0</v>
      </c>
      <c r="X59" s="2">
        <v>0</v>
      </c>
      <c r="Y59" s="2">
        <v>0</v>
      </c>
      <c r="Z59" s="2">
        <v>0</v>
      </c>
      <c r="AA59" s="2">
        <v>0</v>
      </c>
      <c r="AB59" s="2">
        <v>0</v>
      </c>
      <c r="AC59" s="2">
        <v>0</v>
      </c>
      <c r="AD59" s="2">
        <v>0</v>
      </c>
      <c r="AE59" s="2">
        <v>0</v>
      </c>
      <c r="AF59" s="2">
        <v>0</v>
      </c>
      <c r="AG59" s="2">
        <v>0</v>
      </c>
      <c r="AH59" s="2">
        <v>0</v>
      </c>
      <c r="AI59" s="2">
        <v>0</v>
      </c>
      <c r="AJ59" s="2">
        <v>0</v>
      </c>
      <c r="AK59" s="2">
        <v>0</v>
      </c>
      <c r="AL59" s="2">
        <v>0</v>
      </c>
      <c r="AM59" s="2">
        <v>0</v>
      </c>
      <c r="AN59" s="2">
        <v>0</v>
      </c>
      <c r="AO59" s="2">
        <v>0</v>
      </c>
      <c r="AP59" s="2">
        <v>0</v>
      </c>
      <c r="AQ59" s="2">
        <v>0</v>
      </c>
      <c r="AR59" s="2">
        <v>0</v>
      </c>
      <c r="AS59" s="2">
        <v>0</v>
      </c>
      <c r="AT59" s="2">
        <v>0</v>
      </c>
      <c r="AU59" s="2">
        <v>0</v>
      </c>
      <c r="AV59" s="2">
        <v>0</v>
      </c>
      <c r="AW59" s="2">
        <v>0</v>
      </c>
      <c r="AX59" s="2">
        <v>0</v>
      </c>
      <c r="AY59" s="2">
        <v>0</v>
      </c>
      <c r="AZ59" s="2" t="s">
        <v>39</v>
      </c>
      <c r="BA59" s="14">
        <v>1280000</v>
      </c>
      <c r="BB59" s="14">
        <f>SUM(Table_ship_components[[#This Row],[PRICE]]+(Table_ship_components[[#This Row],[COST_PER_ADD_PERSON]]*Table_ship_components[[#This Row],[OPTIONAL]]))</f>
        <v>1280000</v>
      </c>
      <c r="BC59" s="2">
        <v>0</v>
      </c>
      <c r="BD59" s="2">
        <v>0</v>
      </c>
    </row>
    <row r="60" spans="1:56" x14ac:dyDescent="0.35">
      <c r="A60" t="s">
        <v>630</v>
      </c>
      <c r="B60" t="s">
        <v>648</v>
      </c>
      <c r="C60" s="2">
        <v>0</v>
      </c>
      <c r="D60" s="2">
        <v>1</v>
      </c>
      <c r="E60" s="2">
        <f>SUM(Table_ship_components[[#This Row],[UNIT_SIZE]]+(Table_ship_components[[#This Row],[SIZE_PER_ADD_PERSON]]*Table_ship_components[[#This Row],[OPTIONAL]]))</f>
        <v>1</v>
      </c>
      <c r="F60" s="2">
        <v>2</v>
      </c>
      <c r="G60" s="2">
        <f>SUM(Table_ship_components[[#This Row],[POWER_CONSUMPTION]]+(Table_ship_components[[#This Row],[POWER_PER_ADD_PERSON]]*Table_ship_components[[#This Row],[OPTIONAL]]))</f>
        <v>2</v>
      </c>
      <c r="H60" s="2">
        <v>0</v>
      </c>
      <c r="I60" s="2">
        <v>0</v>
      </c>
      <c r="J60" s="2">
        <v>0</v>
      </c>
      <c r="K60" s="2">
        <v>0</v>
      </c>
      <c r="L60" s="2">
        <v>0</v>
      </c>
      <c r="M60" s="2">
        <v>1</v>
      </c>
      <c r="N60" s="2">
        <v>0</v>
      </c>
      <c r="O60" s="2">
        <v>0</v>
      </c>
      <c r="P60" s="2">
        <v>0</v>
      </c>
      <c r="Q60" s="2">
        <v>0</v>
      </c>
      <c r="R60" s="2">
        <v>0</v>
      </c>
      <c r="S60" s="2">
        <v>0</v>
      </c>
      <c r="T60" s="2">
        <v>0</v>
      </c>
      <c r="U60" s="2">
        <v>0</v>
      </c>
      <c r="V60" s="2">
        <v>0</v>
      </c>
      <c r="W60" s="14">
        <v>0</v>
      </c>
      <c r="X60" s="2">
        <v>0</v>
      </c>
      <c r="Y60" s="2">
        <v>0</v>
      </c>
      <c r="Z60" s="2">
        <v>0</v>
      </c>
      <c r="AA60" s="2">
        <v>0</v>
      </c>
      <c r="AB60" s="2">
        <v>0</v>
      </c>
      <c r="AC60" s="2">
        <v>0</v>
      </c>
      <c r="AD60" s="2">
        <v>0</v>
      </c>
      <c r="AE60" s="2">
        <v>0</v>
      </c>
      <c r="AF60" s="2">
        <v>0</v>
      </c>
      <c r="AG60" s="2">
        <v>0</v>
      </c>
      <c r="AH60" s="2">
        <v>0</v>
      </c>
      <c r="AI60" s="2">
        <v>0</v>
      </c>
      <c r="AJ60" s="2">
        <v>0</v>
      </c>
      <c r="AK60" s="2">
        <v>0</v>
      </c>
      <c r="AL60" s="2">
        <v>1</v>
      </c>
      <c r="AM60" s="2">
        <v>0</v>
      </c>
      <c r="AN60" s="2">
        <v>0</v>
      </c>
      <c r="AO60" s="2">
        <v>0</v>
      </c>
      <c r="AP60" s="2">
        <v>0</v>
      </c>
      <c r="AQ60" s="2">
        <v>0</v>
      </c>
      <c r="AR60" s="2">
        <v>1</v>
      </c>
      <c r="AS60" s="2">
        <v>0</v>
      </c>
      <c r="AT60" s="2">
        <v>0</v>
      </c>
      <c r="AU60" s="2">
        <v>1</v>
      </c>
      <c r="AV60" s="2">
        <v>0</v>
      </c>
      <c r="AW60" s="2">
        <v>0</v>
      </c>
      <c r="AX60" s="2">
        <v>0</v>
      </c>
      <c r="AY60" s="2">
        <v>0</v>
      </c>
      <c r="AZ60" s="2" t="s">
        <v>39</v>
      </c>
      <c r="BA60" s="14">
        <v>100000</v>
      </c>
      <c r="BB60" s="14">
        <f>SUM(Table_ship_components[[#This Row],[PRICE]]+(Table_ship_components[[#This Row],[COST_PER_ADD_PERSON]]*Table_ship_components[[#This Row],[OPTIONAL]]))</f>
        <v>100000</v>
      </c>
      <c r="BC60" s="2">
        <v>0</v>
      </c>
      <c r="BD60" s="2">
        <v>0</v>
      </c>
    </row>
    <row r="61" spans="1:56" x14ac:dyDescent="0.35">
      <c r="A61" t="s">
        <v>631</v>
      </c>
      <c r="B61" t="s">
        <v>649</v>
      </c>
      <c r="C61" s="2">
        <v>0</v>
      </c>
      <c r="D61" s="2">
        <v>3</v>
      </c>
      <c r="E61" s="2">
        <f>SUM(Table_ship_components[[#This Row],[UNIT_SIZE]]+(Table_ship_components[[#This Row],[SIZE_PER_ADD_PERSON]]*Table_ship_components[[#This Row],[OPTIONAL]]))</f>
        <v>3</v>
      </c>
      <c r="F61" s="2">
        <v>4</v>
      </c>
      <c r="G61" s="2">
        <f>SUM(Table_ship_components[[#This Row],[POWER_CONSUMPTION]]+(Table_ship_components[[#This Row],[POWER_PER_ADD_PERSON]]*Table_ship_components[[#This Row],[OPTIONAL]]))</f>
        <v>4</v>
      </c>
      <c r="H61" s="2">
        <v>0</v>
      </c>
      <c r="I61" s="2">
        <v>0</v>
      </c>
      <c r="J61" s="2">
        <v>0</v>
      </c>
      <c r="K61" s="2">
        <v>0</v>
      </c>
      <c r="L61" s="2">
        <v>0</v>
      </c>
      <c r="M61" s="2">
        <v>1</v>
      </c>
      <c r="N61" s="2">
        <v>0</v>
      </c>
      <c r="O61" s="2">
        <v>0</v>
      </c>
      <c r="P61" s="2">
        <v>0</v>
      </c>
      <c r="Q61" s="2">
        <v>0</v>
      </c>
      <c r="R61" s="2">
        <v>0</v>
      </c>
      <c r="S61" s="2">
        <v>0</v>
      </c>
      <c r="T61" s="2">
        <v>0</v>
      </c>
      <c r="U61" s="2">
        <v>0</v>
      </c>
      <c r="V61" s="2">
        <v>0</v>
      </c>
      <c r="W61" s="14">
        <v>0</v>
      </c>
      <c r="X61" s="2">
        <v>0</v>
      </c>
      <c r="Y61" s="2">
        <v>0</v>
      </c>
      <c r="Z61" s="2">
        <v>0</v>
      </c>
      <c r="AA61" s="2">
        <v>0</v>
      </c>
      <c r="AB61" s="2">
        <v>0</v>
      </c>
      <c r="AC61" s="2">
        <v>0</v>
      </c>
      <c r="AD61" s="2">
        <v>0</v>
      </c>
      <c r="AE61" s="2">
        <v>0</v>
      </c>
      <c r="AF61" s="2">
        <v>0</v>
      </c>
      <c r="AG61" s="2">
        <v>0</v>
      </c>
      <c r="AH61" s="2">
        <v>0</v>
      </c>
      <c r="AI61" s="2">
        <v>0</v>
      </c>
      <c r="AJ61" s="2">
        <v>0</v>
      </c>
      <c r="AK61" s="2">
        <v>0</v>
      </c>
      <c r="AL61" s="2">
        <v>2</v>
      </c>
      <c r="AM61" s="2">
        <v>0</v>
      </c>
      <c r="AN61" s="2">
        <v>0</v>
      </c>
      <c r="AO61" s="2">
        <v>0</v>
      </c>
      <c r="AP61" s="2">
        <v>0</v>
      </c>
      <c r="AQ61" s="2">
        <v>0</v>
      </c>
      <c r="AR61" s="2">
        <v>1</v>
      </c>
      <c r="AS61" s="2">
        <v>0</v>
      </c>
      <c r="AT61" s="2">
        <v>0</v>
      </c>
      <c r="AU61" s="2">
        <v>1</v>
      </c>
      <c r="AV61" s="2">
        <v>0</v>
      </c>
      <c r="AW61" s="2">
        <v>0</v>
      </c>
      <c r="AX61" s="2">
        <v>0</v>
      </c>
      <c r="AY61" s="2">
        <v>0</v>
      </c>
      <c r="AZ61" s="2" t="s">
        <v>39</v>
      </c>
      <c r="BA61" s="14">
        <v>200000</v>
      </c>
      <c r="BB61" s="14">
        <f>SUM(Table_ship_components[[#This Row],[PRICE]]+(Table_ship_components[[#This Row],[COST_PER_ADD_PERSON]]*Table_ship_components[[#This Row],[OPTIONAL]]))</f>
        <v>200000</v>
      </c>
      <c r="BC61" s="2">
        <v>0</v>
      </c>
      <c r="BD61" s="2">
        <v>0</v>
      </c>
    </row>
    <row r="62" spans="1:56" x14ac:dyDescent="0.35">
      <c r="A62" t="s">
        <v>632</v>
      </c>
      <c r="B62" t="s">
        <v>650</v>
      </c>
      <c r="C62" s="2">
        <v>0</v>
      </c>
      <c r="D62" s="2">
        <v>5</v>
      </c>
      <c r="E62" s="2">
        <f>SUM(Table_ship_components[[#This Row],[UNIT_SIZE]]+(Table_ship_components[[#This Row],[SIZE_PER_ADD_PERSON]]*Table_ship_components[[#This Row],[OPTIONAL]]))</f>
        <v>5</v>
      </c>
      <c r="F62" s="2">
        <v>6</v>
      </c>
      <c r="G62" s="2">
        <f>SUM(Table_ship_components[[#This Row],[POWER_CONSUMPTION]]+(Table_ship_components[[#This Row],[POWER_PER_ADD_PERSON]]*Table_ship_components[[#This Row],[OPTIONAL]]))</f>
        <v>6</v>
      </c>
      <c r="H62" s="2">
        <v>0</v>
      </c>
      <c r="I62" s="2">
        <v>0</v>
      </c>
      <c r="J62" s="2">
        <v>0</v>
      </c>
      <c r="K62" s="2">
        <v>0</v>
      </c>
      <c r="L62" s="2">
        <v>0</v>
      </c>
      <c r="M62" s="2">
        <v>1</v>
      </c>
      <c r="N62" s="2">
        <v>0</v>
      </c>
      <c r="O62" s="2">
        <v>0</v>
      </c>
      <c r="P62" s="2">
        <v>0</v>
      </c>
      <c r="Q62" s="2">
        <v>0</v>
      </c>
      <c r="R62" s="2">
        <v>0</v>
      </c>
      <c r="S62" s="2">
        <v>0</v>
      </c>
      <c r="T62" s="2">
        <v>0</v>
      </c>
      <c r="U62" s="2">
        <v>0</v>
      </c>
      <c r="V62" s="2">
        <v>0</v>
      </c>
      <c r="W62" s="14">
        <v>0</v>
      </c>
      <c r="X62" s="2">
        <v>0</v>
      </c>
      <c r="Y62" s="2">
        <v>0</v>
      </c>
      <c r="Z62" s="2">
        <v>0</v>
      </c>
      <c r="AA62" s="2">
        <v>0</v>
      </c>
      <c r="AB62" s="2">
        <v>0</v>
      </c>
      <c r="AC62" s="2">
        <v>0</v>
      </c>
      <c r="AD62" s="2">
        <v>0</v>
      </c>
      <c r="AE62" s="2">
        <v>0</v>
      </c>
      <c r="AF62" s="2">
        <v>0</v>
      </c>
      <c r="AG62" s="2">
        <v>0</v>
      </c>
      <c r="AH62" s="2">
        <v>0</v>
      </c>
      <c r="AI62" s="2">
        <v>0</v>
      </c>
      <c r="AJ62" s="2">
        <v>0</v>
      </c>
      <c r="AK62" s="2">
        <v>0</v>
      </c>
      <c r="AL62" s="2">
        <v>3</v>
      </c>
      <c r="AM62" s="2">
        <v>0</v>
      </c>
      <c r="AN62" s="2">
        <v>0</v>
      </c>
      <c r="AO62" s="2">
        <v>0</v>
      </c>
      <c r="AP62" s="2">
        <v>0</v>
      </c>
      <c r="AQ62" s="2">
        <v>0</v>
      </c>
      <c r="AR62" s="2">
        <v>1</v>
      </c>
      <c r="AS62" s="2">
        <v>0</v>
      </c>
      <c r="AT62" s="2">
        <v>0</v>
      </c>
      <c r="AU62" s="2">
        <v>1</v>
      </c>
      <c r="AV62" s="2">
        <v>0</v>
      </c>
      <c r="AW62" s="2">
        <v>0</v>
      </c>
      <c r="AX62" s="2">
        <v>0</v>
      </c>
      <c r="AY62" s="2">
        <v>0</v>
      </c>
      <c r="AZ62" s="2" t="s">
        <v>39</v>
      </c>
      <c r="BA62" s="14">
        <v>400000</v>
      </c>
      <c r="BB62" s="14">
        <f>SUM(Table_ship_components[[#This Row],[PRICE]]+(Table_ship_components[[#This Row],[COST_PER_ADD_PERSON]]*Table_ship_components[[#This Row],[OPTIONAL]]))</f>
        <v>400000</v>
      </c>
      <c r="BC62" s="2">
        <v>0</v>
      </c>
      <c r="BD62" s="2">
        <v>0</v>
      </c>
    </row>
    <row r="63" spans="1:56" x14ac:dyDescent="0.35">
      <c r="A63" t="s">
        <v>633</v>
      </c>
      <c r="B63" t="s">
        <v>651</v>
      </c>
      <c r="C63" s="2">
        <v>0</v>
      </c>
      <c r="D63" s="2">
        <v>2</v>
      </c>
      <c r="E63" s="2">
        <f>SUM(Table_ship_components[[#This Row],[UNIT_SIZE]]+(Table_ship_components[[#This Row],[SIZE_PER_ADD_PERSON]]*Table_ship_components[[#This Row],[OPTIONAL]]))</f>
        <v>2</v>
      </c>
      <c r="F63" s="2">
        <v>3</v>
      </c>
      <c r="G63" s="2">
        <f>SUM(Table_ship_components[[#This Row],[POWER_CONSUMPTION]]+(Table_ship_components[[#This Row],[POWER_PER_ADD_PERSON]]*Table_ship_components[[#This Row],[OPTIONAL]]))</f>
        <v>3</v>
      </c>
      <c r="H63" s="2">
        <v>0</v>
      </c>
      <c r="I63" s="2">
        <v>0</v>
      </c>
      <c r="J63" s="2">
        <v>0</v>
      </c>
      <c r="K63" s="2">
        <v>0</v>
      </c>
      <c r="L63" s="2">
        <v>0</v>
      </c>
      <c r="M63" s="2">
        <v>0</v>
      </c>
      <c r="N63" s="2">
        <v>1</v>
      </c>
      <c r="O63" s="2">
        <v>0</v>
      </c>
      <c r="P63" s="2">
        <v>0</v>
      </c>
      <c r="Q63" s="2">
        <v>0</v>
      </c>
      <c r="R63" s="2">
        <v>0</v>
      </c>
      <c r="S63" s="2">
        <v>0</v>
      </c>
      <c r="T63" s="2">
        <v>0</v>
      </c>
      <c r="U63" s="2">
        <v>0</v>
      </c>
      <c r="V63" s="2">
        <v>0</v>
      </c>
      <c r="W63" s="14">
        <v>0</v>
      </c>
      <c r="X63" s="2">
        <v>0</v>
      </c>
      <c r="Y63" s="2">
        <v>0</v>
      </c>
      <c r="Z63" s="2">
        <v>0</v>
      </c>
      <c r="AA63" s="2">
        <v>0</v>
      </c>
      <c r="AB63" s="2">
        <v>0</v>
      </c>
      <c r="AC63" s="2">
        <v>0</v>
      </c>
      <c r="AD63" s="2">
        <v>0</v>
      </c>
      <c r="AE63" s="2">
        <v>0</v>
      </c>
      <c r="AF63" s="2">
        <v>0</v>
      </c>
      <c r="AG63" s="2">
        <v>0</v>
      </c>
      <c r="AH63" s="2">
        <v>0</v>
      </c>
      <c r="AI63" s="2">
        <v>0</v>
      </c>
      <c r="AJ63" s="2">
        <v>0</v>
      </c>
      <c r="AK63" s="2">
        <v>0</v>
      </c>
      <c r="AL63" s="2">
        <v>1</v>
      </c>
      <c r="AM63" s="2">
        <v>0</v>
      </c>
      <c r="AN63" s="2">
        <v>0</v>
      </c>
      <c r="AO63" s="2">
        <v>0</v>
      </c>
      <c r="AP63" s="2">
        <v>0</v>
      </c>
      <c r="AQ63" s="2">
        <v>0</v>
      </c>
      <c r="AR63" s="2">
        <v>1</v>
      </c>
      <c r="AS63" s="2">
        <v>0</v>
      </c>
      <c r="AT63" s="2">
        <v>0</v>
      </c>
      <c r="AU63" s="2">
        <v>1</v>
      </c>
      <c r="AV63" s="2">
        <v>0</v>
      </c>
      <c r="AW63" s="2">
        <v>0</v>
      </c>
      <c r="AX63" s="2">
        <v>0</v>
      </c>
      <c r="AY63" s="2">
        <v>0</v>
      </c>
      <c r="AZ63" s="2" t="s">
        <v>39</v>
      </c>
      <c r="BA63" s="14">
        <v>150000</v>
      </c>
      <c r="BB63" s="14">
        <f>SUM(Table_ship_components[[#This Row],[PRICE]]+(Table_ship_components[[#This Row],[COST_PER_ADD_PERSON]]*Table_ship_components[[#This Row],[OPTIONAL]]))</f>
        <v>150000</v>
      </c>
      <c r="BC63" s="2">
        <v>0</v>
      </c>
      <c r="BD63" s="2">
        <v>0</v>
      </c>
    </row>
    <row r="64" spans="1:56" x14ac:dyDescent="0.35">
      <c r="A64" t="s">
        <v>634</v>
      </c>
      <c r="B64" t="s">
        <v>652</v>
      </c>
      <c r="C64" s="2">
        <v>0</v>
      </c>
      <c r="D64" s="2">
        <v>4</v>
      </c>
      <c r="E64" s="2">
        <f>SUM(Table_ship_components[[#This Row],[UNIT_SIZE]]+(Table_ship_components[[#This Row],[SIZE_PER_ADD_PERSON]]*Table_ship_components[[#This Row],[OPTIONAL]]))</f>
        <v>4</v>
      </c>
      <c r="F64" s="2">
        <v>5</v>
      </c>
      <c r="G64" s="2">
        <f>SUM(Table_ship_components[[#This Row],[POWER_CONSUMPTION]]+(Table_ship_components[[#This Row],[POWER_PER_ADD_PERSON]]*Table_ship_components[[#This Row],[OPTIONAL]]))</f>
        <v>5</v>
      </c>
      <c r="H64" s="2">
        <v>0</v>
      </c>
      <c r="I64" s="2">
        <v>0</v>
      </c>
      <c r="J64" s="2">
        <v>0</v>
      </c>
      <c r="K64" s="2">
        <v>0</v>
      </c>
      <c r="L64" s="2">
        <v>0</v>
      </c>
      <c r="M64" s="2">
        <v>0</v>
      </c>
      <c r="N64" s="2">
        <v>1</v>
      </c>
      <c r="O64" s="2">
        <v>0</v>
      </c>
      <c r="P64" s="2">
        <v>0</v>
      </c>
      <c r="Q64" s="2">
        <v>0</v>
      </c>
      <c r="R64" s="2">
        <v>0</v>
      </c>
      <c r="S64" s="2">
        <v>0</v>
      </c>
      <c r="T64" s="2">
        <v>0</v>
      </c>
      <c r="U64" s="2">
        <v>0</v>
      </c>
      <c r="V64" s="2">
        <v>0</v>
      </c>
      <c r="W64" s="14">
        <v>0</v>
      </c>
      <c r="X64" s="2">
        <v>0</v>
      </c>
      <c r="Y64" s="2">
        <v>0</v>
      </c>
      <c r="Z64" s="2">
        <v>0</v>
      </c>
      <c r="AA64" s="2">
        <v>0</v>
      </c>
      <c r="AB64" s="2">
        <v>0</v>
      </c>
      <c r="AC64" s="2">
        <v>0</v>
      </c>
      <c r="AD64" s="2">
        <v>0</v>
      </c>
      <c r="AE64" s="2">
        <v>0</v>
      </c>
      <c r="AF64" s="2">
        <v>0</v>
      </c>
      <c r="AG64" s="2">
        <v>0</v>
      </c>
      <c r="AH64" s="2">
        <v>0</v>
      </c>
      <c r="AI64" s="2">
        <v>0</v>
      </c>
      <c r="AJ64" s="2">
        <v>0</v>
      </c>
      <c r="AK64" s="2">
        <v>0</v>
      </c>
      <c r="AL64" s="2">
        <v>2</v>
      </c>
      <c r="AM64" s="2">
        <v>0</v>
      </c>
      <c r="AN64" s="2">
        <v>0</v>
      </c>
      <c r="AO64" s="2">
        <v>0</v>
      </c>
      <c r="AP64" s="2">
        <v>0</v>
      </c>
      <c r="AQ64" s="2">
        <v>0</v>
      </c>
      <c r="AR64" s="2">
        <v>1</v>
      </c>
      <c r="AS64" s="2">
        <v>0</v>
      </c>
      <c r="AT64" s="2">
        <v>0</v>
      </c>
      <c r="AU64" s="2">
        <v>1</v>
      </c>
      <c r="AV64" s="2">
        <v>0</v>
      </c>
      <c r="AW64" s="2">
        <v>0</v>
      </c>
      <c r="AX64" s="2">
        <v>0</v>
      </c>
      <c r="AY64" s="2">
        <v>0</v>
      </c>
      <c r="AZ64" s="2" t="s">
        <v>39</v>
      </c>
      <c r="BA64" s="14">
        <v>300000</v>
      </c>
      <c r="BB64" s="14">
        <f>SUM(Table_ship_components[[#This Row],[PRICE]]+(Table_ship_components[[#This Row],[COST_PER_ADD_PERSON]]*Table_ship_components[[#This Row],[OPTIONAL]]))</f>
        <v>300000</v>
      </c>
      <c r="BC64" s="2">
        <v>0</v>
      </c>
      <c r="BD64" s="2">
        <v>0</v>
      </c>
    </row>
    <row r="65" spans="1:56" x14ac:dyDescent="0.35">
      <c r="A65" t="s">
        <v>635</v>
      </c>
      <c r="B65" t="s">
        <v>653</v>
      </c>
      <c r="C65" s="2">
        <v>0</v>
      </c>
      <c r="D65" s="2">
        <v>6</v>
      </c>
      <c r="E65" s="2">
        <f>SUM(Table_ship_components[[#This Row],[UNIT_SIZE]]+(Table_ship_components[[#This Row],[SIZE_PER_ADD_PERSON]]*Table_ship_components[[#This Row],[OPTIONAL]]))</f>
        <v>6</v>
      </c>
      <c r="F65" s="2">
        <v>7</v>
      </c>
      <c r="G65" s="2">
        <f>SUM(Table_ship_components[[#This Row],[POWER_CONSUMPTION]]+(Table_ship_components[[#This Row],[POWER_PER_ADD_PERSON]]*Table_ship_components[[#This Row],[OPTIONAL]]))</f>
        <v>7</v>
      </c>
      <c r="H65" s="2">
        <v>0</v>
      </c>
      <c r="I65" s="2">
        <v>0</v>
      </c>
      <c r="J65" s="2">
        <v>0</v>
      </c>
      <c r="K65" s="2">
        <v>0</v>
      </c>
      <c r="L65" s="2">
        <v>0</v>
      </c>
      <c r="M65" s="2">
        <v>0</v>
      </c>
      <c r="N65" s="2">
        <v>1</v>
      </c>
      <c r="O65" s="2">
        <v>0</v>
      </c>
      <c r="P65" s="2">
        <v>0</v>
      </c>
      <c r="Q65" s="2">
        <v>0</v>
      </c>
      <c r="R65" s="2">
        <v>0</v>
      </c>
      <c r="S65" s="2">
        <v>0</v>
      </c>
      <c r="T65" s="2">
        <v>0</v>
      </c>
      <c r="U65" s="2">
        <v>0</v>
      </c>
      <c r="V65" s="2">
        <v>0</v>
      </c>
      <c r="W65" s="14">
        <v>0</v>
      </c>
      <c r="X65" s="2">
        <v>0</v>
      </c>
      <c r="Y65" s="2">
        <v>0</v>
      </c>
      <c r="Z65" s="2">
        <v>0</v>
      </c>
      <c r="AA65" s="2">
        <v>0</v>
      </c>
      <c r="AB65" s="2">
        <v>0</v>
      </c>
      <c r="AC65" s="2">
        <v>0</v>
      </c>
      <c r="AD65" s="2">
        <v>0</v>
      </c>
      <c r="AE65" s="2">
        <v>0</v>
      </c>
      <c r="AF65" s="2">
        <v>0</v>
      </c>
      <c r="AG65" s="2">
        <v>0</v>
      </c>
      <c r="AH65" s="2">
        <v>0</v>
      </c>
      <c r="AI65" s="2">
        <v>0</v>
      </c>
      <c r="AJ65" s="2">
        <v>0</v>
      </c>
      <c r="AK65" s="2">
        <v>0</v>
      </c>
      <c r="AL65" s="2">
        <v>3</v>
      </c>
      <c r="AM65" s="2">
        <v>0</v>
      </c>
      <c r="AN65" s="2">
        <v>0</v>
      </c>
      <c r="AO65" s="2">
        <v>0</v>
      </c>
      <c r="AP65" s="2">
        <v>0</v>
      </c>
      <c r="AQ65" s="2">
        <v>0</v>
      </c>
      <c r="AR65" s="2">
        <v>1</v>
      </c>
      <c r="AS65" s="2">
        <v>0</v>
      </c>
      <c r="AT65" s="2">
        <v>0</v>
      </c>
      <c r="AU65" s="2">
        <v>1</v>
      </c>
      <c r="AV65" s="2">
        <v>0</v>
      </c>
      <c r="AW65" s="2">
        <v>0</v>
      </c>
      <c r="AX65" s="2">
        <v>0</v>
      </c>
      <c r="AY65" s="2">
        <v>0</v>
      </c>
      <c r="AZ65" s="2" t="s">
        <v>39</v>
      </c>
      <c r="BA65" s="14">
        <v>600000</v>
      </c>
      <c r="BB65" s="14">
        <f>SUM(Table_ship_components[[#This Row],[PRICE]]+(Table_ship_components[[#This Row],[COST_PER_ADD_PERSON]]*Table_ship_components[[#This Row],[OPTIONAL]]))</f>
        <v>600000</v>
      </c>
      <c r="BC65" s="2">
        <v>0</v>
      </c>
      <c r="BD65" s="2">
        <v>0</v>
      </c>
    </row>
    <row r="66" spans="1:56" x14ac:dyDescent="0.35">
      <c r="A66" t="s">
        <v>636</v>
      </c>
      <c r="B66" t="s">
        <v>654</v>
      </c>
      <c r="C66" s="2">
        <v>0</v>
      </c>
      <c r="D66" s="2">
        <v>8</v>
      </c>
      <c r="E66" s="2">
        <f>SUM(Table_ship_components[[#This Row],[UNIT_SIZE]]+(Table_ship_components[[#This Row],[SIZE_PER_ADD_PERSON]]*Table_ship_components[[#This Row],[OPTIONAL]]))</f>
        <v>8</v>
      </c>
      <c r="F66" s="2">
        <v>9</v>
      </c>
      <c r="G66" s="2">
        <f>SUM(Table_ship_components[[#This Row],[POWER_CONSUMPTION]]+(Table_ship_components[[#This Row],[POWER_PER_ADD_PERSON]]*Table_ship_components[[#This Row],[OPTIONAL]]))</f>
        <v>9</v>
      </c>
      <c r="H66" s="2">
        <v>0</v>
      </c>
      <c r="I66" s="2">
        <v>0</v>
      </c>
      <c r="J66" s="2">
        <v>0</v>
      </c>
      <c r="K66" s="2">
        <v>0</v>
      </c>
      <c r="L66" s="2">
        <v>0</v>
      </c>
      <c r="M66" s="2">
        <v>0</v>
      </c>
      <c r="N66" s="2">
        <v>0</v>
      </c>
      <c r="O66" s="2">
        <v>1</v>
      </c>
      <c r="P66" s="2">
        <v>0</v>
      </c>
      <c r="Q66" s="2">
        <v>0</v>
      </c>
      <c r="R66" s="2">
        <v>0</v>
      </c>
      <c r="S66" s="2">
        <v>0</v>
      </c>
      <c r="T66" s="2">
        <v>0</v>
      </c>
      <c r="U66" s="2">
        <v>0</v>
      </c>
      <c r="V66" s="2">
        <v>0</v>
      </c>
      <c r="W66" s="14">
        <v>0</v>
      </c>
      <c r="X66" s="2">
        <v>0</v>
      </c>
      <c r="Y66" s="2">
        <v>0</v>
      </c>
      <c r="Z66" s="2">
        <v>0</v>
      </c>
      <c r="AA66" s="2">
        <v>0</v>
      </c>
      <c r="AB66" s="2">
        <v>0</v>
      </c>
      <c r="AC66" s="2">
        <v>0</v>
      </c>
      <c r="AD66" s="2">
        <v>0</v>
      </c>
      <c r="AE66" s="2">
        <v>0</v>
      </c>
      <c r="AF66" s="2">
        <v>0</v>
      </c>
      <c r="AG66" s="2">
        <v>0</v>
      </c>
      <c r="AH66" s="2">
        <v>0</v>
      </c>
      <c r="AI66" s="2">
        <v>0</v>
      </c>
      <c r="AJ66" s="2">
        <v>0</v>
      </c>
      <c r="AK66" s="2">
        <v>0</v>
      </c>
      <c r="AL66" s="2">
        <v>1</v>
      </c>
      <c r="AM66" s="2">
        <v>0</v>
      </c>
      <c r="AN66" s="2">
        <v>0</v>
      </c>
      <c r="AO66" s="2">
        <v>0</v>
      </c>
      <c r="AP66" s="2">
        <v>0</v>
      </c>
      <c r="AQ66" s="2">
        <v>0</v>
      </c>
      <c r="AR66" s="2">
        <v>1</v>
      </c>
      <c r="AS66" s="2">
        <v>0</v>
      </c>
      <c r="AT66" s="2">
        <v>0</v>
      </c>
      <c r="AU66" s="2">
        <v>1</v>
      </c>
      <c r="AV66" s="2">
        <v>0</v>
      </c>
      <c r="AW66" s="2">
        <v>0</v>
      </c>
      <c r="AX66" s="2">
        <v>0</v>
      </c>
      <c r="AY66" s="2">
        <v>0</v>
      </c>
      <c r="AZ66" s="2" t="s">
        <v>39</v>
      </c>
      <c r="BA66" s="14">
        <v>450000</v>
      </c>
      <c r="BB66" s="14">
        <f>SUM(Table_ship_components[[#This Row],[PRICE]]+(Table_ship_components[[#This Row],[COST_PER_ADD_PERSON]]*Table_ship_components[[#This Row],[OPTIONAL]]))</f>
        <v>450000</v>
      </c>
      <c r="BC66" s="2">
        <v>0</v>
      </c>
      <c r="BD66" s="2">
        <v>0</v>
      </c>
    </row>
    <row r="67" spans="1:56" x14ac:dyDescent="0.35">
      <c r="A67" t="s">
        <v>637</v>
      </c>
      <c r="B67" t="s">
        <v>655</v>
      </c>
      <c r="C67" s="2">
        <v>0</v>
      </c>
      <c r="D67" s="2">
        <v>10</v>
      </c>
      <c r="E67" s="2">
        <f>SUM(Table_ship_components[[#This Row],[UNIT_SIZE]]+(Table_ship_components[[#This Row],[SIZE_PER_ADD_PERSON]]*Table_ship_components[[#This Row],[OPTIONAL]]))</f>
        <v>10</v>
      </c>
      <c r="F67" s="2">
        <v>11</v>
      </c>
      <c r="G67" s="2">
        <f>SUM(Table_ship_components[[#This Row],[POWER_CONSUMPTION]]+(Table_ship_components[[#This Row],[POWER_PER_ADD_PERSON]]*Table_ship_components[[#This Row],[OPTIONAL]]))</f>
        <v>11</v>
      </c>
      <c r="H67" s="2">
        <v>0</v>
      </c>
      <c r="I67" s="2">
        <v>0</v>
      </c>
      <c r="J67" s="2">
        <v>0</v>
      </c>
      <c r="K67" s="2">
        <v>0</v>
      </c>
      <c r="L67" s="2">
        <v>0</v>
      </c>
      <c r="M67" s="2">
        <v>0</v>
      </c>
      <c r="N67" s="2">
        <v>0</v>
      </c>
      <c r="O67" s="2">
        <v>1</v>
      </c>
      <c r="P67" s="2">
        <v>0</v>
      </c>
      <c r="Q67" s="2">
        <v>0</v>
      </c>
      <c r="R67" s="2">
        <v>0</v>
      </c>
      <c r="S67" s="2">
        <v>0</v>
      </c>
      <c r="T67" s="2">
        <v>0</v>
      </c>
      <c r="U67" s="2">
        <v>0</v>
      </c>
      <c r="V67" s="2">
        <v>0</v>
      </c>
      <c r="W67" s="14">
        <v>0</v>
      </c>
      <c r="X67" s="2">
        <v>0</v>
      </c>
      <c r="Y67" s="2">
        <v>0</v>
      </c>
      <c r="Z67" s="2">
        <v>0</v>
      </c>
      <c r="AA67" s="2">
        <v>0</v>
      </c>
      <c r="AB67" s="2">
        <v>0</v>
      </c>
      <c r="AC67" s="2">
        <v>0</v>
      </c>
      <c r="AD67" s="2">
        <v>0</v>
      </c>
      <c r="AE67" s="2">
        <v>0</v>
      </c>
      <c r="AF67" s="2">
        <v>0</v>
      </c>
      <c r="AG67" s="2">
        <v>0</v>
      </c>
      <c r="AH67" s="2">
        <v>0</v>
      </c>
      <c r="AI67" s="2">
        <v>0</v>
      </c>
      <c r="AJ67" s="2">
        <v>0</v>
      </c>
      <c r="AK67" s="2">
        <v>0</v>
      </c>
      <c r="AL67" s="2">
        <v>2</v>
      </c>
      <c r="AM67" s="2">
        <v>0</v>
      </c>
      <c r="AN67" s="2">
        <v>0</v>
      </c>
      <c r="AO67" s="2">
        <v>0</v>
      </c>
      <c r="AP67" s="2">
        <v>0</v>
      </c>
      <c r="AQ67" s="2">
        <v>0</v>
      </c>
      <c r="AR67" s="2">
        <v>1</v>
      </c>
      <c r="AS67" s="2">
        <v>0</v>
      </c>
      <c r="AT67" s="2">
        <v>0</v>
      </c>
      <c r="AU67" s="2">
        <v>1</v>
      </c>
      <c r="AV67" s="2">
        <v>0</v>
      </c>
      <c r="AW67" s="2">
        <v>0</v>
      </c>
      <c r="AX67" s="2">
        <v>0</v>
      </c>
      <c r="AY67" s="2">
        <v>0</v>
      </c>
      <c r="AZ67" s="2" t="s">
        <v>39</v>
      </c>
      <c r="BA67" s="14">
        <v>900000</v>
      </c>
      <c r="BB67" s="14">
        <f>SUM(Table_ship_components[[#This Row],[PRICE]]+(Table_ship_components[[#This Row],[COST_PER_ADD_PERSON]]*Table_ship_components[[#This Row],[OPTIONAL]]))</f>
        <v>900000</v>
      </c>
      <c r="BC67" s="2">
        <v>0</v>
      </c>
      <c r="BD67" s="2">
        <v>0</v>
      </c>
    </row>
    <row r="68" spans="1:56" x14ac:dyDescent="0.35">
      <c r="A68" t="s">
        <v>638</v>
      </c>
      <c r="B68" t="s">
        <v>656</v>
      </c>
      <c r="C68" s="2">
        <v>0</v>
      </c>
      <c r="D68" s="2">
        <v>12</v>
      </c>
      <c r="E68" s="2">
        <f>SUM(Table_ship_components[[#This Row],[UNIT_SIZE]]+(Table_ship_components[[#This Row],[SIZE_PER_ADD_PERSON]]*Table_ship_components[[#This Row],[OPTIONAL]]))</f>
        <v>12</v>
      </c>
      <c r="F68" s="2">
        <v>13</v>
      </c>
      <c r="G68" s="2">
        <f>SUM(Table_ship_components[[#This Row],[POWER_CONSUMPTION]]+(Table_ship_components[[#This Row],[POWER_PER_ADD_PERSON]]*Table_ship_components[[#This Row],[OPTIONAL]]))</f>
        <v>13</v>
      </c>
      <c r="H68" s="2">
        <v>0</v>
      </c>
      <c r="I68" s="2">
        <v>0</v>
      </c>
      <c r="J68" s="2">
        <v>0</v>
      </c>
      <c r="K68" s="2">
        <v>0</v>
      </c>
      <c r="L68" s="2">
        <v>0</v>
      </c>
      <c r="M68" s="2">
        <v>0</v>
      </c>
      <c r="N68" s="2">
        <v>0</v>
      </c>
      <c r="O68" s="2">
        <v>1</v>
      </c>
      <c r="P68" s="2">
        <v>0</v>
      </c>
      <c r="Q68" s="2">
        <v>0</v>
      </c>
      <c r="R68" s="2">
        <v>0</v>
      </c>
      <c r="S68" s="2">
        <v>0</v>
      </c>
      <c r="T68" s="2">
        <v>0</v>
      </c>
      <c r="U68" s="2">
        <v>0</v>
      </c>
      <c r="V68" s="2">
        <v>0</v>
      </c>
      <c r="W68" s="14">
        <v>0</v>
      </c>
      <c r="X68" s="2">
        <v>0</v>
      </c>
      <c r="Y68" s="2">
        <v>0</v>
      </c>
      <c r="Z68" s="2">
        <v>0</v>
      </c>
      <c r="AA68" s="2">
        <v>0</v>
      </c>
      <c r="AB68" s="2">
        <v>0</v>
      </c>
      <c r="AC68" s="2">
        <v>0</v>
      </c>
      <c r="AD68" s="2">
        <v>0</v>
      </c>
      <c r="AE68" s="2">
        <v>0</v>
      </c>
      <c r="AF68" s="2">
        <v>0</v>
      </c>
      <c r="AG68" s="2">
        <v>0</v>
      </c>
      <c r="AH68" s="2">
        <v>0</v>
      </c>
      <c r="AI68" s="2">
        <v>0</v>
      </c>
      <c r="AJ68" s="2">
        <v>0</v>
      </c>
      <c r="AK68" s="2">
        <v>0</v>
      </c>
      <c r="AL68" s="2">
        <v>3</v>
      </c>
      <c r="AM68" s="2">
        <v>0</v>
      </c>
      <c r="AN68" s="2">
        <v>0</v>
      </c>
      <c r="AO68" s="2">
        <v>0</v>
      </c>
      <c r="AP68" s="2">
        <v>0</v>
      </c>
      <c r="AQ68" s="2">
        <v>0</v>
      </c>
      <c r="AR68" s="2">
        <v>1</v>
      </c>
      <c r="AS68" s="2">
        <v>0</v>
      </c>
      <c r="AT68" s="2">
        <v>0</v>
      </c>
      <c r="AU68" s="2">
        <v>1</v>
      </c>
      <c r="AV68" s="2">
        <v>0</v>
      </c>
      <c r="AW68" s="2">
        <v>0</v>
      </c>
      <c r="AX68" s="2">
        <v>0</v>
      </c>
      <c r="AY68" s="2">
        <v>0</v>
      </c>
      <c r="AZ68" s="2" t="s">
        <v>39</v>
      </c>
      <c r="BA68" s="14">
        <v>1800000</v>
      </c>
      <c r="BB68" s="14">
        <f>SUM(Table_ship_components[[#This Row],[PRICE]]+(Table_ship_components[[#This Row],[COST_PER_ADD_PERSON]]*Table_ship_components[[#This Row],[OPTIONAL]]))</f>
        <v>1800000</v>
      </c>
      <c r="BC68" s="2">
        <v>0</v>
      </c>
      <c r="BD68" s="2">
        <v>0</v>
      </c>
    </row>
    <row r="69" spans="1:56" x14ac:dyDescent="0.35">
      <c r="A69" t="s">
        <v>639</v>
      </c>
      <c r="B69" t="s">
        <v>657</v>
      </c>
      <c r="C69" s="2">
        <v>0</v>
      </c>
      <c r="D69" s="2">
        <v>2</v>
      </c>
      <c r="E69" s="2">
        <f>SUM(Table_ship_components[[#This Row],[UNIT_SIZE]]+(Table_ship_components[[#This Row],[SIZE_PER_ADD_PERSON]]*Table_ship_components[[#This Row],[OPTIONAL]]))</f>
        <v>2</v>
      </c>
      <c r="F69" s="2">
        <v>3</v>
      </c>
      <c r="G69" s="2">
        <f>SUM(Table_ship_components[[#This Row],[POWER_CONSUMPTION]]+(Table_ship_components[[#This Row],[POWER_PER_ADD_PERSON]]*Table_ship_components[[#This Row],[OPTIONAL]]))</f>
        <v>3</v>
      </c>
      <c r="H69" s="2">
        <v>0</v>
      </c>
      <c r="I69" s="2">
        <v>0</v>
      </c>
      <c r="J69" s="2">
        <v>0</v>
      </c>
      <c r="K69" s="2">
        <v>0</v>
      </c>
      <c r="L69" s="2">
        <v>0</v>
      </c>
      <c r="M69" s="2">
        <v>1</v>
      </c>
      <c r="N69" s="2">
        <v>0</v>
      </c>
      <c r="O69" s="2">
        <v>0</v>
      </c>
      <c r="P69" s="2">
        <v>0</v>
      </c>
      <c r="Q69" s="2">
        <v>0</v>
      </c>
      <c r="R69" s="2">
        <v>0</v>
      </c>
      <c r="S69" s="2">
        <v>0</v>
      </c>
      <c r="T69" s="2">
        <v>0</v>
      </c>
      <c r="U69" s="2">
        <v>0</v>
      </c>
      <c r="V69" s="2">
        <v>0</v>
      </c>
      <c r="W69" s="14">
        <v>0</v>
      </c>
      <c r="X69" s="2">
        <v>0</v>
      </c>
      <c r="Y69" s="2">
        <v>0</v>
      </c>
      <c r="Z69" s="2">
        <v>0</v>
      </c>
      <c r="AA69" s="2">
        <v>0</v>
      </c>
      <c r="AB69" s="2">
        <v>0</v>
      </c>
      <c r="AC69" s="2">
        <v>0</v>
      </c>
      <c r="AD69" s="2">
        <v>0</v>
      </c>
      <c r="AE69" s="2">
        <v>0</v>
      </c>
      <c r="AF69" s="2">
        <v>0</v>
      </c>
      <c r="AG69" s="2">
        <v>0</v>
      </c>
      <c r="AH69" s="2">
        <v>0</v>
      </c>
      <c r="AI69" s="2">
        <v>0</v>
      </c>
      <c r="AJ69" s="2">
        <v>0</v>
      </c>
      <c r="AK69" s="2">
        <v>0</v>
      </c>
      <c r="AL69" s="2">
        <v>1</v>
      </c>
      <c r="AM69" s="2">
        <v>0</v>
      </c>
      <c r="AN69" s="2">
        <v>0</v>
      </c>
      <c r="AO69" s="2">
        <v>0</v>
      </c>
      <c r="AP69" s="2">
        <v>0</v>
      </c>
      <c r="AQ69" s="2">
        <v>0</v>
      </c>
      <c r="AR69" s="2">
        <v>0</v>
      </c>
      <c r="AS69" s="2">
        <v>0</v>
      </c>
      <c r="AT69" s="2">
        <v>0</v>
      </c>
      <c r="AU69" s="2">
        <v>2</v>
      </c>
      <c r="AV69" s="2">
        <v>0</v>
      </c>
      <c r="AW69" s="2">
        <v>0</v>
      </c>
      <c r="AX69" s="2">
        <v>0</v>
      </c>
      <c r="AY69" s="2">
        <v>0</v>
      </c>
      <c r="AZ69" s="2" t="s">
        <v>39</v>
      </c>
      <c r="BA69" s="14">
        <v>150000</v>
      </c>
      <c r="BB69" s="14">
        <f>SUM(Table_ship_components[[#This Row],[PRICE]]+(Table_ship_components[[#This Row],[COST_PER_ADD_PERSON]]*Table_ship_components[[#This Row],[OPTIONAL]]))</f>
        <v>150000</v>
      </c>
      <c r="BC69" s="2">
        <v>0</v>
      </c>
      <c r="BD69" s="2">
        <v>0</v>
      </c>
    </row>
    <row r="70" spans="1:56" x14ac:dyDescent="0.35">
      <c r="A70" t="s">
        <v>640</v>
      </c>
      <c r="B70" t="s">
        <v>658</v>
      </c>
      <c r="C70" s="2">
        <v>0</v>
      </c>
      <c r="D70" s="2">
        <v>4</v>
      </c>
      <c r="E70" s="2">
        <f>SUM(Table_ship_components[[#This Row],[UNIT_SIZE]]+(Table_ship_components[[#This Row],[SIZE_PER_ADD_PERSON]]*Table_ship_components[[#This Row],[OPTIONAL]]))</f>
        <v>4</v>
      </c>
      <c r="F70" s="2">
        <v>5</v>
      </c>
      <c r="G70" s="2">
        <f>SUM(Table_ship_components[[#This Row],[POWER_CONSUMPTION]]+(Table_ship_components[[#This Row],[POWER_PER_ADD_PERSON]]*Table_ship_components[[#This Row],[OPTIONAL]]))</f>
        <v>5</v>
      </c>
      <c r="H70" s="2">
        <v>0</v>
      </c>
      <c r="I70" s="2">
        <v>0</v>
      </c>
      <c r="J70" s="2">
        <v>0</v>
      </c>
      <c r="K70" s="2">
        <v>0</v>
      </c>
      <c r="L70" s="2">
        <v>0</v>
      </c>
      <c r="M70" s="2">
        <v>1</v>
      </c>
      <c r="N70" s="2">
        <v>0</v>
      </c>
      <c r="O70" s="2">
        <v>0</v>
      </c>
      <c r="P70" s="2">
        <v>0</v>
      </c>
      <c r="Q70" s="2">
        <v>0</v>
      </c>
      <c r="R70" s="2">
        <v>0</v>
      </c>
      <c r="S70" s="2">
        <v>0</v>
      </c>
      <c r="T70" s="2">
        <v>0</v>
      </c>
      <c r="U70" s="2">
        <v>0</v>
      </c>
      <c r="V70" s="2">
        <v>0</v>
      </c>
      <c r="W70" s="14">
        <v>0</v>
      </c>
      <c r="X70" s="2">
        <v>0</v>
      </c>
      <c r="Y70" s="2">
        <v>0</v>
      </c>
      <c r="Z70" s="2">
        <v>0</v>
      </c>
      <c r="AA70" s="2">
        <v>0</v>
      </c>
      <c r="AB70" s="2">
        <v>0</v>
      </c>
      <c r="AC70" s="2">
        <v>0</v>
      </c>
      <c r="AD70" s="2">
        <v>0</v>
      </c>
      <c r="AE70" s="2">
        <v>0</v>
      </c>
      <c r="AF70" s="2">
        <v>0</v>
      </c>
      <c r="AG70" s="2">
        <v>0</v>
      </c>
      <c r="AH70" s="2">
        <v>0</v>
      </c>
      <c r="AI70" s="2">
        <v>0</v>
      </c>
      <c r="AJ70" s="2">
        <v>0</v>
      </c>
      <c r="AK70" s="2">
        <v>0</v>
      </c>
      <c r="AL70" s="2">
        <v>2</v>
      </c>
      <c r="AM70" s="2">
        <v>0</v>
      </c>
      <c r="AN70" s="2">
        <v>0</v>
      </c>
      <c r="AO70" s="2">
        <v>0</v>
      </c>
      <c r="AP70" s="2">
        <v>0</v>
      </c>
      <c r="AQ70" s="2">
        <v>0</v>
      </c>
      <c r="AR70" s="2">
        <v>0</v>
      </c>
      <c r="AS70" s="2">
        <v>0</v>
      </c>
      <c r="AT70" s="2">
        <v>0</v>
      </c>
      <c r="AU70" s="2">
        <v>2</v>
      </c>
      <c r="AV70" s="2">
        <v>0</v>
      </c>
      <c r="AW70" s="2">
        <v>0</v>
      </c>
      <c r="AX70" s="2">
        <v>0</v>
      </c>
      <c r="AY70" s="2">
        <v>0</v>
      </c>
      <c r="AZ70" s="2" t="s">
        <v>39</v>
      </c>
      <c r="BA70" s="14">
        <v>300000</v>
      </c>
      <c r="BB70" s="14">
        <f>SUM(Table_ship_components[[#This Row],[PRICE]]+(Table_ship_components[[#This Row],[COST_PER_ADD_PERSON]]*Table_ship_components[[#This Row],[OPTIONAL]]))</f>
        <v>300000</v>
      </c>
      <c r="BC70" s="2">
        <v>0</v>
      </c>
      <c r="BD70" s="2">
        <v>0</v>
      </c>
    </row>
    <row r="71" spans="1:56" x14ac:dyDescent="0.35">
      <c r="A71" t="s">
        <v>641</v>
      </c>
      <c r="B71" t="s">
        <v>659</v>
      </c>
      <c r="C71" s="2">
        <v>0</v>
      </c>
      <c r="D71" s="2">
        <v>6</v>
      </c>
      <c r="E71" s="2">
        <f>SUM(Table_ship_components[[#This Row],[UNIT_SIZE]]+(Table_ship_components[[#This Row],[SIZE_PER_ADD_PERSON]]*Table_ship_components[[#This Row],[OPTIONAL]]))</f>
        <v>6</v>
      </c>
      <c r="F71" s="2">
        <v>7</v>
      </c>
      <c r="G71" s="2">
        <f>SUM(Table_ship_components[[#This Row],[POWER_CONSUMPTION]]+(Table_ship_components[[#This Row],[POWER_PER_ADD_PERSON]]*Table_ship_components[[#This Row],[OPTIONAL]]))</f>
        <v>7</v>
      </c>
      <c r="H71" s="2">
        <v>0</v>
      </c>
      <c r="I71" s="2">
        <v>0</v>
      </c>
      <c r="J71" s="2">
        <v>0</v>
      </c>
      <c r="K71" s="2">
        <v>0</v>
      </c>
      <c r="L71" s="2">
        <v>0</v>
      </c>
      <c r="M71" s="2">
        <v>1</v>
      </c>
      <c r="N71" s="2">
        <v>0</v>
      </c>
      <c r="O71" s="2">
        <v>0</v>
      </c>
      <c r="P71" s="2">
        <v>0</v>
      </c>
      <c r="Q71" s="2">
        <v>0</v>
      </c>
      <c r="R71" s="2">
        <v>0</v>
      </c>
      <c r="S71" s="2">
        <v>0</v>
      </c>
      <c r="T71" s="2">
        <v>0</v>
      </c>
      <c r="U71" s="2">
        <v>0</v>
      </c>
      <c r="V71" s="2">
        <v>0</v>
      </c>
      <c r="W71" s="14">
        <v>0</v>
      </c>
      <c r="X71" s="2">
        <v>0</v>
      </c>
      <c r="Y71" s="2">
        <v>0</v>
      </c>
      <c r="Z71" s="2">
        <v>0</v>
      </c>
      <c r="AA71" s="2">
        <v>0</v>
      </c>
      <c r="AB71" s="2">
        <v>0</v>
      </c>
      <c r="AC71" s="2">
        <v>0</v>
      </c>
      <c r="AD71" s="2">
        <v>0</v>
      </c>
      <c r="AE71" s="2">
        <v>0</v>
      </c>
      <c r="AF71" s="2">
        <v>0</v>
      </c>
      <c r="AG71" s="2">
        <v>0</v>
      </c>
      <c r="AH71" s="2">
        <v>0</v>
      </c>
      <c r="AI71" s="2">
        <v>0</v>
      </c>
      <c r="AJ71" s="2">
        <v>0</v>
      </c>
      <c r="AK71" s="2">
        <v>0</v>
      </c>
      <c r="AL71" s="2">
        <v>3</v>
      </c>
      <c r="AM71" s="2">
        <v>0</v>
      </c>
      <c r="AN71" s="2">
        <v>0</v>
      </c>
      <c r="AO71" s="2">
        <v>0</v>
      </c>
      <c r="AP71" s="2">
        <v>0</v>
      </c>
      <c r="AQ71" s="2">
        <v>0</v>
      </c>
      <c r="AR71" s="2">
        <v>0</v>
      </c>
      <c r="AS71" s="2">
        <v>0</v>
      </c>
      <c r="AT71" s="2">
        <v>0</v>
      </c>
      <c r="AU71" s="2">
        <v>2</v>
      </c>
      <c r="AV71" s="2">
        <v>0</v>
      </c>
      <c r="AW71" s="2">
        <v>0</v>
      </c>
      <c r="AX71" s="2">
        <v>0</v>
      </c>
      <c r="AY71" s="2">
        <v>0</v>
      </c>
      <c r="AZ71" s="2" t="s">
        <v>39</v>
      </c>
      <c r="BA71" s="14">
        <v>600000</v>
      </c>
      <c r="BB71" s="14">
        <f>SUM(Table_ship_components[[#This Row],[PRICE]]+(Table_ship_components[[#This Row],[COST_PER_ADD_PERSON]]*Table_ship_components[[#This Row],[OPTIONAL]]))</f>
        <v>600000</v>
      </c>
      <c r="BC71" s="2">
        <v>0</v>
      </c>
      <c r="BD71" s="2">
        <v>0</v>
      </c>
    </row>
    <row r="72" spans="1:56" x14ac:dyDescent="0.35">
      <c r="A72" t="s">
        <v>642</v>
      </c>
      <c r="B72" t="s">
        <v>660</v>
      </c>
      <c r="C72" s="2">
        <v>0</v>
      </c>
      <c r="D72" s="2">
        <v>3</v>
      </c>
      <c r="E72" s="2">
        <f>SUM(Table_ship_components[[#This Row],[UNIT_SIZE]]+(Table_ship_components[[#This Row],[SIZE_PER_ADD_PERSON]]*Table_ship_components[[#This Row],[OPTIONAL]]))</f>
        <v>3</v>
      </c>
      <c r="F72" s="2">
        <v>4</v>
      </c>
      <c r="G72" s="2">
        <f>SUM(Table_ship_components[[#This Row],[POWER_CONSUMPTION]]+(Table_ship_components[[#This Row],[POWER_PER_ADD_PERSON]]*Table_ship_components[[#This Row],[OPTIONAL]]))</f>
        <v>4</v>
      </c>
      <c r="H72" s="2">
        <v>0</v>
      </c>
      <c r="I72" s="2">
        <v>0</v>
      </c>
      <c r="J72" s="2">
        <v>0</v>
      </c>
      <c r="K72" s="2">
        <v>0</v>
      </c>
      <c r="L72" s="2">
        <v>0</v>
      </c>
      <c r="M72" s="2">
        <v>0</v>
      </c>
      <c r="N72" s="2">
        <v>1</v>
      </c>
      <c r="O72" s="2">
        <v>0</v>
      </c>
      <c r="P72" s="2">
        <v>0</v>
      </c>
      <c r="Q72" s="2">
        <v>0</v>
      </c>
      <c r="R72" s="2">
        <v>0</v>
      </c>
      <c r="S72" s="2">
        <v>0</v>
      </c>
      <c r="T72" s="2">
        <v>0</v>
      </c>
      <c r="U72" s="2">
        <v>0</v>
      </c>
      <c r="V72" s="2">
        <v>0</v>
      </c>
      <c r="W72" s="14">
        <v>0</v>
      </c>
      <c r="X72" s="2">
        <v>0</v>
      </c>
      <c r="Y72" s="2">
        <v>0</v>
      </c>
      <c r="Z72" s="2">
        <v>0</v>
      </c>
      <c r="AA72" s="2">
        <v>0</v>
      </c>
      <c r="AB72" s="2">
        <v>0</v>
      </c>
      <c r="AC72" s="2">
        <v>0</v>
      </c>
      <c r="AD72" s="2">
        <v>0</v>
      </c>
      <c r="AE72" s="2">
        <v>0</v>
      </c>
      <c r="AF72" s="2">
        <v>0</v>
      </c>
      <c r="AG72" s="2">
        <v>0</v>
      </c>
      <c r="AH72" s="2">
        <v>0</v>
      </c>
      <c r="AI72" s="2">
        <v>0</v>
      </c>
      <c r="AJ72" s="2">
        <v>0</v>
      </c>
      <c r="AK72" s="2">
        <v>0</v>
      </c>
      <c r="AL72" s="2">
        <v>1</v>
      </c>
      <c r="AM72" s="2">
        <v>0</v>
      </c>
      <c r="AN72" s="2">
        <v>0</v>
      </c>
      <c r="AO72" s="2">
        <v>0</v>
      </c>
      <c r="AP72" s="2">
        <v>0</v>
      </c>
      <c r="AQ72" s="2">
        <v>0</v>
      </c>
      <c r="AR72" s="2">
        <v>0</v>
      </c>
      <c r="AS72" s="2">
        <v>0</v>
      </c>
      <c r="AT72" s="2">
        <v>0</v>
      </c>
      <c r="AU72" s="2">
        <v>2</v>
      </c>
      <c r="AV72" s="2">
        <v>0</v>
      </c>
      <c r="AW72" s="2">
        <v>0</v>
      </c>
      <c r="AX72" s="2">
        <v>0</v>
      </c>
      <c r="AY72" s="2">
        <v>0</v>
      </c>
      <c r="AZ72" s="2" t="s">
        <v>39</v>
      </c>
      <c r="BA72" s="14">
        <v>200000</v>
      </c>
      <c r="BB72" s="14">
        <f>SUM(Table_ship_components[[#This Row],[PRICE]]+(Table_ship_components[[#This Row],[COST_PER_ADD_PERSON]]*Table_ship_components[[#This Row],[OPTIONAL]]))</f>
        <v>200000</v>
      </c>
      <c r="BC72" s="2">
        <v>0</v>
      </c>
      <c r="BD72" s="2">
        <v>0</v>
      </c>
    </row>
    <row r="73" spans="1:56" x14ac:dyDescent="0.35">
      <c r="A73" t="s">
        <v>643</v>
      </c>
      <c r="B73" t="s">
        <v>661</v>
      </c>
      <c r="C73" s="2">
        <v>0</v>
      </c>
      <c r="D73" s="2">
        <v>5</v>
      </c>
      <c r="E73" s="2">
        <f>SUM(Table_ship_components[[#This Row],[UNIT_SIZE]]+(Table_ship_components[[#This Row],[SIZE_PER_ADD_PERSON]]*Table_ship_components[[#This Row],[OPTIONAL]]))</f>
        <v>5</v>
      </c>
      <c r="F73" s="2">
        <v>6</v>
      </c>
      <c r="G73" s="2">
        <f>SUM(Table_ship_components[[#This Row],[POWER_CONSUMPTION]]+(Table_ship_components[[#This Row],[POWER_PER_ADD_PERSON]]*Table_ship_components[[#This Row],[OPTIONAL]]))</f>
        <v>6</v>
      </c>
      <c r="H73" s="2">
        <v>0</v>
      </c>
      <c r="I73" s="2">
        <v>0</v>
      </c>
      <c r="J73" s="2">
        <v>0</v>
      </c>
      <c r="K73" s="2">
        <v>0</v>
      </c>
      <c r="L73" s="2">
        <v>0</v>
      </c>
      <c r="M73" s="2">
        <v>0</v>
      </c>
      <c r="N73" s="2">
        <v>1</v>
      </c>
      <c r="O73" s="2">
        <v>0</v>
      </c>
      <c r="P73" s="2">
        <v>0</v>
      </c>
      <c r="Q73" s="2">
        <v>0</v>
      </c>
      <c r="R73" s="2">
        <v>0</v>
      </c>
      <c r="S73" s="2">
        <v>0</v>
      </c>
      <c r="T73" s="2">
        <v>0</v>
      </c>
      <c r="U73" s="2">
        <v>0</v>
      </c>
      <c r="V73" s="2">
        <v>0</v>
      </c>
      <c r="W73" s="14">
        <v>0</v>
      </c>
      <c r="X73" s="2">
        <v>0</v>
      </c>
      <c r="Y73" s="2">
        <v>0</v>
      </c>
      <c r="Z73" s="2">
        <v>0</v>
      </c>
      <c r="AA73" s="2">
        <v>0</v>
      </c>
      <c r="AB73" s="2">
        <v>0</v>
      </c>
      <c r="AC73" s="2">
        <v>0</v>
      </c>
      <c r="AD73" s="2">
        <v>0</v>
      </c>
      <c r="AE73" s="2">
        <v>0</v>
      </c>
      <c r="AF73" s="2">
        <v>0</v>
      </c>
      <c r="AG73" s="2">
        <v>0</v>
      </c>
      <c r="AH73" s="2">
        <v>0</v>
      </c>
      <c r="AI73" s="2">
        <v>0</v>
      </c>
      <c r="AJ73" s="2">
        <v>0</v>
      </c>
      <c r="AK73" s="2">
        <v>0</v>
      </c>
      <c r="AL73" s="2">
        <v>2</v>
      </c>
      <c r="AM73" s="2">
        <v>0</v>
      </c>
      <c r="AN73" s="2">
        <v>0</v>
      </c>
      <c r="AO73" s="2">
        <v>0</v>
      </c>
      <c r="AP73" s="2">
        <v>0</v>
      </c>
      <c r="AQ73" s="2">
        <v>0</v>
      </c>
      <c r="AR73" s="2">
        <v>0</v>
      </c>
      <c r="AS73" s="2">
        <v>0</v>
      </c>
      <c r="AT73" s="2">
        <v>0</v>
      </c>
      <c r="AU73" s="2">
        <v>2</v>
      </c>
      <c r="AV73" s="2">
        <v>0</v>
      </c>
      <c r="AW73" s="2">
        <v>0</v>
      </c>
      <c r="AX73" s="2">
        <v>0</v>
      </c>
      <c r="AY73" s="2">
        <v>0</v>
      </c>
      <c r="AZ73" s="2" t="s">
        <v>39</v>
      </c>
      <c r="BA73" s="14">
        <v>400000</v>
      </c>
      <c r="BB73" s="14">
        <f>SUM(Table_ship_components[[#This Row],[PRICE]]+(Table_ship_components[[#This Row],[COST_PER_ADD_PERSON]]*Table_ship_components[[#This Row],[OPTIONAL]]))</f>
        <v>400000</v>
      </c>
      <c r="BC73" s="2">
        <v>0</v>
      </c>
      <c r="BD73" s="2">
        <v>0</v>
      </c>
    </row>
    <row r="74" spans="1:56" x14ac:dyDescent="0.35">
      <c r="A74" t="s">
        <v>644</v>
      </c>
      <c r="B74" t="s">
        <v>662</v>
      </c>
      <c r="C74" s="2">
        <v>0</v>
      </c>
      <c r="D74" s="2">
        <v>7</v>
      </c>
      <c r="E74" s="2">
        <f>SUM(Table_ship_components[[#This Row],[UNIT_SIZE]]+(Table_ship_components[[#This Row],[SIZE_PER_ADD_PERSON]]*Table_ship_components[[#This Row],[OPTIONAL]]))</f>
        <v>7</v>
      </c>
      <c r="F74" s="2">
        <v>8</v>
      </c>
      <c r="G74" s="2">
        <f>SUM(Table_ship_components[[#This Row],[POWER_CONSUMPTION]]+(Table_ship_components[[#This Row],[POWER_PER_ADD_PERSON]]*Table_ship_components[[#This Row],[OPTIONAL]]))</f>
        <v>8</v>
      </c>
      <c r="H74" s="2">
        <v>0</v>
      </c>
      <c r="I74" s="2">
        <v>0</v>
      </c>
      <c r="J74" s="2">
        <v>0</v>
      </c>
      <c r="K74" s="2">
        <v>0</v>
      </c>
      <c r="L74" s="2">
        <v>0</v>
      </c>
      <c r="M74" s="2">
        <v>0</v>
      </c>
      <c r="N74" s="2">
        <v>1</v>
      </c>
      <c r="O74" s="2">
        <v>0</v>
      </c>
      <c r="P74" s="2">
        <v>0</v>
      </c>
      <c r="Q74" s="2">
        <v>0</v>
      </c>
      <c r="R74" s="2">
        <v>0</v>
      </c>
      <c r="S74" s="2">
        <v>0</v>
      </c>
      <c r="T74" s="2">
        <v>0</v>
      </c>
      <c r="U74" s="2">
        <v>0</v>
      </c>
      <c r="V74" s="2">
        <v>0</v>
      </c>
      <c r="W74" s="14">
        <v>0</v>
      </c>
      <c r="X74" s="2">
        <v>0</v>
      </c>
      <c r="Y74" s="2">
        <v>0</v>
      </c>
      <c r="Z74" s="2">
        <v>0</v>
      </c>
      <c r="AA74" s="2">
        <v>0</v>
      </c>
      <c r="AB74" s="2">
        <v>0</v>
      </c>
      <c r="AC74" s="2">
        <v>0</v>
      </c>
      <c r="AD74" s="2">
        <v>0</v>
      </c>
      <c r="AE74" s="2">
        <v>0</v>
      </c>
      <c r="AF74" s="2">
        <v>0</v>
      </c>
      <c r="AG74" s="2">
        <v>0</v>
      </c>
      <c r="AH74" s="2">
        <v>0</v>
      </c>
      <c r="AI74" s="2">
        <v>0</v>
      </c>
      <c r="AJ74" s="2">
        <v>0</v>
      </c>
      <c r="AK74" s="2">
        <v>0</v>
      </c>
      <c r="AL74" s="2">
        <v>3</v>
      </c>
      <c r="AM74" s="2">
        <v>0</v>
      </c>
      <c r="AN74" s="2">
        <v>0</v>
      </c>
      <c r="AO74" s="2">
        <v>0</v>
      </c>
      <c r="AP74" s="2">
        <v>0</v>
      </c>
      <c r="AQ74" s="2">
        <v>0</v>
      </c>
      <c r="AR74" s="2">
        <v>0</v>
      </c>
      <c r="AS74" s="2">
        <v>0</v>
      </c>
      <c r="AT74" s="2">
        <v>0</v>
      </c>
      <c r="AU74" s="2">
        <v>2</v>
      </c>
      <c r="AV74" s="2">
        <v>0</v>
      </c>
      <c r="AW74" s="2">
        <v>0</v>
      </c>
      <c r="AX74" s="2">
        <v>0</v>
      </c>
      <c r="AY74" s="2">
        <v>0</v>
      </c>
      <c r="AZ74" s="2" t="s">
        <v>39</v>
      </c>
      <c r="BA74" s="14">
        <v>800000</v>
      </c>
      <c r="BB74" s="14">
        <f>SUM(Table_ship_components[[#This Row],[PRICE]]+(Table_ship_components[[#This Row],[COST_PER_ADD_PERSON]]*Table_ship_components[[#This Row],[OPTIONAL]]))</f>
        <v>800000</v>
      </c>
      <c r="BC74" s="2">
        <v>0</v>
      </c>
      <c r="BD74" s="2">
        <v>0</v>
      </c>
    </row>
    <row r="75" spans="1:56" x14ac:dyDescent="0.35">
      <c r="A75" t="s">
        <v>645</v>
      </c>
      <c r="B75" t="s">
        <v>663</v>
      </c>
      <c r="C75" s="2">
        <v>0</v>
      </c>
      <c r="D75" s="2">
        <v>9</v>
      </c>
      <c r="E75" s="2">
        <f>SUM(Table_ship_components[[#This Row],[UNIT_SIZE]]+(Table_ship_components[[#This Row],[SIZE_PER_ADD_PERSON]]*Table_ship_components[[#This Row],[OPTIONAL]]))</f>
        <v>9</v>
      </c>
      <c r="F75" s="2">
        <v>10</v>
      </c>
      <c r="G75" s="2">
        <f>SUM(Table_ship_components[[#This Row],[POWER_CONSUMPTION]]+(Table_ship_components[[#This Row],[POWER_PER_ADD_PERSON]]*Table_ship_components[[#This Row],[OPTIONAL]]))</f>
        <v>10</v>
      </c>
      <c r="H75" s="2">
        <v>0</v>
      </c>
      <c r="I75" s="2">
        <v>0</v>
      </c>
      <c r="J75" s="2">
        <v>0</v>
      </c>
      <c r="K75" s="2">
        <v>0</v>
      </c>
      <c r="L75" s="2">
        <v>0</v>
      </c>
      <c r="M75" s="2">
        <v>0</v>
      </c>
      <c r="N75" s="2">
        <v>0</v>
      </c>
      <c r="O75" s="2">
        <v>1</v>
      </c>
      <c r="P75" s="2">
        <v>0</v>
      </c>
      <c r="Q75" s="2">
        <v>0</v>
      </c>
      <c r="R75" s="2">
        <v>0</v>
      </c>
      <c r="S75" s="2">
        <v>0</v>
      </c>
      <c r="T75" s="2">
        <v>0</v>
      </c>
      <c r="U75" s="2">
        <v>0</v>
      </c>
      <c r="V75" s="2">
        <v>0</v>
      </c>
      <c r="W75" s="14">
        <v>0</v>
      </c>
      <c r="X75" s="2">
        <v>0</v>
      </c>
      <c r="Y75" s="2">
        <v>0</v>
      </c>
      <c r="Z75" s="2">
        <v>0</v>
      </c>
      <c r="AA75" s="2">
        <v>0</v>
      </c>
      <c r="AB75" s="2">
        <v>0</v>
      </c>
      <c r="AC75" s="2">
        <v>0</v>
      </c>
      <c r="AD75" s="2">
        <v>0</v>
      </c>
      <c r="AE75" s="2">
        <v>0</v>
      </c>
      <c r="AF75" s="2">
        <v>0</v>
      </c>
      <c r="AG75" s="2">
        <v>0</v>
      </c>
      <c r="AH75" s="2">
        <v>0</v>
      </c>
      <c r="AI75" s="2">
        <v>0</v>
      </c>
      <c r="AJ75" s="2">
        <v>0</v>
      </c>
      <c r="AK75" s="2">
        <v>0</v>
      </c>
      <c r="AL75" s="2">
        <v>1</v>
      </c>
      <c r="AM75" s="2">
        <v>0</v>
      </c>
      <c r="AN75" s="2">
        <v>0</v>
      </c>
      <c r="AO75" s="2">
        <v>0</v>
      </c>
      <c r="AP75" s="2">
        <v>0</v>
      </c>
      <c r="AQ75" s="2">
        <v>0</v>
      </c>
      <c r="AR75" s="2">
        <v>0</v>
      </c>
      <c r="AS75" s="2">
        <v>0</v>
      </c>
      <c r="AT75" s="2">
        <v>0</v>
      </c>
      <c r="AU75" s="2">
        <v>2</v>
      </c>
      <c r="AV75" s="2">
        <v>0</v>
      </c>
      <c r="AW75" s="2">
        <v>0</v>
      </c>
      <c r="AX75" s="2">
        <v>0</v>
      </c>
      <c r="AY75" s="2">
        <v>0</v>
      </c>
      <c r="AZ75" s="2" t="s">
        <v>39</v>
      </c>
      <c r="BA75" s="14">
        <v>500000</v>
      </c>
      <c r="BB75" s="14">
        <f>SUM(Table_ship_components[[#This Row],[PRICE]]+(Table_ship_components[[#This Row],[COST_PER_ADD_PERSON]]*Table_ship_components[[#This Row],[OPTIONAL]]))</f>
        <v>500000</v>
      </c>
      <c r="BC75" s="2">
        <v>0</v>
      </c>
      <c r="BD75" s="2">
        <v>0</v>
      </c>
    </row>
    <row r="76" spans="1:56" x14ac:dyDescent="0.35">
      <c r="A76" t="s">
        <v>646</v>
      </c>
      <c r="B76" t="s">
        <v>664</v>
      </c>
      <c r="C76" s="2">
        <v>0</v>
      </c>
      <c r="D76" s="2">
        <v>11</v>
      </c>
      <c r="E76" s="2">
        <f>SUM(Table_ship_components[[#This Row],[UNIT_SIZE]]+(Table_ship_components[[#This Row],[SIZE_PER_ADD_PERSON]]*Table_ship_components[[#This Row],[OPTIONAL]]))</f>
        <v>11</v>
      </c>
      <c r="F76" s="2">
        <v>12</v>
      </c>
      <c r="G76" s="2">
        <f>SUM(Table_ship_components[[#This Row],[POWER_CONSUMPTION]]+(Table_ship_components[[#This Row],[POWER_PER_ADD_PERSON]]*Table_ship_components[[#This Row],[OPTIONAL]]))</f>
        <v>12</v>
      </c>
      <c r="H76" s="2">
        <v>0</v>
      </c>
      <c r="I76" s="2">
        <v>0</v>
      </c>
      <c r="J76" s="2">
        <v>0</v>
      </c>
      <c r="K76" s="2">
        <v>0</v>
      </c>
      <c r="L76" s="2">
        <v>0</v>
      </c>
      <c r="M76" s="2">
        <v>0</v>
      </c>
      <c r="N76" s="2">
        <v>0</v>
      </c>
      <c r="O76" s="2">
        <v>1</v>
      </c>
      <c r="P76" s="2">
        <v>0</v>
      </c>
      <c r="Q76" s="2">
        <v>0</v>
      </c>
      <c r="R76" s="2">
        <v>0</v>
      </c>
      <c r="S76" s="2">
        <v>0</v>
      </c>
      <c r="T76" s="2">
        <v>0</v>
      </c>
      <c r="U76" s="2">
        <v>0</v>
      </c>
      <c r="V76" s="2">
        <v>0</v>
      </c>
      <c r="W76" s="14">
        <v>0</v>
      </c>
      <c r="X76" s="2">
        <v>0</v>
      </c>
      <c r="Y76" s="2">
        <v>0</v>
      </c>
      <c r="Z76" s="2">
        <v>0</v>
      </c>
      <c r="AA76" s="2">
        <v>0</v>
      </c>
      <c r="AB76" s="2">
        <v>0</v>
      </c>
      <c r="AC76" s="2">
        <v>0</v>
      </c>
      <c r="AD76" s="2">
        <v>0</v>
      </c>
      <c r="AE76" s="2">
        <v>0</v>
      </c>
      <c r="AF76" s="2">
        <v>0</v>
      </c>
      <c r="AG76" s="2">
        <v>0</v>
      </c>
      <c r="AH76" s="2">
        <v>0</v>
      </c>
      <c r="AI76" s="2">
        <v>0</v>
      </c>
      <c r="AJ76" s="2">
        <v>0</v>
      </c>
      <c r="AK76" s="2">
        <v>0</v>
      </c>
      <c r="AL76" s="2">
        <v>2</v>
      </c>
      <c r="AM76" s="2">
        <v>0</v>
      </c>
      <c r="AN76" s="2">
        <v>0</v>
      </c>
      <c r="AO76" s="2">
        <v>0</v>
      </c>
      <c r="AP76" s="2">
        <v>0</v>
      </c>
      <c r="AQ76" s="2">
        <v>0</v>
      </c>
      <c r="AR76" s="2">
        <v>0</v>
      </c>
      <c r="AS76" s="2">
        <v>0</v>
      </c>
      <c r="AT76" s="2">
        <v>0</v>
      </c>
      <c r="AU76" s="2">
        <v>2</v>
      </c>
      <c r="AV76" s="2">
        <v>0</v>
      </c>
      <c r="AW76" s="2">
        <v>0</v>
      </c>
      <c r="AX76" s="2">
        <v>0</v>
      </c>
      <c r="AY76" s="2">
        <v>0</v>
      </c>
      <c r="AZ76" s="2" t="s">
        <v>39</v>
      </c>
      <c r="BA76" s="14">
        <v>1000000</v>
      </c>
      <c r="BB76" s="14">
        <f>SUM(Table_ship_components[[#This Row],[PRICE]]+(Table_ship_components[[#This Row],[COST_PER_ADD_PERSON]]*Table_ship_components[[#This Row],[OPTIONAL]]))</f>
        <v>1000000</v>
      </c>
      <c r="BC76" s="2">
        <v>0</v>
      </c>
      <c r="BD76" s="2">
        <v>0</v>
      </c>
    </row>
    <row r="77" spans="1:56" x14ac:dyDescent="0.35">
      <c r="A77" t="s">
        <v>647</v>
      </c>
      <c r="B77" t="s">
        <v>665</v>
      </c>
      <c r="C77" s="2">
        <v>0</v>
      </c>
      <c r="D77" s="2">
        <v>13</v>
      </c>
      <c r="E77" s="2">
        <f>SUM(Table_ship_components[[#This Row],[UNIT_SIZE]]+(Table_ship_components[[#This Row],[SIZE_PER_ADD_PERSON]]*Table_ship_components[[#This Row],[OPTIONAL]]))</f>
        <v>13</v>
      </c>
      <c r="F77" s="2">
        <v>14</v>
      </c>
      <c r="G77" s="2">
        <f>SUM(Table_ship_components[[#This Row],[POWER_CONSUMPTION]]+(Table_ship_components[[#This Row],[POWER_PER_ADD_PERSON]]*Table_ship_components[[#This Row],[OPTIONAL]]))</f>
        <v>14</v>
      </c>
      <c r="H77" s="2">
        <v>0</v>
      </c>
      <c r="I77" s="2">
        <v>0</v>
      </c>
      <c r="J77" s="2">
        <v>0</v>
      </c>
      <c r="K77" s="2">
        <v>0</v>
      </c>
      <c r="L77" s="2">
        <v>0</v>
      </c>
      <c r="M77" s="2">
        <v>0</v>
      </c>
      <c r="N77" s="2">
        <v>0</v>
      </c>
      <c r="O77" s="2">
        <v>1</v>
      </c>
      <c r="P77" s="2">
        <v>0</v>
      </c>
      <c r="Q77" s="2">
        <v>0</v>
      </c>
      <c r="R77" s="2">
        <v>0</v>
      </c>
      <c r="S77" s="2">
        <v>0</v>
      </c>
      <c r="T77" s="2">
        <v>0</v>
      </c>
      <c r="U77" s="2">
        <v>0</v>
      </c>
      <c r="V77" s="2">
        <v>0</v>
      </c>
      <c r="W77" s="14">
        <v>0</v>
      </c>
      <c r="X77" s="2">
        <v>0</v>
      </c>
      <c r="Y77" s="2">
        <v>0</v>
      </c>
      <c r="Z77" s="2">
        <v>0</v>
      </c>
      <c r="AA77" s="2">
        <v>0</v>
      </c>
      <c r="AB77" s="2">
        <v>0</v>
      </c>
      <c r="AC77" s="2">
        <v>0</v>
      </c>
      <c r="AD77" s="2">
        <v>0</v>
      </c>
      <c r="AE77" s="2">
        <v>0</v>
      </c>
      <c r="AF77" s="2">
        <v>0</v>
      </c>
      <c r="AG77" s="2">
        <v>0</v>
      </c>
      <c r="AH77" s="2">
        <v>0</v>
      </c>
      <c r="AI77" s="2">
        <v>0</v>
      </c>
      <c r="AJ77" s="2">
        <v>0</v>
      </c>
      <c r="AK77" s="2">
        <v>0</v>
      </c>
      <c r="AL77" s="2">
        <v>3</v>
      </c>
      <c r="AM77" s="2">
        <v>0</v>
      </c>
      <c r="AN77" s="2">
        <v>0</v>
      </c>
      <c r="AO77" s="2">
        <v>0</v>
      </c>
      <c r="AP77" s="2">
        <v>0</v>
      </c>
      <c r="AQ77" s="2">
        <v>0</v>
      </c>
      <c r="AR77" s="2">
        <v>0</v>
      </c>
      <c r="AS77" s="2">
        <v>0</v>
      </c>
      <c r="AT77" s="2">
        <v>0</v>
      </c>
      <c r="AU77" s="2">
        <v>2</v>
      </c>
      <c r="AV77" s="2">
        <v>0</v>
      </c>
      <c r="AW77" s="2">
        <v>0</v>
      </c>
      <c r="AX77" s="2">
        <v>0</v>
      </c>
      <c r="AY77" s="2">
        <v>0</v>
      </c>
      <c r="AZ77" s="2" t="s">
        <v>39</v>
      </c>
      <c r="BA77" s="14">
        <v>2000000</v>
      </c>
      <c r="BB77" s="14">
        <f>SUM(Table_ship_components[[#This Row],[PRICE]]+(Table_ship_components[[#This Row],[COST_PER_ADD_PERSON]]*Table_ship_components[[#This Row],[OPTIONAL]]))</f>
        <v>2000000</v>
      </c>
      <c r="BC77" s="2">
        <v>0</v>
      </c>
      <c r="BD77" s="2">
        <v>0</v>
      </c>
    </row>
    <row r="78" spans="1:56" x14ac:dyDescent="0.35">
      <c r="A78" t="s">
        <v>627</v>
      </c>
      <c r="B78" t="s">
        <v>612</v>
      </c>
      <c r="C78" s="2">
        <v>0</v>
      </c>
      <c r="D78" s="2">
        <v>5</v>
      </c>
      <c r="E78" s="2">
        <f>SUM(Table_ship_components[[#This Row],[UNIT_SIZE]]+(Table_ship_components[[#This Row],[SIZE_PER_ADD_PERSON]]*Table_ship_components[[#This Row],[OPTIONAL]]))</f>
        <v>5</v>
      </c>
      <c r="F78" s="2">
        <v>3</v>
      </c>
      <c r="G78" s="2">
        <f>SUM(Table_ship_components[[#This Row],[POWER_CONSUMPTION]]+(Table_ship_components[[#This Row],[POWER_PER_ADD_PERSON]]*Table_ship_components[[#This Row],[OPTIONAL]]))</f>
        <v>3</v>
      </c>
      <c r="H78" s="2">
        <v>0</v>
      </c>
      <c r="I78" s="2">
        <v>0</v>
      </c>
      <c r="J78" s="2">
        <v>0</v>
      </c>
      <c r="K78" s="2">
        <v>0</v>
      </c>
      <c r="L78" s="2">
        <v>0</v>
      </c>
      <c r="M78" s="2">
        <v>0</v>
      </c>
      <c r="N78" s="2">
        <v>0</v>
      </c>
      <c r="O78" s="2">
        <v>1</v>
      </c>
      <c r="P78" s="2">
        <v>0</v>
      </c>
      <c r="Q78" s="2">
        <v>0</v>
      </c>
      <c r="R78" s="2">
        <v>0</v>
      </c>
      <c r="S78" s="2">
        <v>0</v>
      </c>
      <c r="T78" s="2">
        <v>0</v>
      </c>
      <c r="U78" s="2">
        <v>0</v>
      </c>
      <c r="V78" s="2">
        <v>0</v>
      </c>
      <c r="W78" s="14">
        <v>0</v>
      </c>
      <c r="X78" s="2">
        <v>0</v>
      </c>
      <c r="Y78" s="2">
        <v>0</v>
      </c>
      <c r="Z78" s="2">
        <v>0</v>
      </c>
      <c r="AA78" s="2">
        <v>0</v>
      </c>
      <c r="AB78" s="2">
        <v>0</v>
      </c>
      <c r="AC78" s="2">
        <v>0</v>
      </c>
      <c r="AD78" s="2">
        <v>0</v>
      </c>
      <c r="AE78" s="2">
        <v>0</v>
      </c>
      <c r="AF78" s="2">
        <v>0</v>
      </c>
      <c r="AG78" s="2">
        <v>0</v>
      </c>
      <c r="AH78" s="2">
        <v>0</v>
      </c>
      <c r="AI78" s="2">
        <v>0</v>
      </c>
      <c r="AJ78" s="2">
        <v>0</v>
      </c>
      <c r="AK78" s="2">
        <v>0</v>
      </c>
      <c r="AL78" s="2">
        <v>0</v>
      </c>
      <c r="AM78" s="2">
        <v>0</v>
      </c>
      <c r="AN78" s="2">
        <v>0</v>
      </c>
      <c r="AO78" s="2">
        <v>0</v>
      </c>
      <c r="AP78" s="2">
        <v>0</v>
      </c>
      <c r="AQ78" s="2">
        <v>0</v>
      </c>
      <c r="AR78" s="2">
        <v>0</v>
      </c>
      <c r="AS78" s="2">
        <v>0</v>
      </c>
      <c r="AT78" s="2">
        <v>1</v>
      </c>
      <c r="AU78" s="2">
        <v>0</v>
      </c>
      <c r="AV78" s="2">
        <v>0</v>
      </c>
      <c r="AW78" s="2">
        <v>0</v>
      </c>
      <c r="AX78" s="2">
        <v>0</v>
      </c>
      <c r="AY78" s="2">
        <v>0</v>
      </c>
      <c r="AZ78" s="2" t="s">
        <v>39</v>
      </c>
      <c r="BA78" s="14">
        <v>140000</v>
      </c>
      <c r="BB78" s="14">
        <f>SUM(Table_ship_components[[#This Row],[PRICE]]+(Table_ship_components[[#This Row],[COST_PER_ADD_PERSON]]*Table_ship_components[[#This Row],[OPTIONAL]]))</f>
        <v>140000</v>
      </c>
      <c r="BC78" s="2">
        <v>0</v>
      </c>
      <c r="BD78" s="2">
        <v>0</v>
      </c>
    </row>
    <row r="79" spans="1:56" x14ac:dyDescent="0.35">
      <c r="A79" t="s">
        <v>628</v>
      </c>
      <c r="B79" t="s">
        <v>613</v>
      </c>
      <c r="C79" s="2">
        <v>0</v>
      </c>
      <c r="D79" s="2">
        <v>6</v>
      </c>
      <c r="E79" s="2">
        <f>SUM(Table_ship_components[[#This Row],[UNIT_SIZE]]+(Table_ship_components[[#This Row],[SIZE_PER_ADD_PERSON]]*Table_ship_components[[#This Row],[OPTIONAL]]))</f>
        <v>6</v>
      </c>
      <c r="F79" s="2">
        <v>4</v>
      </c>
      <c r="G79" s="2">
        <f>SUM(Table_ship_components[[#This Row],[POWER_CONSUMPTION]]+(Table_ship_components[[#This Row],[POWER_PER_ADD_PERSON]]*Table_ship_components[[#This Row],[OPTIONAL]]))</f>
        <v>4</v>
      </c>
      <c r="H79" s="2">
        <v>0</v>
      </c>
      <c r="I79" s="2">
        <v>0</v>
      </c>
      <c r="J79" s="2">
        <v>0</v>
      </c>
      <c r="K79" s="2">
        <v>0</v>
      </c>
      <c r="L79" s="2">
        <v>0</v>
      </c>
      <c r="M79" s="2">
        <v>0</v>
      </c>
      <c r="N79" s="2">
        <v>0</v>
      </c>
      <c r="O79" s="2">
        <v>1</v>
      </c>
      <c r="P79" s="2">
        <v>0</v>
      </c>
      <c r="Q79" s="2">
        <v>0</v>
      </c>
      <c r="R79" s="2">
        <v>0</v>
      </c>
      <c r="S79" s="2">
        <v>0</v>
      </c>
      <c r="T79" s="2">
        <v>0</v>
      </c>
      <c r="U79" s="2">
        <v>0</v>
      </c>
      <c r="V79" s="2">
        <v>0</v>
      </c>
      <c r="W79" s="14">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v>0</v>
      </c>
      <c r="AO79" s="2">
        <v>0</v>
      </c>
      <c r="AP79" s="2">
        <v>0</v>
      </c>
      <c r="AQ79" s="2">
        <v>0</v>
      </c>
      <c r="AR79" s="2">
        <v>0</v>
      </c>
      <c r="AS79" s="2">
        <v>0</v>
      </c>
      <c r="AT79" s="2">
        <v>2</v>
      </c>
      <c r="AU79" s="2">
        <v>0</v>
      </c>
      <c r="AV79" s="2">
        <v>0</v>
      </c>
      <c r="AW79" s="2">
        <v>0</v>
      </c>
      <c r="AX79" s="2">
        <v>0</v>
      </c>
      <c r="AY79" s="2">
        <v>0</v>
      </c>
      <c r="AZ79" s="2" t="s">
        <v>39</v>
      </c>
      <c r="BA79" s="14">
        <v>280000</v>
      </c>
      <c r="BB79" s="14">
        <f>SUM(Table_ship_components[[#This Row],[PRICE]]+(Table_ship_components[[#This Row],[COST_PER_ADD_PERSON]]*Table_ship_components[[#This Row],[OPTIONAL]]))</f>
        <v>280000</v>
      </c>
      <c r="BC79" s="2">
        <v>0</v>
      </c>
      <c r="BD79" s="2">
        <v>0</v>
      </c>
    </row>
    <row r="80" spans="1:56" x14ac:dyDescent="0.35">
      <c r="A80" t="s">
        <v>629</v>
      </c>
      <c r="B80" t="s">
        <v>614</v>
      </c>
      <c r="C80" s="2">
        <v>0</v>
      </c>
      <c r="D80" s="2">
        <v>7</v>
      </c>
      <c r="E80" s="2">
        <f>SUM(Table_ship_components[[#This Row],[UNIT_SIZE]]+(Table_ship_components[[#This Row],[SIZE_PER_ADD_PERSON]]*Table_ship_components[[#This Row],[OPTIONAL]]))</f>
        <v>7</v>
      </c>
      <c r="F80" s="2">
        <v>5</v>
      </c>
      <c r="G80" s="2">
        <f>SUM(Table_ship_components[[#This Row],[POWER_CONSUMPTION]]+(Table_ship_components[[#This Row],[POWER_PER_ADD_PERSON]]*Table_ship_components[[#This Row],[OPTIONAL]]))</f>
        <v>5</v>
      </c>
      <c r="H80" s="2">
        <v>0</v>
      </c>
      <c r="I80" s="2">
        <v>0</v>
      </c>
      <c r="J80" s="2">
        <v>0</v>
      </c>
      <c r="K80" s="2">
        <v>0</v>
      </c>
      <c r="L80" s="2">
        <v>0</v>
      </c>
      <c r="M80" s="2">
        <v>0</v>
      </c>
      <c r="N80" s="2">
        <v>0</v>
      </c>
      <c r="O80" s="2">
        <v>1</v>
      </c>
      <c r="P80" s="2">
        <v>0</v>
      </c>
      <c r="Q80" s="2">
        <v>0</v>
      </c>
      <c r="R80" s="2">
        <v>0</v>
      </c>
      <c r="S80" s="2">
        <v>0</v>
      </c>
      <c r="T80" s="2">
        <v>0</v>
      </c>
      <c r="U80" s="2">
        <v>0</v>
      </c>
      <c r="V80" s="2">
        <v>0</v>
      </c>
      <c r="W80" s="14">
        <v>0</v>
      </c>
      <c r="X80" s="2">
        <v>0</v>
      </c>
      <c r="Y80" s="2">
        <v>0</v>
      </c>
      <c r="Z80" s="2">
        <v>0</v>
      </c>
      <c r="AA80" s="2">
        <v>0</v>
      </c>
      <c r="AB80" s="2">
        <v>0</v>
      </c>
      <c r="AC80" s="2">
        <v>0</v>
      </c>
      <c r="AD80" s="2">
        <v>0</v>
      </c>
      <c r="AE80" s="2">
        <v>0</v>
      </c>
      <c r="AF80" s="2">
        <v>0</v>
      </c>
      <c r="AG80" s="2">
        <v>0</v>
      </c>
      <c r="AH80" s="2">
        <v>0</v>
      </c>
      <c r="AI80" s="2">
        <v>0</v>
      </c>
      <c r="AJ80" s="2">
        <v>0</v>
      </c>
      <c r="AK80" s="2">
        <v>0</v>
      </c>
      <c r="AL80" s="2">
        <v>0</v>
      </c>
      <c r="AM80" s="2">
        <v>0</v>
      </c>
      <c r="AN80" s="2">
        <v>0</v>
      </c>
      <c r="AO80" s="2">
        <v>0</v>
      </c>
      <c r="AP80" s="2">
        <v>0</v>
      </c>
      <c r="AQ80" s="2">
        <v>0</v>
      </c>
      <c r="AR80" s="2">
        <v>0</v>
      </c>
      <c r="AS80" s="2">
        <v>0</v>
      </c>
      <c r="AT80" s="2">
        <v>3</v>
      </c>
      <c r="AU80" s="2">
        <v>0</v>
      </c>
      <c r="AV80" s="2">
        <v>0</v>
      </c>
      <c r="AW80" s="2">
        <v>0</v>
      </c>
      <c r="AX80" s="2">
        <v>0</v>
      </c>
      <c r="AY80" s="2">
        <v>0</v>
      </c>
      <c r="AZ80" s="2" t="s">
        <v>39</v>
      </c>
      <c r="BA80" s="14">
        <v>560000</v>
      </c>
      <c r="BB80" s="14">
        <f>SUM(Table_ship_components[[#This Row],[PRICE]]+(Table_ship_components[[#This Row],[COST_PER_ADD_PERSON]]*Table_ship_components[[#This Row],[OPTIONAL]]))</f>
        <v>560000</v>
      </c>
      <c r="BC80" s="2">
        <v>0</v>
      </c>
      <c r="BD80" s="2">
        <v>0</v>
      </c>
    </row>
    <row r="81" spans="1:56" x14ac:dyDescent="0.35">
      <c r="A81" t="s">
        <v>666</v>
      </c>
      <c r="B81" t="s">
        <v>676</v>
      </c>
      <c r="C81" s="2">
        <v>0</v>
      </c>
      <c r="D81" s="2">
        <v>2</v>
      </c>
      <c r="E81" s="2">
        <f>SUM(Table_ship_components[[#This Row],[UNIT_SIZE]]+(Table_ship_components[[#This Row],[SIZE_PER_ADD_PERSON]]*Table_ship_components[[#This Row],[OPTIONAL]]))</f>
        <v>2</v>
      </c>
      <c r="F81" s="2">
        <v>3</v>
      </c>
      <c r="G81" s="2">
        <f>SUM(Table_ship_components[[#This Row],[POWER_CONSUMPTION]]+(Table_ship_components[[#This Row],[POWER_PER_ADD_PERSON]]*Table_ship_components[[#This Row],[OPTIONAL]]))</f>
        <v>3</v>
      </c>
      <c r="H81" s="2">
        <v>0</v>
      </c>
      <c r="I81" s="2">
        <v>0</v>
      </c>
      <c r="J81" s="2">
        <v>0</v>
      </c>
      <c r="K81" s="2">
        <v>0</v>
      </c>
      <c r="L81" s="2">
        <v>0</v>
      </c>
      <c r="M81" s="2">
        <v>1</v>
      </c>
      <c r="N81" s="2">
        <v>0</v>
      </c>
      <c r="O81" s="2">
        <v>0</v>
      </c>
      <c r="P81" s="2">
        <v>0</v>
      </c>
      <c r="Q81" s="2">
        <v>0</v>
      </c>
      <c r="R81" s="2">
        <v>0</v>
      </c>
      <c r="S81" s="2">
        <v>0</v>
      </c>
      <c r="T81" s="2">
        <v>0</v>
      </c>
      <c r="U81" s="2">
        <v>0</v>
      </c>
      <c r="V81" s="2">
        <v>0</v>
      </c>
      <c r="W81" s="14">
        <v>0</v>
      </c>
      <c r="X81" s="2">
        <v>0</v>
      </c>
      <c r="Y81" s="2">
        <v>0</v>
      </c>
      <c r="Z81" s="2">
        <v>0</v>
      </c>
      <c r="AA81" s="2">
        <v>0</v>
      </c>
      <c r="AB81" s="2">
        <v>0</v>
      </c>
      <c r="AC81" s="2">
        <v>0</v>
      </c>
      <c r="AD81" s="2">
        <v>0</v>
      </c>
      <c r="AE81" s="2">
        <v>0</v>
      </c>
      <c r="AF81" s="2">
        <v>0</v>
      </c>
      <c r="AG81" s="2">
        <v>0</v>
      </c>
      <c r="AH81" s="2">
        <v>0</v>
      </c>
      <c r="AI81" s="2">
        <v>0</v>
      </c>
      <c r="AJ81" s="2">
        <v>0</v>
      </c>
      <c r="AK81" s="2">
        <v>0</v>
      </c>
      <c r="AL81" s="2">
        <v>1</v>
      </c>
      <c r="AM81" s="2">
        <v>0</v>
      </c>
      <c r="AN81" s="2">
        <v>0</v>
      </c>
      <c r="AO81" s="2">
        <v>0</v>
      </c>
      <c r="AP81" s="2">
        <v>0</v>
      </c>
      <c r="AQ81" s="2">
        <v>0</v>
      </c>
      <c r="AR81" s="2">
        <v>2</v>
      </c>
      <c r="AS81" s="2">
        <v>0</v>
      </c>
      <c r="AT81" s="2">
        <v>0</v>
      </c>
      <c r="AU81" s="2">
        <v>0</v>
      </c>
      <c r="AV81" s="2">
        <v>0</v>
      </c>
      <c r="AW81" s="2">
        <v>0</v>
      </c>
      <c r="AX81" s="2">
        <v>0</v>
      </c>
      <c r="AY81" s="2">
        <v>0</v>
      </c>
      <c r="AZ81" s="2" t="s">
        <v>39</v>
      </c>
      <c r="BA81" s="14">
        <v>150000</v>
      </c>
      <c r="BB81" s="14">
        <f>SUM(Table_ship_components[[#This Row],[PRICE]]+(Table_ship_components[[#This Row],[COST_PER_ADD_PERSON]]*Table_ship_components[[#This Row],[OPTIONAL]]))</f>
        <v>150000</v>
      </c>
      <c r="BC81" s="2">
        <v>0</v>
      </c>
      <c r="BD81" s="2">
        <v>0</v>
      </c>
    </row>
    <row r="82" spans="1:56" x14ac:dyDescent="0.35">
      <c r="A82" t="s">
        <v>667</v>
      </c>
      <c r="B82" t="s">
        <v>677</v>
      </c>
      <c r="C82" s="2">
        <v>0</v>
      </c>
      <c r="D82" s="2">
        <v>4</v>
      </c>
      <c r="E82" s="2">
        <f>SUM(Table_ship_components[[#This Row],[UNIT_SIZE]]+(Table_ship_components[[#This Row],[SIZE_PER_ADD_PERSON]]*Table_ship_components[[#This Row],[OPTIONAL]]))</f>
        <v>4</v>
      </c>
      <c r="F82" s="2">
        <v>5</v>
      </c>
      <c r="G82" s="2">
        <f>SUM(Table_ship_components[[#This Row],[POWER_CONSUMPTION]]+(Table_ship_components[[#This Row],[POWER_PER_ADD_PERSON]]*Table_ship_components[[#This Row],[OPTIONAL]]))</f>
        <v>5</v>
      </c>
      <c r="H82" s="2">
        <v>0</v>
      </c>
      <c r="I82" s="2">
        <v>0</v>
      </c>
      <c r="J82" s="2">
        <v>0</v>
      </c>
      <c r="K82" s="2">
        <v>0</v>
      </c>
      <c r="L82" s="2">
        <v>0</v>
      </c>
      <c r="M82" s="2">
        <v>1</v>
      </c>
      <c r="N82" s="2">
        <v>0</v>
      </c>
      <c r="O82" s="2">
        <v>0</v>
      </c>
      <c r="P82" s="2">
        <v>0</v>
      </c>
      <c r="Q82" s="2">
        <v>0</v>
      </c>
      <c r="R82" s="2">
        <v>0</v>
      </c>
      <c r="S82" s="2">
        <v>0</v>
      </c>
      <c r="T82" s="2">
        <v>0</v>
      </c>
      <c r="U82" s="2">
        <v>0</v>
      </c>
      <c r="V82" s="2">
        <v>0</v>
      </c>
      <c r="W82" s="14">
        <v>0</v>
      </c>
      <c r="X82" s="2">
        <v>0</v>
      </c>
      <c r="Y82" s="2">
        <v>0</v>
      </c>
      <c r="Z82" s="2">
        <v>0</v>
      </c>
      <c r="AA82" s="2">
        <v>0</v>
      </c>
      <c r="AB82" s="2">
        <v>0</v>
      </c>
      <c r="AC82" s="2">
        <v>0</v>
      </c>
      <c r="AD82" s="2">
        <v>0</v>
      </c>
      <c r="AE82" s="2">
        <v>0</v>
      </c>
      <c r="AF82" s="2">
        <v>0</v>
      </c>
      <c r="AG82" s="2">
        <v>0</v>
      </c>
      <c r="AH82" s="2">
        <v>0</v>
      </c>
      <c r="AI82" s="2">
        <v>0</v>
      </c>
      <c r="AJ82" s="2">
        <v>0</v>
      </c>
      <c r="AK82" s="2">
        <v>0</v>
      </c>
      <c r="AL82" s="2">
        <v>2</v>
      </c>
      <c r="AM82" s="2">
        <v>0</v>
      </c>
      <c r="AN82" s="2">
        <v>0</v>
      </c>
      <c r="AO82" s="2">
        <v>0</v>
      </c>
      <c r="AP82" s="2">
        <v>0</v>
      </c>
      <c r="AQ82" s="2">
        <v>0</v>
      </c>
      <c r="AR82" s="2">
        <v>2</v>
      </c>
      <c r="AS82" s="2">
        <v>0</v>
      </c>
      <c r="AT82" s="2">
        <v>0</v>
      </c>
      <c r="AU82" s="2">
        <v>0</v>
      </c>
      <c r="AV82" s="2">
        <v>0</v>
      </c>
      <c r="AW82" s="2">
        <v>0</v>
      </c>
      <c r="AX82" s="2">
        <v>0</v>
      </c>
      <c r="AY82" s="2">
        <v>0</v>
      </c>
      <c r="AZ82" s="2" t="s">
        <v>39</v>
      </c>
      <c r="BA82" s="14">
        <v>300000</v>
      </c>
      <c r="BB82" s="14">
        <f>SUM(Table_ship_components[[#This Row],[PRICE]]+(Table_ship_components[[#This Row],[COST_PER_ADD_PERSON]]*Table_ship_components[[#This Row],[OPTIONAL]]))</f>
        <v>300000</v>
      </c>
      <c r="BC82" s="2">
        <v>0</v>
      </c>
      <c r="BD82" s="2">
        <v>0</v>
      </c>
    </row>
    <row r="83" spans="1:56" x14ac:dyDescent="0.35">
      <c r="A83" t="s">
        <v>668</v>
      </c>
      <c r="B83" t="s">
        <v>678</v>
      </c>
      <c r="C83" s="2">
        <v>0</v>
      </c>
      <c r="D83" s="2">
        <v>6</v>
      </c>
      <c r="E83" s="2">
        <f>SUM(Table_ship_components[[#This Row],[UNIT_SIZE]]+(Table_ship_components[[#This Row],[SIZE_PER_ADD_PERSON]]*Table_ship_components[[#This Row],[OPTIONAL]]))</f>
        <v>6</v>
      </c>
      <c r="F83" s="2">
        <v>7</v>
      </c>
      <c r="G83" s="2">
        <f>SUM(Table_ship_components[[#This Row],[POWER_CONSUMPTION]]+(Table_ship_components[[#This Row],[POWER_PER_ADD_PERSON]]*Table_ship_components[[#This Row],[OPTIONAL]]))</f>
        <v>7</v>
      </c>
      <c r="H83" s="2">
        <v>0</v>
      </c>
      <c r="I83" s="2">
        <v>0</v>
      </c>
      <c r="J83" s="2">
        <v>0</v>
      </c>
      <c r="K83" s="2">
        <v>0</v>
      </c>
      <c r="L83" s="2">
        <v>0</v>
      </c>
      <c r="M83" s="2">
        <v>1</v>
      </c>
      <c r="N83" s="2">
        <v>0</v>
      </c>
      <c r="O83" s="2">
        <v>0</v>
      </c>
      <c r="P83" s="2">
        <v>0</v>
      </c>
      <c r="Q83" s="2">
        <v>0</v>
      </c>
      <c r="R83" s="2">
        <v>0</v>
      </c>
      <c r="S83" s="2">
        <v>0</v>
      </c>
      <c r="T83" s="2">
        <v>0</v>
      </c>
      <c r="U83" s="2">
        <v>0</v>
      </c>
      <c r="V83" s="2">
        <v>0</v>
      </c>
      <c r="W83" s="14">
        <v>0</v>
      </c>
      <c r="X83" s="2">
        <v>0</v>
      </c>
      <c r="Y83" s="2">
        <v>0</v>
      </c>
      <c r="Z83" s="2">
        <v>0</v>
      </c>
      <c r="AA83" s="2">
        <v>0</v>
      </c>
      <c r="AB83" s="2">
        <v>0</v>
      </c>
      <c r="AC83" s="2">
        <v>0</v>
      </c>
      <c r="AD83" s="2">
        <v>0</v>
      </c>
      <c r="AE83" s="2">
        <v>0</v>
      </c>
      <c r="AF83" s="2">
        <v>0</v>
      </c>
      <c r="AG83" s="2">
        <v>0</v>
      </c>
      <c r="AH83" s="2">
        <v>0</v>
      </c>
      <c r="AI83" s="2">
        <v>0</v>
      </c>
      <c r="AJ83" s="2">
        <v>0</v>
      </c>
      <c r="AK83" s="2">
        <v>0</v>
      </c>
      <c r="AL83" s="2">
        <v>3</v>
      </c>
      <c r="AM83" s="2">
        <v>0</v>
      </c>
      <c r="AN83" s="2">
        <v>0</v>
      </c>
      <c r="AO83" s="2">
        <v>0</v>
      </c>
      <c r="AP83" s="2">
        <v>0</v>
      </c>
      <c r="AQ83" s="2">
        <v>0</v>
      </c>
      <c r="AR83" s="2">
        <v>2</v>
      </c>
      <c r="AS83" s="2">
        <v>0</v>
      </c>
      <c r="AT83" s="2">
        <v>0</v>
      </c>
      <c r="AU83" s="2">
        <v>0</v>
      </c>
      <c r="AV83" s="2">
        <v>0</v>
      </c>
      <c r="AW83" s="2">
        <v>0</v>
      </c>
      <c r="AX83" s="2">
        <v>0</v>
      </c>
      <c r="AY83" s="2">
        <v>0</v>
      </c>
      <c r="AZ83" s="2" t="s">
        <v>39</v>
      </c>
      <c r="BA83" s="14">
        <v>600000</v>
      </c>
      <c r="BB83" s="14">
        <f>SUM(Table_ship_components[[#This Row],[PRICE]]+(Table_ship_components[[#This Row],[COST_PER_ADD_PERSON]]*Table_ship_components[[#This Row],[OPTIONAL]]))</f>
        <v>600000</v>
      </c>
      <c r="BC83" s="2">
        <v>0</v>
      </c>
      <c r="BD83" s="2">
        <v>0</v>
      </c>
    </row>
    <row r="84" spans="1:56" x14ac:dyDescent="0.35">
      <c r="A84" t="s">
        <v>669</v>
      </c>
      <c r="B84" t="s">
        <v>679</v>
      </c>
      <c r="C84" s="2">
        <v>0</v>
      </c>
      <c r="D84" s="2">
        <v>3</v>
      </c>
      <c r="E84" s="2">
        <f>SUM(Table_ship_components[[#This Row],[UNIT_SIZE]]+(Table_ship_components[[#This Row],[SIZE_PER_ADD_PERSON]]*Table_ship_components[[#This Row],[OPTIONAL]]))</f>
        <v>3</v>
      </c>
      <c r="F84" s="2">
        <v>4</v>
      </c>
      <c r="G84" s="2">
        <f>SUM(Table_ship_components[[#This Row],[POWER_CONSUMPTION]]+(Table_ship_components[[#This Row],[POWER_PER_ADD_PERSON]]*Table_ship_components[[#This Row],[OPTIONAL]]))</f>
        <v>4</v>
      </c>
      <c r="H84" s="2">
        <v>0</v>
      </c>
      <c r="I84" s="2">
        <v>0</v>
      </c>
      <c r="J84" s="2">
        <v>0</v>
      </c>
      <c r="K84" s="2">
        <v>0</v>
      </c>
      <c r="L84" s="2">
        <v>0</v>
      </c>
      <c r="M84" s="2">
        <v>0</v>
      </c>
      <c r="N84" s="2">
        <v>1</v>
      </c>
      <c r="O84" s="2">
        <v>0</v>
      </c>
      <c r="P84" s="2">
        <v>0</v>
      </c>
      <c r="Q84" s="2">
        <v>0</v>
      </c>
      <c r="R84" s="2">
        <v>0</v>
      </c>
      <c r="S84" s="2">
        <v>0</v>
      </c>
      <c r="T84" s="2">
        <v>0</v>
      </c>
      <c r="U84" s="2">
        <v>0</v>
      </c>
      <c r="V84" s="2">
        <v>0</v>
      </c>
      <c r="W84" s="14">
        <v>0</v>
      </c>
      <c r="X84" s="2">
        <v>0</v>
      </c>
      <c r="Y84" s="2">
        <v>0</v>
      </c>
      <c r="Z84" s="2">
        <v>0</v>
      </c>
      <c r="AA84" s="2">
        <v>0</v>
      </c>
      <c r="AB84" s="2">
        <v>0</v>
      </c>
      <c r="AC84" s="2">
        <v>0</v>
      </c>
      <c r="AD84" s="2">
        <v>0</v>
      </c>
      <c r="AE84" s="2">
        <v>0</v>
      </c>
      <c r="AF84" s="2">
        <v>0</v>
      </c>
      <c r="AG84" s="2">
        <v>0</v>
      </c>
      <c r="AH84" s="2">
        <v>0</v>
      </c>
      <c r="AI84" s="2">
        <v>0</v>
      </c>
      <c r="AJ84" s="2">
        <v>0</v>
      </c>
      <c r="AK84" s="2">
        <v>0</v>
      </c>
      <c r="AL84" s="2">
        <v>1</v>
      </c>
      <c r="AM84" s="2">
        <v>0</v>
      </c>
      <c r="AN84" s="2">
        <v>0</v>
      </c>
      <c r="AO84" s="2">
        <v>0</v>
      </c>
      <c r="AP84" s="2">
        <v>0</v>
      </c>
      <c r="AQ84" s="2">
        <v>0</v>
      </c>
      <c r="AR84" s="2">
        <v>2</v>
      </c>
      <c r="AS84" s="2">
        <v>0</v>
      </c>
      <c r="AT84" s="2">
        <v>0</v>
      </c>
      <c r="AU84" s="2">
        <v>0</v>
      </c>
      <c r="AV84" s="2">
        <v>0</v>
      </c>
      <c r="AW84" s="2">
        <v>0</v>
      </c>
      <c r="AX84" s="2">
        <v>0</v>
      </c>
      <c r="AY84" s="2">
        <v>0</v>
      </c>
      <c r="AZ84" s="2" t="s">
        <v>39</v>
      </c>
      <c r="BA84" s="14">
        <v>200000</v>
      </c>
      <c r="BB84" s="14">
        <f>SUM(Table_ship_components[[#This Row],[PRICE]]+(Table_ship_components[[#This Row],[COST_PER_ADD_PERSON]]*Table_ship_components[[#This Row],[OPTIONAL]]))</f>
        <v>200000</v>
      </c>
      <c r="BC84" s="2">
        <v>0</v>
      </c>
      <c r="BD84" s="2">
        <v>0</v>
      </c>
    </row>
    <row r="85" spans="1:56" x14ac:dyDescent="0.35">
      <c r="A85" t="s">
        <v>670</v>
      </c>
      <c r="B85" t="s">
        <v>680</v>
      </c>
      <c r="C85" s="2">
        <v>0</v>
      </c>
      <c r="D85" s="2">
        <v>5</v>
      </c>
      <c r="E85" s="2">
        <f>SUM(Table_ship_components[[#This Row],[UNIT_SIZE]]+(Table_ship_components[[#This Row],[SIZE_PER_ADD_PERSON]]*Table_ship_components[[#This Row],[OPTIONAL]]))</f>
        <v>5</v>
      </c>
      <c r="F85" s="2">
        <v>6</v>
      </c>
      <c r="G85" s="2">
        <f>SUM(Table_ship_components[[#This Row],[POWER_CONSUMPTION]]+(Table_ship_components[[#This Row],[POWER_PER_ADD_PERSON]]*Table_ship_components[[#This Row],[OPTIONAL]]))</f>
        <v>6</v>
      </c>
      <c r="H85" s="2">
        <v>0</v>
      </c>
      <c r="I85" s="2">
        <v>0</v>
      </c>
      <c r="J85" s="2">
        <v>0</v>
      </c>
      <c r="K85" s="2">
        <v>0</v>
      </c>
      <c r="L85" s="2">
        <v>0</v>
      </c>
      <c r="M85" s="2">
        <v>0</v>
      </c>
      <c r="N85" s="2">
        <v>1</v>
      </c>
      <c r="O85" s="2">
        <v>0</v>
      </c>
      <c r="P85" s="2">
        <v>0</v>
      </c>
      <c r="Q85" s="2">
        <v>0</v>
      </c>
      <c r="R85" s="2">
        <v>0</v>
      </c>
      <c r="S85" s="2">
        <v>0</v>
      </c>
      <c r="T85" s="2">
        <v>0</v>
      </c>
      <c r="U85" s="2">
        <v>0</v>
      </c>
      <c r="V85" s="2">
        <v>0</v>
      </c>
      <c r="W85" s="14">
        <v>0</v>
      </c>
      <c r="X85" s="2">
        <v>0</v>
      </c>
      <c r="Y85" s="2">
        <v>0</v>
      </c>
      <c r="Z85" s="2">
        <v>0</v>
      </c>
      <c r="AA85" s="2">
        <v>0</v>
      </c>
      <c r="AB85" s="2">
        <v>0</v>
      </c>
      <c r="AC85" s="2">
        <v>0</v>
      </c>
      <c r="AD85" s="2">
        <v>0</v>
      </c>
      <c r="AE85" s="2">
        <v>0</v>
      </c>
      <c r="AF85" s="2">
        <v>0</v>
      </c>
      <c r="AG85" s="2">
        <v>0</v>
      </c>
      <c r="AH85" s="2">
        <v>0</v>
      </c>
      <c r="AI85" s="2">
        <v>0</v>
      </c>
      <c r="AJ85" s="2">
        <v>0</v>
      </c>
      <c r="AK85" s="2">
        <v>0</v>
      </c>
      <c r="AL85" s="2">
        <v>2</v>
      </c>
      <c r="AM85" s="2">
        <v>0</v>
      </c>
      <c r="AN85" s="2">
        <v>0</v>
      </c>
      <c r="AO85" s="2">
        <v>0</v>
      </c>
      <c r="AP85" s="2">
        <v>0</v>
      </c>
      <c r="AQ85" s="2">
        <v>0</v>
      </c>
      <c r="AR85" s="2">
        <v>2</v>
      </c>
      <c r="AS85" s="2">
        <v>0</v>
      </c>
      <c r="AT85" s="2">
        <v>0</v>
      </c>
      <c r="AU85" s="2">
        <v>0</v>
      </c>
      <c r="AV85" s="2">
        <v>0</v>
      </c>
      <c r="AW85" s="2">
        <v>0</v>
      </c>
      <c r="AX85" s="2">
        <v>0</v>
      </c>
      <c r="AY85" s="2">
        <v>0</v>
      </c>
      <c r="AZ85" s="2" t="s">
        <v>39</v>
      </c>
      <c r="BA85" s="14">
        <v>400000</v>
      </c>
      <c r="BB85" s="14">
        <f>SUM(Table_ship_components[[#This Row],[PRICE]]+(Table_ship_components[[#This Row],[COST_PER_ADD_PERSON]]*Table_ship_components[[#This Row],[OPTIONAL]]))</f>
        <v>400000</v>
      </c>
      <c r="BC85" s="2">
        <v>0</v>
      </c>
      <c r="BD85" s="2">
        <v>0</v>
      </c>
    </row>
    <row r="86" spans="1:56" x14ac:dyDescent="0.35">
      <c r="A86" t="s">
        <v>671</v>
      </c>
      <c r="B86" t="s">
        <v>681</v>
      </c>
      <c r="C86" s="2">
        <v>0</v>
      </c>
      <c r="D86" s="2">
        <v>7</v>
      </c>
      <c r="E86" s="2">
        <f>SUM(Table_ship_components[[#This Row],[UNIT_SIZE]]+(Table_ship_components[[#This Row],[SIZE_PER_ADD_PERSON]]*Table_ship_components[[#This Row],[OPTIONAL]]))</f>
        <v>7</v>
      </c>
      <c r="F86" s="2">
        <v>8</v>
      </c>
      <c r="G86" s="2">
        <f>SUM(Table_ship_components[[#This Row],[POWER_CONSUMPTION]]+(Table_ship_components[[#This Row],[POWER_PER_ADD_PERSON]]*Table_ship_components[[#This Row],[OPTIONAL]]))</f>
        <v>8</v>
      </c>
      <c r="H86" s="2">
        <v>0</v>
      </c>
      <c r="I86" s="2">
        <v>0</v>
      </c>
      <c r="J86" s="2">
        <v>0</v>
      </c>
      <c r="K86" s="2">
        <v>0</v>
      </c>
      <c r="L86" s="2">
        <v>0</v>
      </c>
      <c r="M86" s="2">
        <v>0</v>
      </c>
      <c r="N86" s="2">
        <v>1</v>
      </c>
      <c r="O86" s="2">
        <v>0</v>
      </c>
      <c r="P86" s="2">
        <v>0</v>
      </c>
      <c r="Q86" s="2">
        <v>0</v>
      </c>
      <c r="R86" s="2">
        <v>0</v>
      </c>
      <c r="S86" s="2">
        <v>0</v>
      </c>
      <c r="T86" s="2">
        <v>0</v>
      </c>
      <c r="U86" s="2">
        <v>0</v>
      </c>
      <c r="V86" s="2">
        <v>0</v>
      </c>
      <c r="W86" s="14">
        <v>0</v>
      </c>
      <c r="X86" s="2">
        <v>0</v>
      </c>
      <c r="Y86" s="2">
        <v>0</v>
      </c>
      <c r="Z86" s="2">
        <v>0</v>
      </c>
      <c r="AA86" s="2">
        <v>0</v>
      </c>
      <c r="AB86" s="2">
        <v>0</v>
      </c>
      <c r="AC86" s="2">
        <v>0</v>
      </c>
      <c r="AD86" s="2">
        <v>0</v>
      </c>
      <c r="AE86" s="2">
        <v>0</v>
      </c>
      <c r="AF86" s="2">
        <v>0</v>
      </c>
      <c r="AG86" s="2">
        <v>0</v>
      </c>
      <c r="AH86" s="2">
        <v>0</v>
      </c>
      <c r="AI86" s="2">
        <v>0</v>
      </c>
      <c r="AJ86" s="2">
        <v>0</v>
      </c>
      <c r="AK86" s="2">
        <v>0</v>
      </c>
      <c r="AL86" s="2">
        <v>3</v>
      </c>
      <c r="AM86" s="2">
        <v>0</v>
      </c>
      <c r="AN86" s="2">
        <v>0</v>
      </c>
      <c r="AO86" s="2">
        <v>0</v>
      </c>
      <c r="AP86" s="2">
        <v>0</v>
      </c>
      <c r="AQ86" s="2">
        <v>0</v>
      </c>
      <c r="AR86" s="2">
        <v>2</v>
      </c>
      <c r="AS86" s="2">
        <v>0</v>
      </c>
      <c r="AT86" s="2">
        <v>0</v>
      </c>
      <c r="AU86" s="2">
        <v>0</v>
      </c>
      <c r="AV86" s="2">
        <v>0</v>
      </c>
      <c r="AW86" s="2">
        <v>0</v>
      </c>
      <c r="AX86" s="2">
        <v>0</v>
      </c>
      <c r="AY86" s="2">
        <v>0</v>
      </c>
      <c r="AZ86" s="2" t="s">
        <v>39</v>
      </c>
      <c r="BA86" s="14">
        <v>800000</v>
      </c>
      <c r="BB86" s="14">
        <f>SUM(Table_ship_components[[#This Row],[PRICE]]+(Table_ship_components[[#This Row],[COST_PER_ADD_PERSON]]*Table_ship_components[[#This Row],[OPTIONAL]]))</f>
        <v>800000</v>
      </c>
      <c r="BC86" s="2">
        <v>0</v>
      </c>
      <c r="BD86" s="2">
        <v>0</v>
      </c>
    </row>
    <row r="87" spans="1:56" x14ac:dyDescent="0.35">
      <c r="A87" t="s">
        <v>672</v>
      </c>
      <c r="B87" t="s">
        <v>682</v>
      </c>
      <c r="C87" s="2">
        <v>0</v>
      </c>
      <c r="D87" s="2">
        <v>9</v>
      </c>
      <c r="E87" s="2">
        <f>SUM(Table_ship_components[[#This Row],[UNIT_SIZE]]+(Table_ship_components[[#This Row],[SIZE_PER_ADD_PERSON]]*Table_ship_components[[#This Row],[OPTIONAL]]))</f>
        <v>9</v>
      </c>
      <c r="F87" s="2">
        <v>10</v>
      </c>
      <c r="G87" s="2">
        <f>SUM(Table_ship_components[[#This Row],[POWER_CONSUMPTION]]+(Table_ship_components[[#This Row],[POWER_PER_ADD_PERSON]]*Table_ship_components[[#This Row],[OPTIONAL]]))</f>
        <v>10</v>
      </c>
      <c r="H87" s="2">
        <v>0</v>
      </c>
      <c r="I87" s="2">
        <v>0</v>
      </c>
      <c r="J87" s="2">
        <v>0</v>
      </c>
      <c r="K87" s="2">
        <v>0</v>
      </c>
      <c r="L87" s="2">
        <v>0</v>
      </c>
      <c r="M87" s="2">
        <v>0</v>
      </c>
      <c r="N87" s="2">
        <v>0</v>
      </c>
      <c r="O87" s="2">
        <v>1</v>
      </c>
      <c r="P87" s="2">
        <v>0</v>
      </c>
      <c r="Q87" s="2">
        <v>0</v>
      </c>
      <c r="R87" s="2">
        <v>0</v>
      </c>
      <c r="S87" s="2">
        <v>0</v>
      </c>
      <c r="T87" s="2">
        <v>0</v>
      </c>
      <c r="U87" s="2">
        <v>0</v>
      </c>
      <c r="V87" s="2">
        <v>0</v>
      </c>
      <c r="W87" s="14">
        <v>0</v>
      </c>
      <c r="X87" s="2">
        <v>0</v>
      </c>
      <c r="Y87" s="2">
        <v>0</v>
      </c>
      <c r="Z87" s="2">
        <v>0</v>
      </c>
      <c r="AA87" s="2">
        <v>0</v>
      </c>
      <c r="AB87" s="2">
        <v>0</v>
      </c>
      <c r="AC87" s="2">
        <v>0</v>
      </c>
      <c r="AD87" s="2">
        <v>0</v>
      </c>
      <c r="AE87" s="2">
        <v>0</v>
      </c>
      <c r="AF87" s="2">
        <v>0</v>
      </c>
      <c r="AG87" s="2">
        <v>0</v>
      </c>
      <c r="AH87" s="2">
        <v>0</v>
      </c>
      <c r="AI87" s="2">
        <v>0</v>
      </c>
      <c r="AJ87" s="2">
        <v>0</v>
      </c>
      <c r="AK87" s="2">
        <v>0</v>
      </c>
      <c r="AL87" s="2">
        <v>1</v>
      </c>
      <c r="AM87" s="2">
        <v>0</v>
      </c>
      <c r="AN87" s="2">
        <v>0</v>
      </c>
      <c r="AO87" s="2">
        <v>0</v>
      </c>
      <c r="AP87" s="2">
        <v>0</v>
      </c>
      <c r="AQ87" s="2">
        <v>0</v>
      </c>
      <c r="AR87" s="2">
        <v>2</v>
      </c>
      <c r="AS87" s="2">
        <v>0</v>
      </c>
      <c r="AT87" s="2">
        <v>0</v>
      </c>
      <c r="AU87" s="2">
        <v>0</v>
      </c>
      <c r="AV87" s="2">
        <v>0</v>
      </c>
      <c r="AW87" s="2">
        <v>0</v>
      </c>
      <c r="AX87" s="2">
        <v>0</v>
      </c>
      <c r="AY87" s="2">
        <v>0</v>
      </c>
      <c r="AZ87" s="2" t="s">
        <v>39</v>
      </c>
      <c r="BA87" s="14">
        <v>500000</v>
      </c>
      <c r="BB87" s="14">
        <f>SUM(Table_ship_components[[#This Row],[PRICE]]+(Table_ship_components[[#This Row],[COST_PER_ADD_PERSON]]*Table_ship_components[[#This Row],[OPTIONAL]]))</f>
        <v>500000</v>
      </c>
      <c r="BC87" s="2">
        <v>0</v>
      </c>
      <c r="BD87" s="2">
        <v>0</v>
      </c>
    </row>
    <row r="88" spans="1:56" x14ac:dyDescent="0.35">
      <c r="A88" t="s">
        <v>673</v>
      </c>
      <c r="B88" t="s">
        <v>683</v>
      </c>
      <c r="C88" s="2">
        <v>0</v>
      </c>
      <c r="D88" s="2">
        <v>11</v>
      </c>
      <c r="E88" s="2">
        <f>SUM(Table_ship_components[[#This Row],[UNIT_SIZE]]+(Table_ship_components[[#This Row],[SIZE_PER_ADD_PERSON]]*Table_ship_components[[#This Row],[OPTIONAL]]))</f>
        <v>11</v>
      </c>
      <c r="F88" s="2">
        <v>12</v>
      </c>
      <c r="G88" s="2">
        <f>SUM(Table_ship_components[[#This Row],[POWER_CONSUMPTION]]+(Table_ship_components[[#This Row],[POWER_PER_ADD_PERSON]]*Table_ship_components[[#This Row],[OPTIONAL]]))</f>
        <v>12</v>
      </c>
      <c r="H88" s="2">
        <v>0</v>
      </c>
      <c r="I88" s="2">
        <v>0</v>
      </c>
      <c r="J88" s="2">
        <v>0</v>
      </c>
      <c r="K88" s="2">
        <v>0</v>
      </c>
      <c r="L88" s="2">
        <v>0</v>
      </c>
      <c r="M88" s="2">
        <v>0</v>
      </c>
      <c r="N88" s="2">
        <v>0</v>
      </c>
      <c r="O88" s="2">
        <v>1</v>
      </c>
      <c r="P88" s="2">
        <v>0</v>
      </c>
      <c r="Q88" s="2">
        <v>0</v>
      </c>
      <c r="R88" s="2">
        <v>0</v>
      </c>
      <c r="S88" s="2">
        <v>0</v>
      </c>
      <c r="T88" s="2">
        <v>0</v>
      </c>
      <c r="U88" s="2">
        <v>0</v>
      </c>
      <c r="V88" s="2">
        <v>0</v>
      </c>
      <c r="W88" s="14">
        <v>0</v>
      </c>
      <c r="X88" s="2">
        <v>0</v>
      </c>
      <c r="Y88" s="2">
        <v>0</v>
      </c>
      <c r="Z88" s="2">
        <v>0</v>
      </c>
      <c r="AA88" s="2">
        <v>0</v>
      </c>
      <c r="AB88" s="2">
        <v>0</v>
      </c>
      <c r="AC88" s="2">
        <v>0</v>
      </c>
      <c r="AD88" s="2">
        <v>0</v>
      </c>
      <c r="AE88" s="2">
        <v>0</v>
      </c>
      <c r="AF88" s="2">
        <v>0</v>
      </c>
      <c r="AG88" s="2">
        <v>0</v>
      </c>
      <c r="AH88" s="2">
        <v>0</v>
      </c>
      <c r="AI88" s="2">
        <v>0</v>
      </c>
      <c r="AJ88" s="2">
        <v>0</v>
      </c>
      <c r="AK88" s="2">
        <v>0</v>
      </c>
      <c r="AL88" s="2">
        <v>2</v>
      </c>
      <c r="AM88" s="2">
        <v>0</v>
      </c>
      <c r="AN88" s="2">
        <v>0</v>
      </c>
      <c r="AO88" s="2">
        <v>0</v>
      </c>
      <c r="AP88" s="2">
        <v>0</v>
      </c>
      <c r="AQ88" s="2">
        <v>0</v>
      </c>
      <c r="AR88" s="2">
        <v>2</v>
      </c>
      <c r="AS88" s="2">
        <v>0</v>
      </c>
      <c r="AT88" s="2">
        <v>0</v>
      </c>
      <c r="AU88" s="2">
        <v>0</v>
      </c>
      <c r="AV88" s="2">
        <v>0</v>
      </c>
      <c r="AW88" s="2">
        <v>0</v>
      </c>
      <c r="AX88" s="2">
        <v>0</v>
      </c>
      <c r="AY88" s="2">
        <v>0</v>
      </c>
      <c r="AZ88" s="2" t="s">
        <v>39</v>
      </c>
      <c r="BA88" s="14">
        <v>1000000</v>
      </c>
      <c r="BB88" s="14">
        <f>SUM(Table_ship_components[[#This Row],[PRICE]]+(Table_ship_components[[#This Row],[COST_PER_ADD_PERSON]]*Table_ship_components[[#This Row],[OPTIONAL]]))</f>
        <v>1000000</v>
      </c>
      <c r="BC88" s="2">
        <v>0</v>
      </c>
      <c r="BD88" s="2">
        <v>0</v>
      </c>
    </row>
    <row r="89" spans="1:56" x14ac:dyDescent="0.35">
      <c r="A89" t="s">
        <v>674</v>
      </c>
      <c r="B89" t="s">
        <v>675</v>
      </c>
      <c r="C89" s="2">
        <v>0</v>
      </c>
      <c r="D89" s="2">
        <v>13</v>
      </c>
      <c r="E89" s="2">
        <f>SUM(Table_ship_components[[#This Row],[UNIT_SIZE]]+(Table_ship_components[[#This Row],[SIZE_PER_ADD_PERSON]]*Table_ship_components[[#This Row],[OPTIONAL]]))</f>
        <v>13</v>
      </c>
      <c r="F89" s="2">
        <v>14</v>
      </c>
      <c r="G89" s="2">
        <f>SUM(Table_ship_components[[#This Row],[POWER_CONSUMPTION]]+(Table_ship_components[[#This Row],[POWER_PER_ADD_PERSON]]*Table_ship_components[[#This Row],[OPTIONAL]]))</f>
        <v>14</v>
      </c>
      <c r="H89" s="2">
        <v>0</v>
      </c>
      <c r="I89" s="2">
        <v>0</v>
      </c>
      <c r="J89" s="2">
        <v>0</v>
      </c>
      <c r="K89" s="2">
        <v>0</v>
      </c>
      <c r="L89" s="2">
        <v>0</v>
      </c>
      <c r="M89" s="2">
        <v>0</v>
      </c>
      <c r="N89" s="2">
        <v>0</v>
      </c>
      <c r="O89" s="2">
        <v>1</v>
      </c>
      <c r="P89" s="2">
        <v>0</v>
      </c>
      <c r="Q89" s="2">
        <v>0</v>
      </c>
      <c r="R89" s="2">
        <v>0</v>
      </c>
      <c r="S89" s="2">
        <v>0</v>
      </c>
      <c r="T89" s="2">
        <v>0</v>
      </c>
      <c r="U89" s="2">
        <v>0</v>
      </c>
      <c r="V89" s="2">
        <v>0</v>
      </c>
      <c r="W89" s="14">
        <v>0</v>
      </c>
      <c r="X89" s="2">
        <v>0</v>
      </c>
      <c r="Y89" s="2">
        <v>0</v>
      </c>
      <c r="Z89" s="2">
        <v>0</v>
      </c>
      <c r="AA89" s="2">
        <v>0</v>
      </c>
      <c r="AB89" s="2">
        <v>0</v>
      </c>
      <c r="AC89" s="2">
        <v>0</v>
      </c>
      <c r="AD89" s="2">
        <v>0</v>
      </c>
      <c r="AE89" s="2">
        <v>0</v>
      </c>
      <c r="AF89" s="2">
        <v>0</v>
      </c>
      <c r="AG89" s="2">
        <v>0</v>
      </c>
      <c r="AH89" s="2">
        <v>0</v>
      </c>
      <c r="AI89" s="2">
        <v>0</v>
      </c>
      <c r="AJ89" s="2">
        <v>0</v>
      </c>
      <c r="AK89" s="2">
        <v>0</v>
      </c>
      <c r="AL89" s="2">
        <v>3</v>
      </c>
      <c r="AM89" s="2">
        <v>0</v>
      </c>
      <c r="AN89" s="2">
        <v>0</v>
      </c>
      <c r="AO89" s="2">
        <v>0</v>
      </c>
      <c r="AP89" s="2">
        <v>0</v>
      </c>
      <c r="AQ89" s="2">
        <v>0</v>
      </c>
      <c r="AR89" s="2">
        <v>2</v>
      </c>
      <c r="AS89" s="2">
        <v>0</v>
      </c>
      <c r="AT89" s="2">
        <v>0</v>
      </c>
      <c r="AU89" s="2">
        <v>0</v>
      </c>
      <c r="AV89" s="2">
        <v>0</v>
      </c>
      <c r="AW89" s="2">
        <v>0</v>
      </c>
      <c r="AX89" s="2">
        <v>0</v>
      </c>
      <c r="AY89" s="2">
        <v>0</v>
      </c>
      <c r="AZ89" s="2" t="s">
        <v>39</v>
      </c>
      <c r="BA89" s="14">
        <v>2000000</v>
      </c>
      <c r="BB89" s="14">
        <f>SUM(Table_ship_components[[#This Row],[PRICE]]+(Table_ship_components[[#This Row],[COST_PER_ADD_PERSON]]*Table_ship_components[[#This Row],[OPTIONAL]]))</f>
        <v>2000000</v>
      </c>
      <c r="BC89" s="2">
        <v>0</v>
      </c>
      <c r="BD89" s="2">
        <v>0</v>
      </c>
    </row>
    <row r="90" spans="1:56" x14ac:dyDescent="0.35">
      <c r="A90" t="s">
        <v>413</v>
      </c>
      <c r="B90" t="s">
        <v>417</v>
      </c>
      <c r="C90" s="2">
        <v>0</v>
      </c>
      <c r="D90" s="2">
        <v>0</v>
      </c>
      <c r="E90" s="2">
        <f>SUM(Table_ship_components[[#This Row],[UNIT_SIZE]]+(Table_ship_components[[#This Row],[SIZE_PER_ADD_PERSON]]*Table_ship_components[[#This Row],[OPTIONAL]]))</f>
        <v>0</v>
      </c>
      <c r="F90" s="2">
        <v>0</v>
      </c>
      <c r="G90" s="2">
        <f>SUM(Table_ship_components[[#This Row],[POWER_CONSUMPTION]]+(Table_ship_components[[#This Row],[POWER_PER_ADD_PERSON]]*Table_ship_components[[#This Row],[OPTIONAL]]))</f>
        <v>0</v>
      </c>
      <c r="H90" s="2">
        <v>0</v>
      </c>
      <c r="I90" s="2">
        <v>0</v>
      </c>
      <c r="J90" s="2">
        <v>0</v>
      </c>
      <c r="K90" s="2">
        <v>0</v>
      </c>
      <c r="L90" s="2">
        <v>0</v>
      </c>
      <c r="M90" s="2">
        <v>0</v>
      </c>
      <c r="N90" s="2">
        <v>0</v>
      </c>
      <c r="O90" s="2">
        <v>1</v>
      </c>
      <c r="P90" s="2">
        <v>1</v>
      </c>
      <c r="Q90" s="2">
        <v>1</v>
      </c>
      <c r="R90" s="2">
        <v>1</v>
      </c>
      <c r="S90" s="2">
        <v>1</v>
      </c>
      <c r="T90" s="2">
        <v>1</v>
      </c>
      <c r="U90" s="2">
        <v>1</v>
      </c>
      <c r="V90" s="2">
        <v>3</v>
      </c>
      <c r="W90" s="14">
        <v>40000</v>
      </c>
      <c r="X90" s="2">
        <v>1</v>
      </c>
      <c r="Y90" s="2">
        <v>0</v>
      </c>
      <c r="Z90" s="2">
        <v>0</v>
      </c>
      <c r="AA90" s="2">
        <v>0</v>
      </c>
      <c r="AB90" s="2">
        <v>0</v>
      </c>
      <c r="AC90" s="2">
        <v>0</v>
      </c>
      <c r="AD90" s="2">
        <v>0</v>
      </c>
      <c r="AE90" s="2">
        <v>0</v>
      </c>
      <c r="AF90" s="2">
        <v>0</v>
      </c>
      <c r="AG90" s="2">
        <v>0</v>
      </c>
      <c r="AH90" s="2">
        <v>0</v>
      </c>
      <c r="AI90" s="2">
        <v>0</v>
      </c>
      <c r="AJ90" s="2">
        <v>0</v>
      </c>
      <c r="AK90" s="2">
        <v>0</v>
      </c>
      <c r="AL90" s="2">
        <v>0</v>
      </c>
      <c r="AM90" s="2">
        <v>0</v>
      </c>
      <c r="AN90" s="2">
        <v>0</v>
      </c>
      <c r="AO90" s="2">
        <v>0</v>
      </c>
      <c r="AP90" s="2">
        <v>0</v>
      </c>
      <c r="AQ90" s="2">
        <v>0</v>
      </c>
      <c r="AR90" s="2">
        <v>0</v>
      </c>
      <c r="AS90" s="2">
        <v>0</v>
      </c>
      <c r="AT90" s="2">
        <v>0</v>
      </c>
      <c r="AU90" s="2">
        <v>0</v>
      </c>
      <c r="AV90" s="2">
        <v>0</v>
      </c>
      <c r="AW90" s="2">
        <v>0</v>
      </c>
      <c r="AX90" s="2">
        <v>0</v>
      </c>
      <c r="AY90" s="2">
        <v>0</v>
      </c>
      <c r="AZ90" s="2" t="s">
        <v>39</v>
      </c>
      <c r="BA90" s="14">
        <v>70000</v>
      </c>
      <c r="BB90" s="14">
        <f>SUM(Table_ship_components[[#This Row],[PRICE]]+(Table_ship_components[[#This Row],[COST_PER_ADD_PERSON]]*Table_ship_components[[#This Row],[OPTIONAL]]))</f>
        <v>70000</v>
      </c>
      <c r="BC90" s="2">
        <v>0</v>
      </c>
      <c r="BD90" s="2">
        <v>0</v>
      </c>
    </row>
    <row r="91" spans="1:56" x14ac:dyDescent="0.35">
      <c r="A91" t="s">
        <v>354</v>
      </c>
      <c r="B91" t="s">
        <v>256</v>
      </c>
      <c r="C91" s="2">
        <v>0</v>
      </c>
      <c r="D91" s="2">
        <v>10</v>
      </c>
      <c r="E91" s="2">
        <f>SUM(Table_ship_components[[#This Row],[UNIT_SIZE]]+(Table_ship_components[[#This Row],[SIZE_PER_ADD_PERSON]]*Table_ship_components[[#This Row],[OPTIONAL]]))</f>
        <v>10</v>
      </c>
      <c r="F91" s="2">
        <v>0</v>
      </c>
      <c r="G91" s="2">
        <f>SUM(Table_ship_components[[#This Row],[POWER_CONSUMPTION]]+(Table_ship_components[[#This Row],[POWER_PER_ADD_PERSON]]*Table_ship_components[[#This Row],[OPTIONAL]]))</f>
        <v>0</v>
      </c>
      <c r="H91" s="2">
        <v>0</v>
      </c>
      <c r="I91" s="2">
        <v>0</v>
      </c>
      <c r="J91" s="2">
        <v>0</v>
      </c>
      <c r="K91" s="2">
        <v>0</v>
      </c>
      <c r="L91" s="2">
        <v>0</v>
      </c>
      <c r="M91" s="2">
        <v>0</v>
      </c>
      <c r="N91" s="2">
        <v>0</v>
      </c>
      <c r="O91" s="2">
        <v>1</v>
      </c>
      <c r="P91" s="2">
        <v>0</v>
      </c>
      <c r="Q91" s="2">
        <v>0</v>
      </c>
      <c r="R91" s="2">
        <v>0</v>
      </c>
      <c r="S91" s="2">
        <v>0</v>
      </c>
      <c r="T91" s="2">
        <v>0</v>
      </c>
      <c r="U91" s="2">
        <v>0</v>
      </c>
      <c r="V91" s="2">
        <v>0</v>
      </c>
      <c r="W91" s="14">
        <v>0</v>
      </c>
      <c r="X91" s="2">
        <v>0</v>
      </c>
      <c r="Y91" s="2">
        <v>0</v>
      </c>
      <c r="Z91" s="2">
        <v>0</v>
      </c>
      <c r="AA91" s="2">
        <v>0</v>
      </c>
      <c r="AB91" s="2">
        <v>0</v>
      </c>
      <c r="AC91" s="2">
        <v>0</v>
      </c>
      <c r="AD91" s="2">
        <v>0</v>
      </c>
      <c r="AE91" s="2">
        <v>0</v>
      </c>
      <c r="AF91" s="2">
        <v>100</v>
      </c>
      <c r="AG91" s="2">
        <v>0</v>
      </c>
      <c r="AH91" s="2">
        <v>0</v>
      </c>
      <c r="AI91" s="2">
        <v>0</v>
      </c>
      <c r="AJ91" s="2">
        <v>0</v>
      </c>
      <c r="AK91" s="2">
        <v>0</v>
      </c>
      <c r="AL91" s="2">
        <v>0</v>
      </c>
      <c r="AM91" s="2">
        <v>0</v>
      </c>
      <c r="AN91" s="2">
        <v>0</v>
      </c>
      <c r="AO91" s="2">
        <v>0</v>
      </c>
      <c r="AP91" s="2">
        <v>0</v>
      </c>
      <c r="AQ91" s="2">
        <v>0</v>
      </c>
      <c r="AR91" s="2">
        <v>0</v>
      </c>
      <c r="AS91" s="2">
        <v>0</v>
      </c>
      <c r="AT91" s="2">
        <v>0</v>
      </c>
      <c r="AU91" s="2">
        <v>0</v>
      </c>
      <c r="AV91" s="2">
        <v>0</v>
      </c>
      <c r="AW91" s="2">
        <v>0</v>
      </c>
      <c r="AX91" s="2">
        <v>0</v>
      </c>
      <c r="AY91" s="2">
        <v>0</v>
      </c>
      <c r="AZ91" s="2" t="s">
        <v>39</v>
      </c>
      <c r="BA91" s="14">
        <v>25000</v>
      </c>
      <c r="BB91" s="14">
        <f>SUM(Table_ship_components[[#This Row],[PRICE]]+(Table_ship_components[[#This Row],[COST_PER_ADD_PERSON]]*Table_ship_components[[#This Row],[OPTIONAL]]))</f>
        <v>25000</v>
      </c>
      <c r="BC91" s="2">
        <v>0</v>
      </c>
      <c r="BD91" s="2">
        <v>0</v>
      </c>
    </row>
    <row r="92" spans="1:56" x14ac:dyDescent="0.35">
      <c r="A92" t="s">
        <v>355</v>
      </c>
      <c r="B92" t="s">
        <v>257</v>
      </c>
      <c r="C92" s="2">
        <v>0</v>
      </c>
      <c r="D92" s="2">
        <v>20</v>
      </c>
      <c r="E92" s="2">
        <f>SUM(Table_ship_components[[#This Row],[UNIT_SIZE]]+(Table_ship_components[[#This Row],[SIZE_PER_ADD_PERSON]]*Table_ship_components[[#This Row],[OPTIONAL]]))</f>
        <v>20</v>
      </c>
      <c r="F92" s="2">
        <v>0</v>
      </c>
      <c r="G92" s="2">
        <f>SUM(Table_ship_components[[#This Row],[POWER_CONSUMPTION]]+(Table_ship_components[[#This Row],[POWER_PER_ADD_PERSON]]*Table_ship_components[[#This Row],[OPTIONAL]]))</f>
        <v>0</v>
      </c>
      <c r="H92" s="2">
        <v>0</v>
      </c>
      <c r="I92" s="2">
        <v>0</v>
      </c>
      <c r="J92" s="2">
        <v>0</v>
      </c>
      <c r="K92" s="2">
        <v>0</v>
      </c>
      <c r="L92" s="2">
        <v>0</v>
      </c>
      <c r="M92" s="2">
        <v>0</v>
      </c>
      <c r="N92" s="2">
        <v>0</v>
      </c>
      <c r="O92" s="2">
        <v>1</v>
      </c>
      <c r="P92" s="2">
        <v>0</v>
      </c>
      <c r="Q92" s="2">
        <v>0</v>
      </c>
      <c r="R92" s="2">
        <v>0</v>
      </c>
      <c r="S92" s="2">
        <v>0</v>
      </c>
      <c r="T92" s="2">
        <v>0</v>
      </c>
      <c r="U92" s="2">
        <v>0</v>
      </c>
      <c r="V92" s="2">
        <v>0</v>
      </c>
      <c r="W92" s="14">
        <v>0</v>
      </c>
      <c r="X92" s="2">
        <v>0</v>
      </c>
      <c r="Y92" s="2">
        <v>0</v>
      </c>
      <c r="Z92" s="2">
        <v>0</v>
      </c>
      <c r="AA92" s="2">
        <v>0</v>
      </c>
      <c r="AB92" s="2">
        <v>0</v>
      </c>
      <c r="AC92" s="2">
        <v>0</v>
      </c>
      <c r="AD92" s="2">
        <v>0</v>
      </c>
      <c r="AE92" s="2">
        <v>0</v>
      </c>
      <c r="AF92" s="2">
        <v>200</v>
      </c>
      <c r="AG92" s="2">
        <v>0</v>
      </c>
      <c r="AH92" s="2">
        <v>0</v>
      </c>
      <c r="AI92" s="2">
        <v>0</v>
      </c>
      <c r="AJ92" s="2">
        <v>0</v>
      </c>
      <c r="AK92" s="2">
        <v>0</v>
      </c>
      <c r="AL92" s="2">
        <v>0</v>
      </c>
      <c r="AM92" s="2">
        <v>0</v>
      </c>
      <c r="AN92" s="2">
        <v>0</v>
      </c>
      <c r="AO92" s="2">
        <v>0</v>
      </c>
      <c r="AP92" s="2">
        <v>0</v>
      </c>
      <c r="AQ92" s="2">
        <v>0</v>
      </c>
      <c r="AR92" s="2">
        <v>0</v>
      </c>
      <c r="AS92" s="2">
        <v>0</v>
      </c>
      <c r="AT92" s="2">
        <v>0</v>
      </c>
      <c r="AU92" s="2">
        <v>0</v>
      </c>
      <c r="AV92" s="2">
        <v>0</v>
      </c>
      <c r="AW92" s="2">
        <v>0</v>
      </c>
      <c r="AX92" s="2">
        <v>0</v>
      </c>
      <c r="AY92" s="2">
        <v>0</v>
      </c>
      <c r="AZ92" s="2" t="s">
        <v>39</v>
      </c>
      <c r="BA92" s="14">
        <v>50000</v>
      </c>
      <c r="BB92" s="14">
        <f>SUM(Table_ship_components[[#This Row],[PRICE]]+(Table_ship_components[[#This Row],[COST_PER_ADD_PERSON]]*Table_ship_components[[#This Row],[OPTIONAL]]))</f>
        <v>50000</v>
      </c>
      <c r="BC92" s="2">
        <v>0</v>
      </c>
      <c r="BD92" s="2">
        <v>0</v>
      </c>
    </row>
    <row r="93" spans="1:56" x14ac:dyDescent="0.35">
      <c r="A93" t="s">
        <v>356</v>
      </c>
      <c r="B93" t="s">
        <v>258</v>
      </c>
      <c r="C93" s="2">
        <v>0</v>
      </c>
      <c r="D93" s="2">
        <v>30</v>
      </c>
      <c r="E93" s="2">
        <f>SUM(Table_ship_components[[#This Row],[UNIT_SIZE]]+(Table_ship_components[[#This Row],[SIZE_PER_ADD_PERSON]]*Table_ship_components[[#This Row],[OPTIONAL]]))</f>
        <v>30</v>
      </c>
      <c r="F93" s="2">
        <v>0</v>
      </c>
      <c r="G93" s="2">
        <f>SUM(Table_ship_components[[#This Row],[POWER_CONSUMPTION]]+(Table_ship_components[[#This Row],[POWER_PER_ADD_PERSON]]*Table_ship_components[[#This Row],[OPTIONAL]]))</f>
        <v>0</v>
      </c>
      <c r="H93" s="2">
        <v>0</v>
      </c>
      <c r="I93" s="2">
        <v>0</v>
      </c>
      <c r="J93" s="2">
        <v>0</v>
      </c>
      <c r="K93" s="2">
        <v>0</v>
      </c>
      <c r="L93" s="2">
        <v>0</v>
      </c>
      <c r="M93" s="2">
        <v>0</v>
      </c>
      <c r="N93" s="2">
        <v>0</v>
      </c>
      <c r="O93" s="2">
        <v>1</v>
      </c>
      <c r="P93" s="2">
        <v>0</v>
      </c>
      <c r="Q93" s="2">
        <v>0</v>
      </c>
      <c r="R93" s="2">
        <v>0</v>
      </c>
      <c r="S93" s="2">
        <v>0</v>
      </c>
      <c r="T93" s="2">
        <v>0</v>
      </c>
      <c r="U93" s="2">
        <v>0</v>
      </c>
      <c r="V93" s="2">
        <v>0</v>
      </c>
      <c r="W93" s="14">
        <v>0</v>
      </c>
      <c r="X93" s="2">
        <v>0</v>
      </c>
      <c r="Y93" s="2">
        <v>0</v>
      </c>
      <c r="Z93" s="2">
        <v>0</v>
      </c>
      <c r="AA93" s="2">
        <v>0</v>
      </c>
      <c r="AB93" s="2">
        <v>0</v>
      </c>
      <c r="AC93" s="2">
        <v>0</v>
      </c>
      <c r="AD93" s="2">
        <v>0</v>
      </c>
      <c r="AE93" s="2">
        <v>0</v>
      </c>
      <c r="AF93" s="2">
        <v>300</v>
      </c>
      <c r="AG93" s="2">
        <v>0</v>
      </c>
      <c r="AH93" s="2">
        <v>0</v>
      </c>
      <c r="AI93" s="2">
        <v>0</v>
      </c>
      <c r="AJ93" s="2">
        <v>0</v>
      </c>
      <c r="AK93" s="2">
        <v>0</v>
      </c>
      <c r="AL93" s="2">
        <v>0</v>
      </c>
      <c r="AM93" s="2">
        <v>0</v>
      </c>
      <c r="AN93" s="2">
        <v>0</v>
      </c>
      <c r="AO93" s="2">
        <v>0</v>
      </c>
      <c r="AP93" s="2">
        <v>0</v>
      </c>
      <c r="AQ93" s="2">
        <v>0</v>
      </c>
      <c r="AR93" s="2">
        <v>0</v>
      </c>
      <c r="AS93" s="2">
        <v>0</v>
      </c>
      <c r="AT93" s="2">
        <v>0</v>
      </c>
      <c r="AU93" s="2">
        <v>0</v>
      </c>
      <c r="AV93" s="2">
        <v>0</v>
      </c>
      <c r="AW93" s="2">
        <v>0</v>
      </c>
      <c r="AX93" s="2">
        <v>0</v>
      </c>
      <c r="AY93" s="2">
        <v>0</v>
      </c>
      <c r="AZ93" s="2" t="s">
        <v>39</v>
      </c>
      <c r="BA93" s="14">
        <v>100000</v>
      </c>
      <c r="BB93" s="14">
        <f>SUM(Table_ship_components[[#This Row],[PRICE]]+(Table_ship_components[[#This Row],[COST_PER_ADD_PERSON]]*Table_ship_components[[#This Row],[OPTIONAL]]))</f>
        <v>100000</v>
      </c>
      <c r="BC93" s="2">
        <v>0</v>
      </c>
      <c r="BD93" s="2">
        <v>0</v>
      </c>
    </row>
    <row r="94" spans="1:56" x14ac:dyDescent="0.35">
      <c r="A94" t="s">
        <v>537</v>
      </c>
      <c r="B94" t="s">
        <v>540</v>
      </c>
      <c r="C94" s="2">
        <v>0</v>
      </c>
      <c r="D94" s="2">
        <v>-5</v>
      </c>
      <c r="E94" s="2">
        <f>SUM(Table_ship_components[[#This Row],[UNIT_SIZE]]+(Table_ship_components[[#This Row],[SIZE_PER_ADD_PERSON]]*Table_ship_components[[#This Row],[OPTIONAL]]))</f>
        <v>-5</v>
      </c>
      <c r="F94" s="2">
        <v>0</v>
      </c>
      <c r="G94" s="2">
        <f>SUM(Table_ship_components[[#This Row],[POWER_CONSUMPTION]]+(Table_ship_components[[#This Row],[POWER_PER_ADD_PERSON]]*Table_ship_components[[#This Row],[OPTIONAL]]))</f>
        <v>0</v>
      </c>
      <c r="H94" s="2">
        <v>0</v>
      </c>
      <c r="I94" s="2">
        <v>0</v>
      </c>
      <c r="J94" s="2">
        <v>0</v>
      </c>
      <c r="K94" s="2">
        <v>0</v>
      </c>
      <c r="L94" s="2">
        <v>0</v>
      </c>
      <c r="M94" s="2">
        <v>1</v>
      </c>
      <c r="N94" s="2">
        <v>0</v>
      </c>
      <c r="O94" s="2">
        <v>0</v>
      </c>
      <c r="P94" s="2">
        <v>0</v>
      </c>
      <c r="Q94" s="2">
        <v>0</v>
      </c>
      <c r="R94" s="2">
        <v>0</v>
      </c>
      <c r="S94" s="2">
        <v>0</v>
      </c>
      <c r="T94" s="2">
        <v>0</v>
      </c>
      <c r="U94" s="2">
        <v>0</v>
      </c>
      <c r="V94" s="2">
        <v>0</v>
      </c>
      <c r="W94" s="14">
        <v>0</v>
      </c>
      <c r="X94" s="2">
        <v>0</v>
      </c>
      <c r="Y94" s="2">
        <v>0</v>
      </c>
      <c r="Z94" s="2">
        <v>0</v>
      </c>
      <c r="AA94" s="2">
        <v>0</v>
      </c>
      <c r="AB94" s="2">
        <v>0</v>
      </c>
      <c r="AC94" s="2">
        <v>0</v>
      </c>
      <c r="AD94" s="2">
        <v>0</v>
      </c>
      <c r="AE94" s="2">
        <v>0</v>
      </c>
      <c r="AF94" s="2">
        <v>0</v>
      </c>
      <c r="AG94" s="2">
        <v>0</v>
      </c>
      <c r="AH94" s="2">
        <v>0</v>
      </c>
      <c r="AI94" s="2">
        <v>0</v>
      </c>
      <c r="AJ94" s="2">
        <v>0</v>
      </c>
      <c r="AK94" s="2">
        <v>0</v>
      </c>
      <c r="AL94" s="2">
        <v>0</v>
      </c>
      <c r="AM94" s="2">
        <v>0</v>
      </c>
      <c r="AN94" s="2">
        <v>-5</v>
      </c>
      <c r="AO94" s="2">
        <v>0</v>
      </c>
      <c r="AP94" s="2">
        <v>0</v>
      </c>
      <c r="AQ94" s="2">
        <v>0</v>
      </c>
      <c r="AR94" s="2">
        <v>1</v>
      </c>
      <c r="AS94" s="2">
        <v>0</v>
      </c>
      <c r="AT94" s="2">
        <v>0</v>
      </c>
      <c r="AU94" s="2">
        <v>0</v>
      </c>
      <c r="AV94" s="2">
        <v>0</v>
      </c>
      <c r="AW94" s="2">
        <v>0</v>
      </c>
      <c r="AX94" s="2">
        <v>0</v>
      </c>
      <c r="AY94" s="2">
        <v>0</v>
      </c>
      <c r="AZ94" s="2" t="s">
        <v>39</v>
      </c>
      <c r="BA94" s="14">
        <v>150000</v>
      </c>
      <c r="BB94" s="14">
        <f>SUM(Table_ship_components[[#This Row],[PRICE]]+(Table_ship_components[[#This Row],[COST_PER_ADD_PERSON]]*Table_ship_components[[#This Row],[OPTIONAL]]))</f>
        <v>150000</v>
      </c>
      <c r="BC94" s="2">
        <v>0</v>
      </c>
      <c r="BD94" s="2">
        <v>0</v>
      </c>
    </row>
    <row r="95" spans="1:56" x14ac:dyDescent="0.35">
      <c r="A95" t="s">
        <v>538</v>
      </c>
      <c r="B95" t="s">
        <v>541</v>
      </c>
      <c r="C95" s="2">
        <v>0</v>
      </c>
      <c r="D95" s="2">
        <v>0</v>
      </c>
      <c r="E95" s="2">
        <f>SUM(Table_ship_components[[#This Row],[UNIT_SIZE]]+(Table_ship_components[[#This Row],[SIZE_PER_ADD_PERSON]]*Table_ship_components[[#This Row],[OPTIONAL]]))</f>
        <v>0</v>
      </c>
      <c r="F95" s="2">
        <v>0</v>
      </c>
      <c r="G95" s="2">
        <f>SUM(Table_ship_components[[#This Row],[POWER_CONSUMPTION]]+(Table_ship_components[[#This Row],[POWER_PER_ADD_PERSON]]*Table_ship_components[[#This Row],[OPTIONAL]]))</f>
        <v>0</v>
      </c>
      <c r="H95" s="2">
        <v>0</v>
      </c>
      <c r="I95" s="2">
        <v>0</v>
      </c>
      <c r="J95" s="2">
        <v>0</v>
      </c>
      <c r="K95" s="2">
        <v>0</v>
      </c>
      <c r="L95" s="2">
        <v>0</v>
      </c>
      <c r="M95" s="2">
        <v>1</v>
      </c>
      <c r="N95" s="2">
        <v>0</v>
      </c>
      <c r="O95" s="2">
        <v>0</v>
      </c>
      <c r="P95" s="2">
        <v>0</v>
      </c>
      <c r="Q95" s="2">
        <v>0</v>
      </c>
      <c r="R95" s="2">
        <v>0</v>
      </c>
      <c r="S95" s="2">
        <v>0</v>
      </c>
      <c r="T95" s="2">
        <v>0</v>
      </c>
      <c r="U95" s="2">
        <v>0</v>
      </c>
      <c r="V95" s="2">
        <v>0</v>
      </c>
      <c r="W95" s="14">
        <v>0</v>
      </c>
      <c r="X95" s="2">
        <v>0</v>
      </c>
      <c r="Y95" s="2">
        <v>0</v>
      </c>
      <c r="Z95" s="2">
        <v>0</v>
      </c>
      <c r="AA95" s="2">
        <v>0</v>
      </c>
      <c r="AB95" s="2">
        <v>0</v>
      </c>
      <c r="AC95" s="2">
        <v>0</v>
      </c>
      <c r="AD95" s="2">
        <v>0</v>
      </c>
      <c r="AE95" s="2">
        <v>0</v>
      </c>
      <c r="AF95" s="2">
        <v>0</v>
      </c>
      <c r="AG95" s="2">
        <v>0</v>
      </c>
      <c r="AH95" s="2">
        <v>0</v>
      </c>
      <c r="AI95" s="2">
        <v>0</v>
      </c>
      <c r="AJ95" s="2">
        <v>0</v>
      </c>
      <c r="AK95" s="2">
        <v>0</v>
      </c>
      <c r="AL95" s="2">
        <v>0</v>
      </c>
      <c r="AM95" s="2">
        <v>0</v>
      </c>
      <c r="AN95" s="2">
        <v>0</v>
      </c>
      <c r="AO95" s="2">
        <v>0</v>
      </c>
      <c r="AP95" s="2">
        <v>0</v>
      </c>
      <c r="AQ95" s="2">
        <v>0</v>
      </c>
      <c r="AR95" s="2">
        <v>0</v>
      </c>
      <c r="AS95" s="2">
        <v>0</v>
      </c>
      <c r="AT95" s="2">
        <v>0</v>
      </c>
      <c r="AU95" s="2">
        <v>0</v>
      </c>
      <c r="AV95" s="2">
        <v>0</v>
      </c>
      <c r="AW95" s="2">
        <v>0</v>
      </c>
      <c r="AX95" s="2">
        <v>0</v>
      </c>
      <c r="AY95" s="2">
        <v>0</v>
      </c>
      <c r="AZ95" s="2" t="s">
        <v>39</v>
      </c>
      <c r="BA95" s="14">
        <v>100000</v>
      </c>
      <c r="BB95" s="14">
        <f>SUM(Table_ship_components[[#This Row],[PRICE]]+(Table_ship_components[[#This Row],[COST_PER_ADD_PERSON]]*Table_ship_components[[#This Row],[OPTIONAL]]))</f>
        <v>100000</v>
      </c>
      <c r="BC95" s="2">
        <v>0</v>
      </c>
      <c r="BD95" s="2">
        <v>0</v>
      </c>
    </row>
    <row r="96" spans="1:56" x14ac:dyDescent="0.35">
      <c r="A96" t="s">
        <v>539</v>
      </c>
      <c r="B96" t="s">
        <v>542</v>
      </c>
      <c r="C96" s="2">
        <v>0</v>
      </c>
      <c r="D96" s="2">
        <v>5</v>
      </c>
      <c r="E96" s="2">
        <f>SUM(Table_ship_components[[#This Row],[UNIT_SIZE]]+(Table_ship_components[[#This Row],[SIZE_PER_ADD_PERSON]]*Table_ship_components[[#This Row],[OPTIONAL]]))</f>
        <v>5</v>
      </c>
      <c r="F96" s="2">
        <v>0</v>
      </c>
      <c r="G96" s="2">
        <f>SUM(Table_ship_components[[#This Row],[POWER_CONSUMPTION]]+(Table_ship_components[[#This Row],[POWER_PER_ADD_PERSON]]*Table_ship_components[[#This Row],[OPTIONAL]]))</f>
        <v>0</v>
      </c>
      <c r="H96" s="2">
        <v>0</v>
      </c>
      <c r="I96" s="2">
        <v>0</v>
      </c>
      <c r="J96" s="2">
        <v>0</v>
      </c>
      <c r="K96" s="2">
        <v>0</v>
      </c>
      <c r="L96" s="2">
        <v>0</v>
      </c>
      <c r="M96" s="2">
        <v>1</v>
      </c>
      <c r="N96" s="2">
        <v>0</v>
      </c>
      <c r="O96" s="2">
        <v>0</v>
      </c>
      <c r="P96" s="2">
        <v>0</v>
      </c>
      <c r="Q96" s="2">
        <v>0</v>
      </c>
      <c r="R96" s="2">
        <v>0</v>
      </c>
      <c r="S96" s="2">
        <v>0</v>
      </c>
      <c r="T96" s="2">
        <v>0</v>
      </c>
      <c r="U96" s="2">
        <v>0</v>
      </c>
      <c r="V96" s="2">
        <v>0</v>
      </c>
      <c r="W96" s="14">
        <v>0</v>
      </c>
      <c r="X96" s="2">
        <v>0</v>
      </c>
      <c r="Y96" s="2">
        <v>0</v>
      </c>
      <c r="Z96" s="2">
        <v>0</v>
      </c>
      <c r="AA96" s="2">
        <v>0</v>
      </c>
      <c r="AB96" s="2">
        <v>0</v>
      </c>
      <c r="AC96" s="2">
        <v>0</v>
      </c>
      <c r="AD96" s="2">
        <v>0</v>
      </c>
      <c r="AE96" s="2">
        <v>0</v>
      </c>
      <c r="AF96" s="2">
        <v>0</v>
      </c>
      <c r="AG96" s="2">
        <v>0</v>
      </c>
      <c r="AH96" s="2">
        <v>0</v>
      </c>
      <c r="AI96" s="2">
        <v>0</v>
      </c>
      <c r="AJ96" s="2">
        <v>0</v>
      </c>
      <c r="AK96" s="2">
        <v>0</v>
      </c>
      <c r="AL96" s="2">
        <v>0</v>
      </c>
      <c r="AM96" s="2">
        <v>0</v>
      </c>
      <c r="AN96" s="2">
        <v>5</v>
      </c>
      <c r="AO96" s="2">
        <v>0</v>
      </c>
      <c r="AP96" s="2">
        <v>0</v>
      </c>
      <c r="AQ96" s="2">
        <v>0</v>
      </c>
      <c r="AR96" s="2">
        <v>-1</v>
      </c>
      <c r="AS96" s="2">
        <v>0</v>
      </c>
      <c r="AT96" s="2">
        <v>0</v>
      </c>
      <c r="AU96" s="2">
        <v>0</v>
      </c>
      <c r="AV96" s="2">
        <v>0</v>
      </c>
      <c r="AW96" s="2">
        <v>0</v>
      </c>
      <c r="AX96" s="2">
        <v>0</v>
      </c>
      <c r="AY96" s="2">
        <v>0</v>
      </c>
      <c r="AZ96" s="2" t="s">
        <v>39</v>
      </c>
      <c r="BA96" s="14">
        <v>150000</v>
      </c>
      <c r="BB96" s="14">
        <f>SUM(Table_ship_components[[#This Row],[PRICE]]+(Table_ship_components[[#This Row],[COST_PER_ADD_PERSON]]*Table_ship_components[[#This Row],[OPTIONAL]]))</f>
        <v>150000</v>
      </c>
      <c r="BC96" s="2">
        <v>0</v>
      </c>
      <c r="BD96" s="2">
        <v>0</v>
      </c>
    </row>
    <row r="97" spans="1:56" x14ac:dyDescent="0.35">
      <c r="A97" t="s">
        <v>329</v>
      </c>
      <c r="B97" t="s">
        <v>308</v>
      </c>
      <c r="C97" s="2">
        <v>0</v>
      </c>
      <c r="D97" s="2">
        <v>-5</v>
      </c>
      <c r="E97" s="2">
        <f>SUM(Table_ship_components[[#This Row],[UNIT_SIZE]]+(Table_ship_components[[#This Row],[SIZE_PER_ADD_PERSON]]*Table_ship_components[[#This Row],[OPTIONAL]]))</f>
        <v>-5</v>
      </c>
      <c r="F97" s="2">
        <v>0</v>
      </c>
      <c r="G97" s="2">
        <f>SUM(Table_ship_components[[#This Row],[POWER_CONSUMPTION]]+(Table_ship_components[[#This Row],[POWER_PER_ADD_PERSON]]*Table_ship_components[[#This Row],[OPTIONAL]]))</f>
        <v>0</v>
      </c>
      <c r="H97" s="2">
        <v>0</v>
      </c>
      <c r="I97" s="2">
        <v>0</v>
      </c>
      <c r="J97" s="2">
        <v>0</v>
      </c>
      <c r="K97" s="2">
        <v>0</v>
      </c>
      <c r="L97" s="2">
        <v>0</v>
      </c>
      <c r="M97" s="2">
        <v>0</v>
      </c>
      <c r="N97" s="2">
        <v>1</v>
      </c>
      <c r="O97" s="2">
        <v>0</v>
      </c>
      <c r="P97" s="2">
        <v>0</v>
      </c>
      <c r="Q97" s="2">
        <v>0</v>
      </c>
      <c r="R97" s="2">
        <v>0</v>
      </c>
      <c r="S97" s="2">
        <v>0</v>
      </c>
      <c r="T97" s="2">
        <v>0</v>
      </c>
      <c r="U97" s="2">
        <v>0</v>
      </c>
      <c r="V97" s="2">
        <v>0</v>
      </c>
      <c r="W97" s="14">
        <v>0</v>
      </c>
      <c r="X97" s="2">
        <v>0</v>
      </c>
      <c r="Y97" s="2">
        <v>0</v>
      </c>
      <c r="Z97" s="2">
        <v>0</v>
      </c>
      <c r="AA97" s="2">
        <v>0</v>
      </c>
      <c r="AB97" s="2">
        <v>0</v>
      </c>
      <c r="AC97" s="2">
        <v>0</v>
      </c>
      <c r="AD97" s="2">
        <v>0</v>
      </c>
      <c r="AE97" s="2">
        <v>0</v>
      </c>
      <c r="AF97" s="2">
        <v>0</v>
      </c>
      <c r="AG97" s="2">
        <v>0</v>
      </c>
      <c r="AH97" s="2">
        <v>0</v>
      </c>
      <c r="AI97" s="2">
        <v>0</v>
      </c>
      <c r="AJ97" s="2">
        <v>0</v>
      </c>
      <c r="AK97" s="2">
        <v>0</v>
      </c>
      <c r="AL97" s="2">
        <v>0</v>
      </c>
      <c r="AM97" s="2">
        <v>0</v>
      </c>
      <c r="AN97" s="2">
        <v>-5</v>
      </c>
      <c r="AO97" s="2">
        <v>0</v>
      </c>
      <c r="AP97" s="2">
        <v>0</v>
      </c>
      <c r="AQ97" s="2">
        <v>0</v>
      </c>
      <c r="AR97" s="2">
        <v>1</v>
      </c>
      <c r="AS97" s="2">
        <v>0</v>
      </c>
      <c r="AT97" s="2">
        <v>0</v>
      </c>
      <c r="AU97" s="2">
        <v>0</v>
      </c>
      <c r="AV97" s="2">
        <v>0</v>
      </c>
      <c r="AW97" s="2">
        <v>0</v>
      </c>
      <c r="AX97" s="2">
        <v>0</v>
      </c>
      <c r="AY97" s="2">
        <v>0</v>
      </c>
      <c r="AZ97" s="2" t="s">
        <v>39</v>
      </c>
      <c r="BA97" s="14">
        <v>250000</v>
      </c>
      <c r="BB97" s="14">
        <f>SUM(Table_ship_components[[#This Row],[PRICE]]+(Table_ship_components[[#This Row],[COST_PER_ADD_PERSON]]*Table_ship_components[[#This Row],[OPTIONAL]]))</f>
        <v>250000</v>
      </c>
      <c r="BC97" s="2">
        <v>0</v>
      </c>
      <c r="BD97" s="2">
        <v>0</v>
      </c>
    </row>
    <row r="98" spans="1:56" x14ac:dyDescent="0.35">
      <c r="A98" t="s">
        <v>330</v>
      </c>
      <c r="B98" t="s">
        <v>309</v>
      </c>
      <c r="C98" s="2">
        <v>0</v>
      </c>
      <c r="D98" s="2">
        <v>0</v>
      </c>
      <c r="E98" s="2">
        <f>SUM(Table_ship_components[[#This Row],[UNIT_SIZE]]+(Table_ship_components[[#This Row],[SIZE_PER_ADD_PERSON]]*Table_ship_components[[#This Row],[OPTIONAL]]))</f>
        <v>0</v>
      </c>
      <c r="F98" s="2">
        <v>0</v>
      </c>
      <c r="G98" s="2">
        <f>SUM(Table_ship_components[[#This Row],[POWER_CONSUMPTION]]+(Table_ship_components[[#This Row],[POWER_PER_ADD_PERSON]]*Table_ship_components[[#This Row],[OPTIONAL]]))</f>
        <v>0</v>
      </c>
      <c r="H98" s="2">
        <v>0</v>
      </c>
      <c r="I98" s="2">
        <v>0</v>
      </c>
      <c r="J98" s="2">
        <v>0</v>
      </c>
      <c r="K98" s="2">
        <v>0</v>
      </c>
      <c r="L98" s="2">
        <v>0</v>
      </c>
      <c r="M98" s="2">
        <v>0</v>
      </c>
      <c r="N98" s="2">
        <v>1</v>
      </c>
      <c r="O98" s="2">
        <v>0</v>
      </c>
      <c r="P98" s="2">
        <v>0</v>
      </c>
      <c r="Q98" s="2">
        <v>0</v>
      </c>
      <c r="R98" s="2">
        <v>0</v>
      </c>
      <c r="S98" s="2">
        <v>0</v>
      </c>
      <c r="T98" s="2">
        <v>0</v>
      </c>
      <c r="U98" s="2">
        <v>0</v>
      </c>
      <c r="V98" s="2">
        <v>0</v>
      </c>
      <c r="W98" s="14">
        <v>0</v>
      </c>
      <c r="X98" s="2">
        <v>0</v>
      </c>
      <c r="Y98" s="2">
        <v>0</v>
      </c>
      <c r="Z98" s="2">
        <v>0</v>
      </c>
      <c r="AA98" s="2">
        <v>0</v>
      </c>
      <c r="AB98" s="2">
        <v>0</v>
      </c>
      <c r="AC98" s="2">
        <v>0</v>
      </c>
      <c r="AD98" s="2">
        <v>0</v>
      </c>
      <c r="AE98" s="2">
        <v>0</v>
      </c>
      <c r="AF98" s="2">
        <v>0</v>
      </c>
      <c r="AG98" s="2">
        <v>0</v>
      </c>
      <c r="AH98" s="2">
        <v>0</v>
      </c>
      <c r="AI98" s="2">
        <v>0</v>
      </c>
      <c r="AJ98" s="2">
        <v>0</v>
      </c>
      <c r="AK98" s="2">
        <v>0</v>
      </c>
      <c r="AL98" s="2">
        <v>0</v>
      </c>
      <c r="AM98" s="2">
        <v>0</v>
      </c>
      <c r="AN98" s="2">
        <v>0</v>
      </c>
      <c r="AO98" s="2">
        <v>0</v>
      </c>
      <c r="AP98" s="2">
        <v>0</v>
      </c>
      <c r="AQ98" s="2">
        <v>0</v>
      </c>
      <c r="AR98" s="2">
        <v>0</v>
      </c>
      <c r="AS98" s="2">
        <v>0</v>
      </c>
      <c r="AT98" s="2">
        <v>0</v>
      </c>
      <c r="AU98" s="2">
        <v>0</v>
      </c>
      <c r="AV98" s="2">
        <v>0</v>
      </c>
      <c r="AW98" s="2">
        <v>0</v>
      </c>
      <c r="AX98" s="2">
        <v>0</v>
      </c>
      <c r="AY98" s="2">
        <v>0</v>
      </c>
      <c r="AZ98" s="2" t="s">
        <v>39</v>
      </c>
      <c r="BA98" s="14">
        <v>200000</v>
      </c>
      <c r="BB98" s="14">
        <f>SUM(Table_ship_components[[#This Row],[PRICE]]+(Table_ship_components[[#This Row],[COST_PER_ADD_PERSON]]*Table_ship_components[[#This Row],[OPTIONAL]]))</f>
        <v>200000</v>
      </c>
      <c r="BC98" s="2">
        <v>0</v>
      </c>
      <c r="BD98" s="2">
        <v>0</v>
      </c>
    </row>
    <row r="99" spans="1:56" x14ac:dyDescent="0.35">
      <c r="A99" t="s">
        <v>331</v>
      </c>
      <c r="B99" t="s">
        <v>310</v>
      </c>
      <c r="C99" s="2">
        <v>0</v>
      </c>
      <c r="D99" s="2">
        <v>5</v>
      </c>
      <c r="E99" s="2">
        <f>SUM(Table_ship_components[[#This Row],[UNIT_SIZE]]+(Table_ship_components[[#This Row],[SIZE_PER_ADD_PERSON]]*Table_ship_components[[#This Row],[OPTIONAL]]))</f>
        <v>5</v>
      </c>
      <c r="F99" s="2">
        <v>0</v>
      </c>
      <c r="G99" s="2">
        <f>SUM(Table_ship_components[[#This Row],[POWER_CONSUMPTION]]+(Table_ship_components[[#This Row],[POWER_PER_ADD_PERSON]]*Table_ship_components[[#This Row],[OPTIONAL]]))</f>
        <v>0</v>
      </c>
      <c r="H99" s="2">
        <v>0</v>
      </c>
      <c r="I99" s="2">
        <v>0</v>
      </c>
      <c r="J99" s="2">
        <v>0</v>
      </c>
      <c r="K99" s="2">
        <v>0</v>
      </c>
      <c r="L99" s="2">
        <v>0</v>
      </c>
      <c r="M99" s="2">
        <v>0</v>
      </c>
      <c r="N99" s="2">
        <v>1</v>
      </c>
      <c r="O99" s="2">
        <v>0</v>
      </c>
      <c r="P99" s="2">
        <v>0</v>
      </c>
      <c r="Q99" s="2">
        <v>0</v>
      </c>
      <c r="R99" s="2">
        <v>0</v>
      </c>
      <c r="S99" s="2">
        <v>0</v>
      </c>
      <c r="T99" s="2">
        <v>0</v>
      </c>
      <c r="U99" s="2">
        <v>0</v>
      </c>
      <c r="V99" s="2">
        <v>0</v>
      </c>
      <c r="W99" s="14">
        <v>0</v>
      </c>
      <c r="X99" s="2">
        <v>0</v>
      </c>
      <c r="Y99" s="2">
        <v>0</v>
      </c>
      <c r="Z99" s="2">
        <v>0</v>
      </c>
      <c r="AA99" s="2">
        <v>0</v>
      </c>
      <c r="AB99" s="2">
        <v>0</v>
      </c>
      <c r="AC99" s="2">
        <v>0</v>
      </c>
      <c r="AD99" s="2">
        <v>0</v>
      </c>
      <c r="AE99" s="2">
        <v>0</v>
      </c>
      <c r="AF99" s="2">
        <v>0</v>
      </c>
      <c r="AG99" s="2">
        <v>0</v>
      </c>
      <c r="AH99" s="2">
        <v>0</v>
      </c>
      <c r="AI99" s="2">
        <v>0</v>
      </c>
      <c r="AJ99" s="2">
        <v>0</v>
      </c>
      <c r="AK99" s="2">
        <v>0</v>
      </c>
      <c r="AL99" s="2">
        <v>0</v>
      </c>
      <c r="AM99" s="2">
        <v>0</v>
      </c>
      <c r="AN99" s="2">
        <v>5</v>
      </c>
      <c r="AO99" s="2">
        <v>0</v>
      </c>
      <c r="AP99" s="2">
        <v>0</v>
      </c>
      <c r="AQ99" s="2">
        <v>0</v>
      </c>
      <c r="AR99" s="2">
        <v>-1</v>
      </c>
      <c r="AS99" s="2">
        <v>0</v>
      </c>
      <c r="AT99" s="2">
        <v>0</v>
      </c>
      <c r="AU99" s="2">
        <v>0</v>
      </c>
      <c r="AV99" s="2">
        <v>0</v>
      </c>
      <c r="AW99" s="2">
        <v>0</v>
      </c>
      <c r="AX99" s="2">
        <v>0</v>
      </c>
      <c r="AY99" s="2">
        <v>0</v>
      </c>
      <c r="AZ99" s="2" t="s">
        <v>39</v>
      </c>
      <c r="BA99" s="14">
        <v>250000</v>
      </c>
      <c r="BB99" s="14">
        <f>SUM(Table_ship_components[[#This Row],[PRICE]]+(Table_ship_components[[#This Row],[COST_PER_ADD_PERSON]]*Table_ship_components[[#This Row],[OPTIONAL]]))</f>
        <v>250000</v>
      </c>
      <c r="BC99" s="2">
        <v>0</v>
      </c>
      <c r="BD99" s="2">
        <v>0</v>
      </c>
    </row>
    <row r="100" spans="1:56" x14ac:dyDescent="0.35">
      <c r="A100" t="s">
        <v>357</v>
      </c>
      <c r="B100" t="s">
        <v>306</v>
      </c>
      <c r="C100" s="2">
        <v>0</v>
      </c>
      <c r="D100" s="2">
        <v>-10</v>
      </c>
      <c r="E100" s="2">
        <f>SUM(Table_ship_components[[#This Row],[UNIT_SIZE]]+(Table_ship_components[[#This Row],[SIZE_PER_ADD_PERSON]]*Table_ship_components[[#This Row],[OPTIONAL]]))</f>
        <v>-10</v>
      </c>
      <c r="F100" s="2">
        <v>0</v>
      </c>
      <c r="G100" s="2">
        <f>SUM(Table_ship_components[[#This Row],[POWER_CONSUMPTION]]+(Table_ship_components[[#This Row],[POWER_PER_ADD_PERSON]]*Table_ship_components[[#This Row],[OPTIONAL]]))</f>
        <v>0</v>
      </c>
      <c r="H100" s="2">
        <v>0</v>
      </c>
      <c r="I100" s="2">
        <v>0</v>
      </c>
      <c r="J100" s="2">
        <v>0</v>
      </c>
      <c r="K100" s="2">
        <v>0</v>
      </c>
      <c r="L100" s="2">
        <v>0</v>
      </c>
      <c r="M100" s="2">
        <v>0</v>
      </c>
      <c r="N100" s="2">
        <v>0</v>
      </c>
      <c r="O100" s="2">
        <v>1</v>
      </c>
      <c r="P100" s="2">
        <v>0</v>
      </c>
      <c r="Q100" s="2">
        <v>0</v>
      </c>
      <c r="R100" s="2">
        <v>0</v>
      </c>
      <c r="S100" s="2">
        <v>0</v>
      </c>
      <c r="T100" s="2">
        <v>0</v>
      </c>
      <c r="U100" s="2">
        <v>0</v>
      </c>
      <c r="V100" s="2">
        <v>0</v>
      </c>
      <c r="W100" s="14">
        <v>0</v>
      </c>
      <c r="X100" s="2">
        <v>0</v>
      </c>
      <c r="Y100" s="2">
        <v>0</v>
      </c>
      <c r="Z100" s="2">
        <v>0</v>
      </c>
      <c r="AA100" s="2">
        <v>0</v>
      </c>
      <c r="AB100" s="2">
        <v>0</v>
      </c>
      <c r="AC100" s="2">
        <v>0</v>
      </c>
      <c r="AD100" s="2">
        <v>0</v>
      </c>
      <c r="AE100" s="2">
        <v>0</v>
      </c>
      <c r="AF100" s="2">
        <v>0</v>
      </c>
      <c r="AG100" s="2">
        <v>0</v>
      </c>
      <c r="AH100" s="2">
        <v>0</v>
      </c>
      <c r="AI100" s="2">
        <v>0</v>
      </c>
      <c r="AJ100" s="2">
        <v>0</v>
      </c>
      <c r="AK100" s="2">
        <v>0</v>
      </c>
      <c r="AL100" s="2">
        <v>0</v>
      </c>
      <c r="AM100" s="2">
        <v>0</v>
      </c>
      <c r="AN100" s="2">
        <v>-5</v>
      </c>
      <c r="AO100" s="2">
        <v>0</v>
      </c>
      <c r="AP100" s="2">
        <v>0</v>
      </c>
      <c r="AQ100" s="2">
        <v>0</v>
      </c>
      <c r="AR100" s="2">
        <v>1</v>
      </c>
      <c r="AS100" s="2">
        <v>0</v>
      </c>
      <c r="AT100" s="2">
        <v>0</v>
      </c>
      <c r="AU100" s="2">
        <v>0</v>
      </c>
      <c r="AV100" s="2">
        <v>0</v>
      </c>
      <c r="AW100" s="2">
        <v>0</v>
      </c>
      <c r="AX100" s="2">
        <v>0</v>
      </c>
      <c r="AY100" s="2">
        <v>0</v>
      </c>
      <c r="AZ100" s="2" t="s">
        <v>39</v>
      </c>
      <c r="BA100" s="14">
        <v>1250000</v>
      </c>
      <c r="BB100" s="14">
        <f>SUM(Table_ship_components[[#This Row],[PRICE]]+(Table_ship_components[[#This Row],[COST_PER_ADD_PERSON]]*Table_ship_components[[#This Row],[OPTIONAL]]))</f>
        <v>1250000</v>
      </c>
      <c r="BC100" s="2">
        <v>0</v>
      </c>
      <c r="BD100" s="2">
        <v>0</v>
      </c>
    </row>
    <row r="101" spans="1:56" x14ac:dyDescent="0.35">
      <c r="A101" t="s">
        <v>358</v>
      </c>
      <c r="B101" t="s">
        <v>305</v>
      </c>
      <c r="C101" s="2">
        <v>0</v>
      </c>
      <c r="D101" s="2">
        <v>0</v>
      </c>
      <c r="E101" s="2">
        <f>SUM(Table_ship_components[[#This Row],[UNIT_SIZE]]+(Table_ship_components[[#This Row],[SIZE_PER_ADD_PERSON]]*Table_ship_components[[#This Row],[OPTIONAL]]))</f>
        <v>0</v>
      </c>
      <c r="F101" s="2">
        <v>0</v>
      </c>
      <c r="G101" s="2">
        <f>SUM(Table_ship_components[[#This Row],[POWER_CONSUMPTION]]+(Table_ship_components[[#This Row],[POWER_PER_ADD_PERSON]]*Table_ship_components[[#This Row],[OPTIONAL]]))</f>
        <v>0</v>
      </c>
      <c r="H101" s="2">
        <v>0</v>
      </c>
      <c r="I101" s="2">
        <v>0</v>
      </c>
      <c r="J101" s="2">
        <v>0</v>
      </c>
      <c r="K101" s="2">
        <v>0</v>
      </c>
      <c r="L101" s="2">
        <v>0</v>
      </c>
      <c r="M101" s="2">
        <v>0</v>
      </c>
      <c r="N101" s="2">
        <v>0</v>
      </c>
      <c r="O101" s="2">
        <v>1</v>
      </c>
      <c r="P101" s="2">
        <v>0</v>
      </c>
      <c r="Q101" s="2">
        <v>0</v>
      </c>
      <c r="R101" s="2">
        <v>0</v>
      </c>
      <c r="S101" s="2">
        <v>0</v>
      </c>
      <c r="T101" s="2">
        <v>0</v>
      </c>
      <c r="U101" s="2">
        <v>0</v>
      </c>
      <c r="V101" s="2">
        <v>0</v>
      </c>
      <c r="W101" s="14">
        <v>0</v>
      </c>
      <c r="X101" s="2">
        <v>0</v>
      </c>
      <c r="Y101" s="2">
        <v>0</v>
      </c>
      <c r="Z101" s="2">
        <v>0</v>
      </c>
      <c r="AA101" s="2">
        <v>0</v>
      </c>
      <c r="AB101" s="2">
        <v>0</v>
      </c>
      <c r="AC101" s="2">
        <v>0</v>
      </c>
      <c r="AD101" s="2">
        <v>0</v>
      </c>
      <c r="AE101" s="2">
        <v>0</v>
      </c>
      <c r="AF101" s="2">
        <v>0</v>
      </c>
      <c r="AG101" s="2">
        <v>0</v>
      </c>
      <c r="AH101" s="2">
        <v>0</v>
      </c>
      <c r="AI101" s="2">
        <v>0</v>
      </c>
      <c r="AJ101" s="2">
        <v>0</v>
      </c>
      <c r="AK101" s="2">
        <v>0</v>
      </c>
      <c r="AL101" s="2">
        <v>0</v>
      </c>
      <c r="AM101" s="2">
        <v>0</v>
      </c>
      <c r="AN101" s="2">
        <v>0</v>
      </c>
      <c r="AO101" s="2">
        <v>0</v>
      </c>
      <c r="AP101" s="2">
        <v>0</v>
      </c>
      <c r="AQ101" s="2">
        <v>0</v>
      </c>
      <c r="AR101" s="2">
        <v>0</v>
      </c>
      <c r="AS101" s="2">
        <v>0</v>
      </c>
      <c r="AT101" s="2">
        <v>0</v>
      </c>
      <c r="AU101" s="2">
        <v>0</v>
      </c>
      <c r="AV101" s="2">
        <v>0</v>
      </c>
      <c r="AW101" s="2">
        <v>0</v>
      </c>
      <c r="AX101" s="2">
        <v>0</v>
      </c>
      <c r="AY101" s="2">
        <v>0</v>
      </c>
      <c r="AZ101" s="2" t="s">
        <v>39</v>
      </c>
      <c r="BA101" s="14">
        <v>1000000</v>
      </c>
      <c r="BB101" s="14">
        <f>SUM(Table_ship_components[[#This Row],[PRICE]]+(Table_ship_components[[#This Row],[COST_PER_ADD_PERSON]]*Table_ship_components[[#This Row],[OPTIONAL]]))</f>
        <v>1000000</v>
      </c>
      <c r="BC101" s="2">
        <v>0</v>
      </c>
      <c r="BD101" s="2">
        <v>0</v>
      </c>
    </row>
    <row r="102" spans="1:56" x14ac:dyDescent="0.35">
      <c r="A102" t="s">
        <v>359</v>
      </c>
      <c r="B102" t="s">
        <v>307</v>
      </c>
      <c r="C102" s="2">
        <v>0</v>
      </c>
      <c r="D102" s="2">
        <v>10</v>
      </c>
      <c r="E102" s="2">
        <f>SUM(Table_ship_components[[#This Row],[UNIT_SIZE]]+(Table_ship_components[[#This Row],[SIZE_PER_ADD_PERSON]]*Table_ship_components[[#This Row],[OPTIONAL]]))</f>
        <v>10</v>
      </c>
      <c r="F102" s="2">
        <v>0</v>
      </c>
      <c r="G102" s="2">
        <f>SUM(Table_ship_components[[#This Row],[POWER_CONSUMPTION]]+(Table_ship_components[[#This Row],[POWER_PER_ADD_PERSON]]*Table_ship_components[[#This Row],[OPTIONAL]]))</f>
        <v>0</v>
      </c>
      <c r="H102" s="2">
        <v>0</v>
      </c>
      <c r="I102" s="2">
        <v>0</v>
      </c>
      <c r="J102" s="2">
        <v>0</v>
      </c>
      <c r="K102" s="2">
        <v>0</v>
      </c>
      <c r="L102" s="2">
        <v>0</v>
      </c>
      <c r="M102" s="2">
        <v>0</v>
      </c>
      <c r="N102" s="2">
        <v>0</v>
      </c>
      <c r="O102" s="2">
        <v>1</v>
      </c>
      <c r="P102" s="2">
        <v>0</v>
      </c>
      <c r="Q102" s="2">
        <v>0</v>
      </c>
      <c r="R102" s="2">
        <v>0</v>
      </c>
      <c r="S102" s="2">
        <v>0</v>
      </c>
      <c r="T102" s="2">
        <v>0</v>
      </c>
      <c r="U102" s="2">
        <v>0</v>
      </c>
      <c r="V102" s="2">
        <v>0</v>
      </c>
      <c r="W102" s="14">
        <v>0</v>
      </c>
      <c r="X102" s="2">
        <v>0</v>
      </c>
      <c r="Y102" s="2">
        <v>0</v>
      </c>
      <c r="Z102" s="2">
        <v>0</v>
      </c>
      <c r="AA102" s="2">
        <v>0</v>
      </c>
      <c r="AB102" s="2">
        <v>0</v>
      </c>
      <c r="AC102" s="2">
        <v>0</v>
      </c>
      <c r="AD102" s="2">
        <v>0</v>
      </c>
      <c r="AE102" s="2">
        <v>0</v>
      </c>
      <c r="AF102" s="2">
        <v>0</v>
      </c>
      <c r="AG102" s="2">
        <v>0</v>
      </c>
      <c r="AH102" s="2">
        <v>0</v>
      </c>
      <c r="AI102" s="2">
        <v>0</v>
      </c>
      <c r="AJ102" s="2">
        <v>0</v>
      </c>
      <c r="AK102" s="2">
        <v>0</v>
      </c>
      <c r="AL102" s="2">
        <v>0</v>
      </c>
      <c r="AM102" s="2">
        <v>0</v>
      </c>
      <c r="AN102" s="2">
        <v>5</v>
      </c>
      <c r="AO102" s="2">
        <v>0</v>
      </c>
      <c r="AP102" s="2">
        <v>0</v>
      </c>
      <c r="AQ102" s="2">
        <v>0</v>
      </c>
      <c r="AR102" s="2">
        <v>-1</v>
      </c>
      <c r="AS102" s="2">
        <v>0</v>
      </c>
      <c r="AT102" s="2">
        <v>0</v>
      </c>
      <c r="AU102" s="2">
        <v>0</v>
      </c>
      <c r="AV102" s="2">
        <v>0</v>
      </c>
      <c r="AW102" s="2">
        <v>0</v>
      </c>
      <c r="AX102" s="2">
        <v>0</v>
      </c>
      <c r="AY102" s="2">
        <v>0</v>
      </c>
      <c r="AZ102" s="2" t="s">
        <v>39</v>
      </c>
      <c r="BA102" s="14">
        <v>1250000</v>
      </c>
      <c r="BB102" s="14">
        <f>SUM(Table_ship_components[[#This Row],[PRICE]]+(Table_ship_components[[#This Row],[COST_PER_ADD_PERSON]]*Table_ship_components[[#This Row],[OPTIONAL]]))</f>
        <v>1250000</v>
      </c>
      <c r="BC102" s="2">
        <v>0</v>
      </c>
      <c r="BD102" s="2">
        <v>0</v>
      </c>
    </row>
    <row r="103" spans="1:56" x14ac:dyDescent="0.35">
      <c r="A103" t="s">
        <v>603</v>
      </c>
      <c r="B103" t="s">
        <v>600</v>
      </c>
      <c r="C103" s="2">
        <v>0</v>
      </c>
      <c r="D103" s="2">
        <v>1</v>
      </c>
      <c r="E103" s="2">
        <f>SUM(Table_ship_components[[#This Row],[UNIT_SIZE]]+(Table_ship_components[[#This Row],[SIZE_PER_ADD_PERSON]]*Table_ship_components[[#This Row],[OPTIONAL]]))</f>
        <v>1</v>
      </c>
      <c r="F103" s="2">
        <v>1</v>
      </c>
      <c r="G103" s="2">
        <f>SUM(Table_ship_components[[#This Row],[POWER_CONSUMPTION]]+(Table_ship_components[[#This Row],[POWER_PER_ADD_PERSON]]*Table_ship_components[[#This Row],[OPTIONAL]]))</f>
        <v>1</v>
      </c>
      <c r="H103" s="2">
        <v>0</v>
      </c>
      <c r="I103" s="2">
        <v>0</v>
      </c>
      <c r="J103" s="2">
        <v>0</v>
      </c>
      <c r="K103" s="2">
        <v>0</v>
      </c>
      <c r="L103" s="2">
        <v>0</v>
      </c>
      <c r="M103" s="2">
        <v>1</v>
      </c>
      <c r="N103" s="2">
        <v>0</v>
      </c>
      <c r="O103" s="2">
        <v>0</v>
      </c>
      <c r="P103" s="2">
        <v>0</v>
      </c>
      <c r="Q103" s="2">
        <v>0</v>
      </c>
      <c r="R103" s="2">
        <v>0</v>
      </c>
      <c r="S103" s="2">
        <v>0</v>
      </c>
      <c r="T103" s="2">
        <v>0</v>
      </c>
      <c r="U103" s="2">
        <v>0</v>
      </c>
      <c r="V103" s="2">
        <v>0</v>
      </c>
      <c r="W103" s="14">
        <v>0</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0</v>
      </c>
      <c r="AP103" s="2">
        <v>0</v>
      </c>
      <c r="AQ103" s="2">
        <v>0</v>
      </c>
      <c r="AR103" s="2">
        <v>0</v>
      </c>
      <c r="AS103" s="2">
        <v>0</v>
      </c>
      <c r="AT103" s="2">
        <v>-1</v>
      </c>
      <c r="AU103" s="2">
        <v>0</v>
      </c>
      <c r="AV103" s="2">
        <v>0</v>
      </c>
      <c r="AW103" s="2">
        <v>0</v>
      </c>
      <c r="AX103" s="2">
        <v>0</v>
      </c>
      <c r="AY103" s="2">
        <v>0</v>
      </c>
      <c r="AZ103" s="2" t="s">
        <v>39</v>
      </c>
      <c r="BA103" s="14">
        <v>70000</v>
      </c>
      <c r="BB103" s="14">
        <f>SUM(Table_ship_components[[#This Row],[PRICE]]+(Table_ship_components[[#This Row],[COST_PER_ADD_PERSON]]*Table_ship_components[[#This Row],[OPTIONAL]]))</f>
        <v>70000</v>
      </c>
      <c r="BC103" s="2">
        <v>0</v>
      </c>
      <c r="BD103" s="2">
        <v>0</v>
      </c>
    </row>
    <row r="104" spans="1:56" x14ac:dyDescent="0.35">
      <c r="A104" t="s">
        <v>604</v>
      </c>
      <c r="B104" t="s">
        <v>601</v>
      </c>
      <c r="C104" s="2">
        <v>0</v>
      </c>
      <c r="D104" s="2">
        <v>2</v>
      </c>
      <c r="E104" s="2">
        <f>SUM(Table_ship_components[[#This Row],[UNIT_SIZE]]+(Table_ship_components[[#This Row],[SIZE_PER_ADD_PERSON]]*Table_ship_components[[#This Row],[OPTIONAL]]))</f>
        <v>2</v>
      </c>
      <c r="F104" s="2">
        <v>2</v>
      </c>
      <c r="G104" s="2">
        <f>SUM(Table_ship_components[[#This Row],[POWER_CONSUMPTION]]+(Table_ship_components[[#This Row],[POWER_PER_ADD_PERSON]]*Table_ship_components[[#This Row],[OPTIONAL]]))</f>
        <v>2</v>
      </c>
      <c r="H104" s="2">
        <v>0</v>
      </c>
      <c r="I104" s="2">
        <v>0</v>
      </c>
      <c r="J104" s="2">
        <v>0</v>
      </c>
      <c r="K104" s="2">
        <v>0</v>
      </c>
      <c r="L104" s="2">
        <v>0</v>
      </c>
      <c r="M104" s="2">
        <v>1</v>
      </c>
      <c r="N104" s="2">
        <v>0</v>
      </c>
      <c r="O104" s="2">
        <v>0</v>
      </c>
      <c r="P104" s="2">
        <v>0</v>
      </c>
      <c r="Q104" s="2">
        <v>0</v>
      </c>
      <c r="R104" s="2">
        <v>0</v>
      </c>
      <c r="S104" s="2">
        <v>0</v>
      </c>
      <c r="T104" s="2">
        <v>0</v>
      </c>
      <c r="U104" s="2">
        <v>0</v>
      </c>
      <c r="V104" s="2">
        <v>0</v>
      </c>
      <c r="W104" s="14">
        <v>0</v>
      </c>
      <c r="X104" s="2">
        <v>0</v>
      </c>
      <c r="Y104" s="2">
        <v>0</v>
      </c>
      <c r="Z104" s="2">
        <v>0</v>
      </c>
      <c r="AA104" s="2">
        <v>0</v>
      </c>
      <c r="AB104" s="2">
        <v>0</v>
      </c>
      <c r="AC104" s="2">
        <v>0</v>
      </c>
      <c r="AD104" s="2">
        <v>0</v>
      </c>
      <c r="AE104" s="2">
        <v>0</v>
      </c>
      <c r="AF104" s="2">
        <v>0</v>
      </c>
      <c r="AG104" s="2">
        <v>0</v>
      </c>
      <c r="AH104" s="2">
        <v>0</v>
      </c>
      <c r="AI104" s="2">
        <v>0</v>
      </c>
      <c r="AJ104" s="2">
        <v>0</v>
      </c>
      <c r="AK104" s="2">
        <v>0</v>
      </c>
      <c r="AL104" s="2">
        <v>0</v>
      </c>
      <c r="AM104" s="2">
        <v>0</v>
      </c>
      <c r="AN104" s="2">
        <v>0</v>
      </c>
      <c r="AO104" s="2">
        <v>0</v>
      </c>
      <c r="AP104" s="2">
        <v>0</v>
      </c>
      <c r="AQ104" s="2">
        <v>0</v>
      </c>
      <c r="AR104" s="2">
        <v>0</v>
      </c>
      <c r="AS104" s="2">
        <v>0</v>
      </c>
      <c r="AT104" s="2">
        <v>0</v>
      </c>
      <c r="AU104" s="2">
        <v>0</v>
      </c>
      <c r="AV104" s="2">
        <v>0</v>
      </c>
      <c r="AW104" s="2">
        <v>0</v>
      </c>
      <c r="AX104" s="2">
        <v>0</v>
      </c>
      <c r="AY104" s="2">
        <v>0</v>
      </c>
      <c r="AZ104" s="2" t="s">
        <v>39</v>
      </c>
      <c r="BA104" s="14">
        <v>140000</v>
      </c>
      <c r="BB104" s="14">
        <f>SUM(Table_ship_components[[#This Row],[PRICE]]+(Table_ship_components[[#This Row],[COST_PER_ADD_PERSON]]*Table_ship_components[[#This Row],[OPTIONAL]]))</f>
        <v>140000</v>
      </c>
      <c r="BC104" s="2">
        <v>0</v>
      </c>
      <c r="BD104" s="2">
        <v>0</v>
      </c>
    </row>
    <row r="105" spans="1:56" x14ac:dyDescent="0.35">
      <c r="A105" t="s">
        <v>605</v>
      </c>
      <c r="B105" t="s">
        <v>602</v>
      </c>
      <c r="C105" s="2">
        <v>0</v>
      </c>
      <c r="D105" s="2">
        <v>3</v>
      </c>
      <c r="E105" s="2">
        <f>SUM(Table_ship_components[[#This Row],[UNIT_SIZE]]+(Table_ship_components[[#This Row],[SIZE_PER_ADD_PERSON]]*Table_ship_components[[#This Row],[OPTIONAL]]))</f>
        <v>3</v>
      </c>
      <c r="F105" s="2">
        <v>3</v>
      </c>
      <c r="G105" s="2">
        <f>SUM(Table_ship_components[[#This Row],[POWER_CONSUMPTION]]+(Table_ship_components[[#This Row],[POWER_PER_ADD_PERSON]]*Table_ship_components[[#This Row],[OPTIONAL]]))</f>
        <v>3</v>
      </c>
      <c r="H105" s="2">
        <v>0</v>
      </c>
      <c r="I105" s="2">
        <v>0</v>
      </c>
      <c r="J105" s="2">
        <v>0</v>
      </c>
      <c r="K105" s="2">
        <v>0</v>
      </c>
      <c r="L105" s="2">
        <v>0</v>
      </c>
      <c r="M105" s="2">
        <v>1</v>
      </c>
      <c r="N105" s="2">
        <v>0</v>
      </c>
      <c r="O105" s="2">
        <v>0</v>
      </c>
      <c r="P105" s="2">
        <v>0</v>
      </c>
      <c r="Q105" s="2">
        <v>0</v>
      </c>
      <c r="R105" s="2">
        <v>0</v>
      </c>
      <c r="S105" s="2">
        <v>0</v>
      </c>
      <c r="T105" s="2">
        <v>0</v>
      </c>
      <c r="U105" s="2">
        <v>0</v>
      </c>
      <c r="V105" s="2">
        <v>0</v>
      </c>
      <c r="W105" s="14">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1</v>
      </c>
      <c r="AU105" s="2">
        <v>0</v>
      </c>
      <c r="AV105" s="2">
        <v>0</v>
      </c>
      <c r="AW105" s="2">
        <v>0</v>
      </c>
      <c r="AX105" s="2">
        <v>0</v>
      </c>
      <c r="AY105" s="2">
        <v>0</v>
      </c>
      <c r="AZ105" s="2" t="s">
        <v>39</v>
      </c>
      <c r="BA105" s="14">
        <v>280000</v>
      </c>
      <c r="BB105" s="14">
        <f>SUM(Table_ship_components[[#This Row],[PRICE]]+(Table_ship_components[[#This Row],[COST_PER_ADD_PERSON]]*Table_ship_components[[#This Row],[OPTIONAL]]))</f>
        <v>280000</v>
      </c>
      <c r="BC105" s="2">
        <v>0</v>
      </c>
      <c r="BD105" s="2">
        <v>0</v>
      </c>
    </row>
    <row r="106" spans="1:56" x14ac:dyDescent="0.35">
      <c r="A106" t="s">
        <v>606</v>
      </c>
      <c r="B106" t="s">
        <v>594</v>
      </c>
      <c r="C106" s="2">
        <v>0</v>
      </c>
      <c r="D106" s="2">
        <v>1</v>
      </c>
      <c r="E106" s="2">
        <f>SUM(Table_ship_components[[#This Row],[UNIT_SIZE]]+(Table_ship_components[[#This Row],[SIZE_PER_ADD_PERSON]]*Table_ship_components[[#This Row],[OPTIONAL]]))</f>
        <v>1</v>
      </c>
      <c r="F106" s="2">
        <v>1</v>
      </c>
      <c r="G106" s="2">
        <f>SUM(Table_ship_components[[#This Row],[POWER_CONSUMPTION]]+(Table_ship_components[[#This Row],[POWER_PER_ADD_PERSON]]*Table_ship_components[[#This Row],[OPTIONAL]]))</f>
        <v>1</v>
      </c>
      <c r="H106" s="2">
        <v>0</v>
      </c>
      <c r="I106" s="2">
        <v>0</v>
      </c>
      <c r="J106" s="2">
        <v>0</v>
      </c>
      <c r="K106" s="2">
        <v>0</v>
      </c>
      <c r="L106" s="2">
        <v>0</v>
      </c>
      <c r="M106" s="2">
        <v>0</v>
      </c>
      <c r="N106" s="2">
        <v>1</v>
      </c>
      <c r="O106" s="2">
        <v>0</v>
      </c>
      <c r="P106" s="2">
        <v>0</v>
      </c>
      <c r="Q106" s="2">
        <v>0</v>
      </c>
      <c r="R106" s="2">
        <v>0</v>
      </c>
      <c r="S106" s="2">
        <v>0</v>
      </c>
      <c r="T106" s="2">
        <v>0</v>
      </c>
      <c r="U106" s="2">
        <v>0</v>
      </c>
      <c r="V106" s="2">
        <v>0</v>
      </c>
      <c r="W106" s="14">
        <v>0</v>
      </c>
      <c r="X106" s="2">
        <v>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-1</v>
      </c>
      <c r="AU106" s="2">
        <v>0</v>
      </c>
      <c r="AV106" s="2">
        <v>0</v>
      </c>
      <c r="AW106" s="2">
        <v>0</v>
      </c>
      <c r="AX106" s="2">
        <v>0</v>
      </c>
      <c r="AY106" s="2">
        <v>0</v>
      </c>
      <c r="AZ106" s="2" t="s">
        <v>39</v>
      </c>
      <c r="BA106" s="14">
        <v>80000</v>
      </c>
      <c r="BB106" s="14">
        <f>SUM(Table_ship_components[[#This Row],[PRICE]]+(Table_ship_components[[#This Row],[COST_PER_ADD_PERSON]]*Table_ship_components[[#This Row],[OPTIONAL]]))</f>
        <v>80000</v>
      </c>
      <c r="BC106" s="2">
        <v>0</v>
      </c>
      <c r="BD106" s="2">
        <v>0</v>
      </c>
    </row>
    <row r="107" spans="1:56" x14ac:dyDescent="0.35">
      <c r="A107" t="s">
        <v>607</v>
      </c>
      <c r="B107" t="s">
        <v>595</v>
      </c>
      <c r="C107" s="2">
        <v>0</v>
      </c>
      <c r="D107" s="2">
        <v>2</v>
      </c>
      <c r="E107" s="2">
        <f>SUM(Table_ship_components[[#This Row],[UNIT_SIZE]]+(Table_ship_components[[#This Row],[SIZE_PER_ADD_PERSON]]*Table_ship_components[[#This Row],[OPTIONAL]]))</f>
        <v>2</v>
      </c>
      <c r="F107" s="2">
        <v>2</v>
      </c>
      <c r="G107" s="2">
        <f>SUM(Table_ship_components[[#This Row],[POWER_CONSUMPTION]]+(Table_ship_components[[#This Row],[POWER_PER_ADD_PERSON]]*Table_ship_components[[#This Row],[OPTIONAL]]))</f>
        <v>2</v>
      </c>
      <c r="H107" s="2">
        <v>0</v>
      </c>
      <c r="I107" s="2">
        <v>0</v>
      </c>
      <c r="J107" s="2">
        <v>0</v>
      </c>
      <c r="K107" s="2">
        <v>0</v>
      </c>
      <c r="L107" s="2">
        <v>0</v>
      </c>
      <c r="M107" s="2">
        <v>0</v>
      </c>
      <c r="N107" s="2">
        <v>1</v>
      </c>
      <c r="O107" s="2">
        <v>0</v>
      </c>
      <c r="P107" s="2">
        <v>0</v>
      </c>
      <c r="Q107" s="2">
        <v>0</v>
      </c>
      <c r="R107" s="2">
        <v>0</v>
      </c>
      <c r="S107" s="2">
        <v>0</v>
      </c>
      <c r="T107" s="2">
        <v>0</v>
      </c>
      <c r="U107" s="2">
        <v>0</v>
      </c>
      <c r="V107" s="2">
        <v>0</v>
      </c>
      <c r="W107" s="14">
        <v>0</v>
      </c>
      <c r="X107" s="2">
        <v>0</v>
      </c>
      <c r="Y107" s="2">
        <v>0</v>
      </c>
      <c r="Z107" s="2">
        <v>0</v>
      </c>
      <c r="AA107" s="2">
        <v>0</v>
      </c>
      <c r="AB107" s="2">
        <v>0</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0</v>
      </c>
      <c r="AX107" s="2">
        <v>0</v>
      </c>
      <c r="AY107" s="2">
        <v>0</v>
      </c>
      <c r="AZ107" s="2" t="s">
        <v>39</v>
      </c>
      <c r="BA107" s="14">
        <v>160000</v>
      </c>
      <c r="BB107" s="14">
        <f>SUM(Table_ship_components[[#This Row],[PRICE]]+(Table_ship_components[[#This Row],[COST_PER_ADD_PERSON]]*Table_ship_components[[#This Row],[OPTIONAL]]))</f>
        <v>160000</v>
      </c>
      <c r="BC107" s="2">
        <v>0</v>
      </c>
      <c r="BD107" s="2">
        <v>0</v>
      </c>
    </row>
    <row r="108" spans="1:56" x14ac:dyDescent="0.35">
      <c r="A108" t="s">
        <v>608</v>
      </c>
      <c r="B108" t="s">
        <v>596</v>
      </c>
      <c r="C108" s="2">
        <v>0</v>
      </c>
      <c r="D108" s="2">
        <v>3</v>
      </c>
      <c r="E108" s="2">
        <f>SUM(Table_ship_components[[#This Row],[UNIT_SIZE]]+(Table_ship_components[[#This Row],[SIZE_PER_ADD_PERSON]]*Table_ship_components[[#This Row],[OPTIONAL]]))</f>
        <v>3</v>
      </c>
      <c r="F108" s="2">
        <v>3</v>
      </c>
      <c r="G108" s="2">
        <f>SUM(Table_ship_components[[#This Row],[POWER_CONSUMPTION]]+(Table_ship_components[[#This Row],[POWER_PER_ADD_PERSON]]*Table_ship_components[[#This Row],[OPTIONAL]]))</f>
        <v>3</v>
      </c>
      <c r="H108" s="2">
        <v>0</v>
      </c>
      <c r="I108" s="2">
        <v>0</v>
      </c>
      <c r="J108" s="2">
        <v>0</v>
      </c>
      <c r="K108" s="2">
        <v>0</v>
      </c>
      <c r="L108" s="2">
        <v>0</v>
      </c>
      <c r="M108" s="2">
        <v>0</v>
      </c>
      <c r="N108" s="2">
        <v>1</v>
      </c>
      <c r="O108" s="2">
        <v>0</v>
      </c>
      <c r="P108" s="2">
        <v>0</v>
      </c>
      <c r="Q108" s="2">
        <v>0</v>
      </c>
      <c r="R108" s="2">
        <v>0</v>
      </c>
      <c r="S108" s="2">
        <v>0</v>
      </c>
      <c r="T108" s="2">
        <v>0</v>
      </c>
      <c r="U108" s="2">
        <v>0</v>
      </c>
      <c r="V108" s="2">
        <v>0</v>
      </c>
      <c r="W108" s="14">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0</v>
      </c>
      <c r="AP108" s="2">
        <v>0</v>
      </c>
      <c r="AQ108" s="2">
        <v>0</v>
      </c>
      <c r="AR108" s="2">
        <v>0</v>
      </c>
      <c r="AS108" s="2">
        <v>0</v>
      </c>
      <c r="AT108" s="2">
        <v>1</v>
      </c>
      <c r="AU108" s="2">
        <v>0</v>
      </c>
      <c r="AV108" s="2">
        <v>0</v>
      </c>
      <c r="AW108" s="2">
        <v>0</v>
      </c>
      <c r="AX108" s="2">
        <v>0</v>
      </c>
      <c r="AY108" s="2">
        <v>0</v>
      </c>
      <c r="AZ108" s="2" t="s">
        <v>39</v>
      </c>
      <c r="BA108" s="14">
        <v>320000</v>
      </c>
      <c r="BB108" s="14">
        <f>SUM(Table_ship_components[[#This Row],[PRICE]]+(Table_ship_components[[#This Row],[COST_PER_ADD_PERSON]]*Table_ship_components[[#This Row],[OPTIONAL]]))</f>
        <v>320000</v>
      </c>
      <c r="BC108" s="2">
        <v>0</v>
      </c>
      <c r="BD108" s="2">
        <v>0</v>
      </c>
    </row>
    <row r="109" spans="1:56" x14ac:dyDescent="0.35">
      <c r="A109" t="s">
        <v>609</v>
      </c>
      <c r="B109" t="s">
        <v>597</v>
      </c>
      <c r="C109" s="2">
        <v>0</v>
      </c>
      <c r="D109" s="2">
        <v>4</v>
      </c>
      <c r="E109" s="2">
        <f>SUM(Table_ship_components[[#This Row],[UNIT_SIZE]]+(Table_ship_components[[#This Row],[SIZE_PER_ADD_PERSON]]*Table_ship_components[[#This Row],[OPTIONAL]]))</f>
        <v>4</v>
      </c>
      <c r="F109" s="2">
        <v>4</v>
      </c>
      <c r="G109" s="2">
        <f>SUM(Table_ship_components[[#This Row],[POWER_CONSUMPTION]]+(Table_ship_components[[#This Row],[POWER_PER_ADD_PERSON]]*Table_ship_components[[#This Row],[OPTIONAL]]))</f>
        <v>4</v>
      </c>
      <c r="H109" s="2">
        <v>0</v>
      </c>
      <c r="I109" s="2">
        <v>0</v>
      </c>
      <c r="J109" s="2">
        <v>0</v>
      </c>
      <c r="K109" s="2">
        <v>0</v>
      </c>
      <c r="L109" s="2">
        <v>0</v>
      </c>
      <c r="M109" s="2">
        <v>0</v>
      </c>
      <c r="N109" s="2">
        <v>0</v>
      </c>
      <c r="O109" s="2">
        <v>1</v>
      </c>
      <c r="P109" s="2">
        <v>0</v>
      </c>
      <c r="Q109" s="2">
        <v>0</v>
      </c>
      <c r="R109" s="2">
        <v>0</v>
      </c>
      <c r="S109" s="2">
        <v>0</v>
      </c>
      <c r="T109" s="2">
        <v>0</v>
      </c>
      <c r="U109" s="2">
        <v>0</v>
      </c>
      <c r="V109" s="2">
        <v>0</v>
      </c>
      <c r="W109" s="14">
        <v>0</v>
      </c>
      <c r="X109" s="2">
        <v>0</v>
      </c>
      <c r="Y109" s="2">
        <v>0</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s="2">
        <v>0</v>
      </c>
      <c r="AQ109" s="2">
        <v>0</v>
      </c>
      <c r="AR109" s="2">
        <v>0</v>
      </c>
      <c r="AS109" s="2">
        <v>0</v>
      </c>
      <c r="AT109" s="2">
        <v>-1</v>
      </c>
      <c r="AU109" s="2">
        <v>0</v>
      </c>
      <c r="AV109" s="2">
        <v>0</v>
      </c>
      <c r="AW109" s="2">
        <v>0</v>
      </c>
      <c r="AX109" s="2">
        <v>0</v>
      </c>
      <c r="AY109" s="2">
        <v>0</v>
      </c>
      <c r="AZ109" s="2" t="s">
        <v>39</v>
      </c>
      <c r="BA109" s="14">
        <v>120000</v>
      </c>
      <c r="BB109" s="14">
        <f>SUM(Table_ship_components[[#This Row],[PRICE]]+(Table_ship_components[[#This Row],[COST_PER_ADD_PERSON]]*Table_ship_components[[#This Row],[OPTIONAL]]))</f>
        <v>120000</v>
      </c>
      <c r="BC109" s="2">
        <v>0</v>
      </c>
      <c r="BD109" s="2">
        <v>0</v>
      </c>
    </row>
    <row r="110" spans="1:56" x14ac:dyDescent="0.35">
      <c r="A110" t="s">
        <v>610</v>
      </c>
      <c r="B110" t="s">
        <v>598</v>
      </c>
      <c r="C110" s="2">
        <v>0</v>
      </c>
      <c r="D110" s="2">
        <v>5</v>
      </c>
      <c r="E110" s="2">
        <f>SUM(Table_ship_components[[#This Row],[UNIT_SIZE]]+(Table_ship_components[[#This Row],[SIZE_PER_ADD_PERSON]]*Table_ship_components[[#This Row],[OPTIONAL]]))</f>
        <v>5</v>
      </c>
      <c r="F110" s="2">
        <v>5</v>
      </c>
      <c r="G110" s="2">
        <f>SUM(Table_ship_components[[#This Row],[POWER_CONSUMPTION]]+(Table_ship_components[[#This Row],[POWER_PER_ADD_PERSON]]*Table_ship_components[[#This Row],[OPTIONAL]]))</f>
        <v>5</v>
      </c>
      <c r="H110" s="2">
        <v>0</v>
      </c>
      <c r="I110" s="2">
        <v>0</v>
      </c>
      <c r="J110" s="2">
        <v>0</v>
      </c>
      <c r="K110" s="2">
        <v>0</v>
      </c>
      <c r="L110" s="2">
        <v>0</v>
      </c>
      <c r="M110" s="2">
        <v>0</v>
      </c>
      <c r="N110" s="2">
        <v>0</v>
      </c>
      <c r="O110" s="2">
        <v>1</v>
      </c>
      <c r="P110" s="2">
        <v>0</v>
      </c>
      <c r="Q110" s="2">
        <v>0</v>
      </c>
      <c r="R110" s="2">
        <v>0</v>
      </c>
      <c r="S110" s="2">
        <v>0</v>
      </c>
      <c r="T110" s="2">
        <v>0</v>
      </c>
      <c r="U110" s="2">
        <v>0</v>
      </c>
      <c r="V110" s="2">
        <v>0</v>
      </c>
      <c r="W110" s="14">
        <v>0</v>
      </c>
      <c r="X110" s="2">
        <v>0</v>
      </c>
      <c r="Y110" s="2">
        <v>0</v>
      </c>
      <c r="Z110" s="2">
        <v>0</v>
      </c>
      <c r="AA110" s="2">
        <v>0</v>
      </c>
      <c r="AB110" s="2">
        <v>0</v>
      </c>
      <c r="AC110" s="2">
        <v>0</v>
      </c>
      <c r="AD110" s="2">
        <v>0</v>
      </c>
      <c r="AE110" s="2">
        <v>0</v>
      </c>
      <c r="AF110" s="2">
        <v>0</v>
      </c>
      <c r="AG110" s="2">
        <v>0</v>
      </c>
      <c r="AH110" s="2">
        <v>0</v>
      </c>
      <c r="AI110" s="2">
        <v>0</v>
      </c>
      <c r="AJ110" s="2">
        <v>0</v>
      </c>
      <c r="AK110" s="2">
        <v>0</v>
      </c>
      <c r="AL110" s="2">
        <v>0</v>
      </c>
      <c r="AM110" s="2">
        <v>0</v>
      </c>
      <c r="AN110" s="2">
        <v>0</v>
      </c>
      <c r="AO110" s="2">
        <v>0</v>
      </c>
      <c r="AP110" s="2">
        <v>0</v>
      </c>
      <c r="AQ110" s="2">
        <v>0</v>
      </c>
      <c r="AR110" s="2">
        <v>0</v>
      </c>
      <c r="AS110" s="2">
        <v>0</v>
      </c>
      <c r="AT110" s="2">
        <v>0</v>
      </c>
      <c r="AU110" s="2">
        <v>0</v>
      </c>
      <c r="AV110" s="2">
        <v>0</v>
      </c>
      <c r="AW110" s="2">
        <v>0</v>
      </c>
      <c r="AX110" s="2">
        <v>0</v>
      </c>
      <c r="AY110" s="2">
        <v>0</v>
      </c>
      <c r="AZ110" s="2" t="s">
        <v>39</v>
      </c>
      <c r="BA110" s="14">
        <v>240000</v>
      </c>
      <c r="BB110" s="14">
        <f>SUM(Table_ship_components[[#This Row],[PRICE]]+(Table_ship_components[[#This Row],[COST_PER_ADD_PERSON]]*Table_ship_components[[#This Row],[OPTIONAL]]))</f>
        <v>240000</v>
      </c>
      <c r="BC110" s="2">
        <v>0</v>
      </c>
      <c r="BD110" s="2">
        <v>0</v>
      </c>
    </row>
    <row r="111" spans="1:56" x14ac:dyDescent="0.35">
      <c r="A111" t="s">
        <v>611</v>
      </c>
      <c r="B111" t="s">
        <v>599</v>
      </c>
      <c r="C111" s="2">
        <v>0</v>
      </c>
      <c r="D111" s="2">
        <v>6</v>
      </c>
      <c r="E111" s="2">
        <f>SUM(Table_ship_components[[#This Row],[UNIT_SIZE]]+(Table_ship_components[[#This Row],[SIZE_PER_ADD_PERSON]]*Table_ship_components[[#This Row],[OPTIONAL]]))</f>
        <v>6</v>
      </c>
      <c r="F111" s="2">
        <v>6</v>
      </c>
      <c r="G111" s="2">
        <f>SUM(Table_ship_components[[#This Row],[POWER_CONSUMPTION]]+(Table_ship_components[[#This Row],[POWER_PER_ADD_PERSON]]*Table_ship_components[[#This Row],[OPTIONAL]]))</f>
        <v>6</v>
      </c>
      <c r="H111" s="2">
        <v>0</v>
      </c>
      <c r="I111" s="2">
        <v>0</v>
      </c>
      <c r="J111" s="2">
        <v>0</v>
      </c>
      <c r="K111" s="2">
        <v>0</v>
      </c>
      <c r="L111" s="2">
        <v>0</v>
      </c>
      <c r="M111" s="2">
        <v>0</v>
      </c>
      <c r="N111" s="2">
        <v>0</v>
      </c>
      <c r="O111" s="2">
        <v>1</v>
      </c>
      <c r="P111" s="2">
        <v>0</v>
      </c>
      <c r="Q111" s="2">
        <v>0</v>
      </c>
      <c r="R111" s="2">
        <v>0</v>
      </c>
      <c r="S111" s="2">
        <v>0</v>
      </c>
      <c r="T111" s="2">
        <v>0</v>
      </c>
      <c r="U111" s="2">
        <v>0</v>
      </c>
      <c r="V111" s="2">
        <v>0</v>
      </c>
      <c r="W111" s="14">
        <v>0</v>
      </c>
      <c r="X111" s="2">
        <v>0</v>
      </c>
      <c r="Y111" s="2">
        <v>0</v>
      </c>
      <c r="Z111" s="2">
        <v>0</v>
      </c>
      <c r="AA111" s="2">
        <v>0</v>
      </c>
      <c r="AB111" s="2">
        <v>0</v>
      </c>
      <c r="AC111" s="2">
        <v>0</v>
      </c>
      <c r="AD111" s="2">
        <v>0</v>
      </c>
      <c r="AE111" s="2">
        <v>0</v>
      </c>
      <c r="AF111" s="2">
        <v>0</v>
      </c>
      <c r="AG111" s="2">
        <v>0</v>
      </c>
      <c r="AH111" s="2">
        <v>0</v>
      </c>
      <c r="AI111" s="2">
        <v>0</v>
      </c>
      <c r="AJ111" s="2">
        <v>0</v>
      </c>
      <c r="AK111" s="2">
        <v>0</v>
      </c>
      <c r="AL111" s="2">
        <v>0</v>
      </c>
      <c r="AM111" s="2">
        <v>0</v>
      </c>
      <c r="AN111" s="2">
        <v>0</v>
      </c>
      <c r="AO111" s="2">
        <v>0</v>
      </c>
      <c r="AP111" s="2">
        <v>0</v>
      </c>
      <c r="AQ111" s="2">
        <v>0</v>
      </c>
      <c r="AR111" s="2">
        <v>0</v>
      </c>
      <c r="AS111" s="2">
        <v>0</v>
      </c>
      <c r="AT111" s="2">
        <v>1</v>
      </c>
      <c r="AU111" s="2">
        <v>0</v>
      </c>
      <c r="AV111" s="2">
        <v>0</v>
      </c>
      <c r="AW111" s="2">
        <v>0</v>
      </c>
      <c r="AX111" s="2">
        <v>0</v>
      </c>
      <c r="AY111" s="2">
        <v>0</v>
      </c>
      <c r="AZ111" s="2" t="s">
        <v>39</v>
      </c>
      <c r="BA111" s="14">
        <v>480000</v>
      </c>
      <c r="BB111" s="14">
        <f>SUM(Table_ship_components[[#This Row],[PRICE]]+(Table_ship_components[[#This Row],[COST_PER_ADD_PERSON]]*Table_ship_components[[#This Row],[OPTIONAL]]))</f>
        <v>480000</v>
      </c>
      <c r="BC111" s="2">
        <v>0</v>
      </c>
      <c r="BD111" s="2">
        <v>0</v>
      </c>
    </row>
    <row r="112" spans="1:56" x14ac:dyDescent="0.35">
      <c r="A112" t="s">
        <v>449</v>
      </c>
      <c r="B112" t="s">
        <v>450</v>
      </c>
      <c r="C112" s="2">
        <v>0</v>
      </c>
      <c r="D112" s="2">
        <v>8</v>
      </c>
      <c r="E112" s="2">
        <f>SUM(Table_ship_components[[#This Row],[UNIT_SIZE]]+(Table_ship_components[[#This Row],[SIZE_PER_ADD_PERSON]]*Table_ship_components[[#This Row],[OPTIONAL]]))</f>
        <v>8</v>
      </c>
      <c r="F112" s="2">
        <v>8</v>
      </c>
      <c r="G112" s="2">
        <f>SUM(Table_ship_components[[#This Row],[POWER_CONSUMPTION]]+(Table_ship_components[[#This Row],[POWER_PER_ADD_PERSON]]*Table_ship_components[[#This Row],[OPTIONAL]]))</f>
        <v>8</v>
      </c>
      <c r="H112" s="2">
        <v>0</v>
      </c>
      <c r="I112" s="2">
        <v>0</v>
      </c>
      <c r="J112" s="2">
        <v>0</v>
      </c>
      <c r="K112" s="2">
        <v>0</v>
      </c>
      <c r="L112" s="2">
        <v>0</v>
      </c>
      <c r="M112" s="2">
        <v>0</v>
      </c>
      <c r="N112" s="2">
        <v>0</v>
      </c>
      <c r="O112" s="2">
        <v>1</v>
      </c>
      <c r="P112" s="2">
        <v>1</v>
      </c>
      <c r="Q112" s="2">
        <v>1</v>
      </c>
      <c r="R112" s="2">
        <v>1</v>
      </c>
      <c r="S112" s="2">
        <v>1</v>
      </c>
      <c r="T112" s="2">
        <v>1</v>
      </c>
      <c r="U112" s="2">
        <v>1</v>
      </c>
      <c r="V112" s="2">
        <v>2</v>
      </c>
      <c r="W112" s="14">
        <v>20000</v>
      </c>
      <c r="X112" s="2">
        <v>2</v>
      </c>
      <c r="Y112" s="2">
        <v>0</v>
      </c>
      <c r="Z112" s="2">
        <v>0</v>
      </c>
      <c r="AA112" s="2">
        <v>0</v>
      </c>
      <c r="AB112" s="2">
        <v>0</v>
      </c>
      <c r="AC112" s="2">
        <v>0</v>
      </c>
      <c r="AD112" s="2">
        <v>0</v>
      </c>
      <c r="AE112" s="2">
        <v>0</v>
      </c>
      <c r="AF112" s="2">
        <v>0</v>
      </c>
      <c r="AG112" s="2">
        <v>0</v>
      </c>
      <c r="AH112" s="2">
        <v>0</v>
      </c>
      <c r="AI112" s="2">
        <v>0</v>
      </c>
      <c r="AJ112" s="2">
        <v>0</v>
      </c>
      <c r="AK112" s="2">
        <v>0</v>
      </c>
      <c r="AL112" s="2">
        <v>0</v>
      </c>
      <c r="AM112" s="2">
        <v>0</v>
      </c>
      <c r="AN112" s="2">
        <v>0</v>
      </c>
      <c r="AO112" s="2">
        <v>0</v>
      </c>
      <c r="AP112" s="2">
        <v>0</v>
      </c>
      <c r="AQ112" s="2">
        <v>0</v>
      </c>
      <c r="AR112" s="2">
        <v>0</v>
      </c>
      <c r="AS112" s="2">
        <v>0</v>
      </c>
      <c r="AT112" s="2">
        <v>0</v>
      </c>
      <c r="AU112" s="2">
        <v>0</v>
      </c>
      <c r="AV112" s="2">
        <v>0</v>
      </c>
      <c r="AW112" s="2">
        <v>0</v>
      </c>
      <c r="AX112" s="2">
        <v>0</v>
      </c>
      <c r="AY112" s="2">
        <v>0</v>
      </c>
      <c r="AZ112" s="2" t="s">
        <v>39</v>
      </c>
      <c r="BA112" s="14">
        <v>125000</v>
      </c>
      <c r="BB112" s="14">
        <f>SUM(Table_ship_components[[#This Row],[PRICE]]+(Table_ship_components[[#This Row],[COST_PER_ADD_PERSON]]*Table_ship_components[[#This Row],[OPTIONAL]]))</f>
        <v>125000</v>
      </c>
      <c r="BC112" s="2">
        <v>0</v>
      </c>
      <c r="BD112" s="2">
        <v>0</v>
      </c>
    </row>
    <row r="113" spans="1:56" x14ac:dyDescent="0.35">
      <c r="A113" t="s">
        <v>360</v>
      </c>
      <c r="B113" t="s">
        <v>522</v>
      </c>
      <c r="C113" s="2">
        <v>0</v>
      </c>
      <c r="D113" s="2">
        <v>10</v>
      </c>
      <c r="E113" s="2">
        <f>SUM(Table_ship_components[[#This Row],[UNIT_SIZE]]+(Table_ship_components[[#This Row],[SIZE_PER_ADD_PERSON]]*Table_ship_components[[#This Row],[OPTIONAL]]))</f>
        <v>10</v>
      </c>
      <c r="F113" s="2">
        <v>0</v>
      </c>
      <c r="G113" s="2">
        <f>SUM(Table_ship_components[[#This Row],[POWER_CONSUMPTION]]+(Table_ship_components[[#This Row],[POWER_PER_ADD_PERSON]]*Table_ship_components[[#This Row],[OPTIONAL]]))</f>
        <v>0</v>
      </c>
      <c r="H113" s="2">
        <v>15</v>
      </c>
      <c r="I113" s="2">
        <v>0</v>
      </c>
      <c r="J113" s="2">
        <v>0</v>
      </c>
      <c r="K113" s="2">
        <v>0</v>
      </c>
      <c r="L113" s="2">
        <v>0</v>
      </c>
      <c r="M113" s="2">
        <v>0</v>
      </c>
      <c r="N113" s="2">
        <v>0</v>
      </c>
      <c r="O113" s="2">
        <v>1</v>
      </c>
      <c r="P113" s="2">
        <v>0</v>
      </c>
      <c r="Q113" s="2">
        <v>0</v>
      </c>
      <c r="R113" s="2">
        <v>0</v>
      </c>
      <c r="S113" s="2">
        <v>0</v>
      </c>
      <c r="T113" s="2">
        <v>0</v>
      </c>
      <c r="U113" s="2">
        <v>0</v>
      </c>
      <c r="V113" s="2">
        <v>0</v>
      </c>
      <c r="W113" s="14">
        <v>0</v>
      </c>
      <c r="X113" s="2">
        <v>0</v>
      </c>
      <c r="Y113" s="2">
        <v>0</v>
      </c>
      <c r="Z113" s="2">
        <v>0</v>
      </c>
      <c r="AA113" s="2">
        <v>0</v>
      </c>
      <c r="AB113" s="2">
        <v>0</v>
      </c>
      <c r="AC113" s="2">
        <v>0</v>
      </c>
      <c r="AD113" s="2">
        <v>0</v>
      </c>
      <c r="AE113" s="2">
        <v>0</v>
      </c>
      <c r="AF113" s="2">
        <v>0</v>
      </c>
      <c r="AG113" s="2">
        <v>0</v>
      </c>
      <c r="AH113" s="2">
        <v>0</v>
      </c>
      <c r="AI113" s="2">
        <v>0</v>
      </c>
      <c r="AJ113" s="2">
        <v>0</v>
      </c>
      <c r="AK113" s="2">
        <v>1</v>
      </c>
      <c r="AL113" s="2">
        <v>0</v>
      </c>
      <c r="AM113" s="2">
        <v>0</v>
      </c>
      <c r="AN113" s="2">
        <v>0</v>
      </c>
      <c r="AO113" s="2">
        <v>0</v>
      </c>
      <c r="AP113" s="2">
        <v>0</v>
      </c>
      <c r="AQ113" s="2">
        <v>0</v>
      </c>
      <c r="AR113" s="2">
        <v>0</v>
      </c>
      <c r="AS113" s="2">
        <v>0</v>
      </c>
      <c r="AT113" s="2">
        <v>0</v>
      </c>
      <c r="AU113" s="2">
        <v>0</v>
      </c>
      <c r="AV113" s="2">
        <v>0</v>
      </c>
      <c r="AW113" s="2">
        <v>0</v>
      </c>
      <c r="AX113" s="2">
        <v>0</v>
      </c>
      <c r="AY113" s="2">
        <v>0</v>
      </c>
      <c r="AZ113" s="2" t="s">
        <v>39</v>
      </c>
      <c r="BA113" s="14">
        <v>150000</v>
      </c>
      <c r="BB113" s="14">
        <f>SUM(Table_ship_components[[#This Row],[PRICE]]+(Table_ship_components[[#This Row],[COST_PER_ADD_PERSON]]*Table_ship_components[[#This Row],[OPTIONAL]]))</f>
        <v>150000</v>
      </c>
      <c r="BC113" s="2">
        <v>0</v>
      </c>
      <c r="BD113" s="2">
        <v>0</v>
      </c>
    </row>
    <row r="114" spans="1:56" x14ac:dyDescent="0.35">
      <c r="A114" t="s">
        <v>361</v>
      </c>
      <c r="B114" t="s">
        <v>523</v>
      </c>
      <c r="C114" s="2">
        <v>0</v>
      </c>
      <c r="D114" s="2">
        <v>13</v>
      </c>
      <c r="E114" s="2">
        <f>SUM(Table_ship_components[[#This Row],[UNIT_SIZE]]+(Table_ship_components[[#This Row],[SIZE_PER_ADD_PERSON]]*Table_ship_components[[#This Row],[OPTIONAL]]))</f>
        <v>13</v>
      </c>
      <c r="F114" s="2">
        <v>0</v>
      </c>
      <c r="G114" s="2">
        <f>SUM(Table_ship_components[[#This Row],[POWER_CONSUMPTION]]+(Table_ship_components[[#This Row],[POWER_PER_ADD_PERSON]]*Table_ship_components[[#This Row],[OPTIONAL]]))</f>
        <v>0</v>
      </c>
      <c r="H114" s="2">
        <v>25</v>
      </c>
      <c r="I114" s="2">
        <v>0</v>
      </c>
      <c r="J114" s="2">
        <v>0</v>
      </c>
      <c r="K114" s="2">
        <v>0</v>
      </c>
      <c r="L114" s="2">
        <v>0</v>
      </c>
      <c r="M114" s="2">
        <v>0</v>
      </c>
      <c r="N114" s="2">
        <v>0</v>
      </c>
      <c r="O114" s="2">
        <v>1</v>
      </c>
      <c r="P114" s="2">
        <v>0</v>
      </c>
      <c r="Q114" s="2">
        <v>0</v>
      </c>
      <c r="R114" s="2">
        <v>0</v>
      </c>
      <c r="S114" s="2">
        <v>0</v>
      </c>
      <c r="T114" s="2">
        <v>0</v>
      </c>
      <c r="U114" s="2">
        <v>0</v>
      </c>
      <c r="V114" s="2">
        <v>0</v>
      </c>
      <c r="W114" s="14">
        <v>0</v>
      </c>
      <c r="X114" s="2">
        <v>0</v>
      </c>
      <c r="Y114" s="2">
        <v>0</v>
      </c>
      <c r="Z114" s="2">
        <v>0</v>
      </c>
      <c r="AA114" s="2">
        <v>0</v>
      </c>
      <c r="AB114" s="2">
        <v>0</v>
      </c>
      <c r="AC114" s="2">
        <v>0</v>
      </c>
      <c r="AD114" s="2">
        <v>0</v>
      </c>
      <c r="AE114" s="2">
        <v>0</v>
      </c>
      <c r="AF114" s="2">
        <v>0</v>
      </c>
      <c r="AG114" s="2">
        <v>0</v>
      </c>
      <c r="AH114" s="2">
        <v>0</v>
      </c>
      <c r="AI114" s="2">
        <v>0</v>
      </c>
      <c r="AJ114" s="2">
        <v>0</v>
      </c>
      <c r="AK114" s="2">
        <v>2</v>
      </c>
      <c r="AL114" s="2">
        <v>0</v>
      </c>
      <c r="AM114" s="2">
        <v>0</v>
      </c>
      <c r="AN114" s="2">
        <v>0</v>
      </c>
      <c r="AO114" s="2">
        <v>0</v>
      </c>
      <c r="AP114" s="2">
        <v>0</v>
      </c>
      <c r="AQ114" s="2">
        <v>0</v>
      </c>
      <c r="AR114" s="2">
        <v>0</v>
      </c>
      <c r="AS114" s="2">
        <v>0</v>
      </c>
      <c r="AT114" s="2">
        <v>0</v>
      </c>
      <c r="AU114" s="2">
        <v>0</v>
      </c>
      <c r="AV114" s="2">
        <v>0</v>
      </c>
      <c r="AW114" s="2">
        <v>0</v>
      </c>
      <c r="AX114" s="2">
        <v>0</v>
      </c>
      <c r="AY114" s="2">
        <v>0</v>
      </c>
      <c r="AZ114" s="2" t="s">
        <v>39</v>
      </c>
      <c r="BA114" s="14">
        <v>600000</v>
      </c>
      <c r="BB114" s="14">
        <f>SUM(Table_ship_components[[#This Row],[PRICE]]+(Table_ship_components[[#This Row],[COST_PER_ADD_PERSON]]*Table_ship_components[[#This Row],[OPTIONAL]]))</f>
        <v>600000</v>
      </c>
      <c r="BC114" s="2">
        <v>0</v>
      </c>
      <c r="BD114" s="2">
        <v>0</v>
      </c>
    </row>
    <row r="115" spans="1:56" x14ac:dyDescent="0.35">
      <c r="A115" t="s">
        <v>362</v>
      </c>
      <c r="B115" t="s">
        <v>524</v>
      </c>
      <c r="C115" s="2">
        <v>0</v>
      </c>
      <c r="D115" s="2">
        <v>18</v>
      </c>
      <c r="E115" s="2">
        <f>SUM(Table_ship_components[[#This Row],[UNIT_SIZE]]+(Table_ship_components[[#This Row],[SIZE_PER_ADD_PERSON]]*Table_ship_components[[#This Row],[OPTIONAL]]))</f>
        <v>18</v>
      </c>
      <c r="F115" s="2">
        <v>0</v>
      </c>
      <c r="G115" s="2">
        <f>SUM(Table_ship_components[[#This Row],[POWER_CONSUMPTION]]+(Table_ship_components[[#This Row],[POWER_PER_ADD_PERSON]]*Table_ship_components[[#This Row],[OPTIONAL]]))</f>
        <v>0</v>
      </c>
      <c r="H115" s="2">
        <v>35</v>
      </c>
      <c r="I115" s="2">
        <v>0</v>
      </c>
      <c r="J115" s="2">
        <v>0</v>
      </c>
      <c r="K115" s="2">
        <v>0</v>
      </c>
      <c r="L115" s="2">
        <v>0</v>
      </c>
      <c r="M115" s="2">
        <v>0</v>
      </c>
      <c r="N115" s="2">
        <v>0</v>
      </c>
      <c r="O115" s="2">
        <v>1</v>
      </c>
      <c r="P115" s="2">
        <v>0</v>
      </c>
      <c r="Q115" s="2">
        <v>0</v>
      </c>
      <c r="R115" s="2">
        <v>0</v>
      </c>
      <c r="S115" s="2">
        <v>0</v>
      </c>
      <c r="T115" s="2">
        <v>0</v>
      </c>
      <c r="U115" s="2">
        <v>0</v>
      </c>
      <c r="V115" s="2">
        <v>0</v>
      </c>
      <c r="W115" s="14">
        <v>0</v>
      </c>
      <c r="X115" s="2">
        <v>0</v>
      </c>
      <c r="Y115" s="2">
        <v>0</v>
      </c>
      <c r="Z115" s="2">
        <v>0</v>
      </c>
      <c r="AA115" s="2">
        <v>0</v>
      </c>
      <c r="AB115" s="2">
        <v>0</v>
      </c>
      <c r="AC115" s="2">
        <v>0</v>
      </c>
      <c r="AD115" s="2">
        <v>0</v>
      </c>
      <c r="AE115" s="2">
        <v>0</v>
      </c>
      <c r="AF115" s="2">
        <v>0</v>
      </c>
      <c r="AG115" s="2">
        <v>0</v>
      </c>
      <c r="AH115" s="2">
        <v>0</v>
      </c>
      <c r="AI115" s="2">
        <v>0</v>
      </c>
      <c r="AJ115" s="2">
        <v>0</v>
      </c>
      <c r="AK115" s="2">
        <v>3</v>
      </c>
      <c r="AL115" s="2">
        <v>0</v>
      </c>
      <c r="AM115" s="2">
        <v>0</v>
      </c>
      <c r="AN115" s="2">
        <v>0</v>
      </c>
      <c r="AO115" s="2">
        <v>0</v>
      </c>
      <c r="AP115" s="2">
        <v>0</v>
      </c>
      <c r="AQ115" s="2">
        <v>0</v>
      </c>
      <c r="AR115" s="2">
        <v>0</v>
      </c>
      <c r="AS115" s="2">
        <v>0</v>
      </c>
      <c r="AT115" s="2">
        <v>0</v>
      </c>
      <c r="AU115" s="2">
        <v>0</v>
      </c>
      <c r="AV115" s="2">
        <v>0</v>
      </c>
      <c r="AW115" s="2">
        <v>0</v>
      </c>
      <c r="AX115" s="2">
        <v>0</v>
      </c>
      <c r="AY115" s="2">
        <v>0</v>
      </c>
      <c r="AZ115" s="2" t="s">
        <v>39</v>
      </c>
      <c r="BA115" s="14">
        <v>2400000</v>
      </c>
      <c r="BB115" s="14">
        <f>SUM(Table_ship_components[[#This Row],[PRICE]]+(Table_ship_components[[#This Row],[COST_PER_ADD_PERSON]]*Table_ship_components[[#This Row],[OPTIONAL]]))</f>
        <v>2400000</v>
      </c>
      <c r="BC115" s="2">
        <v>0</v>
      </c>
      <c r="BD115" s="2">
        <v>0</v>
      </c>
    </row>
    <row r="116" spans="1:56" x14ac:dyDescent="0.35">
      <c r="A116" t="s">
        <v>391</v>
      </c>
      <c r="B116" t="s">
        <v>239</v>
      </c>
      <c r="C116" s="2">
        <v>0</v>
      </c>
      <c r="D116" s="2">
        <v>4</v>
      </c>
      <c r="E116" s="2">
        <f>SUM(Table_ship_components[[#This Row],[UNIT_SIZE]]+(Table_ship_components[[#This Row],[SIZE_PER_ADD_PERSON]]*Table_ship_components[[#This Row],[OPTIONAL]]))</f>
        <v>4</v>
      </c>
      <c r="F116" s="2">
        <v>0</v>
      </c>
      <c r="G116" s="2">
        <f>SUM(Table_ship_components[[#This Row],[POWER_CONSUMPTION]]+(Table_ship_components[[#This Row],[POWER_PER_ADD_PERSON]]*Table_ship_components[[#This Row],[OPTIONAL]]))</f>
        <v>0</v>
      </c>
      <c r="H116" s="2">
        <v>2</v>
      </c>
      <c r="I116" s="2">
        <v>0</v>
      </c>
      <c r="J116" s="2">
        <v>0</v>
      </c>
      <c r="K116" s="2">
        <v>0</v>
      </c>
      <c r="L116" s="2">
        <v>0</v>
      </c>
      <c r="M116" s="2">
        <v>0</v>
      </c>
      <c r="N116" s="2">
        <v>1</v>
      </c>
      <c r="O116" s="2">
        <v>0</v>
      </c>
      <c r="P116" s="2">
        <v>0</v>
      </c>
      <c r="Q116" s="2">
        <v>0</v>
      </c>
      <c r="R116" s="2">
        <v>0</v>
      </c>
      <c r="S116" s="2">
        <v>0</v>
      </c>
      <c r="T116" s="2">
        <v>0</v>
      </c>
      <c r="U116" s="2">
        <v>0</v>
      </c>
      <c r="V116" s="2">
        <v>0</v>
      </c>
      <c r="W116" s="14">
        <v>0</v>
      </c>
      <c r="X116" s="2">
        <v>0</v>
      </c>
      <c r="Y116" s="2">
        <v>0</v>
      </c>
      <c r="Z116" s="2">
        <v>0</v>
      </c>
      <c r="AA116" s="2">
        <v>0</v>
      </c>
      <c r="AB116" s="2">
        <v>0</v>
      </c>
      <c r="AC116" s="2">
        <v>0</v>
      </c>
      <c r="AD116" s="2">
        <v>0</v>
      </c>
      <c r="AE116" s="2">
        <v>0</v>
      </c>
      <c r="AF116" s="2">
        <v>0</v>
      </c>
      <c r="AG116" s="2">
        <v>1</v>
      </c>
      <c r="AH116" s="2">
        <v>0</v>
      </c>
      <c r="AI116" s="2">
        <v>0</v>
      </c>
      <c r="AJ116" s="2">
        <v>0</v>
      </c>
      <c r="AK116" s="2">
        <v>0</v>
      </c>
      <c r="AL116" s="2">
        <v>0</v>
      </c>
      <c r="AM116" s="2">
        <v>0</v>
      </c>
      <c r="AN116" s="2">
        <v>0</v>
      </c>
      <c r="AO116" s="2">
        <v>0</v>
      </c>
      <c r="AP116" s="2">
        <v>0</v>
      </c>
      <c r="AQ116" s="2">
        <v>0</v>
      </c>
      <c r="AR116" s="2">
        <v>0</v>
      </c>
      <c r="AS116" s="2">
        <v>0</v>
      </c>
      <c r="AT116" s="2">
        <v>0</v>
      </c>
      <c r="AU116" s="2">
        <v>0</v>
      </c>
      <c r="AV116" s="2">
        <v>0</v>
      </c>
      <c r="AW116" s="2">
        <v>0</v>
      </c>
      <c r="AX116" s="2">
        <v>0</v>
      </c>
      <c r="AY116" s="2">
        <v>0</v>
      </c>
      <c r="AZ116" s="2" t="s">
        <v>39</v>
      </c>
      <c r="BA116" s="14">
        <v>400000</v>
      </c>
      <c r="BB116" s="14">
        <f>SUM(Table_ship_components[[#This Row],[PRICE]]+(Table_ship_components[[#This Row],[COST_PER_ADD_PERSON]]*Table_ship_components[[#This Row],[OPTIONAL]]))</f>
        <v>400000</v>
      </c>
      <c r="BC116" s="2">
        <v>0</v>
      </c>
      <c r="BD116" s="2">
        <v>0</v>
      </c>
    </row>
    <row r="117" spans="1:56" x14ac:dyDescent="0.35">
      <c r="A117" t="s">
        <v>392</v>
      </c>
      <c r="B117" t="s">
        <v>238</v>
      </c>
      <c r="C117" s="2">
        <v>0</v>
      </c>
      <c r="D117" s="2">
        <v>10</v>
      </c>
      <c r="E117" s="2">
        <f>SUM(Table_ship_components[[#This Row],[UNIT_SIZE]]+(Table_ship_components[[#This Row],[SIZE_PER_ADD_PERSON]]*Table_ship_components[[#This Row],[OPTIONAL]]))</f>
        <v>10</v>
      </c>
      <c r="F117" s="2">
        <v>0</v>
      </c>
      <c r="G117" s="2">
        <f>SUM(Table_ship_components[[#This Row],[POWER_CONSUMPTION]]+(Table_ship_components[[#This Row],[POWER_PER_ADD_PERSON]]*Table_ship_components[[#This Row],[OPTIONAL]]))</f>
        <v>0</v>
      </c>
      <c r="H117" s="2">
        <v>4</v>
      </c>
      <c r="I117" s="2">
        <v>0</v>
      </c>
      <c r="J117" s="2">
        <v>0</v>
      </c>
      <c r="K117" s="2">
        <v>0</v>
      </c>
      <c r="L117" s="2">
        <v>0</v>
      </c>
      <c r="M117" s="2">
        <v>0</v>
      </c>
      <c r="N117" s="2">
        <v>1</v>
      </c>
      <c r="O117" s="2">
        <v>0</v>
      </c>
      <c r="P117" s="2">
        <v>0</v>
      </c>
      <c r="Q117" s="2">
        <v>0</v>
      </c>
      <c r="R117" s="2">
        <v>0</v>
      </c>
      <c r="S117" s="2">
        <v>0</v>
      </c>
      <c r="T117" s="2">
        <v>0</v>
      </c>
      <c r="U117" s="2">
        <v>0</v>
      </c>
      <c r="V117" s="2">
        <v>0</v>
      </c>
      <c r="W117" s="14">
        <v>0</v>
      </c>
      <c r="X117" s="2">
        <v>0</v>
      </c>
      <c r="Y117" s="2">
        <v>0</v>
      </c>
      <c r="Z117" s="2">
        <v>0</v>
      </c>
      <c r="AA117" s="2">
        <v>0</v>
      </c>
      <c r="AB117" s="2">
        <v>0</v>
      </c>
      <c r="AC117" s="2">
        <v>0</v>
      </c>
      <c r="AD117" s="2">
        <v>0</v>
      </c>
      <c r="AE117" s="2">
        <v>0</v>
      </c>
      <c r="AF117" s="2">
        <v>0</v>
      </c>
      <c r="AG117" s="2">
        <v>1</v>
      </c>
      <c r="AH117" s="2">
        <v>0</v>
      </c>
      <c r="AI117" s="2">
        <v>0</v>
      </c>
      <c r="AJ117" s="2">
        <v>0</v>
      </c>
      <c r="AK117" s="2">
        <v>0</v>
      </c>
      <c r="AL117" s="2">
        <v>0</v>
      </c>
      <c r="AM117" s="2">
        <v>0</v>
      </c>
      <c r="AN117" s="2">
        <v>0</v>
      </c>
      <c r="AO117" s="2">
        <v>0</v>
      </c>
      <c r="AP117" s="2">
        <v>0</v>
      </c>
      <c r="AQ117" s="2">
        <v>0</v>
      </c>
      <c r="AR117" s="2">
        <v>0</v>
      </c>
      <c r="AS117" s="2">
        <v>0</v>
      </c>
      <c r="AT117" s="2">
        <v>0</v>
      </c>
      <c r="AU117" s="2">
        <v>0</v>
      </c>
      <c r="AV117" s="2">
        <v>0</v>
      </c>
      <c r="AW117" s="2">
        <v>0</v>
      </c>
      <c r="AX117" s="2">
        <v>0</v>
      </c>
      <c r="AY117" s="2">
        <v>0</v>
      </c>
      <c r="AZ117" s="2" t="s">
        <v>39</v>
      </c>
      <c r="BA117" s="14">
        <v>1000000</v>
      </c>
      <c r="BB117" s="14">
        <f>SUM(Table_ship_components[[#This Row],[PRICE]]+(Table_ship_components[[#This Row],[COST_PER_ADD_PERSON]]*Table_ship_components[[#This Row],[OPTIONAL]]))</f>
        <v>1000000</v>
      </c>
      <c r="BC117" s="2">
        <v>0</v>
      </c>
      <c r="BD117" s="2">
        <v>0</v>
      </c>
    </row>
    <row r="118" spans="1:56" x14ac:dyDescent="0.35">
      <c r="A118" t="s">
        <v>332</v>
      </c>
      <c r="B118" t="s">
        <v>171</v>
      </c>
      <c r="C118" s="2">
        <v>0</v>
      </c>
      <c r="D118" s="2">
        <v>3</v>
      </c>
      <c r="E118" s="2">
        <f>SUM(Table_ship_components[[#This Row],[UNIT_SIZE]]+(Table_ship_components[[#This Row],[SIZE_PER_ADD_PERSON]]*Table_ship_components[[#This Row],[OPTIONAL]]))</f>
        <v>3</v>
      </c>
      <c r="F118" s="2">
        <v>2</v>
      </c>
      <c r="G118" s="2">
        <f>SUM(Table_ship_components[[#This Row],[POWER_CONSUMPTION]]+(Table_ship_components[[#This Row],[POWER_PER_ADD_PERSON]]*Table_ship_components[[#This Row],[OPTIONAL]]))</f>
        <v>2</v>
      </c>
      <c r="H118" s="2">
        <v>0</v>
      </c>
      <c r="I118" s="2">
        <v>0</v>
      </c>
      <c r="J118" s="2">
        <v>0</v>
      </c>
      <c r="K118" s="2">
        <v>0</v>
      </c>
      <c r="L118" s="2">
        <v>0</v>
      </c>
      <c r="M118" s="2">
        <v>0</v>
      </c>
      <c r="N118" s="2">
        <v>1</v>
      </c>
      <c r="O118" s="2">
        <v>0</v>
      </c>
      <c r="P118" s="2">
        <v>0</v>
      </c>
      <c r="Q118" s="2">
        <v>0</v>
      </c>
      <c r="R118" s="2">
        <v>0</v>
      </c>
      <c r="S118" s="2">
        <v>0</v>
      </c>
      <c r="T118" s="2">
        <v>0</v>
      </c>
      <c r="U118" s="2">
        <v>1</v>
      </c>
      <c r="V118" s="2">
        <v>0.1</v>
      </c>
      <c r="W118" s="14">
        <v>3000</v>
      </c>
      <c r="X118" s="2">
        <v>0.1</v>
      </c>
      <c r="Y118" s="2">
        <v>0</v>
      </c>
      <c r="Z118" s="2">
        <v>0</v>
      </c>
      <c r="AA118" s="2">
        <v>0</v>
      </c>
      <c r="AB118" s="2">
        <v>0</v>
      </c>
      <c r="AC118" s="2">
        <v>1</v>
      </c>
      <c r="AD118" s="2">
        <v>10</v>
      </c>
      <c r="AE118" s="2">
        <v>0</v>
      </c>
      <c r="AF118" s="2">
        <v>0</v>
      </c>
      <c r="AG118" s="2">
        <v>0</v>
      </c>
      <c r="AH118" s="2">
        <v>0</v>
      </c>
      <c r="AI118" s="2">
        <v>0</v>
      </c>
      <c r="AJ118" s="2">
        <v>0</v>
      </c>
      <c r="AK118" s="2">
        <v>0</v>
      </c>
      <c r="AL118" s="2">
        <v>0</v>
      </c>
      <c r="AM118" s="2">
        <v>0</v>
      </c>
      <c r="AN118" s="2">
        <v>0</v>
      </c>
      <c r="AO118" s="2">
        <v>0</v>
      </c>
      <c r="AP118" s="2">
        <v>0</v>
      </c>
      <c r="AQ118" s="2">
        <v>0</v>
      </c>
      <c r="AR118" s="2">
        <v>0</v>
      </c>
      <c r="AS118" s="2">
        <v>0</v>
      </c>
      <c r="AT118" s="2">
        <v>0</v>
      </c>
      <c r="AU118" s="2">
        <v>0</v>
      </c>
      <c r="AV118" s="2">
        <v>0</v>
      </c>
      <c r="AW118" s="2">
        <v>0</v>
      </c>
      <c r="AX118" s="2">
        <v>0</v>
      </c>
      <c r="AY118" s="2">
        <v>0</v>
      </c>
      <c r="AZ118" s="2" t="s">
        <v>39</v>
      </c>
      <c r="BA118" s="14">
        <v>30000</v>
      </c>
      <c r="BB118" s="14">
        <f>SUM(Table_ship_components[[#This Row],[PRICE]]+(Table_ship_components[[#This Row],[COST_PER_ADD_PERSON]]*Table_ship_components[[#This Row],[OPTIONAL]]))</f>
        <v>30000</v>
      </c>
      <c r="BC118" s="2">
        <v>0</v>
      </c>
      <c r="BD118" s="2">
        <v>0</v>
      </c>
    </row>
    <row r="119" spans="1:56" x14ac:dyDescent="0.35">
      <c r="A119" t="s">
        <v>333</v>
      </c>
      <c r="B119" t="s">
        <v>240</v>
      </c>
      <c r="C119" s="2">
        <v>0</v>
      </c>
      <c r="D119" s="2">
        <v>4</v>
      </c>
      <c r="E119" s="2">
        <f>SUM(Table_ship_components[[#This Row],[UNIT_SIZE]]+(Table_ship_components[[#This Row],[SIZE_PER_ADD_PERSON]]*Table_ship_components[[#This Row],[OPTIONAL]]))</f>
        <v>4</v>
      </c>
      <c r="F119" s="2">
        <v>3</v>
      </c>
      <c r="G119" s="2">
        <f>SUM(Table_ship_components[[#This Row],[POWER_CONSUMPTION]]+(Table_ship_components[[#This Row],[POWER_PER_ADD_PERSON]]*Table_ship_components[[#This Row],[OPTIONAL]]))</f>
        <v>3</v>
      </c>
      <c r="H119" s="2">
        <v>0</v>
      </c>
      <c r="I119" s="2">
        <v>0</v>
      </c>
      <c r="J119" s="2">
        <v>0</v>
      </c>
      <c r="K119" s="2">
        <v>0</v>
      </c>
      <c r="L119" s="2">
        <v>0</v>
      </c>
      <c r="M119" s="2">
        <v>0</v>
      </c>
      <c r="N119" s="2">
        <v>1</v>
      </c>
      <c r="O119" s="2">
        <v>0</v>
      </c>
      <c r="P119" s="2">
        <v>0</v>
      </c>
      <c r="Q119" s="2">
        <v>0</v>
      </c>
      <c r="R119" s="2">
        <v>0</v>
      </c>
      <c r="S119" s="2">
        <v>0</v>
      </c>
      <c r="T119" s="2">
        <v>0</v>
      </c>
      <c r="U119" s="2">
        <v>1</v>
      </c>
      <c r="V119" s="2">
        <v>0.5</v>
      </c>
      <c r="W119" s="14">
        <v>15000</v>
      </c>
      <c r="X119" s="2">
        <v>0.5</v>
      </c>
      <c r="Y119" s="2">
        <v>0</v>
      </c>
      <c r="Z119" s="2">
        <v>0</v>
      </c>
      <c r="AA119" s="2">
        <v>0</v>
      </c>
      <c r="AB119" s="2">
        <v>0</v>
      </c>
      <c r="AC119" s="2">
        <v>1</v>
      </c>
      <c r="AD119" s="2">
        <v>25</v>
      </c>
      <c r="AE119" s="2">
        <v>0</v>
      </c>
      <c r="AF119" s="2">
        <v>0</v>
      </c>
      <c r="AG119" s="2">
        <v>0</v>
      </c>
      <c r="AH119" s="2">
        <v>0</v>
      </c>
      <c r="AI119" s="2">
        <v>0</v>
      </c>
      <c r="AJ119" s="2">
        <v>0</v>
      </c>
      <c r="AK119" s="2">
        <v>0</v>
      </c>
      <c r="AL119" s="2">
        <v>0</v>
      </c>
      <c r="AM119" s="2">
        <v>0</v>
      </c>
      <c r="AN119" s="2">
        <v>0</v>
      </c>
      <c r="AO119" s="2">
        <v>0</v>
      </c>
      <c r="AP119" s="2">
        <v>0</v>
      </c>
      <c r="AQ119" s="2">
        <v>0</v>
      </c>
      <c r="AR119" s="2">
        <v>0</v>
      </c>
      <c r="AS119" s="2">
        <v>0</v>
      </c>
      <c r="AT119" s="2">
        <v>0</v>
      </c>
      <c r="AU119" s="2">
        <v>0</v>
      </c>
      <c r="AV119" s="2">
        <v>0</v>
      </c>
      <c r="AW119" s="2">
        <v>0</v>
      </c>
      <c r="AX119" s="2">
        <v>0</v>
      </c>
      <c r="AY119" s="2">
        <v>0</v>
      </c>
      <c r="AZ119" s="2" t="s">
        <v>39</v>
      </c>
      <c r="BA119" s="14">
        <v>150000</v>
      </c>
      <c r="BB119" s="14">
        <f>SUM(Table_ship_components[[#This Row],[PRICE]]+(Table_ship_components[[#This Row],[COST_PER_ADD_PERSON]]*Table_ship_components[[#This Row],[OPTIONAL]]))</f>
        <v>150000</v>
      </c>
      <c r="BC119" s="2">
        <v>0</v>
      </c>
      <c r="BD119" s="2">
        <v>0</v>
      </c>
    </row>
    <row r="120" spans="1:56" x14ac:dyDescent="0.35">
      <c r="A120" t="s">
        <v>334</v>
      </c>
      <c r="B120" t="s">
        <v>172</v>
      </c>
      <c r="C120" s="2">
        <v>0</v>
      </c>
      <c r="D120" s="2">
        <v>5</v>
      </c>
      <c r="E120" s="2">
        <f>SUM(Table_ship_components[[#This Row],[UNIT_SIZE]]+(Table_ship_components[[#This Row],[SIZE_PER_ADD_PERSON]]*Table_ship_components[[#This Row],[OPTIONAL]]))</f>
        <v>5</v>
      </c>
      <c r="F120" s="2">
        <v>4</v>
      </c>
      <c r="G120" s="2">
        <f>SUM(Table_ship_components[[#This Row],[POWER_CONSUMPTION]]+(Table_ship_components[[#This Row],[POWER_PER_ADD_PERSON]]*Table_ship_components[[#This Row],[OPTIONAL]]))</f>
        <v>4</v>
      </c>
      <c r="H120" s="2">
        <v>0</v>
      </c>
      <c r="I120" s="2">
        <v>0</v>
      </c>
      <c r="J120" s="2">
        <v>0</v>
      </c>
      <c r="K120" s="2">
        <v>0</v>
      </c>
      <c r="L120" s="2">
        <v>0</v>
      </c>
      <c r="M120" s="2">
        <v>0</v>
      </c>
      <c r="N120" s="2">
        <v>1</v>
      </c>
      <c r="O120" s="2">
        <v>0</v>
      </c>
      <c r="P120" s="2">
        <v>0</v>
      </c>
      <c r="Q120" s="2">
        <v>0</v>
      </c>
      <c r="R120" s="2">
        <v>0</v>
      </c>
      <c r="S120" s="2">
        <v>0</v>
      </c>
      <c r="T120" s="2">
        <v>0</v>
      </c>
      <c r="U120" s="2">
        <v>1</v>
      </c>
      <c r="V120" s="2">
        <v>1</v>
      </c>
      <c r="W120" s="14">
        <v>45000</v>
      </c>
      <c r="X120" s="2">
        <v>1</v>
      </c>
      <c r="Y120" s="2">
        <v>0</v>
      </c>
      <c r="Z120" s="2">
        <v>0</v>
      </c>
      <c r="AA120" s="2">
        <v>0</v>
      </c>
      <c r="AB120" s="2">
        <v>0</v>
      </c>
      <c r="AC120" s="2">
        <v>1</v>
      </c>
      <c r="AD120" s="2">
        <v>50</v>
      </c>
      <c r="AE120" s="2">
        <v>0</v>
      </c>
      <c r="AF120" s="2">
        <v>0</v>
      </c>
      <c r="AG120" s="2">
        <v>0</v>
      </c>
      <c r="AH120" s="2">
        <v>0</v>
      </c>
      <c r="AI120" s="2">
        <v>0</v>
      </c>
      <c r="AJ120" s="2">
        <v>0</v>
      </c>
      <c r="AK120" s="2">
        <v>0</v>
      </c>
      <c r="AL120" s="2">
        <v>0</v>
      </c>
      <c r="AM120" s="2">
        <v>0</v>
      </c>
      <c r="AN120" s="2">
        <v>0</v>
      </c>
      <c r="AO120" s="2">
        <v>0</v>
      </c>
      <c r="AP120" s="2">
        <v>0</v>
      </c>
      <c r="AQ120" s="2">
        <v>0</v>
      </c>
      <c r="AR120" s="2">
        <v>0</v>
      </c>
      <c r="AS120" s="2">
        <v>0</v>
      </c>
      <c r="AT120" s="2">
        <v>0</v>
      </c>
      <c r="AU120" s="2">
        <v>0</v>
      </c>
      <c r="AV120" s="2">
        <v>0</v>
      </c>
      <c r="AW120" s="2">
        <v>0</v>
      </c>
      <c r="AX120" s="2">
        <v>0</v>
      </c>
      <c r="AY120" s="2">
        <v>0</v>
      </c>
      <c r="AZ120" s="2" t="s">
        <v>39</v>
      </c>
      <c r="BA120" s="14">
        <v>750000</v>
      </c>
      <c r="BB120" s="14">
        <f>SUM(Table_ship_components[[#This Row],[PRICE]]+(Table_ship_components[[#This Row],[COST_PER_ADD_PERSON]]*Table_ship_components[[#This Row],[OPTIONAL]]))</f>
        <v>750000</v>
      </c>
      <c r="BC120" s="2">
        <v>0</v>
      </c>
      <c r="BD120" s="2">
        <v>0</v>
      </c>
    </row>
    <row r="121" spans="1:56" x14ac:dyDescent="0.35">
      <c r="A121" t="s">
        <v>363</v>
      </c>
      <c r="B121" t="s">
        <v>242</v>
      </c>
      <c r="C121" s="2">
        <v>0</v>
      </c>
      <c r="D121" s="2">
        <v>6</v>
      </c>
      <c r="E121" s="2">
        <f>SUM(Table_ship_components[[#This Row],[UNIT_SIZE]]+(Table_ship_components[[#This Row],[SIZE_PER_ADD_PERSON]]*Table_ship_components[[#This Row],[OPTIONAL]]))</f>
        <v>6</v>
      </c>
      <c r="F121" s="2">
        <v>5</v>
      </c>
      <c r="G121" s="2">
        <f>SUM(Table_ship_components[[#This Row],[POWER_CONSUMPTION]]+(Table_ship_components[[#This Row],[POWER_PER_ADD_PERSON]]*Table_ship_components[[#This Row],[OPTIONAL]]))</f>
        <v>5</v>
      </c>
      <c r="H121" s="2">
        <v>0</v>
      </c>
      <c r="I121" s="2">
        <v>0</v>
      </c>
      <c r="J121" s="2">
        <v>0</v>
      </c>
      <c r="K121" s="2">
        <v>0</v>
      </c>
      <c r="L121" s="2">
        <v>0</v>
      </c>
      <c r="M121" s="2">
        <v>0</v>
      </c>
      <c r="N121" s="2">
        <v>0</v>
      </c>
      <c r="O121" s="2">
        <v>1</v>
      </c>
      <c r="P121" s="2">
        <v>0</v>
      </c>
      <c r="Q121" s="2">
        <v>0</v>
      </c>
      <c r="R121" s="2">
        <v>0</v>
      </c>
      <c r="S121" s="2">
        <v>0</v>
      </c>
      <c r="T121" s="2">
        <v>0</v>
      </c>
      <c r="U121" s="2">
        <v>1</v>
      </c>
      <c r="V121" s="2">
        <v>0.1</v>
      </c>
      <c r="W121" s="14">
        <v>5000</v>
      </c>
      <c r="X121" s="2">
        <v>0.1</v>
      </c>
      <c r="Y121" s="2">
        <v>0</v>
      </c>
      <c r="Z121" s="2">
        <v>0</v>
      </c>
      <c r="AA121" s="2">
        <v>0</v>
      </c>
      <c r="AB121" s="2">
        <v>0</v>
      </c>
      <c r="AC121" s="2">
        <v>1</v>
      </c>
      <c r="AD121" s="2">
        <v>10</v>
      </c>
      <c r="AE121" s="2">
        <v>0</v>
      </c>
      <c r="AF121" s="2">
        <v>0</v>
      </c>
      <c r="AG121" s="2">
        <v>0</v>
      </c>
      <c r="AH121" s="2">
        <v>0</v>
      </c>
      <c r="AI121" s="2">
        <v>0</v>
      </c>
      <c r="AJ121" s="2">
        <v>0</v>
      </c>
      <c r="AK121" s="2">
        <v>0</v>
      </c>
      <c r="AL121" s="2">
        <v>0</v>
      </c>
      <c r="AM121" s="2">
        <v>0</v>
      </c>
      <c r="AN121" s="2">
        <v>0</v>
      </c>
      <c r="AO121" s="2">
        <v>0</v>
      </c>
      <c r="AP121" s="2">
        <v>0</v>
      </c>
      <c r="AQ121" s="2">
        <v>0</v>
      </c>
      <c r="AR121" s="2">
        <v>0</v>
      </c>
      <c r="AS121" s="2">
        <v>0</v>
      </c>
      <c r="AT121" s="2">
        <v>0</v>
      </c>
      <c r="AU121" s="2">
        <v>0</v>
      </c>
      <c r="AV121" s="2">
        <v>0</v>
      </c>
      <c r="AW121" s="2">
        <v>0</v>
      </c>
      <c r="AX121" s="2">
        <v>0</v>
      </c>
      <c r="AY121" s="2">
        <v>0</v>
      </c>
      <c r="AZ121" s="2" t="s">
        <v>39</v>
      </c>
      <c r="BA121" s="14">
        <v>50000</v>
      </c>
      <c r="BB121" s="14">
        <f>SUM(Table_ship_components[[#This Row],[PRICE]]+(Table_ship_components[[#This Row],[COST_PER_ADD_PERSON]]*Table_ship_components[[#This Row],[OPTIONAL]]))</f>
        <v>50000</v>
      </c>
      <c r="BC121" s="2">
        <v>0</v>
      </c>
      <c r="BD121" s="2">
        <v>0</v>
      </c>
    </row>
    <row r="122" spans="1:56" x14ac:dyDescent="0.35">
      <c r="A122" t="s">
        <v>364</v>
      </c>
      <c r="B122" t="s">
        <v>243</v>
      </c>
      <c r="C122" s="2">
        <v>0</v>
      </c>
      <c r="D122" s="2">
        <v>7</v>
      </c>
      <c r="E122" s="2">
        <f>SUM(Table_ship_components[[#This Row],[UNIT_SIZE]]+(Table_ship_components[[#This Row],[SIZE_PER_ADD_PERSON]]*Table_ship_components[[#This Row],[OPTIONAL]]))</f>
        <v>7</v>
      </c>
      <c r="F122" s="2">
        <v>6</v>
      </c>
      <c r="G122" s="2">
        <f>SUM(Table_ship_components[[#This Row],[POWER_CONSUMPTION]]+(Table_ship_components[[#This Row],[POWER_PER_ADD_PERSON]]*Table_ship_components[[#This Row],[OPTIONAL]]))</f>
        <v>6</v>
      </c>
      <c r="H122" s="2">
        <v>0</v>
      </c>
      <c r="I122" s="2">
        <v>0</v>
      </c>
      <c r="J122" s="2">
        <v>0</v>
      </c>
      <c r="K122" s="2">
        <v>0</v>
      </c>
      <c r="L122" s="2">
        <v>0</v>
      </c>
      <c r="M122" s="2">
        <v>0</v>
      </c>
      <c r="N122" s="2">
        <v>0</v>
      </c>
      <c r="O122" s="2">
        <v>1</v>
      </c>
      <c r="P122" s="2">
        <v>0</v>
      </c>
      <c r="Q122" s="2">
        <v>0</v>
      </c>
      <c r="R122" s="2">
        <v>0</v>
      </c>
      <c r="S122" s="2">
        <v>0</v>
      </c>
      <c r="T122" s="2">
        <v>0</v>
      </c>
      <c r="U122" s="2">
        <v>1</v>
      </c>
      <c r="V122" s="2">
        <v>0.5</v>
      </c>
      <c r="W122" s="14">
        <v>25000</v>
      </c>
      <c r="X122" s="2">
        <v>0.5</v>
      </c>
      <c r="Y122" s="2">
        <v>0</v>
      </c>
      <c r="Z122" s="2">
        <v>0</v>
      </c>
      <c r="AA122" s="2">
        <v>0</v>
      </c>
      <c r="AB122" s="2">
        <v>0</v>
      </c>
      <c r="AC122" s="2">
        <v>1</v>
      </c>
      <c r="AD122" s="2">
        <v>50</v>
      </c>
      <c r="AE122" s="2">
        <v>0</v>
      </c>
      <c r="AF122" s="2">
        <v>0</v>
      </c>
      <c r="AG122" s="2">
        <v>0</v>
      </c>
      <c r="AH122" s="2">
        <v>0</v>
      </c>
      <c r="AI122" s="2">
        <v>0</v>
      </c>
      <c r="AJ122" s="2">
        <v>0</v>
      </c>
      <c r="AK122" s="2">
        <v>0</v>
      </c>
      <c r="AL122" s="2">
        <v>0</v>
      </c>
      <c r="AM122" s="2">
        <v>0</v>
      </c>
      <c r="AN122" s="2">
        <v>0</v>
      </c>
      <c r="AO122" s="2">
        <v>0</v>
      </c>
      <c r="AP122" s="2">
        <v>0</v>
      </c>
      <c r="AQ122" s="2">
        <v>0</v>
      </c>
      <c r="AR122" s="2">
        <v>0</v>
      </c>
      <c r="AS122" s="2">
        <v>0</v>
      </c>
      <c r="AT122" s="2">
        <v>0</v>
      </c>
      <c r="AU122" s="2">
        <v>0</v>
      </c>
      <c r="AV122" s="2">
        <v>0</v>
      </c>
      <c r="AW122" s="2">
        <v>0</v>
      </c>
      <c r="AX122" s="2">
        <v>0</v>
      </c>
      <c r="AY122" s="2">
        <v>0</v>
      </c>
      <c r="AZ122" s="2" t="s">
        <v>39</v>
      </c>
      <c r="BA122" s="14">
        <v>250000</v>
      </c>
      <c r="BB122" s="14">
        <f>SUM(Table_ship_components[[#This Row],[PRICE]]+(Table_ship_components[[#This Row],[COST_PER_ADD_PERSON]]*Table_ship_components[[#This Row],[OPTIONAL]]))</f>
        <v>250000</v>
      </c>
      <c r="BC122" s="2">
        <v>0</v>
      </c>
      <c r="BD122" s="2">
        <v>0</v>
      </c>
    </row>
    <row r="123" spans="1:56" x14ac:dyDescent="0.35">
      <c r="A123" t="s">
        <v>365</v>
      </c>
      <c r="B123" t="s">
        <v>244</v>
      </c>
      <c r="C123" s="2">
        <v>0</v>
      </c>
      <c r="D123" s="2">
        <v>8</v>
      </c>
      <c r="E123" s="2">
        <f>SUM(Table_ship_components[[#This Row],[UNIT_SIZE]]+(Table_ship_components[[#This Row],[SIZE_PER_ADD_PERSON]]*Table_ship_components[[#This Row],[OPTIONAL]]))</f>
        <v>8</v>
      </c>
      <c r="F123" s="2">
        <v>7</v>
      </c>
      <c r="G123" s="2">
        <f>SUM(Table_ship_components[[#This Row],[POWER_CONSUMPTION]]+(Table_ship_components[[#This Row],[POWER_PER_ADD_PERSON]]*Table_ship_components[[#This Row],[OPTIONAL]]))</f>
        <v>7</v>
      </c>
      <c r="H123" s="2">
        <v>0</v>
      </c>
      <c r="I123" s="2">
        <v>0</v>
      </c>
      <c r="J123" s="2">
        <v>0</v>
      </c>
      <c r="K123" s="2">
        <v>0</v>
      </c>
      <c r="L123" s="2">
        <v>0</v>
      </c>
      <c r="M123" s="2">
        <v>0</v>
      </c>
      <c r="N123" s="2">
        <v>0</v>
      </c>
      <c r="O123" s="2">
        <v>1</v>
      </c>
      <c r="P123" s="2">
        <v>0</v>
      </c>
      <c r="Q123" s="2">
        <v>0</v>
      </c>
      <c r="R123" s="2">
        <v>0</v>
      </c>
      <c r="S123" s="2">
        <v>0</v>
      </c>
      <c r="T123" s="2">
        <v>0</v>
      </c>
      <c r="U123" s="2">
        <v>1</v>
      </c>
      <c r="V123" s="2">
        <v>1</v>
      </c>
      <c r="W123" s="14">
        <v>125000</v>
      </c>
      <c r="X123" s="2">
        <v>1</v>
      </c>
      <c r="Y123" s="2">
        <v>0</v>
      </c>
      <c r="Z123" s="2">
        <v>0</v>
      </c>
      <c r="AA123" s="2">
        <v>0</v>
      </c>
      <c r="AB123" s="2">
        <v>0</v>
      </c>
      <c r="AC123" s="2">
        <v>1</v>
      </c>
      <c r="AD123" s="2">
        <v>100</v>
      </c>
      <c r="AE123" s="2">
        <v>0</v>
      </c>
      <c r="AF123" s="2">
        <v>0</v>
      </c>
      <c r="AG123" s="2">
        <v>0</v>
      </c>
      <c r="AH123" s="2">
        <v>0</v>
      </c>
      <c r="AI123" s="2">
        <v>0</v>
      </c>
      <c r="AJ123" s="2">
        <v>0</v>
      </c>
      <c r="AK123" s="2">
        <v>0</v>
      </c>
      <c r="AL123" s="2">
        <v>0</v>
      </c>
      <c r="AM123" s="2">
        <v>0</v>
      </c>
      <c r="AN123" s="2">
        <v>0</v>
      </c>
      <c r="AO123" s="2">
        <v>0</v>
      </c>
      <c r="AP123" s="2">
        <v>0</v>
      </c>
      <c r="AQ123" s="2">
        <v>0</v>
      </c>
      <c r="AR123" s="2">
        <v>0</v>
      </c>
      <c r="AS123" s="2">
        <v>0</v>
      </c>
      <c r="AT123" s="2">
        <v>0</v>
      </c>
      <c r="AU123" s="2">
        <v>0</v>
      </c>
      <c r="AV123" s="2">
        <v>0</v>
      </c>
      <c r="AW123" s="2">
        <v>0</v>
      </c>
      <c r="AX123" s="2">
        <v>0</v>
      </c>
      <c r="AY123" s="2">
        <v>0</v>
      </c>
      <c r="AZ123" s="2" t="s">
        <v>39</v>
      </c>
      <c r="BA123" s="14">
        <v>1250000</v>
      </c>
      <c r="BB123" s="14">
        <f>SUM(Table_ship_components[[#This Row],[PRICE]]+(Table_ship_components[[#This Row],[COST_PER_ADD_PERSON]]*Table_ship_components[[#This Row],[OPTIONAL]]))</f>
        <v>1250000</v>
      </c>
      <c r="BC123" s="2">
        <v>0</v>
      </c>
      <c r="BD123" s="2">
        <v>0</v>
      </c>
    </row>
    <row r="124" spans="1:56" x14ac:dyDescent="0.35">
      <c r="A124" t="s">
        <v>414</v>
      </c>
      <c r="B124" t="s">
        <v>420</v>
      </c>
      <c r="C124" s="2">
        <v>0</v>
      </c>
      <c r="D124" s="2">
        <v>5</v>
      </c>
      <c r="E124" s="2">
        <f>SUM(Table_ship_components[[#This Row],[UNIT_SIZE]]+(Table_ship_components[[#This Row],[SIZE_PER_ADD_PERSON]]*Table_ship_components[[#This Row],[OPTIONAL]]))</f>
        <v>5</v>
      </c>
      <c r="F124" s="2">
        <v>6</v>
      </c>
      <c r="G124" s="2">
        <f>SUM(Table_ship_components[[#This Row],[POWER_CONSUMPTION]]+(Table_ship_components[[#This Row],[POWER_PER_ADD_PERSON]]*Table_ship_components[[#This Row],[OPTIONAL]]))</f>
        <v>6</v>
      </c>
      <c r="H124" s="2">
        <v>0</v>
      </c>
      <c r="I124" s="2">
        <v>0</v>
      </c>
      <c r="J124" s="2">
        <v>0</v>
      </c>
      <c r="K124" s="2">
        <v>0</v>
      </c>
      <c r="L124" s="2">
        <v>0</v>
      </c>
      <c r="M124" s="2">
        <v>0</v>
      </c>
      <c r="N124" s="2">
        <v>0</v>
      </c>
      <c r="O124" s="2">
        <v>1</v>
      </c>
      <c r="P124" s="2">
        <v>1</v>
      </c>
      <c r="Q124" s="2">
        <v>1</v>
      </c>
      <c r="R124" s="2">
        <v>1</v>
      </c>
      <c r="S124" s="2">
        <v>1</v>
      </c>
      <c r="T124" s="2">
        <v>1</v>
      </c>
      <c r="U124" s="2">
        <v>1</v>
      </c>
      <c r="V124" s="2">
        <v>2</v>
      </c>
      <c r="W124" s="14">
        <v>50000</v>
      </c>
      <c r="X124" s="2">
        <v>4</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0</v>
      </c>
      <c r="AO124" s="2">
        <v>0</v>
      </c>
      <c r="AP124" s="2">
        <v>0</v>
      </c>
      <c r="AQ124" s="2">
        <v>0</v>
      </c>
      <c r="AR124" s="2">
        <v>0</v>
      </c>
      <c r="AS124" s="2">
        <v>0</v>
      </c>
      <c r="AT124" s="2">
        <v>0</v>
      </c>
      <c r="AU124" s="2">
        <v>0</v>
      </c>
      <c r="AV124" s="2">
        <v>0</v>
      </c>
      <c r="AW124" s="2">
        <v>0</v>
      </c>
      <c r="AX124" s="2">
        <v>0</v>
      </c>
      <c r="AY124" s="2">
        <v>0</v>
      </c>
      <c r="AZ124" s="2" t="s">
        <v>39</v>
      </c>
      <c r="BA124" s="14">
        <v>100000</v>
      </c>
      <c r="BB124" s="14">
        <f>SUM(Table_ship_components[[#This Row],[PRICE]]+(Table_ship_components[[#This Row],[COST_PER_ADD_PERSON]]*Table_ship_components[[#This Row],[OPTIONAL]]))</f>
        <v>100000</v>
      </c>
      <c r="BC124" s="2">
        <v>0</v>
      </c>
      <c r="BD124" s="2">
        <v>0</v>
      </c>
    </row>
    <row r="125" spans="1:56" x14ac:dyDescent="0.35">
      <c r="A125" t="s">
        <v>415</v>
      </c>
      <c r="B125" t="s">
        <v>418</v>
      </c>
      <c r="C125" s="2">
        <v>0</v>
      </c>
      <c r="D125" s="2">
        <v>8</v>
      </c>
      <c r="E125" s="2">
        <f>SUM(Table_ship_components[[#This Row],[UNIT_SIZE]]+(Table_ship_components[[#This Row],[SIZE_PER_ADD_PERSON]]*Table_ship_components[[#This Row],[OPTIONAL]]))</f>
        <v>8</v>
      </c>
      <c r="F125" s="2">
        <v>10</v>
      </c>
      <c r="G125" s="2">
        <f>SUM(Table_ship_components[[#This Row],[POWER_CONSUMPTION]]+(Table_ship_components[[#This Row],[POWER_PER_ADD_PERSON]]*Table_ship_components[[#This Row],[OPTIONAL]]))</f>
        <v>10</v>
      </c>
      <c r="H125" s="2">
        <v>0</v>
      </c>
      <c r="I125" s="2">
        <v>0</v>
      </c>
      <c r="J125" s="2">
        <v>0</v>
      </c>
      <c r="K125" s="2">
        <v>0</v>
      </c>
      <c r="L125" s="2">
        <v>0</v>
      </c>
      <c r="M125" s="2">
        <v>0</v>
      </c>
      <c r="N125" s="2">
        <v>0</v>
      </c>
      <c r="O125" s="2">
        <v>1</v>
      </c>
      <c r="P125" s="2">
        <v>1</v>
      </c>
      <c r="Q125" s="2">
        <v>1</v>
      </c>
      <c r="R125" s="2">
        <v>1</v>
      </c>
      <c r="S125" s="2">
        <v>1</v>
      </c>
      <c r="T125" s="2">
        <v>1</v>
      </c>
      <c r="U125" s="2">
        <v>1</v>
      </c>
      <c r="V125" s="2">
        <v>3</v>
      </c>
      <c r="W125" s="14">
        <v>100000</v>
      </c>
      <c r="X125" s="2">
        <v>6</v>
      </c>
      <c r="Y125" s="2">
        <v>0</v>
      </c>
      <c r="Z125" s="2">
        <v>0</v>
      </c>
      <c r="AA125" s="2">
        <v>0</v>
      </c>
      <c r="AB125" s="2">
        <v>0</v>
      </c>
      <c r="AC125" s="2">
        <v>0</v>
      </c>
      <c r="AD125" s="2">
        <v>0</v>
      </c>
      <c r="AE125" s="2">
        <v>0</v>
      </c>
      <c r="AF125" s="2">
        <v>0</v>
      </c>
      <c r="AG125" s="2">
        <v>0</v>
      </c>
      <c r="AH125" s="2">
        <v>0</v>
      </c>
      <c r="AI125" s="2">
        <v>0</v>
      </c>
      <c r="AJ125" s="2">
        <v>0</v>
      </c>
      <c r="AK125" s="2">
        <v>0</v>
      </c>
      <c r="AL125" s="2">
        <v>0</v>
      </c>
      <c r="AM125" s="2">
        <v>0</v>
      </c>
      <c r="AN125" s="2">
        <v>0</v>
      </c>
      <c r="AO125" s="2">
        <v>0</v>
      </c>
      <c r="AP125" s="2">
        <v>0</v>
      </c>
      <c r="AQ125" s="2">
        <v>0</v>
      </c>
      <c r="AR125" s="2">
        <v>0</v>
      </c>
      <c r="AS125" s="2">
        <v>0</v>
      </c>
      <c r="AT125" s="2">
        <v>0</v>
      </c>
      <c r="AU125" s="2">
        <v>0</v>
      </c>
      <c r="AV125" s="2">
        <v>0</v>
      </c>
      <c r="AW125" s="2">
        <v>0</v>
      </c>
      <c r="AX125" s="2">
        <v>0</v>
      </c>
      <c r="AY125" s="2">
        <v>0</v>
      </c>
      <c r="AZ125" s="2" t="s">
        <v>39</v>
      </c>
      <c r="BA125" s="14">
        <v>500000</v>
      </c>
      <c r="BB125" s="14">
        <f>SUM(Table_ship_components[[#This Row],[PRICE]]+(Table_ship_components[[#This Row],[COST_PER_ADD_PERSON]]*Table_ship_components[[#This Row],[OPTIONAL]]))</f>
        <v>500000</v>
      </c>
      <c r="BC125" s="2">
        <v>0</v>
      </c>
      <c r="BD125" s="2">
        <v>0</v>
      </c>
    </row>
    <row r="126" spans="1:56" x14ac:dyDescent="0.35">
      <c r="A126" t="s">
        <v>416</v>
      </c>
      <c r="B126" t="s">
        <v>419</v>
      </c>
      <c r="C126" s="2">
        <v>0</v>
      </c>
      <c r="D126" s="2">
        <v>12</v>
      </c>
      <c r="E126" s="2">
        <f>SUM(Table_ship_components[[#This Row],[UNIT_SIZE]]+(Table_ship_components[[#This Row],[SIZE_PER_ADD_PERSON]]*Table_ship_components[[#This Row],[OPTIONAL]]))</f>
        <v>12</v>
      </c>
      <c r="F126" s="2">
        <v>14</v>
      </c>
      <c r="G126" s="2">
        <f>SUM(Table_ship_components[[#This Row],[POWER_CONSUMPTION]]+(Table_ship_components[[#This Row],[POWER_PER_ADD_PERSON]]*Table_ship_components[[#This Row],[OPTIONAL]]))</f>
        <v>14</v>
      </c>
      <c r="H126" s="2">
        <v>0</v>
      </c>
      <c r="I126" s="2">
        <v>0</v>
      </c>
      <c r="J126" s="2">
        <v>0</v>
      </c>
      <c r="K126" s="2">
        <v>0</v>
      </c>
      <c r="L126" s="2">
        <v>0</v>
      </c>
      <c r="M126" s="2">
        <v>0</v>
      </c>
      <c r="N126" s="2">
        <v>0</v>
      </c>
      <c r="O126" s="2">
        <v>1</v>
      </c>
      <c r="P126" s="2">
        <v>1</v>
      </c>
      <c r="Q126" s="2">
        <v>1</v>
      </c>
      <c r="R126" s="2">
        <v>1</v>
      </c>
      <c r="S126" s="2">
        <v>1</v>
      </c>
      <c r="T126" s="2">
        <v>1</v>
      </c>
      <c r="U126" s="2">
        <v>1</v>
      </c>
      <c r="V126" s="2">
        <v>4</v>
      </c>
      <c r="W126" s="14">
        <v>200000</v>
      </c>
      <c r="X126" s="2">
        <v>8</v>
      </c>
      <c r="Y126" s="2">
        <v>0</v>
      </c>
      <c r="Z126" s="2">
        <v>0</v>
      </c>
      <c r="AA126" s="2">
        <v>0</v>
      </c>
      <c r="AB126" s="2">
        <v>0</v>
      </c>
      <c r="AC126" s="2">
        <v>0</v>
      </c>
      <c r="AD126" s="2">
        <v>0</v>
      </c>
      <c r="AE126" s="2">
        <v>0</v>
      </c>
      <c r="AF126" s="2">
        <v>0</v>
      </c>
      <c r="AG126" s="2">
        <v>0</v>
      </c>
      <c r="AH126" s="2">
        <v>0</v>
      </c>
      <c r="AI126" s="2">
        <v>0</v>
      </c>
      <c r="AJ126" s="2">
        <v>0</v>
      </c>
      <c r="AK126" s="2">
        <v>0</v>
      </c>
      <c r="AL126" s="2">
        <v>0</v>
      </c>
      <c r="AM126" s="2">
        <v>0</v>
      </c>
      <c r="AN126" s="2">
        <v>0</v>
      </c>
      <c r="AO126" s="2">
        <v>0</v>
      </c>
      <c r="AP126" s="2">
        <v>0</v>
      </c>
      <c r="AQ126" s="2">
        <v>0</v>
      </c>
      <c r="AR126" s="2">
        <v>0</v>
      </c>
      <c r="AS126" s="2">
        <v>0</v>
      </c>
      <c r="AT126" s="2">
        <v>0</v>
      </c>
      <c r="AU126" s="2">
        <v>0</v>
      </c>
      <c r="AV126" s="2">
        <v>0</v>
      </c>
      <c r="AW126" s="2">
        <v>0</v>
      </c>
      <c r="AX126" s="2">
        <v>0</v>
      </c>
      <c r="AY126" s="2">
        <v>0</v>
      </c>
      <c r="AZ126" s="2" t="s">
        <v>39</v>
      </c>
      <c r="BA126" s="14">
        <v>3000000</v>
      </c>
      <c r="BB126" s="14">
        <f>SUM(Table_ship_components[[#This Row],[PRICE]]+(Table_ship_components[[#This Row],[COST_PER_ADD_PERSON]]*Table_ship_components[[#This Row],[OPTIONAL]]))</f>
        <v>3000000</v>
      </c>
      <c r="BC126" s="2">
        <v>0</v>
      </c>
      <c r="BD126" s="2">
        <v>0</v>
      </c>
    </row>
    <row r="127" spans="1:56" x14ac:dyDescent="0.35">
      <c r="A127" t="s">
        <v>621</v>
      </c>
      <c r="B127" t="s">
        <v>615</v>
      </c>
      <c r="C127" s="2">
        <v>0</v>
      </c>
      <c r="D127" s="2">
        <v>5</v>
      </c>
      <c r="E127" s="2">
        <f>SUM(Table_ship_components[[#This Row],[UNIT_SIZE]]+(Table_ship_components[[#This Row],[SIZE_PER_ADD_PERSON]]*Table_ship_components[[#This Row],[OPTIONAL]]))</f>
        <v>5</v>
      </c>
      <c r="F127" s="2">
        <v>3</v>
      </c>
      <c r="G127" s="2">
        <f>SUM(Table_ship_components[[#This Row],[POWER_CONSUMPTION]]+(Table_ship_components[[#This Row],[POWER_PER_ADD_PERSON]]*Table_ship_components[[#This Row],[OPTIONAL]]))</f>
        <v>3</v>
      </c>
      <c r="H127" s="2">
        <v>0</v>
      </c>
      <c r="I127" s="2">
        <v>0</v>
      </c>
      <c r="J127" s="2">
        <v>0</v>
      </c>
      <c r="K127" s="2">
        <v>0</v>
      </c>
      <c r="L127" s="2">
        <v>0</v>
      </c>
      <c r="M127" s="2">
        <v>0</v>
      </c>
      <c r="N127" s="2">
        <v>0</v>
      </c>
      <c r="O127" s="2">
        <v>1</v>
      </c>
      <c r="P127" s="2">
        <v>0</v>
      </c>
      <c r="Q127" s="2">
        <v>0</v>
      </c>
      <c r="R127" s="2">
        <v>0</v>
      </c>
      <c r="S127" s="2">
        <v>0</v>
      </c>
      <c r="T127" s="2">
        <v>0</v>
      </c>
      <c r="U127" s="2">
        <v>0</v>
      </c>
      <c r="V127" s="2">
        <v>0</v>
      </c>
      <c r="W127" s="14">
        <v>0</v>
      </c>
      <c r="X127" s="2">
        <v>0</v>
      </c>
      <c r="Y127" s="2">
        <v>0</v>
      </c>
      <c r="Z127" s="2">
        <v>0</v>
      </c>
      <c r="AA127" s="2">
        <v>0</v>
      </c>
      <c r="AB127" s="2">
        <v>0</v>
      </c>
      <c r="AC127" s="2">
        <v>0</v>
      </c>
      <c r="AD127" s="2">
        <v>0</v>
      </c>
      <c r="AE127" s="2">
        <v>0</v>
      </c>
      <c r="AF127" s="2">
        <v>0</v>
      </c>
      <c r="AG127" s="2">
        <v>0</v>
      </c>
      <c r="AH127" s="2">
        <v>0</v>
      </c>
      <c r="AI127" s="2">
        <v>0</v>
      </c>
      <c r="AJ127" s="2">
        <v>0</v>
      </c>
      <c r="AK127" s="2">
        <v>0</v>
      </c>
      <c r="AL127" s="2">
        <v>0</v>
      </c>
      <c r="AM127" s="2">
        <v>0</v>
      </c>
      <c r="AN127" s="2">
        <v>0</v>
      </c>
      <c r="AO127" s="2">
        <v>0</v>
      </c>
      <c r="AP127" s="2">
        <v>0</v>
      </c>
      <c r="AQ127" s="2">
        <v>0</v>
      </c>
      <c r="AR127" s="2">
        <v>0</v>
      </c>
      <c r="AS127" s="2">
        <v>1</v>
      </c>
      <c r="AT127" s="2">
        <v>0</v>
      </c>
      <c r="AU127" s="2">
        <v>0</v>
      </c>
      <c r="AV127" s="2">
        <v>0</v>
      </c>
      <c r="AW127" s="2">
        <v>0</v>
      </c>
      <c r="AX127" s="2">
        <v>0</v>
      </c>
      <c r="AY127" s="2">
        <v>0</v>
      </c>
      <c r="AZ127" s="2" t="s">
        <v>39</v>
      </c>
      <c r="BA127" s="14">
        <v>140000</v>
      </c>
      <c r="BB127" s="14">
        <f>SUM(Table_ship_components[[#This Row],[PRICE]]+(Table_ship_components[[#This Row],[COST_PER_ADD_PERSON]]*Table_ship_components[[#This Row],[OPTIONAL]]))</f>
        <v>140000</v>
      </c>
      <c r="BC127" s="2">
        <v>0</v>
      </c>
      <c r="BD127" s="2">
        <v>0</v>
      </c>
    </row>
    <row r="128" spans="1:56" x14ac:dyDescent="0.35">
      <c r="A128" t="s">
        <v>622</v>
      </c>
      <c r="B128" t="s">
        <v>616</v>
      </c>
      <c r="C128" s="2">
        <v>0</v>
      </c>
      <c r="D128" s="2">
        <v>6</v>
      </c>
      <c r="E128" s="2">
        <f>SUM(Table_ship_components[[#This Row],[UNIT_SIZE]]+(Table_ship_components[[#This Row],[SIZE_PER_ADD_PERSON]]*Table_ship_components[[#This Row],[OPTIONAL]]))</f>
        <v>6</v>
      </c>
      <c r="F128" s="2">
        <v>4</v>
      </c>
      <c r="G128" s="2">
        <f>SUM(Table_ship_components[[#This Row],[POWER_CONSUMPTION]]+(Table_ship_components[[#This Row],[POWER_PER_ADD_PERSON]]*Table_ship_components[[#This Row],[OPTIONAL]]))</f>
        <v>4</v>
      </c>
      <c r="H128" s="2">
        <v>0</v>
      </c>
      <c r="I128" s="2">
        <v>0</v>
      </c>
      <c r="J128" s="2">
        <v>0</v>
      </c>
      <c r="K128" s="2">
        <v>0</v>
      </c>
      <c r="L128" s="2">
        <v>0</v>
      </c>
      <c r="M128" s="2">
        <v>0</v>
      </c>
      <c r="N128" s="2">
        <v>0</v>
      </c>
      <c r="O128" s="2">
        <v>1</v>
      </c>
      <c r="P128" s="2">
        <v>0</v>
      </c>
      <c r="Q128" s="2">
        <v>0</v>
      </c>
      <c r="R128" s="2">
        <v>0</v>
      </c>
      <c r="S128" s="2">
        <v>0</v>
      </c>
      <c r="T128" s="2">
        <v>0</v>
      </c>
      <c r="U128" s="2">
        <v>0</v>
      </c>
      <c r="V128" s="2">
        <v>0</v>
      </c>
      <c r="W128" s="14">
        <v>0</v>
      </c>
      <c r="X128" s="2">
        <v>0</v>
      </c>
      <c r="Y128" s="2">
        <v>0</v>
      </c>
      <c r="Z128" s="2">
        <v>0</v>
      </c>
      <c r="AA128" s="2">
        <v>0</v>
      </c>
      <c r="AB128" s="2">
        <v>0</v>
      </c>
      <c r="AC128" s="2">
        <v>0</v>
      </c>
      <c r="AD128" s="2">
        <v>0</v>
      </c>
      <c r="AE128" s="2">
        <v>0</v>
      </c>
      <c r="AF128" s="2">
        <v>0</v>
      </c>
      <c r="AG128" s="2">
        <v>0</v>
      </c>
      <c r="AH128" s="2">
        <v>0</v>
      </c>
      <c r="AI128" s="2">
        <v>0</v>
      </c>
      <c r="AJ128" s="2">
        <v>0</v>
      </c>
      <c r="AK128" s="2">
        <v>0</v>
      </c>
      <c r="AL128" s="2">
        <v>0</v>
      </c>
      <c r="AM128" s="2">
        <v>0</v>
      </c>
      <c r="AN128" s="2">
        <v>0</v>
      </c>
      <c r="AO128" s="2">
        <v>0</v>
      </c>
      <c r="AP128" s="2">
        <v>0</v>
      </c>
      <c r="AQ128" s="2">
        <v>0</v>
      </c>
      <c r="AR128" s="2">
        <v>0</v>
      </c>
      <c r="AS128" s="2">
        <v>2</v>
      </c>
      <c r="AT128" s="2">
        <v>0</v>
      </c>
      <c r="AU128" s="2">
        <v>0</v>
      </c>
      <c r="AV128" s="2">
        <v>0</v>
      </c>
      <c r="AW128" s="2">
        <v>0</v>
      </c>
      <c r="AX128" s="2">
        <v>0</v>
      </c>
      <c r="AY128" s="2">
        <v>0</v>
      </c>
      <c r="AZ128" s="2" t="s">
        <v>39</v>
      </c>
      <c r="BA128" s="14">
        <v>280000</v>
      </c>
      <c r="BB128" s="14">
        <f>SUM(Table_ship_components[[#This Row],[PRICE]]+(Table_ship_components[[#This Row],[COST_PER_ADD_PERSON]]*Table_ship_components[[#This Row],[OPTIONAL]]))</f>
        <v>280000</v>
      </c>
      <c r="BC128" s="2">
        <v>0</v>
      </c>
      <c r="BD128" s="2">
        <v>0</v>
      </c>
    </row>
    <row r="129" spans="1:56" x14ac:dyDescent="0.35">
      <c r="A129" t="s">
        <v>623</v>
      </c>
      <c r="B129" t="s">
        <v>616</v>
      </c>
      <c r="C129" s="2">
        <v>0</v>
      </c>
      <c r="D129" s="2">
        <v>7</v>
      </c>
      <c r="E129" s="2">
        <f>SUM(Table_ship_components[[#This Row],[UNIT_SIZE]]+(Table_ship_components[[#This Row],[SIZE_PER_ADD_PERSON]]*Table_ship_components[[#This Row],[OPTIONAL]]))</f>
        <v>7</v>
      </c>
      <c r="F129" s="2">
        <v>5</v>
      </c>
      <c r="G129" s="2">
        <f>SUM(Table_ship_components[[#This Row],[POWER_CONSUMPTION]]+(Table_ship_components[[#This Row],[POWER_PER_ADD_PERSON]]*Table_ship_components[[#This Row],[OPTIONAL]]))</f>
        <v>5</v>
      </c>
      <c r="H129" s="2">
        <v>0</v>
      </c>
      <c r="I129" s="2">
        <v>0</v>
      </c>
      <c r="J129" s="2">
        <v>0</v>
      </c>
      <c r="K129" s="2">
        <v>0</v>
      </c>
      <c r="L129" s="2">
        <v>0</v>
      </c>
      <c r="M129" s="2">
        <v>0</v>
      </c>
      <c r="N129" s="2">
        <v>0</v>
      </c>
      <c r="O129" s="2">
        <v>1</v>
      </c>
      <c r="P129" s="2">
        <v>0</v>
      </c>
      <c r="Q129" s="2">
        <v>0</v>
      </c>
      <c r="R129" s="2">
        <v>0</v>
      </c>
      <c r="S129" s="2">
        <v>0</v>
      </c>
      <c r="T129" s="2">
        <v>0</v>
      </c>
      <c r="U129" s="2">
        <v>0</v>
      </c>
      <c r="V129" s="2">
        <v>0</v>
      </c>
      <c r="W129" s="14">
        <v>0</v>
      </c>
      <c r="X129" s="2">
        <v>0</v>
      </c>
      <c r="Y129" s="2">
        <v>0</v>
      </c>
      <c r="Z129" s="2">
        <v>0</v>
      </c>
      <c r="AA129" s="2">
        <v>0</v>
      </c>
      <c r="AB129" s="2">
        <v>0</v>
      </c>
      <c r="AC129" s="2">
        <v>0</v>
      </c>
      <c r="AD129" s="2">
        <v>0</v>
      </c>
      <c r="AE129" s="2">
        <v>0</v>
      </c>
      <c r="AF129" s="2">
        <v>0</v>
      </c>
      <c r="AG129" s="2">
        <v>0</v>
      </c>
      <c r="AH129" s="2">
        <v>0</v>
      </c>
      <c r="AI129" s="2">
        <v>0</v>
      </c>
      <c r="AJ129" s="2">
        <v>0</v>
      </c>
      <c r="AK129" s="2">
        <v>0</v>
      </c>
      <c r="AL129" s="2">
        <v>0</v>
      </c>
      <c r="AM129" s="2">
        <v>0</v>
      </c>
      <c r="AN129" s="2">
        <v>0</v>
      </c>
      <c r="AO129" s="2">
        <v>0</v>
      </c>
      <c r="AP129" s="2">
        <v>0</v>
      </c>
      <c r="AQ129" s="2">
        <v>0</v>
      </c>
      <c r="AR129" s="2">
        <v>0</v>
      </c>
      <c r="AS129" s="2">
        <v>3</v>
      </c>
      <c r="AT129" s="2">
        <v>0</v>
      </c>
      <c r="AU129" s="2">
        <v>0</v>
      </c>
      <c r="AV129" s="2">
        <v>0</v>
      </c>
      <c r="AW129" s="2">
        <v>0</v>
      </c>
      <c r="AX129" s="2">
        <v>0</v>
      </c>
      <c r="AY129" s="2">
        <v>0</v>
      </c>
      <c r="AZ129" s="2" t="s">
        <v>39</v>
      </c>
      <c r="BA129" s="14">
        <v>560000</v>
      </c>
      <c r="BB129" s="14">
        <f>SUM(Table_ship_components[[#This Row],[PRICE]]+(Table_ship_components[[#This Row],[COST_PER_ADD_PERSON]]*Table_ship_components[[#This Row],[OPTIONAL]]))</f>
        <v>560000</v>
      </c>
      <c r="BC129" s="2">
        <v>0</v>
      </c>
      <c r="BD129" s="2">
        <v>0</v>
      </c>
    </row>
    <row r="130" spans="1:56" x14ac:dyDescent="0.35">
      <c r="A130" t="s">
        <v>316</v>
      </c>
      <c r="B130" t="s">
        <v>276</v>
      </c>
      <c r="C130" s="2">
        <v>0</v>
      </c>
      <c r="D130" s="2">
        <v>3</v>
      </c>
      <c r="E130" s="2">
        <f>SUM(Table_ship_components[[#This Row],[UNIT_SIZE]]+(Table_ship_components[[#This Row],[SIZE_PER_ADD_PERSON]]*Table_ship_components[[#This Row],[OPTIONAL]]))</f>
        <v>3</v>
      </c>
      <c r="F130" s="2">
        <v>0</v>
      </c>
      <c r="G130" s="2">
        <f>SUM(Table_ship_components[[#This Row],[POWER_CONSUMPTION]]+(Table_ship_components[[#This Row],[POWER_PER_ADD_PERSON]]*Table_ship_components[[#This Row],[OPTIONAL]]))</f>
        <v>0</v>
      </c>
      <c r="H130" s="2">
        <v>0</v>
      </c>
      <c r="I130" s="2">
        <v>0</v>
      </c>
      <c r="J130" s="2">
        <v>0</v>
      </c>
      <c r="K130" s="2">
        <v>0</v>
      </c>
      <c r="L130" s="2">
        <v>0</v>
      </c>
      <c r="M130" s="2">
        <v>1</v>
      </c>
      <c r="N130" s="2">
        <v>1</v>
      </c>
      <c r="O130" s="2">
        <v>1</v>
      </c>
      <c r="P130" s="2">
        <v>1</v>
      </c>
      <c r="Q130" s="2">
        <v>1</v>
      </c>
      <c r="R130" s="2">
        <v>1</v>
      </c>
      <c r="S130" s="2">
        <v>1</v>
      </c>
      <c r="T130" s="2">
        <v>1</v>
      </c>
      <c r="U130" s="2">
        <v>0</v>
      </c>
      <c r="V130" s="2">
        <v>0</v>
      </c>
      <c r="W130" s="14">
        <v>0</v>
      </c>
      <c r="X130" s="2">
        <v>0</v>
      </c>
      <c r="Y130" s="2">
        <v>0</v>
      </c>
      <c r="Z130" s="2">
        <v>0</v>
      </c>
      <c r="AA130" s="2">
        <v>0</v>
      </c>
      <c r="AB130" s="2">
        <v>0</v>
      </c>
      <c r="AC130" s="2">
        <v>0</v>
      </c>
      <c r="AD130" s="2">
        <v>0</v>
      </c>
      <c r="AE130" s="2">
        <v>0</v>
      </c>
      <c r="AF130" s="2">
        <v>0</v>
      </c>
      <c r="AG130" s="2">
        <v>0</v>
      </c>
      <c r="AH130" s="2">
        <v>0</v>
      </c>
      <c r="AI130" s="2">
        <v>0</v>
      </c>
      <c r="AJ130" s="2">
        <v>0</v>
      </c>
      <c r="AK130" s="2">
        <v>0</v>
      </c>
      <c r="AL130" s="2">
        <v>0</v>
      </c>
      <c r="AM130" s="2">
        <v>0</v>
      </c>
      <c r="AN130" s="2">
        <v>0</v>
      </c>
      <c r="AO130" s="2">
        <v>0</v>
      </c>
      <c r="AP130" s="2">
        <v>0</v>
      </c>
      <c r="AQ130" s="2">
        <v>0</v>
      </c>
      <c r="AR130" s="2">
        <v>0</v>
      </c>
      <c r="AS130" s="2">
        <v>0</v>
      </c>
      <c r="AT130" s="2">
        <v>0</v>
      </c>
      <c r="AU130" s="2">
        <v>0</v>
      </c>
      <c r="AV130" s="2">
        <v>0</v>
      </c>
      <c r="AW130" s="2">
        <v>0</v>
      </c>
      <c r="AX130" s="2">
        <v>0</v>
      </c>
      <c r="AY130" s="2">
        <v>0</v>
      </c>
      <c r="AZ130" s="2" t="s">
        <v>39</v>
      </c>
      <c r="BA130" s="14">
        <v>50000</v>
      </c>
      <c r="BB130" s="14">
        <f>SUM(Table_ship_components[[#This Row],[PRICE]]+(Table_ship_components[[#This Row],[COST_PER_ADD_PERSON]]*Table_ship_components[[#This Row],[OPTIONAL]]))</f>
        <v>50000</v>
      </c>
      <c r="BC130" s="2">
        <v>0</v>
      </c>
      <c r="BD130" s="2">
        <v>0</v>
      </c>
    </row>
    <row r="131" spans="1:56" x14ac:dyDescent="0.35">
      <c r="A131" t="s">
        <v>317</v>
      </c>
      <c r="B131" t="s">
        <v>277</v>
      </c>
      <c r="C131" s="2">
        <v>0</v>
      </c>
      <c r="D131" s="2">
        <v>5</v>
      </c>
      <c r="E131" s="2">
        <f>SUM(Table_ship_components[[#This Row],[UNIT_SIZE]]+(Table_ship_components[[#This Row],[SIZE_PER_ADD_PERSON]]*Table_ship_components[[#This Row],[OPTIONAL]]))</f>
        <v>5</v>
      </c>
      <c r="F131" s="2">
        <v>0</v>
      </c>
      <c r="G131" s="2">
        <f>SUM(Table_ship_components[[#This Row],[POWER_CONSUMPTION]]+(Table_ship_components[[#This Row],[POWER_PER_ADD_PERSON]]*Table_ship_components[[#This Row],[OPTIONAL]]))</f>
        <v>0</v>
      </c>
      <c r="H131" s="2">
        <v>0</v>
      </c>
      <c r="I131" s="2">
        <v>0</v>
      </c>
      <c r="J131" s="2">
        <v>0</v>
      </c>
      <c r="K131" s="2">
        <v>0</v>
      </c>
      <c r="L131" s="2">
        <v>0</v>
      </c>
      <c r="M131" s="2">
        <v>0</v>
      </c>
      <c r="N131" s="2">
        <v>1</v>
      </c>
      <c r="O131" s="2">
        <v>1</v>
      </c>
      <c r="P131" s="2">
        <v>1</v>
      </c>
      <c r="Q131" s="2">
        <v>1</v>
      </c>
      <c r="R131" s="2">
        <v>1</v>
      </c>
      <c r="S131" s="2">
        <v>1</v>
      </c>
      <c r="T131" s="2">
        <v>1</v>
      </c>
      <c r="U131" s="2">
        <v>0</v>
      </c>
      <c r="V131" s="2">
        <v>0</v>
      </c>
      <c r="W131" s="14">
        <v>0</v>
      </c>
      <c r="X131" s="2">
        <v>0</v>
      </c>
      <c r="Y131" s="2">
        <v>0</v>
      </c>
      <c r="Z131" s="2">
        <v>0</v>
      </c>
      <c r="AA131" s="2">
        <v>0</v>
      </c>
      <c r="AB131" s="2">
        <v>0</v>
      </c>
      <c r="AC131" s="2">
        <v>0</v>
      </c>
      <c r="AD131" s="2">
        <v>0</v>
      </c>
      <c r="AE131" s="2">
        <v>0</v>
      </c>
      <c r="AF131" s="2">
        <v>0</v>
      </c>
      <c r="AG131" s="2">
        <v>0</v>
      </c>
      <c r="AH131" s="2">
        <v>0</v>
      </c>
      <c r="AI131" s="2">
        <v>0</v>
      </c>
      <c r="AJ131" s="2">
        <v>0</v>
      </c>
      <c r="AK131" s="2">
        <v>0</v>
      </c>
      <c r="AL131" s="2">
        <v>0</v>
      </c>
      <c r="AM131" s="2">
        <v>0</v>
      </c>
      <c r="AN131" s="2">
        <v>0</v>
      </c>
      <c r="AO131" s="2">
        <v>0</v>
      </c>
      <c r="AP131" s="2">
        <v>0</v>
      </c>
      <c r="AQ131" s="2">
        <v>0</v>
      </c>
      <c r="AR131" s="2">
        <v>0</v>
      </c>
      <c r="AS131" s="2">
        <v>0</v>
      </c>
      <c r="AT131" s="2">
        <v>0</v>
      </c>
      <c r="AU131" s="2">
        <v>0</v>
      </c>
      <c r="AV131" s="2">
        <v>0</v>
      </c>
      <c r="AW131" s="2">
        <v>0</v>
      </c>
      <c r="AX131" s="2">
        <v>0</v>
      </c>
      <c r="AY131" s="2">
        <v>0</v>
      </c>
      <c r="AZ131" s="2" t="s">
        <v>39</v>
      </c>
      <c r="BA131" s="14">
        <v>100000</v>
      </c>
      <c r="BB131" s="14">
        <f>SUM(Table_ship_components[[#This Row],[PRICE]]+(Table_ship_components[[#This Row],[COST_PER_ADD_PERSON]]*Table_ship_components[[#This Row],[OPTIONAL]]))</f>
        <v>100000</v>
      </c>
      <c r="BC131" s="2">
        <v>0</v>
      </c>
      <c r="BD131" s="2">
        <v>0</v>
      </c>
    </row>
    <row r="132" spans="1:56" x14ac:dyDescent="0.35">
      <c r="A132" t="s">
        <v>318</v>
      </c>
      <c r="B132" t="s">
        <v>278</v>
      </c>
      <c r="C132" s="2">
        <v>0</v>
      </c>
      <c r="D132" s="2">
        <v>15</v>
      </c>
      <c r="E132" s="2">
        <f>SUM(Table_ship_components[[#This Row],[UNIT_SIZE]]+(Table_ship_components[[#This Row],[SIZE_PER_ADD_PERSON]]*Table_ship_components[[#This Row],[OPTIONAL]]))</f>
        <v>15</v>
      </c>
      <c r="F132" s="2">
        <v>0</v>
      </c>
      <c r="G132" s="2">
        <f>SUM(Table_ship_components[[#This Row],[POWER_CONSUMPTION]]+(Table_ship_components[[#This Row],[POWER_PER_ADD_PERSON]]*Table_ship_components[[#This Row],[OPTIONAL]]))</f>
        <v>0</v>
      </c>
      <c r="H132" s="2">
        <v>0</v>
      </c>
      <c r="I132" s="2">
        <v>0</v>
      </c>
      <c r="J132" s="2">
        <v>0</v>
      </c>
      <c r="K132" s="2">
        <v>0</v>
      </c>
      <c r="L132" s="2">
        <v>0</v>
      </c>
      <c r="M132" s="2">
        <v>0</v>
      </c>
      <c r="N132" s="2">
        <v>0</v>
      </c>
      <c r="O132" s="2">
        <v>0</v>
      </c>
      <c r="P132" s="2">
        <v>1</v>
      </c>
      <c r="Q132" s="2">
        <v>1</v>
      </c>
      <c r="R132" s="2">
        <v>1</v>
      </c>
      <c r="S132" s="2">
        <v>1</v>
      </c>
      <c r="T132" s="2">
        <v>1</v>
      </c>
      <c r="U132" s="2">
        <v>0</v>
      </c>
      <c r="V132" s="2">
        <v>0</v>
      </c>
      <c r="W132" s="14">
        <v>0</v>
      </c>
      <c r="X132" s="2">
        <v>0</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0</v>
      </c>
      <c r="AP132" s="2">
        <v>0</v>
      </c>
      <c r="AQ132" s="2">
        <v>0</v>
      </c>
      <c r="AR132" s="2">
        <v>0</v>
      </c>
      <c r="AS132" s="2">
        <v>0</v>
      </c>
      <c r="AT132" s="2">
        <v>0</v>
      </c>
      <c r="AU132" s="2">
        <v>0</v>
      </c>
      <c r="AV132" s="2">
        <v>0</v>
      </c>
      <c r="AW132" s="2">
        <v>0</v>
      </c>
      <c r="AX132" s="2">
        <v>0</v>
      </c>
      <c r="AY132" s="2">
        <v>0</v>
      </c>
      <c r="AZ132" s="2" t="s">
        <v>39</v>
      </c>
      <c r="BA132" s="14">
        <v>200000</v>
      </c>
      <c r="BB132" s="14">
        <f>SUM(Table_ship_components[[#This Row],[PRICE]]+(Table_ship_components[[#This Row],[COST_PER_ADD_PERSON]]*Table_ship_components[[#This Row],[OPTIONAL]]))</f>
        <v>200000</v>
      </c>
      <c r="BC132" s="2">
        <v>0</v>
      </c>
      <c r="BD132" s="2">
        <v>0</v>
      </c>
    </row>
    <row r="133" spans="1:56" x14ac:dyDescent="0.35">
      <c r="A133" t="s">
        <v>319</v>
      </c>
      <c r="B133" t="s">
        <v>279</v>
      </c>
      <c r="C133" s="2">
        <v>0</v>
      </c>
      <c r="D133" s="2">
        <v>100</v>
      </c>
      <c r="E133" s="2">
        <f>SUM(Table_ship_components[[#This Row],[UNIT_SIZE]]+(Table_ship_components[[#This Row],[SIZE_PER_ADD_PERSON]]*Table_ship_components[[#This Row],[OPTIONAL]]))</f>
        <v>100</v>
      </c>
      <c r="F133" s="2">
        <v>0</v>
      </c>
      <c r="G133" s="2">
        <f>SUM(Table_ship_components[[#This Row],[POWER_CONSUMPTION]]+(Table_ship_components[[#This Row],[POWER_PER_ADD_PERSON]]*Table_ship_components[[#This Row],[OPTIONAL]]))</f>
        <v>0</v>
      </c>
      <c r="H133" s="2">
        <v>0</v>
      </c>
      <c r="I133" s="2">
        <v>0</v>
      </c>
      <c r="J133" s="2">
        <v>0</v>
      </c>
      <c r="K133" s="2">
        <v>0</v>
      </c>
      <c r="L133" s="2">
        <v>0</v>
      </c>
      <c r="M133" s="2">
        <v>0</v>
      </c>
      <c r="N133" s="2">
        <v>0</v>
      </c>
      <c r="O133" s="2">
        <v>0</v>
      </c>
      <c r="P133" s="2">
        <v>0</v>
      </c>
      <c r="Q133" s="2">
        <v>0</v>
      </c>
      <c r="R133" s="2">
        <v>1</v>
      </c>
      <c r="S133" s="2">
        <v>1</v>
      </c>
      <c r="T133" s="2">
        <v>1</v>
      </c>
      <c r="U133" s="2">
        <v>0</v>
      </c>
      <c r="V133" s="2">
        <v>0</v>
      </c>
      <c r="W133" s="14">
        <v>0</v>
      </c>
      <c r="X133" s="2">
        <v>0</v>
      </c>
      <c r="Y133" s="2">
        <v>0</v>
      </c>
      <c r="Z133" s="2">
        <v>0</v>
      </c>
      <c r="AA133" s="2">
        <v>0</v>
      </c>
      <c r="AB133" s="2">
        <v>0</v>
      </c>
      <c r="AC133" s="2">
        <v>0</v>
      </c>
      <c r="AD133" s="2">
        <v>0</v>
      </c>
      <c r="AE133" s="2">
        <v>0</v>
      </c>
      <c r="AF133" s="2">
        <v>0</v>
      </c>
      <c r="AG133" s="2">
        <v>0</v>
      </c>
      <c r="AH133" s="2">
        <v>0</v>
      </c>
      <c r="AI133" s="2">
        <v>0</v>
      </c>
      <c r="AJ133" s="2">
        <v>0</v>
      </c>
      <c r="AK133" s="2">
        <v>0</v>
      </c>
      <c r="AL133" s="2">
        <v>0</v>
      </c>
      <c r="AM133" s="2">
        <v>0</v>
      </c>
      <c r="AN133" s="2">
        <v>0</v>
      </c>
      <c r="AO133" s="2">
        <v>0</v>
      </c>
      <c r="AP133" s="2">
        <v>0</v>
      </c>
      <c r="AQ133" s="2">
        <v>0</v>
      </c>
      <c r="AR133" s="2">
        <v>0</v>
      </c>
      <c r="AS133" s="2">
        <v>0</v>
      </c>
      <c r="AT133" s="2">
        <v>0</v>
      </c>
      <c r="AU133" s="2">
        <v>0</v>
      </c>
      <c r="AV133" s="2">
        <v>0</v>
      </c>
      <c r="AW133" s="2">
        <v>0</v>
      </c>
      <c r="AX133" s="2">
        <v>0</v>
      </c>
      <c r="AY133" s="2">
        <v>0</v>
      </c>
      <c r="AZ133" s="2" t="s">
        <v>39</v>
      </c>
      <c r="BA133" s="14">
        <v>400000</v>
      </c>
      <c r="BB133" s="14">
        <f>SUM(Table_ship_components[[#This Row],[PRICE]]+(Table_ship_components[[#This Row],[COST_PER_ADD_PERSON]]*Table_ship_components[[#This Row],[OPTIONAL]]))</f>
        <v>400000</v>
      </c>
      <c r="BC133" s="2">
        <v>0</v>
      </c>
      <c r="BD133" s="2">
        <v>0</v>
      </c>
    </row>
    <row r="134" spans="1:56" x14ac:dyDescent="0.35">
      <c r="A134" t="s">
        <v>320</v>
      </c>
      <c r="B134" t="s">
        <v>408</v>
      </c>
      <c r="C134" s="2">
        <v>0</v>
      </c>
      <c r="D134" s="2">
        <v>3</v>
      </c>
      <c r="E134" s="2">
        <f>SUM(Table_ship_components[[#This Row],[UNIT_SIZE]]+(Table_ship_components[[#This Row],[SIZE_PER_ADD_PERSON]]*Table_ship_components[[#This Row],[OPTIONAL]]))</f>
        <v>3</v>
      </c>
      <c r="F134" s="2">
        <v>1</v>
      </c>
      <c r="G134" s="2">
        <f>SUM(Table_ship_components[[#This Row],[POWER_CONSUMPTION]]+(Table_ship_components[[#This Row],[POWER_PER_ADD_PERSON]]*Table_ship_components[[#This Row],[OPTIONAL]]))</f>
        <v>1</v>
      </c>
      <c r="H134" s="2">
        <v>0</v>
      </c>
      <c r="I134" s="2">
        <v>0</v>
      </c>
      <c r="J134" s="2">
        <v>0</v>
      </c>
      <c r="K134" s="2">
        <v>0</v>
      </c>
      <c r="L134" s="2">
        <v>0</v>
      </c>
      <c r="M134" s="2">
        <v>0</v>
      </c>
      <c r="N134" s="2">
        <v>0</v>
      </c>
      <c r="O134" s="2">
        <v>1</v>
      </c>
      <c r="P134" s="2">
        <v>1</v>
      </c>
      <c r="Q134" s="2">
        <v>1</v>
      </c>
      <c r="R134" s="2">
        <v>1</v>
      </c>
      <c r="S134" s="2">
        <v>1</v>
      </c>
      <c r="T134" s="2">
        <v>1</v>
      </c>
      <c r="U134" s="2">
        <v>1</v>
      </c>
      <c r="V134" s="2">
        <v>1</v>
      </c>
      <c r="W134" s="14">
        <v>7500</v>
      </c>
      <c r="X134" s="2">
        <v>1</v>
      </c>
      <c r="Y134" s="2">
        <v>0</v>
      </c>
      <c r="Z134" s="2">
        <v>0</v>
      </c>
      <c r="AA134" s="2">
        <v>1</v>
      </c>
      <c r="AB134" s="2">
        <v>0</v>
      </c>
      <c r="AC134" s="2">
        <v>0</v>
      </c>
      <c r="AD134" s="2">
        <v>0</v>
      </c>
      <c r="AE134" s="2">
        <v>0</v>
      </c>
      <c r="AF134" s="2">
        <v>0</v>
      </c>
      <c r="AG134" s="2">
        <v>0</v>
      </c>
      <c r="AH134" s="2">
        <v>0</v>
      </c>
      <c r="AI134" s="2">
        <v>0</v>
      </c>
      <c r="AJ134" s="2">
        <v>0</v>
      </c>
      <c r="AK134" s="2">
        <v>0</v>
      </c>
      <c r="AL134" s="2">
        <v>0</v>
      </c>
      <c r="AM134" s="2">
        <v>0</v>
      </c>
      <c r="AN134" s="2">
        <v>0</v>
      </c>
      <c r="AO134" s="2">
        <v>0</v>
      </c>
      <c r="AP134" s="2">
        <v>0</v>
      </c>
      <c r="AQ134" s="2">
        <v>0</v>
      </c>
      <c r="AR134" s="2">
        <v>0</v>
      </c>
      <c r="AS134" s="2">
        <v>0</v>
      </c>
      <c r="AT134" s="2">
        <v>0</v>
      </c>
      <c r="AU134" s="2">
        <v>0</v>
      </c>
      <c r="AV134" s="2">
        <v>0</v>
      </c>
      <c r="AW134" s="2">
        <v>0</v>
      </c>
      <c r="AX134" s="2">
        <v>0</v>
      </c>
      <c r="AY134" s="2">
        <v>0</v>
      </c>
      <c r="AZ134" s="2" t="s">
        <v>39</v>
      </c>
      <c r="BA134" s="14">
        <v>75000</v>
      </c>
      <c r="BB134" s="14">
        <f>SUM(Table_ship_components[[#This Row],[PRICE]]+(Table_ship_components[[#This Row],[COST_PER_ADD_PERSON]]*Table_ship_components[[#This Row],[OPTIONAL]]))</f>
        <v>75000</v>
      </c>
      <c r="BC134" s="2">
        <v>0</v>
      </c>
      <c r="BD134" s="2">
        <v>0</v>
      </c>
    </row>
    <row r="135" spans="1:56" ht="15.75" customHeight="1" x14ac:dyDescent="0.35">
      <c r="A135" t="s">
        <v>321</v>
      </c>
      <c r="B135" t="s">
        <v>409</v>
      </c>
      <c r="C135" s="2">
        <v>0</v>
      </c>
      <c r="D135" s="2">
        <v>6</v>
      </c>
      <c r="E135" s="2">
        <f>SUM(Table_ship_components[[#This Row],[UNIT_SIZE]]+(Table_ship_components[[#This Row],[SIZE_PER_ADD_PERSON]]*Table_ship_components[[#This Row],[OPTIONAL]]))</f>
        <v>6</v>
      </c>
      <c r="F135" s="2">
        <v>2</v>
      </c>
      <c r="G135" s="2">
        <f>SUM(Table_ship_components[[#This Row],[POWER_CONSUMPTION]]+(Table_ship_components[[#This Row],[POWER_PER_ADD_PERSON]]*Table_ship_components[[#This Row],[OPTIONAL]]))</f>
        <v>2</v>
      </c>
      <c r="H135" s="2">
        <v>0</v>
      </c>
      <c r="I135" s="2">
        <v>0</v>
      </c>
      <c r="J135" s="2">
        <v>0</v>
      </c>
      <c r="K135" s="2">
        <v>0</v>
      </c>
      <c r="L135" s="2">
        <v>0</v>
      </c>
      <c r="M135" s="2">
        <v>0</v>
      </c>
      <c r="N135" s="2">
        <v>0</v>
      </c>
      <c r="O135" s="2">
        <v>1</v>
      </c>
      <c r="P135" s="2">
        <v>1</v>
      </c>
      <c r="Q135" s="2">
        <v>1</v>
      </c>
      <c r="R135" s="2">
        <v>1</v>
      </c>
      <c r="S135" s="2">
        <v>1</v>
      </c>
      <c r="T135" s="2">
        <v>1</v>
      </c>
      <c r="U135" s="2">
        <v>1</v>
      </c>
      <c r="V135" s="2">
        <v>2</v>
      </c>
      <c r="W135" s="14">
        <v>15000</v>
      </c>
      <c r="X135" s="2">
        <v>2</v>
      </c>
      <c r="Y135" s="2">
        <v>0</v>
      </c>
      <c r="Z135" s="2">
        <v>0</v>
      </c>
      <c r="AA135" s="2">
        <v>1</v>
      </c>
      <c r="AB135" s="2">
        <v>0</v>
      </c>
      <c r="AC135" s="2">
        <v>0</v>
      </c>
      <c r="AD135" s="2">
        <v>0</v>
      </c>
      <c r="AE135" s="2">
        <v>0</v>
      </c>
      <c r="AF135" s="2">
        <v>0</v>
      </c>
      <c r="AG135" s="2">
        <v>0</v>
      </c>
      <c r="AH135" s="2">
        <v>0</v>
      </c>
      <c r="AI135" s="2">
        <v>0</v>
      </c>
      <c r="AJ135" s="2">
        <v>0</v>
      </c>
      <c r="AK135" s="2">
        <v>0</v>
      </c>
      <c r="AL135" s="2">
        <v>0</v>
      </c>
      <c r="AM135" s="2">
        <v>0</v>
      </c>
      <c r="AN135" s="2">
        <v>0</v>
      </c>
      <c r="AO135" s="2">
        <v>0</v>
      </c>
      <c r="AP135" s="2">
        <v>0</v>
      </c>
      <c r="AQ135" s="2">
        <v>0</v>
      </c>
      <c r="AR135" s="2">
        <v>0</v>
      </c>
      <c r="AS135" s="2">
        <v>0</v>
      </c>
      <c r="AT135" s="2">
        <v>0</v>
      </c>
      <c r="AU135" s="2">
        <v>0</v>
      </c>
      <c r="AV135" s="2">
        <v>0</v>
      </c>
      <c r="AW135" s="2">
        <v>0</v>
      </c>
      <c r="AX135" s="2">
        <v>0</v>
      </c>
      <c r="AY135" s="2">
        <v>0</v>
      </c>
      <c r="AZ135" s="2" t="s">
        <v>39</v>
      </c>
      <c r="BA135" s="14">
        <v>150000</v>
      </c>
      <c r="BB135" s="14">
        <f>SUM(Table_ship_components[[#This Row],[PRICE]]+(Table_ship_components[[#This Row],[COST_PER_ADD_PERSON]]*Table_ship_components[[#This Row],[OPTIONAL]]))</f>
        <v>150000</v>
      </c>
      <c r="BC135" s="2">
        <v>0</v>
      </c>
      <c r="BD135" s="2">
        <v>0</v>
      </c>
    </row>
    <row r="136" spans="1:56" x14ac:dyDescent="0.35">
      <c r="A136" t="s">
        <v>322</v>
      </c>
      <c r="B136" t="s">
        <v>410</v>
      </c>
      <c r="C136" s="2">
        <v>0</v>
      </c>
      <c r="D136" s="2">
        <v>9</v>
      </c>
      <c r="E136" s="2">
        <f>SUM(Table_ship_components[[#This Row],[UNIT_SIZE]]+(Table_ship_components[[#This Row],[SIZE_PER_ADD_PERSON]]*Table_ship_components[[#This Row],[OPTIONAL]]))</f>
        <v>9</v>
      </c>
      <c r="F136" s="2">
        <v>3</v>
      </c>
      <c r="G136" s="2">
        <f>SUM(Table_ship_components[[#This Row],[POWER_CONSUMPTION]]+(Table_ship_components[[#This Row],[POWER_PER_ADD_PERSON]]*Table_ship_components[[#This Row],[OPTIONAL]]))</f>
        <v>3</v>
      </c>
      <c r="H136" s="2">
        <v>0</v>
      </c>
      <c r="I136" s="2">
        <v>0</v>
      </c>
      <c r="J136" s="2">
        <v>0</v>
      </c>
      <c r="K136" s="2">
        <v>0</v>
      </c>
      <c r="L136" s="2">
        <v>0</v>
      </c>
      <c r="M136" s="2">
        <v>0</v>
      </c>
      <c r="N136" s="2">
        <v>0</v>
      </c>
      <c r="O136" s="2">
        <v>1</v>
      </c>
      <c r="P136" s="2">
        <v>1</v>
      </c>
      <c r="Q136" s="2">
        <v>1</v>
      </c>
      <c r="R136" s="2">
        <v>1</v>
      </c>
      <c r="S136" s="2">
        <v>1</v>
      </c>
      <c r="T136" s="2">
        <v>1</v>
      </c>
      <c r="U136" s="2">
        <v>1</v>
      </c>
      <c r="V136" s="2">
        <v>3</v>
      </c>
      <c r="W136" s="14">
        <v>30000</v>
      </c>
      <c r="X136" s="2">
        <v>3</v>
      </c>
      <c r="Y136" s="2">
        <v>0</v>
      </c>
      <c r="Z136" s="2">
        <v>0</v>
      </c>
      <c r="AA136" s="2">
        <v>1</v>
      </c>
      <c r="AB136" s="2">
        <v>0</v>
      </c>
      <c r="AC136" s="2">
        <v>0</v>
      </c>
      <c r="AD136" s="2">
        <v>0</v>
      </c>
      <c r="AE136" s="2">
        <v>0</v>
      </c>
      <c r="AF136" s="2">
        <v>0</v>
      </c>
      <c r="AG136" s="2">
        <v>0</v>
      </c>
      <c r="AH136" s="2">
        <v>0</v>
      </c>
      <c r="AI136" s="2">
        <v>0</v>
      </c>
      <c r="AJ136" s="2">
        <v>0</v>
      </c>
      <c r="AK136" s="2">
        <v>0</v>
      </c>
      <c r="AL136" s="2">
        <v>0</v>
      </c>
      <c r="AM136" s="2">
        <v>0</v>
      </c>
      <c r="AN136" s="2">
        <v>0</v>
      </c>
      <c r="AO136" s="2">
        <v>0</v>
      </c>
      <c r="AP136" s="2">
        <v>0</v>
      </c>
      <c r="AQ136" s="2">
        <v>0</v>
      </c>
      <c r="AR136" s="2">
        <v>0</v>
      </c>
      <c r="AS136" s="2">
        <v>0</v>
      </c>
      <c r="AT136" s="2">
        <v>0</v>
      </c>
      <c r="AU136" s="2">
        <v>0</v>
      </c>
      <c r="AV136" s="2">
        <v>0</v>
      </c>
      <c r="AW136" s="2">
        <v>0</v>
      </c>
      <c r="AX136" s="2">
        <v>0</v>
      </c>
      <c r="AY136" s="2">
        <v>0</v>
      </c>
      <c r="AZ136" s="2" t="s">
        <v>39</v>
      </c>
      <c r="BA136" s="14">
        <v>300000</v>
      </c>
      <c r="BB136" s="14">
        <f>SUM(Table_ship_components[[#This Row],[PRICE]]+(Table_ship_components[[#This Row],[COST_PER_ADD_PERSON]]*Table_ship_components[[#This Row],[OPTIONAL]]))</f>
        <v>300000</v>
      </c>
      <c r="BC136" s="2">
        <v>0</v>
      </c>
      <c r="BD136" s="2">
        <v>0</v>
      </c>
    </row>
    <row r="137" spans="1:56" ht="15.75" customHeight="1" x14ac:dyDescent="0.35">
      <c r="A137" t="s">
        <v>543</v>
      </c>
      <c r="B137" t="s">
        <v>546</v>
      </c>
      <c r="C137" s="2">
        <v>0</v>
      </c>
      <c r="D137" s="2">
        <v>5</v>
      </c>
      <c r="E137" s="2">
        <f>SUM(Table_ship_components[[#This Row],[UNIT_SIZE]]+(Table_ship_components[[#This Row],[SIZE_PER_ADD_PERSON]]*Table_ship_components[[#This Row],[OPTIONAL]]))</f>
        <v>5</v>
      </c>
      <c r="F137" s="2">
        <v>0</v>
      </c>
      <c r="G137" s="2">
        <f>SUM(Table_ship_components[[#This Row],[POWER_CONSUMPTION]]+(Table_ship_components[[#This Row],[POWER_PER_ADD_PERSON]]*Table_ship_components[[#This Row],[OPTIONAL]]))</f>
        <v>0</v>
      </c>
      <c r="H137" s="2">
        <v>0</v>
      </c>
      <c r="I137" s="2">
        <v>15</v>
      </c>
      <c r="J137" s="2">
        <v>0</v>
      </c>
      <c r="K137" s="2">
        <v>0</v>
      </c>
      <c r="L137" s="2">
        <v>0</v>
      </c>
      <c r="M137" s="2">
        <v>1</v>
      </c>
      <c r="N137" s="2">
        <v>0</v>
      </c>
      <c r="O137" s="2">
        <v>0</v>
      </c>
      <c r="P137" s="2">
        <v>0</v>
      </c>
      <c r="Q137" s="2">
        <v>0</v>
      </c>
      <c r="R137" s="2">
        <v>0</v>
      </c>
      <c r="S137" s="2">
        <v>0</v>
      </c>
      <c r="T137" s="2">
        <v>0</v>
      </c>
      <c r="U137" s="2">
        <v>0</v>
      </c>
      <c r="V137" s="2">
        <v>0</v>
      </c>
      <c r="W137" s="14">
        <v>0</v>
      </c>
      <c r="X137" s="2">
        <v>0</v>
      </c>
      <c r="Y137" s="2">
        <v>0</v>
      </c>
      <c r="Z137" s="2">
        <v>0</v>
      </c>
      <c r="AA137" s="2">
        <v>0</v>
      </c>
      <c r="AB137" s="2">
        <v>0</v>
      </c>
      <c r="AC137" s="2">
        <v>0</v>
      </c>
      <c r="AD137" s="2">
        <v>0</v>
      </c>
      <c r="AE137" s="2">
        <v>0</v>
      </c>
      <c r="AF137" s="2">
        <v>0</v>
      </c>
      <c r="AG137" s="2">
        <v>0</v>
      </c>
      <c r="AH137" s="2">
        <v>0</v>
      </c>
      <c r="AI137" s="2">
        <v>0</v>
      </c>
      <c r="AJ137" s="2">
        <v>0</v>
      </c>
      <c r="AK137" s="2">
        <v>0</v>
      </c>
      <c r="AL137" s="2">
        <v>0</v>
      </c>
      <c r="AM137" s="2">
        <v>0</v>
      </c>
      <c r="AN137" s="2">
        <v>0</v>
      </c>
      <c r="AO137" s="2">
        <v>0</v>
      </c>
      <c r="AP137" s="2">
        <v>0</v>
      </c>
      <c r="AQ137" s="2">
        <v>0</v>
      </c>
      <c r="AR137" s="2">
        <v>0</v>
      </c>
      <c r="AS137" s="2">
        <v>0</v>
      </c>
      <c r="AT137" s="2">
        <v>-1</v>
      </c>
      <c r="AU137" s="2">
        <v>0</v>
      </c>
      <c r="AV137" s="2">
        <v>0</v>
      </c>
      <c r="AW137" s="2">
        <v>0</v>
      </c>
      <c r="AX137" s="2">
        <v>0</v>
      </c>
      <c r="AY137" s="2">
        <v>0</v>
      </c>
      <c r="AZ137" s="2" t="s">
        <v>39</v>
      </c>
      <c r="BA137" s="14">
        <v>75000</v>
      </c>
      <c r="BB137" s="14">
        <f>SUM(Table_ship_components[[#This Row],[PRICE]]+(Table_ship_components[[#This Row],[COST_PER_ADD_PERSON]]*Table_ship_components[[#This Row],[OPTIONAL]]))</f>
        <v>75000</v>
      </c>
      <c r="BC137" s="2">
        <v>0</v>
      </c>
      <c r="BD137" s="2">
        <v>0</v>
      </c>
    </row>
    <row r="138" spans="1:56" ht="15.75" customHeight="1" x14ac:dyDescent="0.35">
      <c r="A138" t="s">
        <v>544</v>
      </c>
      <c r="B138" t="s">
        <v>547</v>
      </c>
      <c r="C138" s="2">
        <v>0</v>
      </c>
      <c r="D138" s="2">
        <v>7</v>
      </c>
      <c r="E138" s="2">
        <f>SUM(Table_ship_components[[#This Row],[UNIT_SIZE]]+(Table_ship_components[[#This Row],[SIZE_PER_ADD_PERSON]]*Table_ship_components[[#This Row],[OPTIONAL]]))</f>
        <v>7</v>
      </c>
      <c r="F138" s="2">
        <v>0</v>
      </c>
      <c r="G138" s="2">
        <f>SUM(Table_ship_components[[#This Row],[POWER_CONSUMPTION]]+(Table_ship_components[[#This Row],[POWER_PER_ADD_PERSON]]*Table_ship_components[[#This Row],[OPTIONAL]]))</f>
        <v>0</v>
      </c>
      <c r="H138" s="2">
        <v>0</v>
      </c>
      <c r="I138" s="2">
        <v>25</v>
      </c>
      <c r="J138" s="2">
        <v>0</v>
      </c>
      <c r="K138" s="2">
        <v>0</v>
      </c>
      <c r="L138" s="2">
        <v>0</v>
      </c>
      <c r="M138" s="2">
        <v>1</v>
      </c>
      <c r="N138" s="2">
        <v>0</v>
      </c>
      <c r="O138" s="2">
        <v>0</v>
      </c>
      <c r="P138" s="2">
        <v>0</v>
      </c>
      <c r="Q138" s="2">
        <v>0</v>
      </c>
      <c r="R138" s="2">
        <v>0</v>
      </c>
      <c r="S138" s="2">
        <v>0</v>
      </c>
      <c r="T138" s="2">
        <v>0</v>
      </c>
      <c r="U138" s="2">
        <v>0</v>
      </c>
      <c r="V138" s="2">
        <v>0</v>
      </c>
      <c r="W138" s="14">
        <v>0</v>
      </c>
      <c r="X138" s="2">
        <v>0</v>
      </c>
      <c r="Y138" s="2">
        <v>0</v>
      </c>
      <c r="Z138" s="2">
        <v>0</v>
      </c>
      <c r="AA138" s="2">
        <v>0</v>
      </c>
      <c r="AB138" s="2">
        <v>0</v>
      </c>
      <c r="AC138" s="2">
        <v>0</v>
      </c>
      <c r="AD138" s="2">
        <v>0</v>
      </c>
      <c r="AE138" s="2">
        <v>0</v>
      </c>
      <c r="AF138" s="2">
        <v>0</v>
      </c>
      <c r="AG138" s="2">
        <v>0</v>
      </c>
      <c r="AH138" s="2">
        <v>0</v>
      </c>
      <c r="AI138" s="2">
        <v>0</v>
      </c>
      <c r="AJ138" s="2">
        <v>0</v>
      </c>
      <c r="AK138" s="2">
        <v>0</v>
      </c>
      <c r="AL138" s="2">
        <v>0</v>
      </c>
      <c r="AM138" s="2">
        <v>0</v>
      </c>
      <c r="AN138" s="2">
        <v>0</v>
      </c>
      <c r="AO138" s="2">
        <v>0</v>
      </c>
      <c r="AP138" s="2">
        <v>0</v>
      </c>
      <c r="AQ138" s="2">
        <v>0</v>
      </c>
      <c r="AR138" s="2">
        <v>0</v>
      </c>
      <c r="AS138" s="2">
        <v>0</v>
      </c>
      <c r="AT138" s="2">
        <v>0</v>
      </c>
      <c r="AU138" s="2">
        <v>0</v>
      </c>
      <c r="AV138" s="2">
        <v>0</v>
      </c>
      <c r="AW138" s="2">
        <v>0</v>
      </c>
      <c r="AX138" s="2">
        <v>0</v>
      </c>
      <c r="AY138" s="2">
        <v>0</v>
      </c>
      <c r="AZ138" s="2" t="s">
        <v>39</v>
      </c>
      <c r="BA138" s="14">
        <v>150000</v>
      </c>
      <c r="BB138" s="14">
        <f>SUM(Table_ship_components[[#This Row],[PRICE]]+(Table_ship_components[[#This Row],[COST_PER_ADD_PERSON]]*Table_ship_components[[#This Row],[OPTIONAL]]))</f>
        <v>150000</v>
      </c>
      <c r="BC138" s="2">
        <v>0</v>
      </c>
      <c r="BD138" s="2">
        <v>0</v>
      </c>
    </row>
    <row r="139" spans="1:56" ht="15.75" customHeight="1" x14ac:dyDescent="0.35">
      <c r="A139" t="s">
        <v>545</v>
      </c>
      <c r="B139" t="s">
        <v>548</v>
      </c>
      <c r="C139" s="2">
        <v>0</v>
      </c>
      <c r="D139" s="2">
        <v>9</v>
      </c>
      <c r="E139" s="2">
        <f>SUM(Table_ship_components[[#This Row],[UNIT_SIZE]]+(Table_ship_components[[#This Row],[SIZE_PER_ADD_PERSON]]*Table_ship_components[[#This Row],[OPTIONAL]]))</f>
        <v>9</v>
      </c>
      <c r="F139" s="2">
        <v>0</v>
      </c>
      <c r="G139" s="2">
        <f>SUM(Table_ship_components[[#This Row],[POWER_CONSUMPTION]]+(Table_ship_components[[#This Row],[POWER_PER_ADD_PERSON]]*Table_ship_components[[#This Row],[OPTIONAL]]))</f>
        <v>0</v>
      </c>
      <c r="H139" s="2">
        <v>0</v>
      </c>
      <c r="I139" s="2">
        <v>35</v>
      </c>
      <c r="J139" s="2">
        <v>0</v>
      </c>
      <c r="K139" s="2">
        <v>0</v>
      </c>
      <c r="L139" s="2">
        <v>0</v>
      </c>
      <c r="M139" s="2">
        <v>1</v>
      </c>
      <c r="N139" s="2">
        <v>0</v>
      </c>
      <c r="O139" s="2">
        <v>0</v>
      </c>
      <c r="P139" s="2">
        <v>0</v>
      </c>
      <c r="Q139" s="2">
        <v>0</v>
      </c>
      <c r="R139" s="2">
        <v>0</v>
      </c>
      <c r="S139" s="2">
        <v>0</v>
      </c>
      <c r="T139" s="2">
        <v>0</v>
      </c>
      <c r="U139" s="2">
        <v>0</v>
      </c>
      <c r="V139" s="2">
        <v>0</v>
      </c>
      <c r="W139" s="14">
        <v>0</v>
      </c>
      <c r="X139" s="2">
        <v>0</v>
      </c>
      <c r="Y139" s="2">
        <v>0</v>
      </c>
      <c r="Z139" s="2">
        <v>0</v>
      </c>
      <c r="AA139" s="2">
        <v>0</v>
      </c>
      <c r="AB139" s="2">
        <v>0</v>
      </c>
      <c r="AC139" s="2">
        <v>0</v>
      </c>
      <c r="AD139" s="2">
        <v>0</v>
      </c>
      <c r="AE139" s="2">
        <v>0</v>
      </c>
      <c r="AF139" s="2">
        <v>0</v>
      </c>
      <c r="AG139" s="2">
        <v>0</v>
      </c>
      <c r="AH139" s="2">
        <v>0</v>
      </c>
      <c r="AI139" s="2">
        <v>0</v>
      </c>
      <c r="AJ139" s="2">
        <v>0</v>
      </c>
      <c r="AK139" s="2">
        <v>0</v>
      </c>
      <c r="AL139" s="2">
        <v>0</v>
      </c>
      <c r="AM139" s="2">
        <v>0</v>
      </c>
      <c r="AN139" s="2">
        <v>0</v>
      </c>
      <c r="AO139" s="2">
        <v>0</v>
      </c>
      <c r="AP139" s="2">
        <v>0</v>
      </c>
      <c r="AQ139" s="2">
        <v>0</v>
      </c>
      <c r="AR139" s="2">
        <v>0</v>
      </c>
      <c r="AS139" s="2">
        <v>0</v>
      </c>
      <c r="AT139" s="2">
        <v>1</v>
      </c>
      <c r="AU139" s="2">
        <v>0</v>
      </c>
      <c r="AV139" s="2">
        <v>0</v>
      </c>
      <c r="AW139" s="2">
        <v>0</v>
      </c>
      <c r="AX139" s="2">
        <v>0</v>
      </c>
      <c r="AY139" s="2">
        <v>0</v>
      </c>
      <c r="AZ139" s="2" t="s">
        <v>39</v>
      </c>
      <c r="BA139" s="14">
        <v>300000</v>
      </c>
      <c r="BB139" s="14">
        <f>SUM(Table_ship_components[[#This Row],[PRICE]]+(Table_ship_components[[#This Row],[COST_PER_ADD_PERSON]]*Table_ship_components[[#This Row],[OPTIONAL]]))</f>
        <v>300000</v>
      </c>
      <c r="BC139" s="2">
        <v>0</v>
      </c>
      <c r="BD139" s="2">
        <v>0</v>
      </c>
    </row>
    <row r="140" spans="1:56" ht="15.75" customHeight="1" x14ac:dyDescent="0.35">
      <c r="A140" t="s">
        <v>335</v>
      </c>
      <c r="B140" t="s">
        <v>183</v>
      </c>
      <c r="C140" s="2">
        <v>0</v>
      </c>
      <c r="D140" s="2">
        <v>6</v>
      </c>
      <c r="E140" s="2">
        <f>SUM(Table_ship_components[[#This Row],[UNIT_SIZE]]+(Table_ship_components[[#This Row],[SIZE_PER_ADD_PERSON]]*Table_ship_components[[#This Row],[OPTIONAL]]))</f>
        <v>6</v>
      </c>
      <c r="F140" s="2">
        <v>0</v>
      </c>
      <c r="G140" s="2">
        <f>SUM(Table_ship_components[[#This Row],[POWER_CONSUMPTION]]+(Table_ship_components[[#This Row],[POWER_PER_ADD_PERSON]]*Table_ship_components[[#This Row],[OPTIONAL]]))</f>
        <v>0</v>
      </c>
      <c r="H140" s="2">
        <v>0</v>
      </c>
      <c r="I140" s="2">
        <v>20</v>
      </c>
      <c r="J140" s="2">
        <v>0</v>
      </c>
      <c r="K140" s="2">
        <v>0</v>
      </c>
      <c r="L140" s="2">
        <v>0</v>
      </c>
      <c r="M140" s="2">
        <v>0</v>
      </c>
      <c r="N140" s="2">
        <v>1</v>
      </c>
      <c r="O140" s="2">
        <v>0</v>
      </c>
      <c r="P140" s="2">
        <v>0</v>
      </c>
      <c r="Q140" s="2">
        <v>0</v>
      </c>
      <c r="R140" s="2">
        <v>0</v>
      </c>
      <c r="S140" s="2">
        <v>0</v>
      </c>
      <c r="T140" s="2">
        <v>0</v>
      </c>
      <c r="U140" s="2">
        <v>0</v>
      </c>
      <c r="V140" s="2">
        <v>0</v>
      </c>
      <c r="W140" s="14">
        <v>0</v>
      </c>
      <c r="X140" s="2">
        <v>0</v>
      </c>
      <c r="Y140" s="2">
        <v>0</v>
      </c>
      <c r="Z140" s="2">
        <v>0</v>
      </c>
      <c r="AA140" s="2">
        <v>0</v>
      </c>
      <c r="AB140" s="2">
        <v>0</v>
      </c>
      <c r="AC140" s="2">
        <v>0</v>
      </c>
      <c r="AD140" s="2">
        <v>0</v>
      </c>
      <c r="AE140" s="2">
        <v>0</v>
      </c>
      <c r="AF140" s="2">
        <v>0</v>
      </c>
      <c r="AG140" s="2">
        <v>0</v>
      </c>
      <c r="AH140" s="2">
        <v>0</v>
      </c>
      <c r="AI140" s="2">
        <v>0</v>
      </c>
      <c r="AJ140" s="2">
        <v>0</v>
      </c>
      <c r="AK140" s="2">
        <v>0</v>
      </c>
      <c r="AL140" s="2">
        <v>0</v>
      </c>
      <c r="AM140" s="2">
        <v>0</v>
      </c>
      <c r="AN140" s="2">
        <v>0</v>
      </c>
      <c r="AO140" s="2">
        <v>0</v>
      </c>
      <c r="AP140" s="2">
        <v>0</v>
      </c>
      <c r="AQ140" s="2">
        <v>0</v>
      </c>
      <c r="AR140" s="2">
        <v>0</v>
      </c>
      <c r="AS140" s="2">
        <v>0</v>
      </c>
      <c r="AT140" s="2">
        <v>-1</v>
      </c>
      <c r="AU140" s="2">
        <v>0</v>
      </c>
      <c r="AV140" s="2">
        <v>0</v>
      </c>
      <c r="AW140" s="2">
        <v>0</v>
      </c>
      <c r="AX140" s="2">
        <v>0</v>
      </c>
      <c r="AY140" s="2">
        <v>0</v>
      </c>
      <c r="AZ140" s="2" t="s">
        <v>39</v>
      </c>
      <c r="BA140" s="14">
        <v>100000</v>
      </c>
      <c r="BB140" s="14">
        <f>SUM(Table_ship_components[[#This Row],[PRICE]]+(Table_ship_components[[#This Row],[COST_PER_ADD_PERSON]]*Table_ship_components[[#This Row],[OPTIONAL]]))</f>
        <v>100000</v>
      </c>
      <c r="BC140" s="2">
        <v>0</v>
      </c>
      <c r="BD140" s="2">
        <v>0</v>
      </c>
    </row>
    <row r="141" spans="1:56" ht="15.75" customHeight="1" x14ac:dyDescent="0.35">
      <c r="A141" t="s">
        <v>336</v>
      </c>
      <c r="B141" t="s">
        <v>167</v>
      </c>
      <c r="C141" s="2">
        <v>0</v>
      </c>
      <c r="D141" s="2">
        <v>8</v>
      </c>
      <c r="E141" s="2">
        <f>SUM(Table_ship_components[[#This Row],[UNIT_SIZE]]+(Table_ship_components[[#This Row],[SIZE_PER_ADD_PERSON]]*Table_ship_components[[#This Row],[OPTIONAL]]))</f>
        <v>8</v>
      </c>
      <c r="F141" s="2">
        <v>0</v>
      </c>
      <c r="G141" s="2">
        <f>SUM(Table_ship_components[[#This Row],[POWER_CONSUMPTION]]+(Table_ship_components[[#This Row],[POWER_PER_ADD_PERSON]]*Table_ship_components[[#This Row],[OPTIONAL]]))</f>
        <v>0</v>
      </c>
      <c r="H141" s="2">
        <v>0</v>
      </c>
      <c r="I141" s="2">
        <v>30</v>
      </c>
      <c r="J141" s="2">
        <v>0</v>
      </c>
      <c r="K141" s="2">
        <v>0</v>
      </c>
      <c r="L141" s="2">
        <v>0</v>
      </c>
      <c r="M141" s="2">
        <v>0</v>
      </c>
      <c r="N141" s="2">
        <v>1</v>
      </c>
      <c r="O141" s="2">
        <v>0</v>
      </c>
      <c r="P141" s="2">
        <v>0</v>
      </c>
      <c r="Q141" s="2">
        <v>0</v>
      </c>
      <c r="R141" s="2">
        <v>0</v>
      </c>
      <c r="S141" s="2">
        <v>0</v>
      </c>
      <c r="T141" s="2">
        <v>0</v>
      </c>
      <c r="U141" s="2">
        <v>0</v>
      </c>
      <c r="V141" s="2">
        <v>0</v>
      </c>
      <c r="W141" s="14">
        <v>0</v>
      </c>
      <c r="X141" s="2">
        <v>0</v>
      </c>
      <c r="Y141" s="2">
        <v>0</v>
      </c>
      <c r="Z141" s="2">
        <v>0</v>
      </c>
      <c r="AA141" s="2">
        <v>0</v>
      </c>
      <c r="AB141" s="2">
        <v>0</v>
      </c>
      <c r="AC141" s="2">
        <v>0</v>
      </c>
      <c r="AD141" s="2">
        <v>0</v>
      </c>
      <c r="AE141" s="2">
        <v>0</v>
      </c>
      <c r="AF141" s="2">
        <v>0</v>
      </c>
      <c r="AG141" s="2">
        <v>0</v>
      </c>
      <c r="AH141" s="2">
        <v>0</v>
      </c>
      <c r="AI141" s="2">
        <v>0</v>
      </c>
      <c r="AJ141" s="2">
        <v>0</v>
      </c>
      <c r="AK141" s="2">
        <v>0</v>
      </c>
      <c r="AL141" s="2">
        <v>0</v>
      </c>
      <c r="AM141" s="2">
        <v>0</v>
      </c>
      <c r="AN141" s="2">
        <v>0</v>
      </c>
      <c r="AO141" s="2">
        <v>0</v>
      </c>
      <c r="AP141" s="2">
        <v>0</v>
      </c>
      <c r="AQ141" s="2">
        <v>0</v>
      </c>
      <c r="AR141" s="2">
        <v>0</v>
      </c>
      <c r="AS141" s="2">
        <v>0</v>
      </c>
      <c r="AT141" s="2">
        <v>0</v>
      </c>
      <c r="AU141" s="2">
        <v>0</v>
      </c>
      <c r="AV141" s="2">
        <v>0</v>
      </c>
      <c r="AW141" s="2">
        <v>0</v>
      </c>
      <c r="AX141" s="2">
        <v>0</v>
      </c>
      <c r="AY141" s="2">
        <v>0</v>
      </c>
      <c r="AZ141" s="2" t="s">
        <v>39</v>
      </c>
      <c r="BA141" s="14">
        <v>200000</v>
      </c>
      <c r="BB141" s="14">
        <f>SUM(Table_ship_components[[#This Row],[PRICE]]+(Table_ship_components[[#This Row],[COST_PER_ADD_PERSON]]*Table_ship_components[[#This Row],[OPTIONAL]]))</f>
        <v>200000</v>
      </c>
      <c r="BC141" s="2">
        <v>0</v>
      </c>
      <c r="BD141" s="2">
        <v>0</v>
      </c>
    </row>
    <row r="142" spans="1:56" ht="15.75" customHeight="1" x14ac:dyDescent="0.35">
      <c r="A142" t="s">
        <v>337</v>
      </c>
      <c r="B142" t="s">
        <v>182</v>
      </c>
      <c r="C142" s="2">
        <v>0</v>
      </c>
      <c r="D142" s="2">
        <v>10</v>
      </c>
      <c r="E142" s="2">
        <f>SUM(Table_ship_components[[#This Row],[UNIT_SIZE]]+(Table_ship_components[[#This Row],[SIZE_PER_ADD_PERSON]]*Table_ship_components[[#This Row],[OPTIONAL]]))</f>
        <v>10</v>
      </c>
      <c r="F142" s="2">
        <v>0</v>
      </c>
      <c r="G142" s="2">
        <f>SUM(Table_ship_components[[#This Row],[POWER_CONSUMPTION]]+(Table_ship_components[[#This Row],[POWER_PER_ADD_PERSON]]*Table_ship_components[[#This Row],[OPTIONAL]]))</f>
        <v>0</v>
      </c>
      <c r="H142" s="2">
        <v>0</v>
      </c>
      <c r="I142" s="2">
        <v>40</v>
      </c>
      <c r="J142" s="2">
        <v>0</v>
      </c>
      <c r="K142" s="2">
        <v>0</v>
      </c>
      <c r="L142" s="2">
        <v>0</v>
      </c>
      <c r="M142" s="2">
        <v>0</v>
      </c>
      <c r="N142" s="2">
        <v>1</v>
      </c>
      <c r="O142" s="2">
        <v>0</v>
      </c>
      <c r="P142" s="2">
        <v>0</v>
      </c>
      <c r="Q142" s="2">
        <v>0</v>
      </c>
      <c r="R142" s="2">
        <v>0</v>
      </c>
      <c r="S142" s="2">
        <v>0</v>
      </c>
      <c r="T142" s="2">
        <v>0</v>
      </c>
      <c r="U142" s="2">
        <v>0</v>
      </c>
      <c r="V142" s="2">
        <v>0</v>
      </c>
      <c r="W142" s="14">
        <v>0</v>
      </c>
      <c r="X142" s="2">
        <v>0</v>
      </c>
      <c r="Y142" s="2">
        <v>0</v>
      </c>
      <c r="Z142" s="2">
        <v>0</v>
      </c>
      <c r="AA142" s="2">
        <v>0</v>
      </c>
      <c r="AB142" s="2">
        <v>0</v>
      </c>
      <c r="AC142" s="2">
        <v>0</v>
      </c>
      <c r="AD142" s="2">
        <v>0</v>
      </c>
      <c r="AE142" s="2">
        <v>0</v>
      </c>
      <c r="AF142" s="2">
        <v>0</v>
      </c>
      <c r="AG142" s="2">
        <v>0</v>
      </c>
      <c r="AH142" s="2">
        <v>0</v>
      </c>
      <c r="AI142" s="2">
        <v>0</v>
      </c>
      <c r="AJ142" s="2">
        <v>0</v>
      </c>
      <c r="AK142" s="2">
        <v>0</v>
      </c>
      <c r="AL142" s="2">
        <v>0</v>
      </c>
      <c r="AM142" s="2">
        <v>0</v>
      </c>
      <c r="AN142" s="2">
        <v>0</v>
      </c>
      <c r="AO142" s="2">
        <v>0</v>
      </c>
      <c r="AP142" s="2">
        <v>0</v>
      </c>
      <c r="AQ142" s="2">
        <v>0</v>
      </c>
      <c r="AR142" s="2">
        <v>0</v>
      </c>
      <c r="AS142" s="2">
        <v>0</v>
      </c>
      <c r="AT142" s="2">
        <v>1</v>
      </c>
      <c r="AU142" s="2">
        <v>0</v>
      </c>
      <c r="AV142" s="2">
        <v>0</v>
      </c>
      <c r="AW142" s="2">
        <v>0</v>
      </c>
      <c r="AX142" s="2">
        <v>0</v>
      </c>
      <c r="AY142" s="2">
        <v>0</v>
      </c>
      <c r="AZ142" s="2" t="s">
        <v>39</v>
      </c>
      <c r="BA142" s="14">
        <v>400000</v>
      </c>
      <c r="BB142" s="14">
        <f>SUM(Table_ship_components[[#This Row],[PRICE]]+(Table_ship_components[[#This Row],[COST_PER_ADD_PERSON]]*Table_ship_components[[#This Row],[OPTIONAL]]))</f>
        <v>400000</v>
      </c>
      <c r="BC142" s="2">
        <v>0</v>
      </c>
      <c r="BD142" s="2">
        <v>0</v>
      </c>
    </row>
    <row r="143" spans="1:56" ht="15.75" customHeight="1" x14ac:dyDescent="0.35">
      <c r="A143" t="s">
        <v>369</v>
      </c>
      <c r="B143" t="s">
        <v>422</v>
      </c>
      <c r="C143" s="2">
        <v>0</v>
      </c>
      <c r="D143" s="2">
        <v>12</v>
      </c>
      <c r="E143" s="2">
        <f>SUM(Table_ship_components[[#This Row],[UNIT_SIZE]]+(Table_ship_components[[#This Row],[SIZE_PER_ADD_PERSON]]*Table_ship_components[[#This Row],[OPTIONAL]]))</f>
        <v>12</v>
      </c>
      <c r="F143" s="2">
        <v>0</v>
      </c>
      <c r="G143" s="2">
        <f>SUM(Table_ship_components[[#This Row],[POWER_CONSUMPTION]]+(Table_ship_components[[#This Row],[POWER_PER_ADD_PERSON]]*Table_ship_components[[#This Row],[OPTIONAL]]))</f>
        <v>0</v>
      </c>
      <c r="H143" s="2">
        <v>0</v>
      </c>
      <c r="I143" s="2">
        <v>65</v>
      </c>
      <c r="J143" s="2">
        <v>0</v>
      </c>
      <c r="K143" s="2">
        <v>0</v>
      </c>
      <c r="L143" s="2">
        <v>0</v>
      </c>
      <c r="M143" s="2">
        <v>0</v>
      </c>
      <c r="N143" s="2">
        <v>0</v>
      </c>
      <c r="O143" s="2">
        <v>1</v>
      </c>
      <c r="P143" s="2">
        <v>1</v>
      </c>
      <c r="Q143" s="2">
        <v>1</v>
      </c>
      <c r="R143" s="2">
        <v>1</v>
      </c>
      <c r="S143" s="2">
        <v>1</v>
      </c>
      <c r="T143" s="2">
        <v>1</v>
      </c>
      <c r="U143" s="2">
        <v>0</v>
      </c>
      <c r="V143" s="2">
        <v>0</v>
      </c>
      <c r="W143" s="14">
        <v>0</v>
      </c>
      <c r="X143" s="2">
        <v>0</v>
      </c>
      <c r="Y143" s="2">
        <v>0</v>
      </c>
      <c r="Z143" s="2">
        <v>0</v>
      </c>
      <c r="AA143" s="2">
        <v>0</v>
      </c>
      <c r="AB143" s="2">
        <v>0</v>
      </c>
      <c r="AC143" s="2">
        <v>0</v>
      </c>
      <c r="AD143" s="2">
        <v>0</v>
      </c>
      <c r="AE143" s="2">
        <v>0</v>
      </c>
      <c r="AF143" s="2">
        <v>0</v>
      </c>
      <c r="AG143" s="2">
        <v>0</v>
      </c>
      <c r="AH143" s="2">
        <v>0</v>
      </c>
      <c r="AI143" s="2">
        <v>0</v>
      </c>
      <c r="AJ143" s="2">
        <v>0</v>
      </c>
      <c r="AK143" s="2">
        <v>0</v>
      </c>
      <c r="AL143" s="2">
        <v>0</v>
      </c>
      <c r="AM143" s="2">
        <v>0</v>
      </c>
      <c r="AN143" s="2">
        <v>0</v>
      </c>
      <c r="AO143" s="2">
        <v>0</v>
      </c>
      <c r="AP143" s="2">
        <v>0</v>
      </c>
      <c r="AQ143" s="2">
        <v>0</v>
      </c>
      <c r="AR143" s="2">
        <v>0</v>
      </c>
      <c r="AS143" s="2">
        <v>0</v>
      </c>
      <c r="AT143" s="2">
        <v>-1</v>
      </c>
      <c r="AU143" s="2">
        <v>0</v>
      </c>
      <c r="AV143" s="2">
        <v>0</v>
      </c>
      <c r="AW143" s="2">
        <v>0</v>
      </c>
      <c r="AX143" s="2">
        <v>0</v>
      </c>
      <c r="AY143" s="2">
        <v>0</v>
      </c>
      <c r="AZ143" s="2" t="s">
        <v>39</v>
      </c>
      <c r="BA143" s="14">
        <v>250000</v>
      </c>
      <c r="BB143" s="14">
        <f>SUM(Table_ship_components[[#This Row],[PRICE]]+(Table_ship_components[[#This Row],[COST_PER_ADD_PERSON]]*Table_ship_components[[#This Row],[OPTIONAL]]))</f>
        <v>250000</v>
      </c>
      <c r="BC143" s="2">
        <v>0</v>
      </c>
      <c r="BD143" s="2">
        <v>0</v>
      </c>
    </row>
    <row r="144" spans="1:56" ht="15.75" customHeight="1" x14ac:dyDescent="0.35">
      <c r="A144" t="s">
        <v>370</v>
      </c>
      <c r="B144" t="s">
        <v>229</v>
      </c>
      <c r="C144" s="2">
        <v>0</v>
      </c>
      <c r="D144" s="2">
        <v>14</v>
      </c>
      <c r="E144" s="2">
        <f>SUM(Table_ship_components[[#This Row],[UNIT_SIZE]]+(Table_ship_components[[#This Row],[SIZE_PER_ADD_PERSON]]*Table_ship_components[[#This Row],[OPTIONAL]]))</f>
        <v>14</v>
      </c>
      <c r="F144" s="2">
        <v>0</v>
      </c>
      <c r="G144" s="2">
        <f>SUM(Table_ship_components[[#This Row],[POWER_CONSUMPTION]]+(Table_ship_components[[#This Row],[POWER_PER_ADD_PERSON]]*Table_ship_components[[#This Row],[OPTIONAL]]))</f>
        <v>0</v>
      </c>
      <c r="H144" s="2">
        <v>0</v>
      </c>
      <c r="I144" s="2">
        <v>75</v>
      </c>
      <c r="J144" s="2">
        <v>0</v>
      </c>
      <c r="K144" s="2">
        <v>0</v>
      </c>
      <c r="L144" s="2">
        <v>0</v>
      </c>
      <c r="M144" s="2">
        <v>0</v>
      </c>
      <c r="N144" s="2">
        <v>0</v>
      </c>
      <c r="O144" s="2">
        <v>1</v>
      </c>
      <c r="P144" s="2">
        <v>1</v>
      </c>
      <c r="Q144" s="2">
        <v>1</v>
      </c>
      <c r="R144" s="2">
        <v>1</v>
      </c>
      <c r="S144" s="2">
        <v>1</v>
      </c>
      <c r="T144" s="2">
        <v>1</v>
      </c>
      <c r="U144" s="2">
        <v>0</v>
      </c>
      <c r="V144" s="2">
        <v>0</v>
      </c>
      <c r="W144" s="14">
        <v>0</v>
      </c>
      <c r="X144" s="2">
        <v>0</v>
      </c>
      <c r="Y144" s="2">
        <v>0</v>
      </c>
      <c r="Z144" s="2">
        <v>0</v>
      </c>
      <c r="AA144" s="2">
        <v>0</v>
      </c>
      <c r="AB144" s="2">
        <v>0</v>
      </c>
      <c r="AC144" s="2">
        <v>0</v>
      </c>
      <c r="AD144" s="2">
        <v>0</v>
      </c>
      <c r="AE144" s="2">
        <v>0</v>
      </c>
      <c r="AF144" s="2">
        <v>0</v>
      </c>
      <c r="AG144" s="2">
        <v>0</v>
      </c>
      <c r="AH144" s="2">
        <v>0</v>
      </c>
      <c r="AI144" s="2">
        <v>0</v>
      </c>
      <c r="AJ144" s="2">
        <v>0</v>
      </c>
      <c r="AK144" s="2">
        <v>0</v>
      </c>
      <c r="AL144" s="2">
        <v>0</v>
      </c>
      <c r="AM144" s="2">
        <v>0</v>
      </c>
      <c r="AN144" s="2">
        <v>0</v>
      </c>
      <c r="AO144" s="2">
        <v>0</v>
      </c>
      <c r="AP144" s="2">
        <v>0</v>
      </c>
      <c r="AQ144" s="2">
        <v>0</v>
      </c>
      <c r="AR144" s="2">
        <v>0</v>
      </c>
      <c r="AS144" s="2">
        <v>0</v>
      </c>
      <c r="AT144" s="2">
        <v>0</v>
      </c>
      <c r="AU144" s="2">
        <v>0</v>
      </c>
      <c r="AV144" s="2">
        <v>0</v>
      </c>
      <c r="AW144" s="2">
        <v>0</v>
      </c>
      <c r="AX144" s="2">
        <v>0</v>
      </c>
      <c r="AY144" s="2">
        <v>0</v>
      </c>
      <c r="AZ144" s="2" t="s">
        <v>39</v>
      </c>
      <c r="BA144" s="14">
        <v>500000</v>
      </c>
      <c r="BB144" s="14">
        <f>SUM(Table_ship_components[[#This Row],[PRICE]]+(Table_ship_components[[#This Row],[COST_PER_ADD_PERSON]]*Table_ship_components[[#This Row],[OPTIONAL]]))</f>
        <v>500000</v>
      </c>
      <c r="BC144" s="2">
        <v>0</v>
      </c>
      <c r="BD144" s="2">
        <v>0</v>
      </c>
    </row>
    <row r="145" spans="1:56" ht="15.75" customHeight="1" x14ac:dyDescent="0.35">
      <c r="A145" t="s">
        <v>371</v>
      </c>
      <c r="B145" t="s">
        <v>230</v>
      </c>
      <c r="C145" s="2">
        <v>0</v>
      </c>
      <c r="D145" s="2">
        <v>16</v>
      </c>
      <c r="E145" s="2">
        <f>SUM(Table_ship_components[[#This Row],[UNIT_SIZE]]+(Table_ship_components[[#This Row],[SIZE_PER_ADD_PERSON]]*Table_ship_components[[#This Row],[OPTIONAL]]))</f>
        <v>16</v>
      </c>
      <c r="F145" s="2">
        <v>0</v>
      </c>
      <c r="G145" s="2">
        <f>SUM(Table_ship_components[[#This Row],[POWER_CONSUMPTION]]+(Table_ship_components[[#This Row],[POWER_PER_ADD_PERSON]]*Table_ship_components[[#This Row],[OPTIONAL]]))</f>
        <v>0</v>
      </c>
      <c r="H145" s="2">
        <v>0</v>
      </c>
      <c r="I145" s="2">
        <v>85</v>
      </c>
      <c r="J145" s="2">
        <v>0</v>
      </c>
      <c r="K145" s="2">
        <v>0</v>
      </c>
      <c r="L145" s="2">
        <v>0</v>
      </c>
      <c r="M145" s="2">
        <v>0</v>
      </c>
      <c r="N145" s="2">
        <v>0</v>
      </c>
      <c r="O145" s="2">
        <v>1</v>
      </c>
      <c r="P145" s="2">
        <v>1</v>
      </c>
      <c r="Q145" s="2">
        <v>1</v>
      </c>
      <c r="R145" s="2">
        <v>1</v>
      </c>
      <c r="S145" s="2">
        <v>1</v>
      </c>
      <c r="T145" s="2">
        <v>1</v>
      </c>
      <c r="U145" s="2">
        <v>0</v>
      </c>
      <c r="V145" s="2">
        <v>0</v>
      </c>
      <c r="W145" s="14">
        <v>0</v>
      </c>
      <c r="X145" s="2">
        <v>0</v>
      </c>
      <c r="Y145" s="2">
        <v>0</v>
      </c>
      <c r="Z145" s="2">
        <v>0</v>
      </c>
      <c r="AA145" s="2">
        <v>0</v>
      </c>
      <c r="AB145" s="2">
        <v>0</v>
      </c>
      <c r="AC145" s="2">
        <v>0</v>
      </c>
      <c r="AD145" s="2">
        <v>0</v>
      </c>
      <c r="AE145" s="2">
        <v>0</v>
      </c>
      <c r="AF145" s="2">
        <v>0</v>
      </c>
      <c r="AG145" s="2">
        <v>0</v>
      </c>
      <c r="AH145" s="2">
        <v>0</v>
      </c>
      <c r="AI145" s="2">
        <v>0</v>
      </c>
      <c r="AJ145" s="2">
        <v>0</v>
      </c>
      <c r="AK145" s="2">
        <v>0</v>
      </c>
      <c r="AL145" s="2">
        <v>0</v>
      </c>
      <c r="AM145" s="2">
        <v>0</v>
      </c>
      <c r="AN145" s="2">
        <v>0</v>
      </c>
      <c r="AO145" s="2">
        <v>0</v>
      </c>
      <c r="AP145" s="2">
        <v>0</v>
      </c>
      <c r="AQ145" s="2">
        <v>0</v>
      </c>
      <c r="AR145" s="2">
        <v>0</v>
      </c>
      <c r="AS145" s="2">
        <v>0</v>
      </c>
      <c r="AT145" s="2">
        <v>1</v>
      </c>
      <c r="AU145" s="2">
        <v>0</v>
      </c>
      <c r="AV145" s="2">
        <v>0</v>
      </c>
      <c r="AW145" s="2">
        <v>0</v>
      </c>
      <c r="AX145" s="2">
        <v>0</v>
      </c>
      <c r="AY145" s="2">
        <v>0</v>
      </c>
      <c r="AZ145" s="2" t="s">
        <v>39</v>
      </c>
      <c r="BA145" s="14">
        <v>1000000</v>
      </c>
      <c r="BB145" s="14">
        <f>SUM(Table_ship_components[[#This Row],[PRICE]]+(Table_ship_components[[#This Row],[COST_PER_ADD_PERSON]]*Table_ship_components[[#This Row],[OPTIONAL]]))</f>
        <v>1000000</v>
      </c>
      <c r="BC145" s="2">
        <v>0</v>
      </c>
      <c r="BD145" s="2">
        <v>0</v>
      </c>
    </row>
    <row r="146" spans="1:56" ht="16.5" customHeight="1" x14ac:dyDescent="0.35">
      <c r="A146" t="s">
        <v>366</v>
      </c>
      <c r="B146" t="s">
        <v>421</v>
      </c>
      <c r="C146" s="2">
        <v>0</v>
      </c>
      <c r="D146" s="2">
        <v>6</v>
      </c>
      <c r="E146" s="2">
        <f>SUM(Table_ship_components[[#This Row],[UNIT_SIZE]]+(Table_ship_components[[#This Row],[SIZE_PER_ADD_PERSON]]*Table_ship_components[[#This Row],[OPTIONAL]]))</f>
        <v>6</v>
      </c>
      <c r="F146" s="2">
        <v>0</v>
      </c>
      <c r="G146" s="2">
        <f>SUM(Table_ship_components[[#This Row],[POWER_CONSUMPTION]]+(Table_ship_components[[#This Row],[POWER_PER_ADD_PERSON]]*Table_ship_components[[#This Row],[OPTIONAL]]))</f>
        <v>0</v>
      </c>
      <c r="H146" s="2">
        <v>0</v>
      </c>
      <c r="I146" s="2">
        <v>85</v>
      </c>
      <c r="J146" s="2">
        <v>0</v>
      </c>
      <c r="K146" s="2">
        <v>0</v>
      </c>
      <c r="L146" s="2">
        <v>0</v>
      </c>
      <c r="M146" s="2">
        <v>0</v>
      </c>
      <c r="N146" s="2">
        <v>0</v>
      </c>
      <c r="O146" s="2">
        <v>1</v>
      </c>
      <c r="P146" s="2">
        <v>1</v>
      </c>
      <c r="Q146" s="2">
        <v>1</v>
      </c>
      <c r="R146" s="2">
        <v>1</v>
      </c>
      <c r="S146" s="2">
        <v>1</v>
      </c>
      <c r="T146" s="2">
        <v>1</v>
      </c>
      <c r="U146" s="2">
        <v>0</v>
      </c>
      <c r="V146" s="2">
        <v>0</v>
      </c>
      <c r="W146" s="14">
        <v>0</v>
      </c>
      <c r="X146" s="2">
        <v>0</v>
      </c>
      <c r="Y146" s="2">
        <v>0</v>
      </c>
      <c r="Z146" s="2">
        <v>0</v>
      </c>
      <c r="AA146" s="2">
        <v>0</v>
      </c>
      <c r="AB146" s="2">
        <v>0</v>
      </c>
      <c r="AC146" s="2">
        <v>0</v>
      </c>
      <c r="AD146" s="2">
        <v>0</v>
      </c>
      <c r="AE146" s="2">
        <v>1</v>
      </c>
      <c r="AF146" s="2">
        <v>0</v>
      </c>
      <c r="AG146" s="2">
        <v>0</v>
      </c>
      <c r="AH146" s="2">
        <v>0</v>
      </c>
      <c r="AI146" s="2">
        <v>0</v>
      </c>
      <c r="AJ146" s="2">
        <v>0</v>
      </c>
      <c r="AK146" s="2">
        <v>0</v>
      </c>
      <c r="AL146" s="2">
        <v>0</v>
      </c>
      <c r="AM146" s="2">
        <v>0</v>
      </c>
      <c r="AN146" s="2">
        <v>0</v>
      </c>
      <c r="AO146" s="2">
        <v>0</v>
      </c>
      <c r="AP146" s="2">
        <v>0</v>
      </c>
      <c r="AQ146" s="2">
        <v>0</v>
      </c>
      <c r="AR146" s="2">
        <v>0</v>
      </c>
      <c r="AS146" s="2">
        <v>0</v>
      </c>
      <c r="AT146" s="2">
        <v>-1</v>
      </c>
      <c r="AU146" s="2">
        <v>0</v>
      </c>
      <c r="AV146" s="2">
        <v>0</v>
      </c>
      <c r="AW146" s="2">
        <v>0</v>
      </c>
      <c r="AX146" s="2">
        <v>0</v>
      </c>
      <c r="AY146" s="2">
        <v>0</v>
      </c>
      <c r="AZ146" s="2" t="s">
        <v>39</v>
      </c>
      <c r="BA146" s="14">
        <v>50000</v>
      </c>
      <c r="BB146" s="14">
        <f>SUM(Table_ship_components[[#This Row],[PRICE]]+(Table_ship_components[[#This Row],[COST_PER_ADD_PERSON]]*Table_ship_components[[#This Row],[OPTIONAL]]))</f>
        <v>50000</v>
      </c>
      <c r="BC146" s="2">
        <v>0</v>
      </c>
      <c r="BD146" s="2">
        <v>0</v>
      </c>
    </row>
    <row r="147" spans="1:56" x14ac:dyDescent="0.35">
      <c r="A147" t="s">
        <v>367</v>
      </c>
      <c r="B147" t="s">
        <v>253</v>
      </c>
      <c r="C147" s="2">
        <v>0</v>
      </c>
      <c r="D147" s="2">
        <v>7</v>
      </c>
      <c r="E147" s="2">
        <f>SUM(Table_ship_components[[#This Row],[UNIT_SIZE]]+(Table_ship_components[[#This Row],[SIZE_PER_ADD_PERSON]]*Table_ship_components[[#This Row],[OPTIONAL]]))</f>
        <v>7</v>
      </c>
      <c r="F147" s="2">
        <v>0</v>
      </c>
      <c r="G147" s="2">
        <f>SUM(Table_ship_components[[#This Row],[POWER_CONSUMPTION]]+(Table_ship_components[[#This Row],[POWER_PER_ADD_PERSON]]*Table_ship_components[[#This Row],[OPTIONAL]]))</f>
        <v>0</v>
      </c>
      <c r="H147" s="2">
        <v>0</v>
      </c>
      <c r="I147" s="2">
        <v>95</v>
      </c>
      <c r="J147" s="2">
        <v>0</v>
      </c>
      <c r="K147" s="2">
        <v>0</v>
      </c>
      <c r="L147" s="2">
        <v>0</v>
      </c>
      <c r="M147" s="2">
        <v>0</v>
      </c>
      <c r="N147" s="2">
        <v>0</v>
      </c>
      <c r="O147" s="2">
        <v>1</v>
      </c>
      <c r="P147" s="2">
        <v>1</v>
      </c>
      <c r="Q147" s="2">
        <v>1</v>
      </c>
      <c r="R147" s="2">
        <v>1</v>
      </c>
      <c r="S147" s="2">
        <v>1</v>
      </c>
      <c r="T147" s="2">
        <v>1</v>
      </c>
      <c r="U147" s="2">
        <v>0</v>
      </c>
      <c r="V147" s="2">
        <v>0</v>
      </c>
      <c r="W147" s="14">
        <v>0</v>
      </c>
      <c r="X147" s="2">
        <v>0</v>
      </c>
      <c r="Y147" s="2">
        <v>0</v>
      </c>
      <c r="Z147" s="2">
        <v>0</v>
      </c>
      <c r="AA147" s="2">
        <v>0</v>
      </c>
      <c r="AB147" s="2">
        <v>0</v>
      </c>
      <c r="AC147" s="2">
        <v>0</v>
      </c>
      <c r="AD147" s="2">
        <v>0</v>
      </c>
      <c r="AE147" s="2">
        <v>2</v>
      </c>
      <c r="AF147" s="2">
        <v>0</v>
      </c>
      <c r="AG147" s="2">
        <v>0</v>
      </c>
      <c r="AH147" s="2">
        <v>0</v>
      </c>
      <c r="AI147" s="2">
        <v>0</v>
      </c>
      <c r="AJ147" s="2">
        <v>0</v>
      </c>
      <c r="AK147" s="2">
        <v>0</v>
      </c>
      <c r="AL147" s="2">
        <v>0</v>
      </c>
      <c r="AM147" s="2">
        <v>0</v>
      </c>
      <c r="AN147" s="2">
        <v>0</v>
      </c>
      <c r="AO147" s="2">
        <v>0</v>
      </c>
      <c r="AP147" s="2">
        <v>0</v>
      </c>
      <c r="AQ147" s="2">
        <v>0</v>
      </c>
      <c r="AR147" s="2">
        <v>0</v>
      </c>
      <c r="AS147" s="2">
        <v>0</v>
      </c>
      <c r="AT147" s="2">
        <v>0</v>
      </c>
      <c r="AU147" s="2">
        <v>0</v>
      </c>
      <c r="AV147" s="2">
        <v>0</v>
      </c>
      <c r="AW147" s="2">
        <v>0</v>
      </c>
      <c r="AX147" s="2">
        <v>0</v>
      </c>
      <c r="AY147" s="2">
        <v>0</v>
      </c>
      <c r="AZ147" s="2" t="s">
        <v>39</v>
      </c>
      <c r="BA147" s="14">
        <v>100000</v>
      </c>
      <c r="BB147" s="14">
        <f>SUM(Table_ship_components[[#This Row],[PRICE]]+(Table_ship_components[[#This Row],[COST_PER_ADD_PERSON]]*Table_ship_components[[#This Row],[OPTIONAL]]))</f>
        <v>100000</v>
      </c>
      <c r="BC147" s="2">
        <v>0</v>
      </c>
      <c r="BD147" s="2">
        <v>0</v>
      </c>
    </row>
    <row r="148" spans="1:56" x14ac:dyDescent="0.35">
      <c r="A148" t="s">
        <v>368</v>
      </c>
      <c r="B148" t="s">
        <v>254</v>
      </c>
      <c r="C148" s="2">
        <v>0</v>
      </c>
      <c r="D148" s="2">
        <v>8</v>
      </c>
      <c r="E148" s="2">
        <f>SUM(Table_ship_components[[#This Row],[UNIT_SIZE]]+(Table_ship_components[[#This Row],[SIZE_PER_ADD_PERSON]]*Table_ship_components[[#This Row],[OPTIONAL]]))</f>
        <v>8</v>
      </c>
      <c r="F148" s="2">
        <v>0</v>
      </c>
      <c r="G148" s="2">
        <f>SUM(Table_ship_components[[#This Row],[POWER_CONSUMPTION]]+(Table_ship_components[[#This Row],[POWER_PER_ADD_PERSON]]*Table_ship_components[[#This Row],[OPTIONAL]]))</f>
        <v>0</v>
      </c>
      <c r="H148" s="2">
        <v>0</v>
      </c>
      <c r="I148" s="2">
        <v>105</v>
      </c>
      <c r="J148" s="2">
        <v>0</v>
      </c>
      <c r="K148" s="2">
        <v>0</v>
      </c>
      <c r="L148" s="2">
        <v>0</v>
      </c>
      <c r="M148" s="2">
        <v>0</v>
      </c>
      <c r="N148" s="2">
        <v>0</v>
      </c>
      <c r="O148" s="2">
        <v>1</v>
      </c>
      <c r="P148" s="2">
        <v>1</v>
      </c>
      <c r="Q148" s="2">
        <v>1</v>
      </c>
      <c r="R148" s="2">
        <v>1</v>
      </c>
      <c r="S148" s="2">
        <v>1</v>
      </c>
      <c r="T148" s="2">
        <v>1</v>
      </c>
      <c r="U148" s="2">
        <v>0</v>
      </c>
      <c r="V148" s="2">
        <v>0</v>
      </c>
      <c r="W148" s="14">
        <v>0</v>
      </c>
      <c r="X148" s="2">
        <v>0</v>
      </c>
      <c r="Y148" s="2">
        <v>0</v>
      </c>
      <c r="Z148" s="2">
        <v>0</v>
      </c>
      <c r="AA148" s="2">
        <v>0</v>
      </c>
      <c r="AB148" s="2">
        <v>0</v>
      </c>
      <c r="AC148" s="2">
        <v>0</v>
      </c>
      <c r="AD148" s="2">
        <v>0</v>
      </c>
      <c r="AE148" s="2">
        <v>3</v>
      </c>
      <c r="AF148" s="2">
        <v>0</v>
      </c>
      <c r="AG148" s="2">
        <v>0</v>
      </c>
      <c r="AH148" s="2">
        <v>0</v>
      </c>
      <c r="AI148" s="2">
        <v>0</v>
      </c>
      <c r="AJ148" s="2">
        <v>0</v>
      </c>
      <c r="AK148" s="2">
        <v>0</v>
      </c>
      <c r="AL148" s="2">
        <v>0</v>
      </c>
      <c r="AM148" s="2">
        <v>0</v>
      </c>
      <c r="AN148" s="2">
        <v>0</v>
      </c>
      <c r="AO148" s="2">
        <v>0</v>
      </c>
      <c r="AP148" s="2">
        <v>0</v>
      </c>
      <c r="AQ148" s="2">
        <v>0</v>
      </c>
      <c r="AR148" s="2">
        <v>0</v>
      </c>
      <c r="AS148" s="2">
        <v>0</v>
      </c>
      <c r="AT148" s="2">
        <v>1</v>
      </c>
      <c r="AU148" s="2">
        <v>0</v>
      </c>
      <c r="AV148" s="2">
        <v>0</v>
      </c>
      <c r="AW148" s="2">
        <v>0</v>
      </c>
      <c r="AX148" s="2">
        <v>0</v>
      </c>
      <c r="AY148" s="2">
        <v>0</v>
      </c>
      <c r="AZ148" s="2" t="s">
        <v>39</v>
      </c>
      <c r="BA148" s="14">
        <v>200000</v>
      </c>
      <c r="BB148" s="14">
        <f>SUM(Table_ship_components[[#This Row],[PRICE]]+(Table_ship_components[[#This Row],[COST_PER_ADD_PERSON]]*Table_ship_components[[#This Row],[OPTIONAL]]))</f>
        <v>200000</v>
      </c>
      <c r="BC148" s="2">
        <v>0</v>
      </c>
      <c r="BD148" s="2">
        <v>0</v>
      </c>
    </row>
    <row r="149" spans="1:56" x14ac:dyDescent="0.35">
      <c r="A149" t="s">
        <v>549</v>
      </c>
      <c r="B149" t="s">
        <v>552</v>
      </c>
      <c r="C149" s="2">
        <v>0</v>
      </c>
      <c r="D149" s="2">
        <v>1</v>
      </c>
      <c r="E149" s="2">
        <f>SUM(Table_ship_components[[#This Row],[UNIT_SIZE]]+(Table_ship_components[[#This Row],[SIZE_PER_ADD_PERSON]]*Table_ship_components[[#This Row],[OPTIONAL]]))</f>
        <v>1</v>
      </c>
      <c r="F149" s="2">
        <v>1</v>
      </c>
      <c r="G149" s="2">
        <f>SUM(Table_ship_components[[#This Row],[POWER_CONSUMPTION]]+(Table_ship_components[[#This Row],[POWER_PER_ADD_PERSON]]*Table_ship_components[[#This Row],[OPTIONAL]]))</f>
        <v>1</v>
      </c>
      <c r="H149" s="2">
        <v>0</v>
      </c>
      <c r="I149" s="2">
        <v>0</v>
      </c>
      <c r="J149" s="2">
        <v>0</v>
      </c>
      <c r="K149" s="2">
        <v>0</v>
      </c>
      <c r="L149" s="2">
        <v>0</v>
      </c>
      <c r="M149" s="2">
        <v>1</v>
      </c>
      <c r="N149" s="2">
        <v>0</v>
      </c>
      <c r="O149" s="2">
        <v>0</v>
      </c>
      <c r="P149" s="2">
        <v>0</v>
      </c>
      <c r="Q149" s="2">
        <v>0</v>
      </c>
      <c r="R149" s="2">
        <v>0</v>
      </c>
      <c r="S149" s="2">
        <v>0</v>
      </c>
      <c r="T149" s="2">
        <v>0</v>
      </c>
      <c r="U149" s="2">
        <v>0</v>
      </c>
      <c r="V149" s="2">
        <v>0</v>
      </c>
      <c r="W149" s="14">
        <v>0</v>
      </c>
      <c r="X149" s="2">
        <v>0</v>
      </c>
      <c r="Y149" s="2">
        <v>0</v>
      </c>
      <c r="Z149" s="2">
        <v>0</v>
      </c>
      <c r="AA149" s="2">
        <v>0</v>
      </c>
      <c r="AB149" s="2">
        <v>0</v>
      </c>
      <c r="AC149" s="2">
        <v>0</v>
      </c>
      <c r="AD149" s="2">
        <v>0</v>
      </c>
      <c r="AE149" s="2">
        <v>0</v>
      </c>
      <c r="AF149" s="2">
        <v>0</v>
      </c>
      <c r="AG149" s="2">
        <v>0</v>
      </c>
      <c r="AH149" s="2">
        <v>100</v>
      </c>
      <c r="AI149" s="2">
        <v>0</v>
      </c>
      <c r="AJ149" s="2">
        <v>0</v>
      </c>
      <c r="AK149" s="2">
        <v>0</v>
      </c>
      <c r="AL149" s="2">
        <v>0</v>
      </c>
      <c r="AM149" s="2">
        <v>0</v>
      </c>
      <c r="AN149" s="2">
        <v>0</v>
      </c>
      <c r="AO149" s="2">
        <v>0</v>
      </c>
      <c r="AP149" s="2">
        <v>0</v>
      </c>
      <c r="AQ149" s="2">
        <v>0</v>
      </c>
      <c r="AR149" s="2">
        <v>0</v>
      </c>
      <c r="AS149" s="2">
        <v>-1</v>
      </c>
      <c r="AT149" s="2">
        <v>0</v>
      </c>
      <c r="AU149" s="2">
        <v>0</v>
      </c>
      <c r="AV149" s="2">
        <v>0</v>
      </c>
      <c r="AW149" s="2">
        <v>0</v>
      </c>
      <c r="AX149" s="2">
        <v>0</v>
      </c>
      <c r="AY149" s="2">
        <v>0</v>
      </c>
      <c r="AZ149" s="2" t="s">
        <v>39</v>
      </c>
      <c r="BA149" s="14">
        <v>100000</v>
      </c>
      <c r="BB149" s="14">
        <f>SUM(Table_ship_components[[#This Row],[PRICE]]+(Table_ship_components[[#This Row],[COST_PER_ADD_PERSON]]*Table_ship_components[[#This Row],[OPTIONAL]]))</f>
        <v>100000</v>
      </c>
      <c r="BC149" s="2">
        <v>0</v>
      </c>
      <c r="BD149" s="2">
        <v>0</v>
      </c>
    </row>
    <row r="150" spans="1:56" x14ac:dyDescent="0.35">
      <c r="A150" t="s">
        <v>550</v>
      </c>
      <c r="B150" t="s">
        <v>553</v>
      </c>
      <c r="C150" s="2">
        <v>0</v>
      </c>
      <c r="D150" s="2">
        <v>2</v>
      </c>
      <c r="E150" s="2">
        <f>SUM(Table_ship_components[[#This Row],[UNIT_SIZE]]+(Table_ship_components[[#This Row],[SIZE_PER_ADD_PERSON]]*Table_ship_components[[#This Row],[OPTIONAL]]))</f>
        <v>2</v>
      </c>
      <c r="F150" s="2">
        <v>2</v>
      </c>
      <c r="G150" s="2">
        <f>SUM(Table_ship_components[[#This Row],[POWER_CONSUMPTION]]+(Table_ship_components[[#This Row],[POWER_PER_ADD_PERSON]]*Table_ship_components[[#This Row],[OPTIONAL]]))</f>
        <v>2</v>
      </c>
      <c r="H150" s="2">
        <v>0</v>
      </c>
      <c r="I150" s="2">
        <v>0</v>
      </c>
      <c r="J150" s="2">
        <v>0</v>
      </c>
      <c r="K150" s="2">
        <v>0</v>
      </c>
      <c r="L150" s="2">
        <v>0</v>
      </c>
      <c r="M150" s="2">
        <v>1</v>
      </c>
      <c r="N150" s="2">
        <v>0</v>
      </c>
      <c r="O150" s="2">
        <v>0</v>
      </c>
      <c r="P150" s="2">
        <v>0</v>
      </c>
      <c r="Q150" s="2">
        <v>0</v>
      </c>
      <c r="R150" s="2">
        <v>0</v>
      </c>
      <c r="S150" s="2">
        <v>0</v>
      </c>
      <c r="T150" s="2">
        <v>0</v>
      </c>
      <c r="U150" s="2">
        <v>0</v>
      </c>
      <c r="V150" s="2">
        <v>0</v>
      </c>
      <c r="W150" s="14">
        <v>0</v>
      </c>
      <c r="X150" s="2">
        <v>0</v>
      </c>
      <c r="Y150" s="2">
        <v>0</v>
      </c>
      <c r="Z150" s="2">
        <v>0</v>
      </c>
      <c r="AA150" s="2">
        <v>0</v>
      </c>
      <c r="AB150" s="2">
        <v>0</v>
      </c>
      <c r="AC150" s="2">
        <v>0</v>
      </c>
      <c r="AD150" s="2">
        <v>0</v>
      </c>
      <c r="AE150" s="2">
        <v>0</v>
      </c>
      <c r="AF150" s="2">
        <v>0</v>
      </c>
      <c r="AG150" s="2">
        <v>0</v>
      </c>
      <c r="AH150" s="2">
        <v>200</v>
      </c>
      <c r="AI150" s="2">
        <v>0</v>
      </c>
      <c r="AJ150" s="2">
        <v>0</v>
      </c>
      <c r="AK150" s="2">
        <v>0</v>
      </c>
      <c r="AL150" s="2">
        <v>0</v>
      </c>
      <c r="AM150" s="2">
        <v>0</v>
      </c>
      <c r="AN150" s="2">
        <v>0</v>
      </c>
      <c r="AO150" s="2">
        <v>0</v>
      </c>
      <c r="AP150" s="2">
        <v>0</v>
      </c>
      <c r="AQ150" s="2">
        <v>0</v>
      </c>
      <c r="AR150" s="2">
        <v>0</v>
      </c>
      <c r="AS150" s="2">
        <v>0</v>
      </c>
      <c r="AT150" s="2">
        <v>0</v>
      </c>
      <c r="AU150" s="2">
        <v>0</v>
      </c>
      <c r="AV150" s="2">
        <v>0</v>
      </c>
      <c r="AW150" s="2">
        <v>0</v>
      </c>
      <c r="AX150" s="2">
        <v>0</v>
      </c>
      <c r="AY150" s="2">
        <v>0</v>
      </c>
      <c r="AZ150" s="2" t="s">
        <v>39</v>
      </c>
      <c r="BA150" s="14">
        <v>200000</v>
      </c>
      <c r="BB150" s="14">
        <f>SUM(Table_ship_components[[#This Row],[PRICE]]+(Table_ship_components[[#This Row],[COST_PER_ADD_PERSON]]*Table_ship_components[[#This Row],[OPTIONAL]]))</f>
        <v>200000</v>
      </c>
      <c r="BC150" s="2">
        <v>0</v>
      </c>
      <c r="BD150" s="2">
        <v>0</v>
      </c>
    </row>
    <row r="151" spans="1:56" x14ac:dyDescent="0.35">
      <c r="A151" t="s">
        <v>551</v>
      </c>
      <c r="B151" t="s">
        <v>554</v>
      </c>
      <c r="C151" s="2">
        <v>0</v>
      </c>
      <c r="D151" s="2">
        <v>3</v>
      </c>
      <c r="E151" s="2">
        <f>SUM(Table_ship_components[[#This Row],[UNIT_SIZE]]+(Table_ship_components[[#This Row],[SIZE_PER_ADD_PERSON]]*Table_ship_components[[#This Row],[OPTIONAL]]))</f>
        <v>3</v>
      </c>
      <c r="F151" s="2">
        <v>3</v>
      </c>
      <c r="G151" s="2">
        <f>SUM(Table_ship_components[[#This Row],[POWER_CONSUMPTION]]+(Table_ship_components[[#This Row],[POWER_PER_ADD_PERSON]]*Table_ship_components[[#This Row],[OPTIONAL]]))</f>
        <v>3</v>
      </c>
      <c r="H151" s="2">
        <v>0</v>
      </c>
      <c r="I151" s="2">
        <v>0</v>
      </c>
      <c r="J151" s="2">
        <v>0</v>
      </c>
      <c r="K151" s="2">
        <v>0</v>
      </c>
      <c r="L151" s="2">
        <v>0</v>
      </c>
      <c r="M151" s="2">
        <v>1</v>
      </c>
      <c r="N151" s="2">
        <v>0</v>
      </c>
      <c r="O151" s="2">
        <v>0</v>
      </c>
      <c r="P151" s="2">
        <v>0</v>
      </c>
      <c r="Q151" s="2">
        <v>0</v>
      </c>
      <c r="R151" s="2">
        <v>0</v>
      </c>
      <c r="S151" s="2">
        <v>0</v>
      </c>
      <c r="T151" s="2">
        <v>0</v>
      </c>
      <c r="U151" s="2">
        <v>0</v>
      </c>
      <c r="V151" s="2">
        <v>0</v>
      </c>
      <c r="W151" s="14">
        <v>0</v>
      </c>
      <c r="X151" s="2">
        <v>0</v>
      </c>
      <c r="Y151" s="2">
        <v>0</v>
      </c>
      <c r="Z151" s="2">
        <v>0</v>
      </c>
      <c r="AA151" s="2">
        <v>0</v>
      </c>
      <c r="AB151" s="2">
        <v>0</v>
      </c>
      <c r="AC151" s="2">
        <v>0</v>
      </c>
      <c r="AD151" s="2">
        <v>0</v>
      </c>
      <c r="AE151" s="2">
        <v>0</v>
      </c>
      <c r="AF151" s="2">
        <v>0</v>
      </c>
      <c r="AG151" s="2">
        <v>0</v>
      </c>
      <c r="AH151" s="2">
        <v>2000</v>
      </c>
      <c r="AI151" s="2">
        <v>0</v>
      </c>
      <c r="AJ151" s="2">
        <v>0</v>
      </c>
      <c r="AK151" s="2">
        <v>0</v>
      </c>
      <c r="AL151" s="2">
        <v>0</v>
      </c>
      <c r="AM151" s="2">
        <v>0</v>
      </c>
      <c r="AN151" s="2">
        <v>0</v>
      </c>
      <c r="AO151" s="2">
        <v>0</v>
      </c>
      <c r="AP151" s="2">
        <v>0</v>
      </c>
      <c r="AQ151" s="2">
        <v>0</v>
      </c>
      <c r="AR151" s="2">
        <v>0</v>
      </c>
      <c r="AS151" s="2">
        <v>1</v>
      </c>
      <c r="AT151" s="2">
        <v>0</v>
      </c>
      <c r="AU151" s="2">
        <v>0</v>
      </c>
      <c r="AV151" s="2">
        <v>0</v>
      </c>
      <c r="AW151" s="2">
        <v>0</v>
      </c>
      <c r="AX151" s="2">
        <v>0</v>
      </c>
      <c r="AY151" s="2">
        <v>0</v>
      </c>
      <c r="AZ151" s="2" t="s">
        <v>39</v>
      </c>
      <c r="BA151" s="14">
        <v>300000</v>
      </c>
      <c r="BB151" s="14">
        <f>SUM(Table_ship_components[[#This Row],[PRICE]]+(Table_ship_components[[#This Row],[COST_PER_ADD_PERSON]]*Table_ship_components[[#This Row],[OPTIONAL]]))</f>
        <v>300000</v>
      </c>
      <c r="BC151" s="2">
        <v>0</v>
      </c>
      <c r="BD151" s="2">
        <v>0</v>
      </c>
    </row>
    <row r="152" spans="1:56" x14ac:dyDescent="0.35">
      <c r="A152" t="s">
        <v>398</v>
      </c>
      <c r="B152" t="s">
        <v>401</v>
      </c>
      <c r="C152" s="2">
        <v>0</v>
      </c>
      <c r="D152" s="2">
        <v>1</v>
      </c>
      <c r="E152" s="2">
        <f>SUM(Table_ship_components[[#This Row],[UNIT_SIZE]]+(Table_ship_components[[#This Row],[SIZE_PER_ADD_PERSON]]*Table_ship_components[[#This Row],[OPTIONAL]]))</f>
        <v>1</v>
      </c>
      <c r="F152" s="2">
        <v>2</v>
      </c>
      <c r="G152" s="2">
        <f>SUM(Table_ship_components[[#This Row],[POWER_CONSUMPTION]]+(Table_ship_components[[#This Row],[POWER_PER_ADD_PERSON]]*Table_ship_components[[#This Row],[OPTIONAL]]))</f>
        <v>2</v>
      </c>
      <c r="H152" s="2">
        <v>0</v>
      </c>
      <c r="I152" s="2">
        <v>0</v>
      </c>
      <c r="J152" s="2">
        <v>0</v>
      </c>
      <c r="K152" s="2">
        <v>0</v>
      </c>
      <c r="L152" s="2">
        <v>0</v>
      </c>
      <c r="M152" s="2">
        <v>0</v>
      </c>
      <c r="N152" s="2">
        <v>1</v>
      </c>
      <c r="O152" s="2">
        <v>0</v>
      </c>
      <c r="P152" s="2">
        <v>0</v>
      </c>
      <c r="Q152" s="2">
        <v>0</v>
      </c>
      <c r="R152" s="2">
        <v>0</v>
      </c>
      <c r="S152" s="2">
        <v>0</v>
      </c>
      <c r="T152" s="2">
        <v>0</v>
      </c>
      <c r="U152" s="2">
        <v>0</v>
      </c>
      <c r="V152" s="2">
        <v>0</v>
      </c>
      <c r="W152" s="14">
        <v>0</v>
      </c>
      <c r="X152" s="2">
        <v>0</v>
      </c>
      <c r="Y152" s="2">
        <v>0</v>
      </c>
      <c r="Z152" s="2">
        <v>0</v>
      </c>
      <c r="AA152" s="2">
        <v>0</v>
      </c>
      <c r="AB152" s="2">
        <v>0</v>
      </c>
      <c r="AC152" s="2">
        <v>0</v>
      </c>
      <c r="AD152" s="2">
        <v>0</v>
      </c>
      <c r="AE152" s="2">
        <v>0</v>
      </c>
      <c r="AF152" s="2">
        <v>0</v>
      </c>
      <c r="AG152" s="2">
        <v>0</v>
      </c>
      <c r="AH152" s="2">
        <v>100</v>
      </c>
      <c r="AI152" s="2">
        <v>500</v>
      </c>
      <c r="AJ152" s="2">
        <v>0</v>
      </c>
      <c r="AK152" s="2">
        <v>0</v>
      </c>
      <c r="AL152" s="2">
        <v>0</v>
      </c>
      <c r="AM152" s="2">
        <v>0</v>
      </c>
      <c r="AN152" s="2">
        <v>0</v>
      </c>
      <c r="AO152" s="2">
        <v>0</v>
      </c>
      <c r="AP152" s="2">
        <v>0</v>
      </c>
      <c r="AQ152" s="2">
        <v>0</v>
      </c>
      <c r="AR152" s="2">
        <v>0</v>
      </c>
      <c r="AS152" s="2">
        <v>-1</v>
      </c>
      <c r="AT152" s="2">
        <v>0</v>
      </c>
      <c r="AU152" s="2">
        <v>0</v>
      </c>
      <c r="AV152" s="2">
        <v>0</v>
      </c>
      <c r="AW152" s="2">
        <v>0</v>
      </c>
      <c r="AX152" s="2">
        <v>0</v>
      </c>
      <c r="AY152" s="2">
        <v>0</v>
      </c>
      <c r="AZ152" s="2" t="s">
        <v>39</v>
      </c>
      <c r="BA152" s="14">
        <v>150000</v>
      </c>
      <c r="BB152" s="14">
        <f>SUM(Table_ship_components[[#This Row],[PRICE]]+(Table_ship_components[[#This Row],[COST_PER_ADD_PERSON]]*Table_ship_components[[#This Row],[OPTIONAL]]))</f>
        <v>150000</v>
      </c>
      <c r="BC152" s="2">
        <v>0</v>
      </c>
      <c r="BD152" s="2">
        <v>0</v>
      </c>
    </row>
    <row r="153" spans="1:56" x14ac:dyDescent="0.35">
      <c r="A153" t="s">
        <v>399</v>
      </c>
      <c r="B153" t="s">
        <v>402</v>
      </c>
      <c r="C153" s="2">
        <v>0</v>
      </c>
      <c r="D153" s="2">
        <v>2</v>
      </c>
      <c r="E153" s="2">
        <f>SUM(Table_ship_components[[#This Row],[UNIT_SIZE]]+(Table_ship_components[[#This Row],[SIZE_PER_ADD_PERSON]]*Table_ship_components[[#This Row],[OPTIONAL]]))</f>
        <v>2</v>
      </c>
      <c r="F153" s="2">
        <v>3</v>
      </c>
      <c r="G153" s="2">
        <f>SUM(Table_ship_components[[#This Row],[POWER_CONSUMPTION]]+(Table_ship_components[[#This Row],[POWER_PER_ADD_PERSON]]*Table_ship_components[[#This Row],[OPTIONAL]]))</f>
        <v>3</v>
      </c>
      <c r="H153" s="2">
        <v>0</v>
      </c>
      <c r="I153" s="2">
        <v>0</v>
      </c>
      <c r="J153" s="2">
        <v>0</v>
      </c>
      <c r="K153" s="2">
        <v>0</v>
      </c>
      <c r="L153" s="2">
        <v>0</v>
      </c>
      <c r="M153" s="2">
        <v>0</v>
      </c>
      <c r="N153" s="2">
        <v>1</v>
      </c>
      <c r="O153" s="2">
        <v>0</v>
      </c>
      <c r="P153" s="2">
        <v>0</v>
      </c>
      <c r="Q153" s="2">
        <v>0</v>
      </c>
      <c r="R153" s="2">
        <v>0</v>
      </c>
      <c r="S153" s="2">
        <v>0</v>
      </c>
      <c r="T153" s="2">
        <v>0</v>
      </c>
      <c r="U153" s="2">
        <v>0</v>
      </c>
      <c r="V153" s="2">
        <v>0</v>
      </c>
      <c r="W153" s="14">
        <v>0</v>
      </c>
      <c r="X153" s="2">
        <v>0</v>
      </c>
      <c r="Y153" s="2">
        <v>0</v>
      </c>
      <c r="Z153" s="2">
        <v>0</v>
      </c>
      <c r="AA153" s="2">
        <v>0</v>
      </c>
      <c r="AB153" s="2">
        <v>0</v>
      </c>
      <c r="AC153" s="2">
        <v>0</v>
      </c>
      <c r="AD153" s="2">
        <v>0</v>
      </c>
      <c r="AE153" s="2">
        <v>0</v>
      </c>
      <c r="AF153" s="2">
        <v>0</v>
      </c>
      <c r="AG153" s="2">
        <v>0</v>
      </c>
      <c r="AH153" s="2">
        <v>200</v>
      </c>
      <c r="AI153" s="2">
        <v>1000</v>
      </c>
      <c r="AJ153" s="2">
        <v>0</v>
      </c>
      <c r="AK153" s="2">
        <v>0</v>
      </c>
      <c r="AL153" s="2">
        <v>0</v>
      </c>
      <c r="AM153" s="2">
        <v>0</v>
      </c>
      <c r="AN153" s="2">
        <v>0</v>
      </c>
      <c r="AO153" s="2">
        <v>0</v>
      </c>
      <c r="AP153" s="2">
        <v>0</v>
      </c>
      <c r="AQ153" s="2">
        <v>0</v>
      </c>
      <c r="AR153" s="2">
        <v>0</v>
      </c>
      <c r="AS153" s="2">
        <v>0</v>
      </c>
      <c r="AT153" s="2">
        <v>0</v>
      </c>
      <c r="AU153" s="2">
        <v>0</v>
      </c>
      <c r="AV153" s="2">
        <v>0</v>
      </c>
      <c r="AW153" s="2">
        <v>0</v>
      </c>
      <c r="AX153" s="2">
        <v>0</v>
      </c>
      <c r="AY153" s="2">
        <v>0</v>
      </c>
      <c r="AZ153" s="2" t="s">
        <v>39</v>
      </c>
      <c r="BA153" s="14">
        <v>250000</v>
      </c>
      <c r="BB153" s="14">
        <f>SUM(Table_ship_components[[#This Row],[PRICE]]+(Table_ship_components[[#This Row],[COST_PER_ADD_PERSON]]*Table_ship_components[[#This Row],[OPTIONAL]]))</f>
        <v>250000</v>
      </c>
      <c r="BC153" s="2">
        <v>0</v>
      </c>
      <c r="BD153" s="2">
        <v>0</v>
      </c>
    </row>
    <row r="154" spans="1:56" x14ac:dyDescent="0.35">
      <c r="A154" t="s">
        <v>400</v>
      </c>
      <c r="B154" t="s">
        <v>403</v>
      </c>
      <c r="C154" s="2">
        <v>0</v>
      </c>
      <c r="D154" s="2">
        <v>3</v>
      </c>
      <c r="E154" s="2">
        <f>SUM(Table_ship_components[[#This Row],[UNIT_SIZE]]+(Table_ship_components[[#This Row],[SIZE_PER_ADD_PERSON]]*Table_ship_components[[#This Row],[OPTIONAL]]))</f>
        <v>3</v>
      </c>
      <c r="F154" s="2">
        <v>4</v>
      </c>
      <c r="G154" s="2">
        <f>SUM(Table_ship_components[[#This Row],[POWER_CONSUMPTION]]+(Table_ship_components[[#This Row],[POWER_PER_ADD_PERSON]]*Table_ship_components[[#This Row],[OPTIONAL]]))</f>
        <v>4</v>
      </c>
      <c r="H154" s="2">
        <v>0</v>
      </c>
      <c r="I154" s="2">
        <v>0</v>
      </c>
      <c r="J154" s="2">
        <v>0</v>
      </c>
      <c r="K154" s="2">
        <v>0</v>
      </c>
      <c r="L154" s="2">
        <v>0</v>
      </c>
      <c r="M154" s="2">
        <v>0</v>
      </c>
      <c r="N154" s="2">
        <v>1</v>
      </c>
      <c r="O154" s="2">
        <v>0</v>
      </c>
      <c r="P154" s="2">
        <v>0</v>
      </c>
      <c r="Q154" s="2">
        <v>0</v>
      </c>
      <c r="R154" s="2">
        <v>0</v>
      </c>
      <c r="S154" s="2">
        <v>0</v>
      </c>
      <c r="T154" s="2">
        <v>0</v>
      </c>
      <c r="U154" s="2">
        <v>0</v>
      </c>
      <c r="V154" s="2">
        <v>0</v>
      </c>
      <c r="W154" s="14">
        <v>0</v>
      </c>
      <c r="X154" s="2">
        <v>0</v>
      </c>
      <c r="Y154" s="2">
        <v>0</v>
      </c>
      <c r="Z154" s="2">
        <v>0</v>
      </c>
      <c r="AA154" s="2">
        <v>0</v>
      </c>
      <c r="AB154" s="2">
        <v>0</v>
      </c>
      <c r="AC154" s="2">
        <v>0</v>
      </c>
      <c r="AD154" s="2">
        <v>0</v>
      </c>
      <c r="AE154" s="2">
        <v>0</v>
      </c>
      <c r="AF154" s="2">
        <v>0</v>
      </c>
      <c r="AG154" s="2">
        <v>0</v>
      </c>
      <c r="AH154" s="2">
        <v>2000</v>
      </c>
      <c r="AI154" s="2">
        <v>10000</v>
      </c>
      <c r="AJ154" s="2">
        <v>0</v>
      </c>
      <c r="AK154" s="2">
        <v>0</v>
      </c>
      <c r="AL154" s="2">
        <v>0</v>
      </c>
      <c r="AM154" s="2">
        <v>0</v>
      </c>
      <c r="AN154" s="2">
        <v>0</v>
      </c>
      <c r="AO154" s="2">
        <v>0</v>
      </c>
      <c r="AP154" s="2">
        <v>0</v>
      </c>
      <c r="AQ154" s="2">
        <v>0</v>
      </c>
      <c r="AR154" s="2">
        <v>0</v>
      </c>
      <c r="AS154" s="2">
        <v>1</v>
      </c>
      <c r="AT154" s="2">
        <v>0</v>
      </c>
      <c r="AU154" s="2">
        <v>0</v>
      </c>
      <c r="AV154" s="2">
        <v>0</v>
      </c>
      <c r="AW154" s="2">
        <v>0</v>
      </c>
      <c r="AX154" s="2">
        <v>0</v>
      </c>
      <c r="AY154" s="2">
        <v>0</v>
      </c>
      <c r="AZ154" s="2" t="s">
        <v>39</v>
      </c>
      <c r="BA154" s="14">
        <v>350000</v>
      </c>
      <c r="BB154" s="14">
        <f>SUM(Table_ship_components[[#This Row],[PRICE]]+(Table_ship_components[[#This Row],[COST_PER_ADD_PERSON]]*Table_ship_components[[#This Row],[OPTIONAL]]))</f>
        <v>350000</v>
      </c>
      <c r="BC154" s="2">
        <v>0</v>
      </c>
      <c r="BD154" s="2">
        <v>0</v>
      </c>
    </row>
    <row r="155" spans="1:56" x14ac:dyDescent="0.35">
      <c r="A155" t="s">
        <v>372</v>
      </c>
      <c r="B155" t="s">
        <v>427</v>
      </c>
      <c r="C155" s="2">
        <v>0</v>
      </c>
      <c r="D155" s="2">
        <v>4</v>
      </c>
      <c r="E155" s="2">
        <f>SUM(Table_ship_components[[#This Row],[UNIT_SIZE]]+(Table_ship_components[[#This Row],[SIZE_PER_ADD_PERSON]]*Table_ship_components[[#This Row],[OPTIONAL]]))</f>
        <v>4</v>
      </c>
      <c r="F155" s="2">
        <v>5</v>
      </c>
      <c r="G155" s="2">
        <f>SUM(Table_ship_components[[#This Row],[POWER_CONSUMPTION]]+(Table_ship_components[[#This Row],[POWER_PER_ADD_PERSON]]*Table_ship_components[[#This Row],[OPTIONAL]]))</f>
        <v>5</v>
      </c>
      <c r="H155" s="2">
        <v>0</v>
      </c>
      <c r="I155" s="2">
        <v>0</v>
      </c>
      <c r="J155" s="2">
        <v>0</v>
      </c>
      <c r="K155" s="2">
        <v>0</v>
      </c>
      <c r="L155" s="2">
        <v>0</v>
      </c>
      <c r="M155" s="2">
        <v>0</v>
      </c>
      <c r="N155" s="2">
        <v>0</v>
      </c>
      <c r="O155" s="2">
        <v>1</v>
      </c>
      <c r="P155" s="2">
        <v>0</v>
      </c>
      <c r="Q155" s="2">
        <v>0</v>
      </c>
      <c r="R155" s="2">
        <v>0</v>
      </c>
      <c r="S155" s="2">
        <v>0</v>
      </c>
      <c r="T155" s="2">
        <v>0</v>
      </c>
      <c r="U155" s="2">
        <v>0</v>
      </c>
      <c r="V155" s="2">
        <v>0</v>
      </c>
      <c r="W155" s="14">
        <v>0</v>
      </c>
      <c r="X155" s="2">
        <v>0</v>
      </c>
      <c r="Y155" s="2">
        <v>0</v>
      </c>
      <c r="Z155" s="2">
        <v>0</v>
      </c>
      <c r="AA155" s="2">
        <v>0</v>
      </c>
      <c r="AB155" s="2">
        <v>0</v>
      </c>
      <c r="AC155" s="2">
        <v>0</v>
      </c>
      <c r="AD155" s="2">
        <v>0</v>
      </c>
      <c r="AE155" s="2">
        <v>0</v>
      </c>
      <c r="AF155" s="2">
        <v>0</v>
      </c>
      <c r="AG155" s="2">
        <v>0</v>
      </c>
      <c r="AH155" s="2">
        <v>100</v>
      </c>
      <c r="AI155" s="2">
        <v>1000</v>
      </c>
      <c r="AJ155" s="2">
        <f>Table_ship_components[[#This Row],[DETECTION_RANGE]]*10</f>
        <v>10000</v>
      </c>
      <c r="AK155" s="2">
        <v>0</v>
      </c>
      <c r="AL155" s="2">
        <v>0</v>
      </c>
      <c r="AM155" s="2">
        <v>0</v>
      </c>
      <c r="AN155" s="2">
        <v>0</v>
      </c>
      <c r="AO155" s="2">
        <v>0</v>
      </c>
      <c r="AP155" s="2">
        <v>0</v>
      </c>
      <c r="AQ155" s="2">
        <v>0</v>
      </c>
      <c r="AR155" s="2">
        <v>0</v>
      </c>
      <c r="AS155" s="2">
        <v>-1</v>
      </c>
      <c r="AT155" s="2">
        <v>0</v>
      </c>
      <c r="AU155" s="2">
        <v>0</v>
      </c>
      <c r="AV155" s="2">
        <v>0</v>
      </c>
      <c r="AW155" s="2">
        <v>0</v>
      </c>
      <c r="AX155" s="2">
        <v>0</v>
      </c>
      <c r="AY155" s="2">
        <v>0</v>
      </c>
      <c r="AZ155" s="2" t="s">
        <v>39</v>
      </c>
      <c r="BA155" s="14">
        <v>450000</v>
      </c>
      <c r="BB155" s="14">
        <f>SUM(Table_ship_components[[#This Row],[PRICE]]+(Table_ship_components[[#This Row],[COST_PER_ADD_PERSON]]*Table_ship_components[[#This Row],[OPTIONAL]]))</f>
        <v>450000</v>
      </c>
      <c r="BC155" s="2">
        <v>0</v>
      </c>
      <c r="BD155" s="2">
        <v>0</v>
      </c>
    </row>
    <row r="156" spans="1:56" x14ac:dyDescent="0.35">
      <c r="A156" t="s">
        <v>373</v>
      </c>
      <c r="B156" t="s">
        <v>260</v>
      </c>
      <c r="C156" s="2">
        <v>0</v>
      </c>
      <c r="D156" s="2">
        <v>5</v>
      </c>
      <c r="E156" s="2">
        <f>SUM(Table_ship_components[[#This Row],[UNIT_SIZE]]+(Table_ship_components[[#This Row],[SIZE_PER_ADD_PERSON]]*Table_ship_components[[#This Row],[OPTIONAL]]))</f>
        <v>5</v>
      </c>
      <c r="F156" s="2">
        <v>6</v>
      </c>
      <c r="G156" s="2">
        <f>SUM(Table_ship_components[[#This Row],[POWER_CONSUMPTION]]+(Table_ship_components[[#This Row],[POWER_PER_ADD_PERSON]]*Table_ship_components[[#This Row],[OPTIONAL]]))</f>
        <v>6</v>
      </c>
      <c r="H156" s="2">
        <v>0</v>
      </c>
      <c r="I156" s="2">
        <v>0</v>
      </c>
      <c r="J156" s="2">
        <v>0</v>
      </c>
      <c r="K156" s="2">
        <v>0</v>
      </c>
      <c r="L156" s="2">
        <v>0</v>
      </c>
      <c r="M156" s="2">
        <v>0</v>
      </c>
      <c r="N156" s="2">
        <v>0</v>
      </c>
      <c r="O156" s="2">
        <v>1</v>
      </c>
      <c r="P156" s="2">
        <v>0</v>
      </c>
      <c r="Q156" s="2">
        <v>0</v>
      </c>
      <c r="R156" s="2">
        <v>0</v>
      </c>
      <c r="S156" s="2">
        <v>0</v>
      </c>
      <c r="T156" s="2">
        <v>0</v>
      </c>
      <c r="U156" s="2">
        <v>0</v>
      </c>
      <c r="V156" s="2">
        <v>0</v>
      </c>
      <c r="W156" s="14">
        <v>0</v>
      </c>
      <c r="X156" s="2">
        <v>0</v>
      </c>
      <c r="Y156" s="2">
        <v>0</v>
      </c>
      <c r="Z156" s="2">
        <v>0</v>
      </c>
      <c r="AA156" s="2">
        <v>0</v>
      </c>
      <c r="AB156" s="2">
        <v>0</v>
      </c>
      <c r="AC156" s="2">
        <v>0</v>
      </c>
      <c r="AD156" s="2">
        <v>0</v>
      </c>
      <c r="AE156" s="2">
        <v>0</v>
      </c>
      <c r="AF156" s="2">
        <v>0</v>
      </c>
      <c r="AG156" s="2">
        <v>0</v>
      </c>
      <c r="AH156" s="2">
        <v>100</v>
      </c>
      <c r="AI156" s="2">
        <v>1000</v>
      </c>
      <c r="AJ156" s="2">
        <f>Table_ship_components[[#This Row],[DETECTION_RANGE]]*10</f>
        <v>10000</v>
      </c>
      <c r="AK156" s="2">
        <v>0</v>
      </c>
      <c r="AL156" s="2">
        <v>0</v>
      </c>
      <c r="AM156" s="2">
        <v>0</v>
      </c>
      <c r="AN156" s="2">
        <v>0</v>
      </c>
      <c r="AO156" s="2">
        <v>0</v>
      </c>
      <c r="AP156" s="2">
        <v>0</v>
      </c>
      <c r="AQ156" s="2">
        <v>0</v>
      </c>
      <c r="AR156" s="2">
        <v>0</v>
      </c>
      <c r="AS156" s="2">
        <v>0</v>
      </c>
      <c r="AT156" s="2">
        <v>0</v>
      </c>
      <c r="AU156" s="2">
        <v>0</v>
      </c>
      <c r="AV156" s="2">
        <v>0</v>
      </c>
      <c r="AW156" s="2">
        <v>0</v>
      </c>
      <c r="AX156" s="2">
        <v>0</v>
      </c>
      <c r="AY156" s="2">
        <v>0</v>
      </c>
      <c r="AZ156" s="2" t="s">
        <v>39</v>
      </c>
      <c r="BA156" s="14">
        <v>550000</v>
      </c>
      <c r="BB156" s="14">
        <f>SUM(Table_ship_components[[#This Row],[PRICE]]+(Table_ship_components[[#This Row],[COST_PER_ADD_PERSON]]*Table_ship_components[[#This Row],[OPTIONAL]]))</f>
        <v>550000</v>
      </c>
      <c r="BC156" s="2">
        <v>0</v>
      </c>
      <c r="BD156" s="2">
        <v>0</v>
      </c>
    </row>
    <row r="157" spans="1:56" x14ac:dyDescent="0.35">
      <c r="A157" t="s">
        <v>374</v>
      </c>
      <c r="B157" t="s">
        <v>261</v>
      </c>
      <c r="C157" s="2">
        <v>0</v>
      </c>
      <c r="D157" s="2">
        <v>6</v>
      </c>
      <c r="E157" s="2">
        <f>SUM(Table_ship_components[[#This Row],[UNIT_SIZE]]+(Table_ship_components[[#This Row],[SIZE_PER_ADD_PERSON]]*Table_ship_components[[#This Row],[OPTIONAL]]))</f>
        <v>6</v>
      </c>
      <c r="F157" s="2">
        <v>7</v>
      </c>
      <c r="G157" s="2">
        <f>SUM(Table_ship_components[[#This Row],[POWER_CONSUMPTION]]+(Table_ship_components[[#This Row],[POWER_PER_ADD_PERSON]]*Table_ship_components[[#This Row],[OPTIONAL]]))</f>
        <v>7</v>
      </c>
      <c r="H157" s="2">
        <v>0</v>
      </c>
      <c r="I157" s="2">
        <v>0</v>
      </c>
      <c r="J157" s="2">
        <v>0</v>
      </c>
      <c r="K157" s="2">
        <v>0</v>
      </c>
      <c r="L157" s="2">
        <v>0</v>
      </c>
      <c r="M157" s="2">
        <v>0</v>
      </c>
      <c r="N157" s="2">
        <v>0</v>
      </c>
      <c r="O157" s="2">
        <v>1</v>
      </c>
      <c r="P157" s="2">
        <v>0</v>
      </c>
      <c r="Q157" s="2">
        <v>0</v>
      </c>
      <c r="R157" s="2">
        <v>0</v>
      </c>
      <c r="S157" s="2">
        <v>0</v>
      </c>
      <c r="T157" s="2">
        <v>0</v>
      </c>
      <c r="U157" s="2">
        <v>0</v>
      </c>
      <c r="V157" s="2">
        <v>0</v>
      </c>
      <c r="W157" s="14">
        <v>0</v>
      </c>
      <c r="X157" s="2">
        <v>0</v>
      </c>
      <c r="Y157" s="2">
        <v>0</v>
      </c>
      <c r="Z157" s="2">
        <v>0</v>
      </c>
      <c r="AA157" s="2">
        <v>0</v>
      </c>
      <c r="AB157" s="2">
        <v>0</v>
      </c>
      <c r="AC157" s="2">
        <v>0</v>
      </c>
      <c r="AD157" s="2">
        <v>0</v>
      </c>
      <c r="AE157" s="2">
        <v>0</v>
      </c>
      <c r="AF157" s="2">
        <v>0</v>
      </c>
      <c r="AG157" s="2">
        <v>0</v>
      </c>
      <c r="AH157" s="2">
        <v>100</v>
      </c>
      <c r="AI157" s="2">
        <v>1000</v>
      </c>
      <c r="AJ157" s="2">
        <f>Table_ship_components[[#This Row],[DETECTION_RANGE]]*10</f>
        <v>10000</v>
      </c>
      <c r="AK157" s="2">
        <v>0</v>
      </c>
      <c r="AL157" s="2">
        <v>0</v>
      </c>
      <c r="AM157" s="2">
        <v>0</v>
      </c>
      <c r="AN157" s="2">
        <v>0</v>
      </c>
      <c r="AO157" s="2">
        <v>0</v>
      </c>
      <c r="AP157" s="2">
        <v>0</v>
      </c>
      <c r="AQ157" s="2">
        <v>0</v>
      </c>
      <c r="AR157" s="2">
        <v>0</v>
      </c>
      <c r="AS157" s="2">
        <v>1</v>
      </c>
      <c r="AT157" s="2">
        <v>0</v>
      </c>
      <c r="AU157" s="2">
        <v>0</v>
      </c>
      <c r="AV157" s="2">
        <v>0</v>
      </c>
      <c r="AW157" s="2">
        <v>0</v>
      </c>
      <c r="AX157" s="2">
        <v>0</v>
      </c>
      <c r="AY157" s="2">
        <v>0</v>
      </c>
      <c r="AZ157" s="2" t="s">
        <v>39</v>
      </c>
      <c r="BA157" s="14">
        <v>650000</v>
      </c>
      <c r="BB157" s="14">
        <f>SUM(Table_ship_components[[#This Row],[PRICE]]+(Table_ship_components[[#This Row],[COST_PER_ADD_PERSON]]*Table_ship_components[[#This Row],[OPTIONAL]]))</f>
        <v>650000</v>
      </c>
      <c r="BC157" s="2">
        <v>0</v>
      </c>
      <c r="BD157" s="2">
        <v>0</v>
      </c>
    </row>
    <row r="158" spans="1:56" x14ac:dyDescent="0.35">
      <c r="A158" t="s">
        <v>555</v>
      </c>
      <c r="B158" t="s">
        <v>558</v>
      </c>
      <c r="C158" s="2">
        <v>0</v>
      </c>
      <c r="D158" s="2">
        <v>2</v>
      </c>
      <c r="E158" s="2">
        <f>SUM(Table_ship_components[[#This Row],[UNIT_SIZE]]+(Table_ship_components[[#This Row],[SIZE_PER_ADD_PERSON]]*Table_ship_components[[#This Row],[OPTIONAL]]))</f>
        <v>2</v>
      </c>
      <c r="F158" s="2">
        <v>2</v>
      </c>
      <c r="G158" s="2">
        <f>SUM(Table_ship_components[[#This Row],[POWER_CONSUMPTION]]+(Table_ship_components[[#This Row],[POWER_PER_ADD_PERSON]]*Table_ship_components[[#This Row],[OPTIONAL]]))</f>
        <v>2</v>
      </c>
      <c r="H158" s="2">
        <v>0</v>
      </c>
      <c r="I158" s="2">
        <v>0</v>
      </c>
      <c r="J158" s="2">
        <v>0</v>
      </c>
      <c r="K158" s="2">
        <v>15</v>
      </c>
      <c r="L158" s="2">
        <v>2</v>
      </c>
      <c r="M158" s="2">
        <v>0</v>
      </c>
      <c r="N158" s="2">
        <v>1</v>
      </c>
      <c r="O158" s="2">
        <v>0</v>
      </c>
      <c r="P158" s="2">
        <v>0</v>
      </c>
      <c r="Q158" s="2">
        <v>0</v>
      </c>
      <c r="R158" s="2">
        <v>0</v>
      </c>
      <c r="S158" s="2">
        <v>0</v>
      </c>
      <c r="T158" s="2">
        <v>0</v>
      </c>
      <c r="U158" s="2">
        <v>0</v>
      </c>
      <c r="V158" s="2">
        <v>0</v>
      </c>
      <c r="W158" s="14">
        <v>0</v>
      </c>
      <c r="X158" s="2">
        <v>0</v>
      </c>
      <c r="Y158" s="2">
        <v>0</v>
      </c>
      <c r="Z158" s="2">
        <v>0</v>
      </c>
      <c r="AA158" s="2">
        <v>0</v>
      </c>
      <c r="AB158" s="2">
        <v>0</v>
      </c>
      <c r="AC158" s="2">
        <v>0</v>
      </c>
      <c r="AD158" s="2">
        <v>0</v>
      </c>
      <c r="AE158" s="2">
        <v>0</v>
      </c>
      <c r="AF158" s="2">
        <v>0</v>
      </c>
      <c r="AG158" s="2">
        <v>0</v>
      </c>
      <c r="AH158" s="2">
        <v>0</v>
      </c>
      <c r="AI158" s="2">
        <v>0</v>
      </c>
      <c r="AJ158" s="2">
        <v>0</v>
      </c>
      <c r="AK158" s="2">
        <v>0</v>
      </c>
      <c r="AL158" s="2">
        <v>0</v>
      </c>
      <c r="AM158" s="2">
        <v>0</v>
      </c>
      <c r="AN158" s="2">
        <v>0</v>
      </c>
      <c r="AO158" s="2">
        <v>0</v>
      </c>
      <c r="AP158" s="2">
        <v>0</v>
      </c>
      <c r="AQ158" s="2">
        <v>0</v>
      </c>
      <c r="AR158" s="2">
        <v>0</v>
      </c>
      <c r="AS158" s="2">
        <v>0</v>
      </c>
      <c r="AT158" s="2">
        <v>0</v>
      </c>
      <c r="AU158" s="2">
        <v>0</v>
      </c>
      <c r="AV158" s="2">
        <v>0</v>
      </c>
      <c r="AW158" s="2">
        <v>0</v>
      </c>
      <c r="AX158" s="2">
        <v>0</v>
      </c>
      <c r="AY158" s="2">
        <v>0</v>
      </c>
      <c r="AZ158" s="2" t="s">
        <v>39</v>
      </c>
      <c r="BA158" s="14">
        <v>150000</v>
      </c>
      <c r="BB158" s="14">
        <f>SUM(Table_ship_components[[#This Row],[PRICE]]+(Table_ship_components[[#This Row],[COST_PER_ADD_PERSON]]*Table_ship_components[[#This Row],[OPTIONAL]]))</f>
        <v>150000</v>
      </c>
      <c r="BC158" s="2" t="s">
        <v>38</v>
      </c>
      <c r="BD158" s="2">
        <v>0</v>
      </c>
    </row>
    <row r="159" spans="1:56" x14ac:dyDescent="0.35">
      <c r="A159" t="s">
        <v>556</v>
      </c>
      <c r="B159" t="s">
        <v>559</v>
      </c>
      <c r="C159" s="2">
        <v>0</v>
      </c>
      <c r="D159" s="2">
        <v>4</v>
      </c>
      <c r="E159" s="2">
        <f>SUM(Table_ship_components[[#This Row],[UNIT_SIZE]]+(Table_ship_components[[#This Row],[SIZE_PER_ADD_PERSON]]*Table_ship_components[[#This Row],[OPTIONAL]]))</f>
        <v>4</v>
      </c>
      <c r="F159" s="2">
        <v>4</v>
      </c>
      <c r="G159" s="2">
        <f>SUM(Table_ship_components[[#This Row],[POWER_CONSUMPTION]]+(Table_ship_components[[#This Row],[POWER_PER_ADD_PERSON]]*Table_ship_components[[#This Row],[OPTIONAL]]))</f>
        <v>4</v>
      </c>
      <c r="H159" s="2">
        <v>0</v>
      </c>
      <c r="I159" s="2">
        <v>0</v>
      </c>
      <c r="J159" s="2">
        <v>0</v>
      </c>
      <c r="K159" s="2">
        <v>20</v>
      </c>
      <c r="L159" s="2">
        <v>4</v>
      </c>
      <c r="M159" s="2">
        <v>1</v>
      </c>
      <c r="N159" s="2">
        <v>0</v>
      </c>
      <c r="O159" s="2">
        <v>0</v>
      </c>
      <c r="P159" s="2">
        <v>0</v>
      </c>
      <c r="Q159" s="2">
        <v>0</v>
      </c>
      <c r="R159" s="2">
        <v>0</v>
      </c>
      <c r="S159" s="2">
        <v>0</v>
      </c>
      <c r="T159" s="2">
        <v>0</v>
      </c>
      <c r="U159" s="2">
        <v>0</v>
      </c>
      <c r="V159" s="2">
        <v>0</v>
      </c>
      <c r="W159" s="14">
        <v>0</v>
      </c>
      <c r="X159" s="2">
        <v>0</v>
      </c>
      <c r="Y159" s="2">
        <v>0</v>
      </c>
      <c r="Z159" s="2">
        <v>0</v>
      </c>
      <c r="AA159" s="2">
        <v>0</v>
      </c>
      <c r="AB159" s="2">
        <v>0</v>
      </c>
      <c r="AC159" s="2">
        <v>0</v>
      </c>
      <c r="AD159" s="2">
        <v>0</v>
      </c>
      <c r="AE159" s="2">
        <v>0</v>
      </c>
      <c r="AF159" s="2">
        <v>0</v>
      </c>
      <c r="AG159" s="2">
        <v>0</v>
      </c>
      <c r="AH159" s="2">
        <v>0</v>
      </c>
      <c r="AI159" s="2">
        <v>0</v>
      </c>
      <c r="AJ159" s="2">
        <v>0</v>
      </c>
      <c r="AK159" s="2">
        <v>0</v>
      </c>
      <c r="AL159" s="2">
        <v>0</v>
      </c>
      <c r="AM159" s="2">
        <v>0</v>
      </c>
      <c r="AN159" s="2">
        <v>0</v>
      </c>
      <c r="AO159" s="2">
        <v>0</v>
      </c>
      <c r="AP159" s="2">
        <v>0</v>
      </c>
      <c r="AQ159" s="2">
        <v>0</v>
      </c>
      <c r="AR159" s="2">
        <v>0</v>
      </c>
      <c r="AS159" s="2">
        <v>0</v>
      </c>
      <c r="AT159" s="2">
        <v>0</v>
      </c>
      <c r="AU159" s="2">
        <v>0</v>
      </c>
      <c r="AV159" s="2">
        <v>0</v>
      </c>
      <c r="AW159" s="2">
        <v>0</v>
      </c>
      <c r="AX159" s="2">
        <v>0</v>
      </c>
      <c r="AY159" s="2">
        <v>0</v>
      </c>
      <c r="AZ159" s="2" t="s">
        <v>39</v>
      </c>
      <c r="BA159" s="14">
        <v>250000</v>
      </c>
      <c r="BB159" s="14">
        <f>SUM(Table_ship_components[[#This Row],[PRICE]]+(Table_ship_components[[#This Row],[COST_PER_ADD_PERSON]]*Table_ship_components[[#This Row],[OPTIONAL]]))</f>
        <v>250000</v>
      </c>
      <c r="BC159" s="2" t="s">
        <v>40</v>
      </c>
      <c r="BD159" s="2">
        <v>0</v>
      </c>
    </row>
    <row r="160" spans="1:56" x14ac:dyDescent="0.35">
      <c r="A160" t="s">
        <v>557</v>
      </c>
      <c r="B160" t="s">
        <v>560</v>
      </c>
      <c r="C160" s="2">
        <v>0</v>
      </c>
      <c r="D160" s="2">
        <v>6</v>
      </c>
      <c r="E160" s="2">
        <f>SUM(Table_ship_components[[#This Row],[UNIT_SIZE]]+(Table_ship_components[[#This Row],[SIZE_PER_ADD_PERSON]]*Table_ship_components[[#This Row],[OPTIONAL]]))</f>
        <v>6</v>
      </c>
      <c r="F160" s="2">
        <v>6</v>
      </c>
      <c r="G160" s="2">
        <f>SUM(Table_ship_components[[#This Row],[POWER_CONSUMPTION]]+(Table_ship_components[[#This Row],[POWER_PER_ADD_PERSON]]*Table_ship_components[[#This Row],[OPTIONAL]]))</f>
        <v>6</v>
      </c>
      <c r="H160" s="2">
        <v>0</v>
      </c>
      <c r="I160" s="2">
        <v>0</v>
      </c>
      <c r="J160" s="2">
        <v>0</v>
      </c>
      <c r="K160" s="2">
        <v>25</v>
      </c>
      <c r="L160" s="2">
        <v>6</v>
      </c>
      <c r="M160" s="2">
        <v>1</v>
      </c>
      <c r="N160" s="2">
        <v>0</v>
      </c>
      <c r="O160" s="2">
        <v>0</v>
      </c>
      <c r="P160" s="2">
        <v>0</v>
      </c>
      <c r="Q160" s="2">
        <v>0</v>
      </c>
      <c r="R160" s="2">
        <v>0</v>
      </c>
      <c r="S160" s="2">
        <v>0</v>
      </c>
      <c r="T160" s="2">
        <v>0</v>
      </c>
      <c r="U160" s="2">
        <v>0</v>
      </c>
      <c r="V160" s="2">
        <v>0</v>
      </c>
      <c r="W160" s="14">
        <v>0</v>
      </c>
      <c r="X160" s="2">
        <v>0</v>
      </c>
      <c r="Y160" s="2">
        <v>0</v>
      </c>
      <c r="Z160" s="2">
        <v>0</v>
      </c>
      <c r="AA160" s="2">
        <v>0</v>
      </c>
      <c r="AB160" s="2">
        <v>0</v>
      </c>
      <c r="AC160" s="2">
        <v>0</v>
      </c>
      <c r="AD160" s="2">
        <v>0</v>
      </c>
      <c r="AE160" s="2">
        <v>0</v>
      </c>
      <c r="AF160" s="2">
        <v>0</v>
      </c>
      <c r="AG160" s="2">
        <v>0</v>
      </c>
      <c r="AH160" s="2">
        <v>0</v>
      </c>
      <c r="AI160" s="2">
        <v>0</v>
      </c>
      <c r="AJ160" s="2">
        <v>0</v>
      </c>
      <c r="AK160" s="2">
        <v>0</v>
      </c>
      <c r="AL160" s="2">
        <v>0</v>
      </c>
      <c r="AM160" s="2">
        <v>0</v>
      </c>
      <c r="AN160" s="2">
        <v>0</v>
      </c>
      <c r="AO160" s="2">
        <v>0</v>
      </c>
      <c r="AP160" s="2">
        <v>0</v>
      </c>
      <c r="AQ160" s="2">
        <v>0</v>
      </c>
      <c r="AR160" s="2">
        <v>0</v>
      </c>
      <c r="AS160" s="2">
        <v>0</v>
      </c>
      <c r="AT160" s="2">
        <v>0</v>
      </c>
      <c r="AU160" s="2">
        <v>0</v>
      </c>
      <c r="AV160" s="2">
        <v>0</v>
      </c>
      <c r="AW160" s="2">
        <v>0</v>
      </c>
      <c r="AX160" s="2">
        <v>0</v>
      </c>
      <c r="AY160" s="2">
        <v>0</v>
      </c>
      <c r="AZ160" s="2" t="s">
        <v>39</v>
      </c>
      <c r="BA160" s="14">
        <v>350000</v>
      </c>
      <c r="BB160" s="14">
        <f>SUM(Table_ship_components[[#This Row],[PRICE]]+(Table_ship_components[[#This Row],[COST_PER_ADD_PERSON]]*Table_ship_components[[#This Row],[OPTIONAL]]))</f>
        <v>350000</v>
      </c>
      <c r="BC160" s="2">
        <v>0</v>
      </c>
      <c r="BD160" s="2">
        <v>0</v>
      </c>
    </row>
    <row r="161" spans="1:56" x14ac:dyDescent="0.35">
      <c r="A161" t="s">
        <v>338</v>
      </c>
      <c r="B161" t="s">
        <v>175</v>
      </c>
      <c r="C161" s="2">
        <v>0</v>
      </c>
      <c r="D161" s="2">
        <v>3</v>
      </c>
      <c r="E161" s="2">
        <f>SUM(Table_ship_components[[#This Row],[UNIT_SIZE]]+(Table_ship_components[[#This Row],[SIZE_PER_ADD_PERSON]]*Table_ship_components[[#This Row],[OPTIONAL]]))</f>
        <v>3</v>
      </c>
      <c r="F161" s="2">
        <v>3</v>
      </c>
      <c r="G161" s="2">
        <f>SUM(Table_ship_components[[#This Row],[POWER_CONSUMPTION]]+(Table_ship_components[[#This Row],[POWER_PER_ADD_PERSON]]*Table_ship_components[[#This Row],[OPTIONAL]]))</f>
        <v>3</v>
      </c>
      <c r="H161" s="2">
        <v>0</v>
      </c>
      <c r="I161" s="2">
        <v>0</v>
      </c>
      <c r="J161" s="2">
        <v>0</v>
      </c>
      <c r="K161" s="2">
        <v>20</v>
      </c>
      <c r="L161" s="2">
        <v>3</v>
      </c>
      <c r="M161" s="2">
        <v>1</v>
      </c>
      <c r="N161" s="2">
        <v>0</v>
      </c>
      <c r="O161" s="2">
        <v>0</v>
      </c>
      <c r="P161" s="2">
        <v>0</v>
      </c>
      <c r="Q161" s="2">
        <v>0</v>
      </c>
      <c r="R161" s="2">
        <v>0</v>
      </c>
      <c r="S161" s="2">
        <v>0</v>
      </c>
      <c r="T161" s="2">
        <v>0</v>
      </c>
      <c r="U161" s="2">
        <v>0</v>
      </c>
      <c r="V161" s="2">
        <v>0</v>
      </c>
      <c r="W161" s="14">
        <v>0</v>
      </c>
      <c r="X161" s="2">
        <v>0</v>
      </c>
      <c r="Y161" s="2">
        <v>0</v>
      </c>
      <c r="Z161" s="2">
        <v>0</v>
      </c>
      <c r="AA161" s="2">
        <v>0</v>
      </c>
      <c r="AB161" s="2">
        <v>0</v>
      </c>
      <c r="AC161" s="2">
        <v>0</v>
      </c>
      <c r="AD161" s="2">
        <v>0</v>
      </c>
      <c r="AE161" s="2">
        <v>0</v>
      </c>
      <c r="AF161" s="2">
        <v>0</v>
      </c>
      <c r="AG161" s="2">
        <v>0</v>
      </c>
      <c r="AH161" s="2">
        <v>0</v>
      </c>
      <c r="AI161" s="2">
        <v>0</v>
      </c>
      <c r="AJ161" s="2">
        <v>0</v>
      </c>
      <c r="AK161" s="2">
        <v>0</v>
      </c>
      <c r="AL161" s="2">
        <v>0</v>
      </c>
      <c r="AM161" s="2">
        <v>0</v>
      </c>
      <c r="AN161" s="2">
        <v>0</v>
      </c>
      <c r="AO161" s="2">
        <v>0</v>
      </c>
      <c r="AP161" s="2">
        <v>0</v>
      </c>
      <c r="AQ161" s="2">
        <v>0</v>
      </c>
      <c r="AR161" s="2">
        <v>0</v>
      </c>
      <c r="AS161" s="2">
        <v>0</v>
      </c>
      <c r="AT161" s="2">
        <v>0</v>
      </c>
      <c r="AU161" s="2">
        <v>0</v>
      </c>
      <c r="AV161" s="2">
        <v>0</v>
      </c>
      <c r="AW161" s="2">
        <v>0</v>
      </c>
      <c r="AX161" s="2">
        <v>0</v>
      </c>
      <c r="AY161" s="2">
        <v>0</v>
      </c>
      <c r="AZ161" s="2" t="s">
        <v>39</v>
      </c>
      <c r="BA161" s="14">
        <v>250000</v>
      </c>
      <c r="BB161" s="14">
        <f>SUM(Table_ship_components[[#This Row],[PRICE]]+(Table_ship_components[[#This Row],[COST_PER_ADD_PERSON]]*Table_ship_components[[#This Row],[OPTIONAL]]))</f>
        <v>250000</v>
      </c>
      <c r="BC161" s="2" t="s">
        <v>38</v>
      </c>
      <c r="BD161" s="2">
        <v>0</v>
      </c>
    </row>
    <row r="162" spans="1:56" x14ac:dyDescent="0.35">
      <c r="A162" t="s">
        <v>339</v>
      </c>
      <c r="B162" t="s">
        <v>245</v>
      </c>
      <c r="C162" s="2">
        <v>0</v>
      </c>
      <c r="D162" s="2">
        <v>5</v>
      </c>
      <c r="E162" s="2">
        <f>SUM(Table_ship_components[[#This Row],[UNIT_SIZE]]+(Table_ship_components[[#This Row],[SIZE_PER_ADD_PERSON]]*Table_ship_components[[#This Row],[OPTIONAL]]))</f>
        <v>5</v>
      </c>
      <c r="F162" s="2">
        <v>5</v>
      </c>
      <c r="G162" s="2">
        <f>SUM(Table_ship_components[[#This Row],[POWER_CONSUMPTION]]+(Table_ship_components[[#This Row],[POWER_PER_ADD_PERSON]]*Table_ship_components[[#This Row],[OPTIONAL]]))</f>
        <v>5</v>
      </c>
      <c r="H162" s="2">
        <v>0</v>
      </c>
      <c r="I162" s="2">
        <v>0</v>
      </c>
      <c r="J162" s="2">
        <v>0</v>
      </c>
      <c r="K162" s="2">
        <v>25</v>
      </c>
      <c r="L162" s="2">
        <v>5</v>
      </c>
      <c r="M162" s="2">
        <v>0</v>
      </c>
      <c r="N162" s="2">
        <v>1</v>
      </c>
      <c r="O162" s="2">
        <v>0</v>
      </c>
      <c r="P162" s="2">
        <v>0</v>
      </c>
      <c r="Q162" s="2">
        <v>0</v>
      </c>
      <c r="R162" s="2">
        <v>0</v>
      </c>
      <c r="S162" s="2">
        <v>0</v>
      </c>
      <c r="T162" s="2">
        <v>0</v>
      </c>
      <c r="U162" s="2">
        <v>0</v>
      </c>
      <c r="V162" s="2">
        <v>0</v>
      </c>
      <c r="W162" s="14">
        <v>0</v>
      </c>
      <c r="X162" s="2">
        <v>0</v>
      </c>
      <c r="Y162" s="2">
        <v>0</v>
      </c>
      <c r="Z162" s="2">
        <v>0</v>
      </c>
      <c r="AA162" s="2">
        <v>0</v>
      </c>
      <c r="AB162" s="2">
        <v>0</v>
      </c>
      <c r="AC162" s="2">
        <v>0</v>
      </c>
      <c r="AD162" s="2">
        <v>0</v>
      </c>
      <c r="AE162" s="2">
        <v>0</v>
      </c>
      <c r="AF162" s="2">
        <v>0</v>
      </c>
      <c r="AG162" s="2">
        <v>0</v>
      </c>
      <c r="AH162" s="2">
        <v>0</v>
      </c>
      <c r="AI162" s="2">
        <v>0</v>
      </c>
      <c r="AJ162" s="2">
        <v>0</v>
      </c>
      <c r="AK162" s="2">
        <v>0</v>
      </c>
      <c r="AL162" s="2">
        <v>0</v>
      </c>
      <c r="AM162" s="2">
        <v>0</v>
      </c>
      <c r="AN162" s="2">
        <v>0</v>
      </c>
      <c r="AO162" s="2">
        <v>0</v>
      </c>
      <c r="AP162" s="2">
        <v>0</v>
      </c>
      <c r="AQ162" s="2">
        <v>0</v>
      </c>
      <c r="AR162" s="2">
        <v>0</v>
      </c>
      <c r="AS162" s="2">
        <v>0</v>
      </c>
      <c r="AT162" s="2">
        <v>0</v>
      </c>
      <c r="AU162" s="2">
        <v>0</v>
      </c>
      <c r="AV162" s="2">
        <v>0</v>
      </c>
      <c r="AW162" s="2">
        <v>0</v>
      </c>
      <c r="AX162" s="2">
        <v>0</v>
      </c>
      <c r="AY162" s="2">
        <v>0</v>
      </c>
      <c r="AZ162" s="2" t="s">
        <v>39</v>
      </c>
      <c r="BA162" s="14">
        <v>350000</v>
      </c>
      <c r="BB162" s="14">
        <f>SUM(Table_ship_components[[#This Row],[PRICE]]+(Table_ship_components[[#This Row],[COST_PER_ADD_PERSON]]*Table_ship_components[[#This Row],[OPTIONAL]]))</f>
        <v>350000</v>
      </c>
      <c r="BC162" s="2" t="s">
        <v>40</v>
      </c>
      <c r="BD162" s="2">
        <v>0</v>
      </c>
    </row>
    <row r="163" spans="1:56" x14ac:dyDescent="0.35">
      <c r="A163" t="s">
        <v>340</v>
      </c>
      <c r="B163" t="s">
        <v>246</v>
      </c>
      <c r="C163" s="2">
        <v>0</v>
      </c>
      <c r="D163" s="2">
        <v>7</v>
      </c>
      <c r="E163" s="2">
        <f>SUM(Table_ship_components[[#This Row],[UNIT_SIZE]]+(Table_ship_components[[#This Row],[SIZE_PER_ADD_PERSON]]*Table_ship_components[[#This Row],[OPTIONAL]]))</f>
        <v>7</v>
      </c>
      <c r="F163" s="2">
        <v>7</v>
      </c>
      <c r="G163" s="2">
        <f>SUM(Table_ship_components[[#This Row],[POWER_CONSUMPTION]]+(Table_ship_components[[#This Row],[POWER_PER_ADD_PERSON]]*Table_ship_components[[#This Row],[OPTIONAL]]))</f>
        <v>7</v>
      </c>
      <c r="H163" s="2">
        <v>0</v>
      </c>
      <c r="I163" s="2">
        <v>0</v>
      </c>
      <c r="J163" s="2">
        <v>0</v>
      </c>
      <c r="K163" s="2">
        <v>30</v>
      </c>
      <c r="L163" s="2">
        <v>7</v>
      </c>
      <c r="M163" s="2">
        <v>0</v>
      </c>
      <c r="N163" s="2">
        <v>1</v>
      </c>
      <c r="O163" s="2">
        <v>0</v>
      </c>
      <c r="P163" s="2">
        <v>0</v>
      </c>
      <c r="Q163" s="2">
        <v>0</v>
      </c>
      <c r="R163" s="2">
        <v>0</v>
      </c>
      <c r="S163" s="2">
        <v>0</v>
      </c>
      <c r="T163" s="2">
        <v>0</v>
      </c>
      <c r="U163" s="2">
        <v>0</v>
      </c>
      <c r="V163" s="2">
        <v>0</v>
      </c>
      <c r="W163" s="14">
        <v>0</v>
      </c>
      <c r="X163" s="2">
        <v>0</v>
      </c>
      <c r="Y163" s="2">
        <v>0</v>
      </c>
      <c r="Z163" s="2">
        <v>0</v>
      </c>
      <c r="AA163" s="2">
        <v>0</v>
      </c>
      <c r="AB163" s="2">
        <v>0</v>
      </c>
      <c r="AC163" s="2">
        <v>0</v>
      </c>
      <c r="AD163" s="2">
        <v>0</v>
      </c>
      <c r="AE163" s="2">
        <v>0</v>
      </c>
      <c r="AF163" s="2">
        <v>0</v>
      </c>
      <c r="AG163" s="2">
        <v>0</v>
      </c>
      <c r="AH163" s="2">
        <v>0</v>
      </c>
      <c r="AI163" s="2">
        <v>0</v>
      </c>
      <c r="AJ163" s="2">
        <v>0</v>
      </c>
      <c r="AK163" s="2">
        <v>0</v>
      </c>
      <c r="AL163" s="2">
        <v>0</v>
      </c>
      <c r="AM163" s="2">
        <v>0</v>
      </c>
      <c r="AN163" s="2">
        <v>0</v>
      </c>
      <c r="AO163" s="2">
        <v>0</v>
      </c>
      <c r="AP163" s="2">
        <v>0</v>
      </c>
      <c r="AQ163" s="2">
        <v>0</v>
      </c>
      <c r="AR163" s="2">
        <v>0</v>
      </c>
      <c r="AS163" s="2">
        <v>0</v>
      </c>
      <c r="AT163" s="2">
        <v>0</v>
      </c>
      <c r="AU163" s="2">
        <v>0</v>
      </c>
      <c r="AV163" s="2">
        <v>0</v>
      </c>
      <c r="AW163" s="2">
        <v>0</v>
      </c>
      <c r="AX163" s="2">
        <v>0</v>
      </c>
      <c r="AY163" s="2">
        <v>0</v>
      </c>
      <c r="AZ163" s="2" t="s">
        <v>39</v>
      </c>
      <c r="BA163" s="14">
        <v>450000</v>
      </c>
      <c r="BB163" s="14">
        <f>SUM(Table_ship_components[[#This Row],[PRICE]]+(Table_ship_components[[#This Row],[COST_PER_ADD_PERSON]]*Table_ship_components[[#This Row],[OPTIONAL]]))</f>
        <v>450000</v>
      </c>
      <c r="BC163" s="2">
        <v>0</v>
      </c>
      <c r="BD163" s="2">
        <v>0</v>
      </c>
    </row>
    <row r="164" spans="1:56" x14ac:dyDescent="0.35">
      <c r="A164" t="s">
        <v>375</v>
      </c>
      <c r="B164" t="s">
        <v>428</v>
      </c>
      <c r="C164" s="2">
        <v>0</v>
      </c>
      <c r="D164" s="2">
        <v>6</v>
      </c>
      <c r="E164" s="2">
        <f>SUM(Table_ship_components[[#This Row],[UNIT_SIZE]]+(Table_ship_components[[#This Row],[SIZE_PER_ADD_PERSON]]*Table_ship_components[[#This Row],[OPTIONAL]]))</f>
        <v>6</v>
      </c>
      <c r="F164" s="2">
        <v>6</v>
      </c>
      <c r="G164" s="2">
        <f>SUM(Table_ship_components[[#This Row],[POWER_CONSUMPTION]]+(Table_ship_components[[#This Row],[POWER_PER_ADD_PERSON]]*Table_ship_components[[#This Row],[OPTIONAL]]))</f>
        <v>6</v>
      </c>
      <c r="H164" s="2">
        <v>0</v>
      </c>
      <c r="I164" s="2">
        <v>0</v>
      </c>
      <c r="J164" s="2">
        <v>0</v>
      </c>
      <c r="K164" s="2">
        <v>35</v>
      </c>
      <c r="L164" s="2">
        <v>3</v>
      </c>
      <c r="M164" s="2">
        <v>0</v>
      </c>
      <c r="N164" s="2">
        <v>0</v>
      </c>
      <c r="O164" s="2">
        <v>1</v>
      </c>
      <c r="P164" s="2">
        <v>0</v>
      </c>
      <c r="Q164" s="2">
        <v>0</v>
      </c>
      <c r="R164" s="2">
        <v>0</v>
      </c>
      <c r="S164" s="2">
        <v>0</v>
      </c>
      <c r="T164" s="2">
        <v>0</v>
      </c>
      <c r="U164" s="2">
        <v>0</v>
      </c>
      <c r="V164" s="2">
        <v>0</v>
      </c>
      <c r="W164" s="14">
        <v>0</v>
      </c>
      <c r="X164" s="2">
        <v>0</v>
      </c>
      <c r="Y164" s="2">
        <v>0</v>
      </c>
      <c r="Z164" s="2">
        <v>0</v>
      </c>
      <c r="AA164" s="2">
        <v>0</v>
      </c>
      <c r="AB164" s="2">
        <v>0</v>
      </c>
      <c r="AC164" s="2">
        <v>0</v>
      </c>
      <c r="AD164" s="2">
        <v>0</v>
      </c>
      <c r="AE164" s="2">
        <v>0</v>
      </c>
      <c r="AF164" s="2">
        <v>0</v>
      </c>
      <c r="AG164" s="2">
        <v>0</v>
      </c>
      <c r="AH164" s="2">
        <v>0</v>
      </c>
      <c r="AI164" s="2">
        <v>0</v>
      </c>
      <c r="AJ164" s="2">
        <v>0</v>
      </c>
      <c r="AK164" s="2">
        <v>0</v>
      </c>
      <c r="AL164" s="2">
        <v>0</v>
      </c>
      <c r="AM164" s="2">
        <v>0</v>
      </c>
      <c r="AN164" s="2">
        <v>0</v>
      </c>
      <c r="AO164" s="2">
        <v>0</v>
      </c>
      <c r="AP164" s="2">
        <v>0</v>
      </c>
      <c r="AQ164" s="2">
        <v>0</v>
      </c>
      <c r="AR164" s="2">
        <v>0</v>
      </c>
      <c r="AS164" s="2">
        <v>0</v>
      </c>
      <c r="AT164" s="2">
        <v>0</v>
      </c>
      <c r="AU164" s="2">
        <v>0</v>
      </c>
      <c r="AV164" s="2">
        <v>0</v>
      </c>
      <c r="AW164" s="2">
        <v>0</v>
      </c>
      <c r="AX164" s="2">
        <v>0</v>
      </c>
      <c r="AY164" s="2">
        <v>0</v>
      </c>
      <c r="AZ164" s="2" t="s">
        <v>39</v>
      </c>
      <c r="BA164" s="14">
        <v>800000</v>
      </c>
      <c r="BB164" s="14">
        <f>SUM(Table_ship_components[[#This Row],[PRICE]]+(Table_ship_components[[#This Row],[COST_PER_ADD_PERSON]]*Table_ship_components[[#This Row],[OPTIONAL]]))</f>
        <v>800000</v>
      </c>
      <c r="BC164" s="2">
        <v>0</v>
      </c>
      <c r="BD164" s="2">
        <v>0</v>
      </c>
    </row>
    <row r="165" spans="1:56" x14ac:dyDescent="0.35">
      <c r="A165" t="s">
        <v>376</v>
      </c>
      <c r="B165" t="s">
        <v>283</v>
      </c>
      <c r="C165" s="2">
        <v>0</v>
      </c>
      <c r="D165" s="2">
        <v>10</v>
      </c>
      <c r="E165" s="2">
        <f>SUM(Table_ship_components[[#This Row],[UNIT_SIZE]]+(Table_ship_components[[#This Row],[SIZE_PER_ADD_PERSON]]*Table_ship_components[[#This Row],[OPTIONAL]]))</f>
        <v>10</v>
      </c>
      <c r="F165" s="2">
        <v>10</v>
      </c>
      <c r="G165" s="2">
        <f>SUM(Table_ship_components[[#This Row],[POWER_CONSUMPTION]]+(Table_ship_components[[#This Row],[POWER_PER_ADD_PERSON]]*Table_ship_components[[#This Row],[OPTIONAL]]))</f>
        <v>10</v>
      </c>
      <c r="H165" s="2">
        <v>0</v>
      </c>
      <c r="I165" s="2">
        <v>0</v>
      </c>
      <c r="J165" s="2">
        <v>0</v>
      </c>
      <c r="K165" s="2">
        <v>40</v>
      </c>
      <c r="L165" s="2">
        <v>5</v>
      </c>
      <c r="M165" s="2">
        <v>0</v>
      </c>
      <c r="N165" s="2">
        <v>0</v>
      </c>
      <c r="O165" s="2">
        <v>1</v>
      </c>
      <c r="P165" s="2">
        <v>0</v>
      </c>
      <c r="Q165" s="2">
        <v>0</v>
      </c>
      <c r="R165" s="2">
        <v>0</v>
      </c>
      <c r="S165" s="2">
        <v>0</v>
      </c>
      <c r="T165" s="2">
        <v>0</v>
      </c>
      <c r="U165" s="2">
        <v>0</v>
      </c>
      <c r="V165" s="2">
        <v>0</v>
      </c>
      <c r="W165" s="14">
        <v>0</v>
      </c>
      <c r="X165" s="2">
        <v>0</v>
      </c>
      <c r="Y165" s="2">
        <v>0</v>
      </c>
      <c r="Z165" s="2">
        <v>0</v>
      </c>
      <c r="AA165" s="2">
        <v>0</v>
      </c>
      <c r="AB165" s="2">
        <v>0</v>
      </c>
      <c r="AC165" s="2">
        <v>0</v>
      </c>
      <c r="AD165" s="2">
        <v>0</v>
      </c>
      <c r="AE165" s="2">
        <v>0</v>
      </c>
      <c r="AF165" s="2">
        <v>0</v>
      </c>
      <c r="AG165" s="2">
        <v>0</v>
      </c>
      <c r="AH165" s="2">
        <v>0</v>
      </c>
      <c r="AI165" s="2">
        <v>0</v>
      </c>
      <c r="AJ165" s="2">
        <v>0</v>
      </c>
      <c r="AK165" s="2">
        <v>0</v>
      </c>
      <c r="AL165" s="2">
        <v>0</v>
      </c>
      <c r="AM165" s="2">
        <v>0</v>
      </c>
      <c r="AN165" s="2">
        <v>0</v>
      </c>
      <c r="AO165" s="2">
        <v>0</v>
      </c>
      <c r="AP165" s="2">
        <v>0</v>
      </c>
      <c r="AQ165" s="2">
        <v>0</v>
      </c>
      <c r="AR165" s="2">
        <v>0</v>
      </c>
      <c r="AS165" s="2">
        <v>0</v>
      </c>
      <c r="AT165" s="2">
        <v>0</v>
      </c>
      <c r="AU165" s="2">
        <v>0</v>
      </c>
      <c r="AV165" s="2">
        <v>0</v>
      </c>
      <c r="AW165" s="2">
        <v>0</v>
      </c>
      <c r="AX165" s="2">
        <v>0</v>
      </c>
      <c r="AY165" s="2">
        <v>0</v>
      </c>
      <c r="AZ165" s="2" t="s">
        <v>39</v>
      </c>
      <c r="BA165" s="14">
        <v>1200000</v>
      </c>
      <c r="BB165" s="14">
        <f>SUM(Table_ship_components[[#This Row],[PRICE]]+(Table_ship_components[[#This Row],[COST_PER_ADD_PERSON]]*Table_ship_components[[#This Row],[OPTIONAL]]))</f>
        <v>1200000</v>
      </c>
      <c r="BC165" s="2">
        <v>0</v>
      </c>
      <c r="BD165" s="2">
        <v>0</v>
      </c>
    </row>
    <row r="166" spans="1:56" x14ac:dyDescent="0.35">
      <c r="A166" t="s">
        <v>377</v>
      </c>
      <c r="B166" t="s">
        <v>284</v>
      </c>
      <c r="C166" s="2">
        <v>0</v>
      </c>
      <c r="D166" s="2">
        <v>14</v>
      </c>
      <c r="E166" s="2">
        <f>SUM(Table_ship_components[[#This Row],[UNIT_SIZE]]+(Table_ship_components[[#This Row],[SIZE_PER_ADD_PERSON]]*Table_ship_components[[#This Row],[OPTIONAL]]))</f>
        <v>14</v>
      </c>
      <c r="F166" s="2">
        <v>14</v>
      </c>
      <c r="G166" s="2">
        <f>SUM(Table_ship_components[[#This Row],[POWER_CONSUMPTION]]+(Table_ship_components[[#This Row],[POWER_PER_ADD_PERSON]]*Table_ship_components[[#This Row],[OPTIONAL]]))</f>
        <v>14</v>
      </c>
      <c r="H166" s="2">
        <v>0</v>
      </c>
      <c r="I166" s="2">
        <v>0</v>
      </c>
      <c r="J166" s="2">
        <v>0</v>
      </c>
      <c r="K166" s="2">
        <v>45</v>
      </c>
      <c r="L166" s="2">
        <v>7</v>
      </c>
      <c r="M166" s="2">
        <v>0</v>
      </c>
      <c r="N166" s="2">
        <v>0</v>
      </c>
      <c r="O166" s="2">
        <v>1</v>
      </c>
      <c r="P166" s="2">
        <v>0</v>
      </c>
      <c r="Q166" s="2">
        <v>0</v>
      </c>
      <c r="R166" s="2">
        <v>0</v>
      </c>
      <c r="S166" s="2">
        <v>0</v>
      </c>
      <c r="T166" s="2">
        <v>0</v>
      </c>
      <c r="U166" s="2">
        <v>0</v>
      </c>
      <c r="V166" s="2">
        <v>0</v>
      </c>
      <c r="W166" s="14">
        <v>0</v>
      </c>
      <c r="X166" s="2">
        <v>0</v>
      </c>
      <c r="Y166" s="2">
        <v>0</v>
      </c>
      <c r="Z166" s="2">
        <v>0</v>
      </c>
      <c r="AA166" s="2">
        <v>0</v>
      </c>
      <c r="AB166" s="2">
        <v>0</v>
      </c>
      <c r="AC166" s="2">
        <v>0</v>
      </c>
      <c r="AD166" s="2">
        <v>0</v>
      </c>
      <c r="AE166" s="2">
        <v>0</v>
      </c>
      <c r="AF166" s="2">
        <v>0</v>
      </c>
      <c r="AG166" s="2">
        <v>0</v>
      </c>
      <c r="AH166" s="2">
        <v>0</v>
      </c>
      <c r="AI166" s="2">
        <v>0</v>
      </c>
      <c r="AJ166" s="2">
        <v>0</v>
      </c>
      <c r="AK166" s="2">
        <v>0</v>
      </c>
      <c r="AL166" s="2">
        <v>0</v>
      </c>
      <c r="AM166" s="2">
        <v>0</v>
      </c>
      <c r="AN166" s="2">
        <v>0</v>
      </c>
      <c r="AO166" s="2">
        <v>0</v>
      </c>
      <c r="AP166" s="2">
        <v>0</v>
      </c>
      <c r="AQ166" s="2">
        <v>0</v>
      </c>
      <c r="AR166" s="2">
        <v>0</v>
      </c>
      <c r="AS166" s="2">
        <v>0</v>
      </c>
      <c r="AT166" s="2">
        <v>0</v>
      </c>
      <c r="AU166" s="2">
        <v>0</v>
      </c>
      <c r="AV166" s="2">
        <v>0</v>
      </c>
      <c r="AW166" s="2">
        <v>0</v>
      </c>
      <c r="AX166" s="2">
        <v>0</v>
      </c>
      <c r="AY166" s="2">
        <v>0</v>
      </c>
      <c r="AZ166" s="2" t="s">
        <v>39</v>
      </c>
      <c r="BA166" s="14">
        <v>1600000</v>
      </c>
      <c r="BB166" s="14">
        <f>SUM(Table_ship_components[[#This Row],[PRICE]]+(Table_ship_components[[#This Row],[COST_PER_ADD_PERSON]]*Table_ship_components[[#This Row],[OPTIONAL]]))</f>
        <v>1600000</v>
      </c>
      <c r="BC166" s="2">
        <v>0</v>
      </c>
      <c r="BD166" s="2">
        <v>0</v>
      </c>
    </row>
    <row r="167" spans="1:56" x14ac:dyDescent="0.35">
      <c r="A167" t="s">
        <v>561</v>
      </c>
      <c r="B167" t="s">
        <v>564</v>
      </c>
      <c r="C167" s="2">
        <v>0</v>
      </c>
      <c r="D167" s="2">
        <v>3</v>
      </c>
      <c r="E167" s="2">
        <f>SUM(Table_ship_components[[#This Row],[UNIT_SIZE]]+(Table_ship_components[[#This Row],[SIZE_PER_ADD_PERSON]]*Table_ship_components[[#This Row],[OPTIONAL]]))</f>
        <v>3</v>
      </c>
      <c r="F167" s="2">
        <v>0</v>
      </c>
      <c r="G167" s="2">
        <f>SUM(Table_ship_components[[#This Row],[POWER_CONSUMPTION]]+(Table_ship_components[[#This Row],[POWER_PER_ADD_PERSON]]*Table_ship_components[[#This Row],[OPTIONAL]]))</f>
        <v>0</v>
      </c>
      <c r="H167" s="2">
        <v>0</v>
      </c>
      <c r="I167" s="2">
        <v>0</v>
      </c>
      <c r="J167" s="2">
        <v>0</v>
      </c>
      <c r="K167" s="2">
        <v>0</v>
      </c>
      <c r="L167" s="2">
        <v>0</v>
      </c>
      <c r="M167" s="2">
        <v>1</v>
      </c>
      <c r="N167" s="2">
        <v>0</v>
      </c>
      <c r="O167" s="2">
        <v>0</v>
      </c>
      <c r="P167" s="2">
        <v>0</v>
      </c>
      <c r="Q167" s="2">
        <v>0</v>
      </c>
      <c r="R167" s="2">
        <v>0</v>
      </c>
      <c r="S167" s="2">
        <v>0</v>
      </c>
      <c r="T167" s="2">
        <v>0</v>
      </c>
      <c r="U167" s="2">
        <v>0</v>
      </c>
      <c r="V167" s="2">
        <v>0</v>
      </c>
      <c r="W167" s="14">
        <v>0</v>
      </c>
      <c r="X167" s="2">
        <v>0</v>
      </c>
      <c r="Y167" s="2">
        <v>0</v>
      </c>
      <c r="Z167" s="2">
        <v>0</v>
      </c>
      <c r="AA167" s="2">
        <v>0</v>
      </c>
      <c r="AB167" s="2">
        <v>0</v>
      </c>
      <c r="AC167" s="2">
        <v>0</v>
      </c>
      <c r="AD167" s="2">
        <v>0</v>
      </c>
      <c r="AE167" s="2">
        <v>0</v>
      </c>
      <c r="AF167" s="2">
        <v>0</v>
      </c>
      <c r="AG167" s="2">
        <v>0</v>
      </c>
      <c r="AH167" s="2">
        <v>0</v>
      </c>
      <c r="AI167" s="2">
        <v>0</v>
      </c>
      <c r="AJ167" s="2">
        <v>0</v>
      </c>
      <c r="AK167" s="2">
        <v>0</v>
      </c>
      <c r="AL167" s="2">
        <v>0</v>
      </c>
      <c r="AM167" s="2">
        <v>1</v>
      </c>
      <c r="AN167" s="2">
        <v>0</v>
      </c>
      <c r="AO167" s="2">
        <v>0</v>
      </c>
      <c r="AP167" s="2">
        <v>0</v>
      </c>
      <c r="AQ167" s="2">
        <v>0</v>
      </c>
      <c r="AR167" s="2">
        <v>0</v>
      </c>
      <c r="AS167" s="2">
        <v>0</v>
      </c>
      <c r="AT167" s="2">
        <v>0</v>
      </c>
      <c r="AU167" s="2">
        <v>0</v>
      </c>
      <c r="AV167" s="2">
        <v>0</v>
      </c>
      <c r="AW167" s="2">
        <v>0</v>
      </c>
      <c r="AX167" s="2">
        <v>0</v>
      </c>
      <c r="AY167" s="2">
        <v>0</v>
      </c>
      <c r="AZ167" s="2">
        <v>0</v>
      </c>
      <c r="BA167" s="14">
        <v>100000</v>
      </c>
      <c r="BB167" s="14">
        <f>SUM(Table_ship_components[[#This Row],[PRICE]]+(Table_ship_components[[#This Row],[COST_PER_ADD_PERSON]]*Table_ship_components[[#This Row],[OPTIONAL]]))</f>
        <v>100000</v>
      </c>
      <c r="BC167" s="2">
        <v>0</v>
      </c>
      <c r="BD167" s="2">
        <v>0</v>
      </c>
    </row>
    <row r="168" spans="1:56" x14ac:dyDescent="0.35">
      <c r="A168" t="s">
        <v>562</v>
      </c>
      <c r="B168" t="s">
        <v>565</v>
      </c>
      <c r="C168" s="2">
        <v>0</v>
      </c>
      <c r="D168" s="2">
        <v>5</v>
      </c>
      <c r="E168" s="2">
        <f>SUM(Table_ship_components[[#This Row],[UNIT_SIZE]]+(Table_ship_components[[#This Row],[SIZE_PER_ADD_PERSON]]*Table_ship_components[[#This Row],[OPTIONAL]]))</f>
        <v>5</v>
      </c>
      <c r="F168" s="2">
        <v>0</v>
      </c>
      <c r="G168" s="2">
        <f>SUM(Table_ship_components[[#This Row],[POWER_CONSUMPTION]]+(Table_ship_components[[#This Row],[POWER_PER_ADD_PERSON]]*Table_ship_components[[#This Row],[OPTIONAL]]))</f>
        <v>0</v>
      </c>
      <c r="H168" s="2">
        <v>0</v>
      </c>
      <c r="I168" s="2">
        <v>0</v>
      </c>
      <c r="J168" s="2">
        <v>0</v>
      </c>
      <c r="K168" s="2">
        <v>0</v>
      </c>
      <c r="L168" s="2">
        <v>0</v>
      </c>
      <c r="M168" s="2">
        <v>1</v>
      </c>
      <c r="N168" s="2">
        <v>0</v>
      </c>
      <c r="O168" s="2">
        <v>0</v>
      </c>
      <c r="P168" s="2">
        <v>0</v>
      </c>
      <c r="Q168" s="2">
        <v>0</v>
      </c>
      <c r="R168" s="2">
        <v>0</v>
      </c>
      <c r="S168" s="2">
        <v>0</v>
      </c>
      <c r="T168" s="2">
        <v>0</v>
      </c>
      <c r="U168" s="2">
        <v>0</v>
      </c>
      <c r="V168" s="2">
        <v>0</v>
      </c>
      <c r="W168" s="14">
        <v>0</v>
      </c>
      <c r="X168" s="2">
        <v>0</v>
      </c>
      <c r="Y168" s="2">
        <v>0</v>
      </c>
      <c r="Z168" s="2">
        <v>0</v>
      </c>
      <c r="AA168" s="2">
        <v>0</v>
      </c>
      <c r="AB168" s="2">
        <v>0</v>
      </c>
      <c r="AC168" s="2">
        <v>0</v>
      </c>
      <c r="AD168" s="2">
        <v>0</v>
      </c>
      <c r="AE168" s="2">
        <v>0</v>
      </c>
      <c r="AF168" s="2">
        <v>0</v>
      </c>
      <c r="AG168" s="2">
        <v>0</v>
      </c>
      <c r="AH168" s="2">
        <v>0</v>
      </c>
      <c r="AI168" s="2">
        <v>0</v>
      </c>
      <c r="AJ168" s="2">
        <v>0</v>
      </c>
      <c r="AK168" s="2">
        <v>0</v>
      </c>
      <c r="AL168" s="2">
        <v>0</v>
      </c>
      <c r="AM168" s="2">
        <v>2</v>
      </c>
      <c r="AN168" s="2">
        <v>0</v>
      </c>
      <c r="AO168" s="2">
        <v>0</v>
      </c>
      <c r="AP168" s="2">
        <v>0</v>
      </c>
      <c r="AQ168" s="2">
        <v>0</v>
      </c>
      <c r="AR168" s="2">
        <v>0</v>
      </c>
      <c r="AS168" s="2">
        <v>0</v>
      </c>
      <c r="AT168" s="2">
        <v>0</v>
      </c>
      <c r="AU168" s="2">
        <v>0</v>
      </c>
      <c r="AV168" s="2">
        <v>0</v>
      </c>
      <c r="AW168" s="2">
        <v>0</v>
      </c>
      <c r="AX168" s="2">
        <v>0</v>
      </c>
      <c r="AY168" s="2">
        <v>0</v>
      </c>
      <c r="AZ168" s="2" t="s">
        <v>39</v>
      </c>
      <c r="BA168" s="14">
        <v>200000</v>
      </c>
      <c r="BB168" s="14">
        <f>SUM(Table_ship_components[[#This Row],[PRICE]]+(Table_ship_components[[#This Row],[COST_PER_ADD_PERSON]]*Table_ship_components[[#This Row],[OPTIONAL]]))</f>
        <v>200000</v>
      </c>
      <c r="BC168" s="2">
        <v>0</v>
      </c>
      <c r="BD168" s="2">
        <v>0</v>
      </c>
    </row>
    <row r="169" spans="1:56" x14ac:dyDescent="0.35">
      <c r="A169" t="s">
        <v>563</v>
      </c>
      <c r="B169" t="s">
        <v>566</v>
      </c>
      <c r="C169" s="2">
        <v>0</v>
      </c>
      <c r="D169" s="2">
        <v>7</v>
      </c>
      <c r="E169" s="2">
        <f>SUM(Table_ship_components[[#This Row],[UNIT_SIZE]]+(Table_ship_components[[#This Row],[SIZE_PER_ADD_PERSON]]*Table_ship_components[[#This Row],[OPTIONAL]]))</f>
        <v>7</v>
      </c>
      <c r="F169" s="2">
        <v>0</v>
      </c>
      <c r="G169" s="2">
        <f>SUM(Table_ship_components[[#This Row],[POWER_CONSUMPTION]]+(Table_ship_components[[#This Row],[POWER_PER_ADD_PERSON]]*Table_ship_components[[#This Row],[OPTIONAL]]))</f>
        <v>0</v>
      </c>
      <c r="H169" s="2">
        <v>0</v>
      </c>
      <c r="I169" s="2">
        <v>0</v>
      </c>
      <c r="J169" s="2">
        <v>0</v>
      </c>
      <c r="K169" s="2">
        <v>0</v>
      </c>
      <c r="L169" s="2">
        <v>0</v>
      </c>
      <c r="M169" s="2">
        <v>1</v>
      </c>
      <c r="N169" s="2">
        <v>0</v>
      </c>
      <c r="O169" s="2">
        <v>0</v>
      </c>
      <c r="P169" s="2">
        <v>0</v>
      </c>
      <c r="Q169" s="2">
        <v>0</v>
      </c>
      <c r="R169" s="2">
        <v>0</v>
      </c>
      <c r="S169" s="2">
        <v>0</v>
      </c>
      <c r="T169" s="2">
        <v>0</v>
      </c>
      <c r="U169" s="2">
        <v>0</v>
      </c>
      <c r="V169" s="2">
        <v>0</v>
      </c>
      <c r="W169" s="14">
        <v>0</v>
      </c>
      <c r="X169" s="2">
        <v>0</v>
      </c>
      <c r="Y169" s="2">
        <v>0</v>
      </c>
      <c r="Z169" s="2">
        <v>0</v>
      </c>
      <c r="AA169" s="2">
        <v>0</v>
      </c>
      <c r="AB169" s="2">
        <v>0</v>
      </c>
      <c r="AC169" s="2">
        <v>0</v>
      </c>
      <c r="AD169" s="2">
        <v>0</v>
      </c>
      <c r="AE169" s="2">
        <v>0</v>
      </c>
      <c r="AF169" s="2">
        <v>0</v>
      </c>
      <c r="AG169" s="2">
        <v>0</v>
      </c>
      <c r="AH169" s="2">
        <v>0</v>
      </c>
      <c r="AI169" s="2">
        <v>0</v>
      </c>
      <c r="AJ169" s="2">
        <v>0</v>
      </c>
      <c r="AK169" s="2">
        <v>0</v>
      </c>
      <c r="AL169" s="2">
        <v>0</v>
      </c>
      <c r="AM169" s="2">
        <v>3</v>
      </c>
      <c r="AN169" s="2">
        <v>0</v>
      </c>
      <c r="AO169" s="2">
        <v>0</v>
      </c>
      <c r="AP169" s="2">
        <v>0</v>
      </c>
      <c r="AQ169" s="2">
        <v>0</v>
      </c>
      <c r="AR169" s="2">
        <v>0</v>
      </c>
      <c r="AS169" s="2">
        <v>0</v>
      </c>
      <c r="AT169" s="2">
        <v>0</v>
      </c>
      <c r="AU169" s="2">
        <v>0</v>
      </c>
      <c r="AV169" s="2">
        <v>0</v>
      </c>
      <c r="AW169" s="2">
        <v>0</v>
      </c>
      <c r="AX169" s="2">
        <v>0</v>
      </c>
      <c r="AY169" s="2">
        <v>0</v>
      </c>
      <c r="AZ169" s="2">
        <v>0</v>
      </c>
      <c r="BA169" s="14">
        <v>300000</v>
      </c>
      <c r="BB169" s="14">
        <f>SUM(Table_ship_components[[#This Row],[PRICE]]+(Table_ship_components[[#This Row],[COST_PER_ADD_PERSON]]*Table_ship_components[[#This Row],[OPTIONAL]]))</f>
        <v>300000</v>
      </c>
      <c r="BC169" s="2">
        <v>0</v>
      </c>
      <c r="BD169" s="2">
        <v>0</v>
      </c>
    </row>
    <row r="170" spans="1:56" x14ac:dyDescent="0.35">
      <c r="A170" t="s">
        <v>432</v>
      </c>
      <c r="B170" t="s">
        <v>435</v>
      </c>
      <c r="C170" s="2">
        <v>0</v>
      </c>
      <c r="D170" s="2">
        <v>4</v>
      </c>
      <c r="E170" s="2">
        <f>SUM(Table_ship_components[[#This Row],[UNIT_SIZE]]+(Table_ship_components[[#This Row],[SIZE_PER_ADD_PERSON]]*Table_ship_components[[#This Row],[OPTIONAL]]))</f>
        <v>4</v>
      </c>
      <c r="F170" s="2">
        <v>0</v>
      </c>
      <c r="G170" s="2">
        <f>SUM(Table_ship_components[[#This Row],[POWER_CONSUMPTION]]+(Table_ship_components[[#This Row],[POWER_PER_ADD_PERSON]]*Table_ship_components[[#This Row],[OPTIONAL]]))</f>
        <v>0</v>
      </c>
      <c r="H170" s="2">
        <v>0</v>
      </c>
      <c r="I170" s="2">
        <v>0</v>
      </c>
      <c r="J170" s="2">
        <v>0</v>
      </c>
      <c r="K170" s="2">
        <v>0</v>
      </c>
      <c r="L170" s="2">
        <v>0</v>
      </c>
      <c r="M170" s="2">
        <v>0</v>
      </c>
      <c r="N170" s="2">
        <v>1</v>
      </c>
      <c r="O170" s="2">
        <v>0</v>
      </c>
      <c r="P170" s="2">
        <v>0</v>
      </c>
      <c r="Q170" s="2">
        <v>0</v>
      </c>
      <c r="R170" s="2">
        <v>0</v>
      </c>
      <c r="S170" s="2">
        <v>0</v>
      </c>
      <c r="T170" s="2">
        <v>0</v>
      </c>
      <c r="U170" s="2">
        <v>0</v>
      </c>
      <c r="V170" s="2">
        <v>0</v>
      </c>
      <c r="W170" s="14">
        <v>0</v>
      </c>
      <c r="X170" s="2">
        <v>0</v>
      </c>
      <c r="Y170" s="2">
        <v>0</v>
      </c>
      <c r="Z170" s="2">
        <v>0</v>
      </c>
      <c r="AA170" s="2">
        <v>0</v>
      </c>
      <c r="AB170" s="2">
        <v>0</v>
      </c>
      <c r="AC170" s="2">
        <v>0</v>
      </c>
      <c r="AD170" s="2">
        <v>0</v>
      </c>
      <c r="AE170" s="2">
        <v>0</v>
      </c>
      <c r="AF170" s="2">
        <v>0</v>
      </c>
      <c r="AG170" s="2">
        <v>0</v>
      </c>
      <c r="AH170" s="2">
        <v>0</v>
      </c>
      <c r="AI170" s="2">
        <v>0</v>
      </c>
      <c r="AJ170" s="2">
        <v>0</v>
      </c>
      <c r="AK170" s="2">
        <v>0</v>
      </c>
      <c r="AL170" s="2">
        <v>0</v>
      </c>
      <c r="AM170" s="2">
        <v>1</v>
      </c>
      <c r="AN170" s="2">
        <v>0</v>
      </c>
      <c r="AO170" s="2">
        <v>0</v>
      </c>
      <c r="AP170" s="2">
        <v>0</v>
      </c>
      <c r="AQ170" s="2">
        <v>0</v>
      </c>
      <c r="AR170" s="2">
        <v>0</v>
      </c>
      <c r="AS170" s="2">
        <v>0</v>
      </c>
      <c r="AT170" s="2">
        <v>0</v>
      </c>
      <c r="AU170" s="2">
        <v>0</v>
      </c>
      <c r="AV170" s="2">
        <v>0</v>
      </c>
      <c r="AW170" s="2">
        <v>0</v>
      </c>
      <c r="AX170" s="2">
        <v>0</v>
      </c>
      <c r="AY170" s="2">
        <v>0</v>
      </c>
      <c r="AZ170" s="2">
        <v>0</v>
      </c>
      <c r="BA170" s="14">
        <v>150000</v>
      </c>
      <c r="BB170" s="14">
        <f>SUM(Table_ship_components[[#This Row],[PRICE]]+(Table_ship_components[[#This Row],[COST_PER_ADD_PERSON]]*Table_ship_components[[#This Row],[OPTIONAL]]))</f>
        <v>150000</v>
      </c>
      <c r="BC170" s="2">
        <v>0</v>
      </c>
      <c r="BD170" s="2">
        <v>0</v>
      </c>
    </row>
    <row r="171" spans="1:56" x14ac:dyDescent="0.35">
      <c r="A171" t="s">
        <v>341</v>
      </c>
      <c r="B171" t="s">
        <v>434</v>
      </c>
      <c r="C171" s="2">
        <v>0</v>
      </c>
      <c r="D171" s="2">
        <v>6</v>
      </c>
      <c r="E171" s="2">
        <f>SUM(Table_ship_components[[#This Row],[UNIT_SIZE]]+(Table_ship_components[[#This Row],[SIZE_PER_ADD_PERSON]]*Table_ship_components[[#This Row],[OPTIONAL]]))</f>
        <v>6</v>
      </c>
      <c r="F171" s="2">
        <v>0</v>
      </c>
      <c r="G171" s="2">
        <f>SUM(Table_ship_components[[#This Row],[POWER_CONSUMPTION]]+(Table_ship_components[[#This Row],[POWER_PER_ADD_PERSON]]*Table_ship_components[[#This Row],[OPTIONAL]]))</f>
        <v>0</v>
      </c>
      <c r="H171" s="2">
        <v>0</v>
      </c>
      <c r="I171" s="2">
        <v>0</v>
      </c>
      <c r="J171" s="2">
        <v>0</v>
      </c>
      <c r="K171" s="2">
        <v>0</v>
      </c>
      <c r="L171" s="2">
        <v>0</v>
      </c>
      <c r="M171" s="2">
        <v>0</v>
      </c>
      <c r="N171" s="2">
        <v>1</v>
      </c>
      <c r="O171" s="2">
        <v>0</v>
      </c>
      <c r="P171" s="2">
        <v>0</v>
      </c>
      <c r="Q171" s="2">
        <v>0</v>
      </c>
      <c r="R171" s="2">
        <v>0</v>
      </c>
      <c r="S171" s="2">
        <v>0</v>
      </c>
      <c r="T171" s="2">
        <v>0</v>
      </c>
      <c r="U171" s="2">
        <v>0</v>
      </c>
      <c r="V171" s="2">
        <v>0</v>
      </c>
      <c r="W171" s="14">
        <v>0</v>
      </c>
      <c r="X171" s="2">
        <v>0</v>
      </c>
      <c r="Y171" s="2">
        <v>0</v>
      </c>
      <c r="Z171" s="2">
        <v>0</v>
      </c>
      <c r="AA171" s="2">
        <v>0</v>
      </c>
      <c r="AB171" s="2">
        <v>0</v>
      </c>
      <c r="AC171" s="2">
        <v>0</v>
      </c>
      <c r="AD171" s="2">
        <v>0</v>
      </c>
      <c r="AE171" s="2">
        <v>0</v>
      </c>
      <c r="AF171" s="2">
        <v>0</v>
      </c>
      <c r="AG171" s="2">
        <v>0</v>
      </c>
      <c r="AH171" s="2">
        <v>0</v>
      </c>
      <c r="AI171" s="2">
        <v>0</v>
      </c>
      <c r="AJ171" s="2">
        <v>0</v>
      </c>
      <c r="AK171" s="2">
        <v>0</v>
      </c>
      <c r="AL171" s="2">
        <v>0</v>
      </c>
      <c r="AM171" s="2">
        <v>2</v>
      </c>
      <c r="AN171" s="2">
        <v>0</v>
      </c>
      <c r="AO171" s="2">
        <v>0</v>
      </c>
      <c r="AP171" s="2">
        <v>0</v>
      </c>
      <c r="AQ171" s="2">
        <v>0</v>
      </c>
      <c r="AR171" s="2">
        <v>0</v>
      </c>
      <c r="AS171" s="2">
        <v>0</v>
      </c>
      <c r="AT171" s="2">
        <v>0</v>
      </c>
      <c r="AU171" s="2">
        <v>0</v>
      </c>
      <c r="AV171" s="2">
        <v>0</v>
      </c>
      <c r="AW171" s="2">
        <v>0</v>
      </c>
      <c r="AX171" s="2">
        <v>0</v>
      </c>
      <c r="AY171" s="2">
        <v>0</v>
      </c>
      <c r="AZ171" s="2" t="s">
        <v>39</v>
      </c>
      <c r="BA171" s="14">
        <v>250000</v>
      </c>
      <c r="BB171" s="14">
        <f>SUM(Table_ship_components[[#This Row],[PRICE]]+(Table_ship_components[[#This Row],[COST_PER_ADD_PERSON]]*Table_ship_components[[#This Row],[OPTIONAL]]))</f>
        <v>250000</v>
      </c>
      <c r="BC171" s="2">
        <v>0</v>
      </c>
      <c r="BD171" s="2">
        <v>0</v>
      </c>
    </row>
    <row r="172" spans="1:56" x14ac:dyDescent="0.35">
      <c r="A172" t="s">
        <v>433</v>
      </c>
      <c r="B172" t="s">
        <v>436</v>
      </c>
      <c r="C172" s="2">
        <v>0</v>
      </c>
      <c r="D172" s="2">
        <v>8</v>
      </c>
      <c r="E172" s="2">
        <f>SUM(Table_ship_components[[#This Row],[UNIT_SIZE]]+(Table_ship_components[[#This Row],[SIZE_PER_ADD_PERSON]]*Table_ship_components[[#This Row],[OPTIONAL]]))</f>
        <v>8</v>
      </c>
      <c r="F172" s="2">
        <v>0</v>
      </c>
      <c r="G172" s="2">
        <f>SUM(Table_ship_components[[#This Row],[POWER_CONSUMPTION]]+(Table_ship_components[[#This Row],[POWER_PER_ADD_PERSON]]*Table_ship_components[[#This Row],[OPTIONAL]]))</f>
        <v>0</v>
      </c>
      <c r="H172" s="2">
        <v>0</v>
      </c>
      <c r="I172" s="2">
        <v>0</v>
      </c>
      <c r="J172" s="2">
        <v>0</v>
      </c>
      <c r="K172" s="2">
        <v>0</v>
      </c>
      <c r="L172" s="2">
        <v>0</v>
      </c>
      <c r="M172" s="2">
        <v>0</v>
      </c>
      <c r="N172" s="2">
        <v>1</v>
      </c>
      <c r="O172" s="2">
        <v>0</v>
      </c>
      <c r="P172" s="2">
        <v>0</v>
      </c>
      <c r="Q172" s="2">
        <v>0</v>
      </c>
      <c r="R172" s="2">
        <v>0</v>
      </c>
      <c r="S172" s="2">
        <v>0</v>
      </c>
      <c r="T172" s="2">
        <v>0</v>
      </c>
      <c r="U172" s="2">
        <v>0</v>
      </c>
      <c r="V172" s="2">
        <v>0</v>
      </c>
      <c r="W172" s="14">
        <v>0</v>
      </c>
      <c r="X172" s="2">
        <v>0</v>
      </c>
      <c r="Y172" s="2">
        <v>0</v>
      </c>
      <c r="Z172" s="2">
        <v>0</v>
      </c>
      <c r="AA172" s="2">
        <v>0</v>
      </c>
      <c r="AB172" s="2">
        <v>0</v>
      </c>
      <c r="AC172" s="2">
        <v>0</v>
      </c>
      <c r="AD172" s="2">
        <v>0</v>
      </c>
      <c r="AE172" s="2">
        <v>0</v>
      </c>
      <c r="AF172" s="2">
        <v>0</v>
      </c>
      <c r="AG172" s="2">
        <v>0</v>
      </c>
      <c r="AH172" s="2">
        <v>0</v>
      </c>
      <c r="AI172" s="2">
        <v>0</v>
      </c>
      <c r="AJ172" s="2">
        <v>0</v>
      </c>
      <c r="AK172" s="2">
        <v>0</v>
      </c>
      <c r="AL172" s="2">
        <v>0</v>
      </c>
      <c r="AM172" s="2">
        <v>3</v>
      </c>
      <c r="AN172" s="2">
        <v>0</v>
      </c>
      <c r="AO172" s="2">
        <v>0</v>
      </c>
      <c r="AP172" s="2">
        <v>0</v>
      </c>
      <c r="AQ172" s="2">
        <v>0</v>
      </c>
      <c r="AR172" s="2">
        <v>0</v>
      </c>
      <c r="AS172" s="2">
        <v>0</v>
      </c>
      <c r="AT172" s="2">
        <v>0</v>
      </c>
      <c r="AU172" s="2">
        <v>0</v>
      </c>
      <c r="AV172" s="2">
        <v>0</v>
      </c>
      <c r="AW172" s="2">
        <v>0</v>
      </c>
      <c r="AX172" s="2">
        <v>0</v>
      </c>
      <c r="AY172" s="2">
        <v>0</v>
      </c>
      <c r="AZ172" s="2">
        <v>0</v>
      </c>
      <c r="BA172" s="14">
        <v>350000</v>
      </c>
      <c r="BB172" s="14">
        <f>SUM(Table_ship_components[[#This Row],[PRICE]]+(Table_ship_components[[#This Row],[COST_PER_ADD_PERSON]]*Table_ship_components[[#This Row],[OPTIONAL]]))</f>
        <v>350000</v>
      </c>
      <c r="BC172" s="2">
        <v>0</v>
      </c>
      <c r="BD172" s="2">
        <v>0</v>
      </c>
    </row>
    <row r="173" spans="1:56" x14ac:dyDescent="0.35">
      <c r="A173" t="s">
        <v>378</v>
      </c>
      <c r="B173" t="s">
        <v>247</v>
      </c>
      <c r="C173" s="2">
        <v>0</v>
      </c>
      <c r="D173" s="2">
        <v>5</v>
      </c>
      <c r="E173" s="2">
        <f>SUM(Table_ship_components[[#This Row],[UNIT_SIZE]]+(Table_ship_components[[#This Row],[SIZE_PER_ADD_PERSON]]*Table_ship_components[[#This Row],[OPTIONAL]]))</f>
        <v>5</v>
      </c>
      <c r="F173" s="2">
        <v>0</v>
      </c>
      <c r="G173" s="2">
        <f>SUM(Table_ship_components[[#This Row],[POWER_CONSUMPTION]]+(Table_ship_components[[#This Row],[POWER_PER_ADD_PERSON]]*Table_ship_components[[#This Row],[OPTIONAL]]))</f>
        <v>0</v>
      </c>
      <c r="H173" s="2">
        <v>0</v>
      </c>
      <c r="I173" s="2">
        <v>0</v>
      </c>
      <c r="J173" s="2">
        <v>0</v>
      </c>
      <c r="K173" s="2">
        <v>0</v>
      </c>
      <c r="L173" s="2">
        <v>0</v>
      </c>
      <c r="M173" s="2">
        <v>0</v>
      </c>
      <c r="N173" s="2">
        <v>0</v>
      </c>
      <c r="O173" s="2">
        <v>1</v>
      </c>
      <c r="P173" s="2">
        <v>0</v>
      </c>
      <c r="Q173" s="2">
        <v>0</v>
      </c>
      <c r="R173" s="2">
        <v>0</v>
      </c>
      <c r="S173" s="2">
        <v>0</v>
      </c>
      <c r="T173" s="2">
        <v>0</v>
      </c>
      <c r="U173" s="2">
        <v>0</v>
      </c>
      <c r="V173" s="2">
        <v>0</v>
      </c>
      <c r="W173" s="14">
        <v>0</v>
      </c>
      <c r="X173" s="2">
        <v>0</v>
      </c>
      <c r="Y173" s="2">
        <v>0</v>
      </c>
      <c r="Z173" s="2">
        <v>0</v>
      </c>
      <c r="AA173" s="2">
        <v>0</v>
      </c>
      <c r="AB173" s="2">
        <v>0</v>
      </c>
      <c r="AC173" s="2">
        <v>0</v>
      </c>
      <c r="AD173" s="2">
        <v>0</v>
      </c>
      <c r="AE173" s="2">
        <v>0</v>
      </c>
      <c r="AF173" s="2">
        <v>0</v>
      </c>
      <c r="AG173" s="2">
        <v>0</v>
      </c>
      <c r="AH173" s="2">
        <v>0</v>
      </c>
      <c r="AI173" s="2">
        <v>0</v>
      </c>
      <c r="AJ173" s="2">
        <v>0</v>
      </c>
      <c r="AK173" s="2">
        <v>0</v>
      </c>
      <c r="AL173" s="2">
        <v>0</v>
      </c>
      <c r="AM173" s="2">
        <v>1</v>
      </c>
      <c r="AN173" s="2">
        <v>0</v>
      </c>
      <c r="AO173" s="2">
        <v>0</v>
      </c>
      <c r="AP173" s="2">
        <v>0</v>
      </c>
      <c r="AQ173" s="2">
        <v>0</v>
      </c>
      <c r="AR173" s="2">
        <v>0</v>
      </c>
      <c r="AS173" s="2">
        <v>0</v>
      </c>
      <c r="AT173" s="2">
        <v>0</v>
      </c>
      <c r="AU173" s="2">
        <v>0</v>
      </c>
      <c r="AV173" s="2">
        <v>0</v>
      </c>
      <c r="AW173" s="2">
        <v>0</v>
      </c>
      <c r="AX173" s="2">
        <v>0</v>
      </c>
      <c r="AY173" s="2">
        <v>0</v>
      </c>
      <c r="AZ173" s="2" t="s">
        <v>39</v>
      </c>
      <c r="BA173" s="14">
        <v>500000</v>
      </c>
      <c r="BB173" s="14">
        <f>SUM(Table_ship_components[[#This Row],[PRICE]]+(Table_ship_components[[#This Row],[COST_PER_ADD_PERSON]]*Table_ship_components[[#This Row],[OPTIONAL]]))</f>
        <v>500000</v>
      </c>
      <c r="BC173" s="2">
        <v>0</v>
      </c>
      <c r="BD173" s="2">
        <v>0</v>
      </c>
    </row>
    <row r="174" spans="1:56" x14ac:dyDescent="0.35">
      <c r="A174" t="s">
        <v>379</v>
      </c>
      <c r="B174" t="s">
        <v>248</v>
      </c>
      <c r="C174" s="2">
        <v>0</v>
      </c>
      <c r="D174" s="2">
        <v>9</v>
      </c>
      <c r="E174" s="2">
        <f>SUM(Table_ship_components[[#This Row],[UNIT_SIZE]]+(Table_ship_components[[#This Row],[SIZE_PER_ADD_PERSON]]*Table_ship_components[[#This Row],[OPTIONAL]]))</f>
        <v>9</v>
      </c>
      <c r="F174" s="2">
        <v>0</v>
      </c>
      <c r="G174" s="2">
        <f>SUM(Table_ship_components[[#This Row],[POWER_CONSUMPTION]]+(Table_ship_components[[#This Row],[POWER_PER_ADD_PERSON]]*Table_ship_components[[#This Row],[OPTIONAL]]))</f>
        <v>0</v>
      </c>
      <c r="H174" s="2">
        <v>0</v>
      </c>
      <c r="I174" s="2">
        <v>0</v>
      </c>
      <c r="J174" s="2">
        <v>0</v>
      </c>
      <c r="K174" s="2">
        <v>0</v>
      </c>
      <c r="L174" s="2">
        <v>0</v>
      </c>
      <c r="M174" s="2">
        <v>0</v>
      </c>
      <c r="N174" s="2">
        <v>0</v>
      </c>
      <c r="O174" s="2">
        <v>1</v>
      </c>
      <c r="P174" s="2">
        <v>0</v>
      </c>
      <c r="Q174" s="2">
        <v>0</v>
      </c>
      <c r="R174" s="2">
        <v>0</v>
      </c>
      <c r="S174" s="2">
        <v>0</v>
      </c>
      <c r="T174" s="2">
        <v>0</v>
      </c>
      <c r="U174" s="2">
        <v>0</v>
      </c>
      <c r="V174" s="2">
        <v>0</v>
      </c>
      <c r="W174" s="14">
        <v>0</v>
      </c>
      <c r="X174" s="2">
        <v>0</v>
      </c>
      <c r="Y174" s="2">
        <v>0</v>
      </c>
      <c r="Z174" s="2">
        <v>0</v>
      </c>
      <c r="AA174" s="2">
        <v>0</v>
      </c>
      <c r="AB174" s="2">
        <v>0</v>
      </c>
      <c r="AC174" s="2">
        <v>0</v>
      </c>
      <c r="AD174" s="2">
        <v>0</v>
      </c>
      <c r="AE174" s="2">
        <v>0</v>
      </c>
      <c r="AF174" s="2">
        <v>0</v>
      </c>
      <c r="AG174" s="2">
        <v>0</v>
      </c>
      <c r="AH174" s="2">
        <v>0</v>
      </c>
      <c r="AI174" s="2">
        <v>0</v>
      </c>
      <c r="AJ174" s="2">
        <v>0</v>
      </c>
      <c r="AK174" s="2">
        <v>0</v>
      </c>
      <c r="AL174" s="2">
        <v>0</v>
      </c>
      <c r="AM174" s="2">
        <v>2</v>
      </c>
      <c r="AN174" s="2">
        <v>0</v>
      </c>
      <c r="AO174" s="2">
        <v>0</v>
      </c>
      <c r="AP174" s="2">
        <v>0</v>
      </c>
      <c r="AQ174" s="2">
        <v>0</v>
      </c>
      <c r="AR174" s="2">
        <v>0</v>
      </c>
      <c r="AS174" s="2">
        <v>0</v>
      </c>
      <c r="AT174" s="2">
        <v>0</v>
      </c>
      <c r="AU174" s="2">
        <v>0</v>
      </c>
      <c r="AV174" s="2">
        <v>0</v>
      </c>
      <c r="AW174" s="2">
        <v>0</v>
      </c>
      <c r="AX174" s="2">
        <v>0</v>
      </c>
      <c r="AY174" s="2">
        <v>0</v>
      </c>
      <c r="AZ174" s="2" t="s">
        <v>39</v>
      </c>
      <c r="BA174" s="14">
        <v>700000</v>
      </c>
      <c r="BB174" s="14">
        <f>SUM(Table_ship_components[[#This Row],[PRICE]]+(Table_ship_components[[#This Row],[COST_PER_ADD_PERSON]]*Table_ship_components[[#This Row],[OPTIONAL]]))</f>
        <v>700000</v>
      </c>
      <c r="BC174" s="2">
        <v>0</v>
      </c>
      <c r="BD174" s="2">
        <v>0</v>
      </c>
    </row>
    <row r="175" spans="1:56" x14ac:dyDescent="0.35">
      <c r="A175" t="s">
        <v>380</v>
      </c>
      <c r="B175" t="s">
        <v>249</v>
      </c>
      <c r="C175" s="2">
        <v>0</v>
      </c>
      <c r="D175" s="2">
        <v>11</v>
      </c>
      <c r="E175" s="2">
        <f>SUM(Table_ship_components[[#This Row],[UNIT_SIZE]]+(Table_ship_components[[#This Row],[SIZE_PER_ADD_PERSON]]*Table_ship_components[[#This Row],[OPTIONAL]]))</f>
        <v>11</v>
      </c>
      <c r="F175" s="2">
        <v>0</v>
      </c>
      <c r="G175" s="2">
        <f>SUM(Table_ship_components[[#This Row],[POWER_CONSUMPTION]]+(Table_ship_components[[#This Row],[POWER_PER_ADD_PERSON]]*Table_ship_components[[#This Row],[OPTIONAL]]))</f>
        <v>0</v>
      </c>
      <c r="H175" s="2">
        <v>0</v>
      </c>
      <c r="I175" s="2">
        <v>0</v>
      </c>
      <c r="J175" s="2">
        <v>0</v>
      </c>
      <c r="K175" s="2">
        <v>0</v>
      </c>
      <c r="L175" s="2">
        <v>0</v>
      </c>
      <c r="M175" s="2">
        <v>0</v>
      </c>
      <c r="N175" s="2">
        <v>0</v>
      </c>
      <c r="O175" s="2">
        <v>1</v>
      </c>
      <c r="P175" s="2">
        <v>0</v>
      </c>
      <c r="Q175" s="2">
        <v>0</v>
      </c>
      <c r="R175" s="2">
        <v>0</v>
      </c>
      <c r="S175" s="2">
        <v>0</v>
      </c>
      <c r="T175" s="2">
        <v>0</v>
      </c>
      <c r="U175" s="2">
        <v>0</v>
      </c>
      <c r="V175" s="2">
        <v>0</v>
      </c>
      <c r="W175" s="14">
        <v>0</v>
      </c>
      <c r="X175" s="2">
        <v>0</v>
      </c>
      <c r="Y175" s="2">
        <v>0</v>
      </c>
      <c r="Z175" s="2">
        <v>0</v>
      </c>
      <c r="AA175" s="2">
        <v>0</v>
      </c>
      <c r="AB175" s="2">
        <v>0</v>
      </c>
      <c r="AC175" s="2">
        <v>0</v>
      </c>
      <c r="AD175" s="2">
        <v>0</v>
      </c>
      <c r="AE175" s="2">
        <v>0</v>
      </c>
      <c r="AF175" s="2">
        <v>0</v>
      </c>
      <c r="AG175" s="2">
        <v>0</v>
      </c>
      <c r="AH175" s="2">
        <v>0</v>
      </c>
      <c r="AI175" s="2">
        <v>0</v>
      </c>
      <c r="AJ175" s="2">
        <v>0</v>
      </c>
      <c r="AK175" s="2">
        <v>0</v>
      </c>
      <c r="AL175" s="2">
        <v>0</v>
      </c>
      <c r="AM175" s="2">
        <v>3</v>
      </c>
      <c r="AN175" s="2">
        <v>0</v>
      </c>
      <c r="AO175" s="2">
        <v>0</v>
      </c>
      <c r="AP175" s="2">
        <v>0</v>
      </c>
      <c r="AQ175" s="2">
        <v>0</v>
      </c>
      <c r="AR175" s="2">
        <v>0</v>
      </c>
      <c r="AS175" s="2">
        <v>0</v>
      </c>
      <c r="AT175" s="2">
        <v>0</v>
      </c>
      <c r="AU175" s="2">
        <v>0</v>
      </c>
      <c r="AV175" s="2">
        <v>0</v>
      </c>
      <c r="AW175" s="2">
        <v>0</v>
      </c>
      <c r="AX175" s="2">
        <v>0</v>
      </c>
      <c r="AY175" s="2">
        <v>0</v>
      </c>
      <c r="AZ175" s="2" t="s">
        <v>39</v>
      </c>
      <c r="BA175" s="14">
        <v>900000</v>
      </c>
      <c r="BB175" s="14">
        <f>SUM(Table_ship_components[[#This Row],[PRICE]]+(Table_ship_components[[#This Row],[COST_PER_ADD_PERSON]]*Table_ship_components[[#This Row],[OPTIONAL]]))</f>
        <v>900000</v>
      </c>
      <c r="BC175" s="2">
        <v>0</v>
      </c>
      <c r="BD175" s="2">
        <v>0</v>
      </c>
    </row>
    <row r="176" spans="1:56" x14ac:dyDescent="0.35">
      <c r="A176" t="s">
        <v>447</v>
      </c>
      <c r="B176" t="s">
        <v>448</v>
      </c>
      <c r="C176" s="2">
        <v>0</v>
      </c>
      <c r="D176" s="2">
        <v>25</v>
      </c>
      <c r="E176" s="2">
        <f>SUM(Table_ship_components[[#This Row],[UNIT_SIZE]]+(Table_ship_components[[#This Row],[SIZE_PER_ADD_PERSON]]*Table_ship_components[[#This Row],[OPTIONAL]]))</f>
        <v>25</v>
      </c>
      <c r="F176" s="2">
        <v>4</v>
      </c>
      <c r="G176" s="2">
        <f>SUM(Table_ship_components[[#This Row],[POWER_CONSUMPTION]]+(Table_ship_components[[#This Row],[POWER_PER_ADD_PERSON]]*Table_ship_components[[#This Row],[OPTIONAL]]))</f>
        <v>4</v>
      </c>
      <c r="H176" s="2">
        <v>0</v>
      </c>
      <c r="I176" s="2">
        <v>0</v>
      </c>
      <c r="J176" s="2">
        <v>0</v>
      </c>
      <c r="K176" s="2">
        <v>0</v>
      </c>
      <c r="L176" s="2">
        <v>0</v>
      </c>
      <c r="M176" s="2">
        <v>0</v>
      </c>
      <c r="N176" s="2">
        <v>0</v>
      </c>
      <c r="O176" s="2">
        <v>1</v>
      </c>
      <c r="P176" s="2">
        <v>1</v>
      </c>
      <c r="Q176" s="2">
        <v>1</v>
      </c>
      <c r="R176" s="2">
        <v>1</v>
      </c>
      <c r="S176" s="2">
        <v>1</v>
      </c>
      <c r="T176" s="2">
        <v>1</v>
      </c>
      <c r="U176" s="2">
        <v>1</v>
      </c>
      <c r="V176" s="2">
        <v>5</v>
      </c>
      <c r="W176" s="14">
        <v>20000</v>
      </c>
      <c r="X176" s="2">
        <v>1</v>
      </c>
      <c r="Y176" s="2">
        <v>0</v>
      </c>
      <c r="Z176" s="2">
        <v>0</v>
      </c>
      <c r="AA176" s="2">
        <v>0</v>
      </c>
      <c r="AB176" s="2">
        <v>0</v>
      </c>
      <c r="AC176" s="2">
        <v>0</v>
      </c>
      <c r="AD176" s="2">
        <v>0</v>
      </c>
      <c r="AE176" s="2">
        <v>0</v>
      </c>
      <c r="AF176" s="2">
        <v>0</v>
      </c>
      <c r="AG176" s="2">
        <v>0</v>
      </c>
      <c r="AH176" s="2">
        <v>0</v>
      </c>
      <c r="AI176" s="2">
        <v>0</v>
      </c>
      <c r="AJ176" s="2">
        <v>0</v>
      </c>
      <c r="AK176" s="2">
        <v>0</v>
      </c>
      <c r="AL176" s="2">
        <v>0</v>
      </c>
      <c r="AM176" s="2">
        <v>0</v>
      </c>
      <c r="AN176" s="2">
        <v>0</v>
      </c>
      <c r="AO176" s="2">
        <v>0</v>
      </c>
      <c r="AP176" s="2">
        <v>0</v>
      </c>
      <c r="AQ176" s="2">
        <v>0</v>
      </c>
      <c r="AR176" s="2">
        <v>0</v>
      </c>
      <c r="AS176" s="2">
        <v>0</v>
      </c>
      <c r="AT176" s="2">
        <v>0</v>
      </c>
      <c r="AU176" s="2">
        <v>0</v>
      </c>
      <c r="AV176" s="2">
        <v>0</v>
      </c>
      <c r="AW176" s="2">
        <v>0</v>
      </c>
      <c r="AX176" s="2">
        <v>0</v>
      </c>
      <c r="AY176" s="2">
        <v>0</v>
      </c>
      <c r="AZ176" s="2" t="s">
        <v>39</v>
      </c>
      <c r="BA176" s="14">
        <v>125000</v>
      </c>
      <c r="BB176" s="14">
        <f>SUM(Table_ship_components[[#This Row],[PRICE]]+(Table_ship_components[[#This Row],[COST_PER_ADD_PERSON]]*Table_ship_components[[#This Row],[OPTIONAL]]))</f>
        <v>125000</v>
      </c>
      <c r="BC176" s="2">
        <v>0</v>
      </c>
      <c r="BD176" s="2">
        <v>0</v>
      </c>
    </row>
    <row r="177" spans="1:56" x14ac:dyDescent="0.35">
      <c r="A177" t="s">
        <v>567</v>
      </c>
      <c r="B177" t="s">
        <v>581</v>
      </c>
      <c r="C177" s="2">
        <v>0</v>
      </c>
      <c r="D177" s="2">
        <v>4</v>
      </c>
      <c r="E177" s="2">
        <f>SUM(Table_ship_components[[#This Row],[UNIT_SIZE]]+(Table_ship_components[[#This Row],[SIZE_PER_ADD_PERSON]]*Table_ship_components[[#This Row],[OPTIONAL]]))</f>
        <v>4</v>
      </c>
      <c r="F177" s="2">
        <v>1</v>
      </c>
      <c r="G177" s="2">
        <f>SUM(Table_ship_components[[#This Row],[POWER_CONSUMPTION]]+(Table_ship_components[[#This Row],[POWER_PER_ADD_PERSON]]*Table_ship_components[[#This Row],[OPTIONAL]]))</f>
        <v>1</v>
      </c>
      <c r="H177" s="2">
        <v>0</v>
      </c>
      <c r="I177" s="2">
        <v>0</v>
      </c>
      <c r="J177" s="2">
        <v>0</v>
      </c>
      <c r="K177" s="2">
        <v>0</v>
      </c>
      <c r="L177" s="2">
        <v>0</v>
      </c>
      <c r="M177" s="2">
        <v>1</v>
      </c>
      <c r="N177" s="2">
        <v>0</v>
      </c>
      <c r="O177" s="2">
        <v>0</v>
      </c>
      <c r="P177" s="2">
        <v>0</v>
      </c>
      <c r="Q177" s="2">
        <v>0</v>
      </c>
      <c r="R177" s="2">
        <v>0</v>
      </c>
      <c r="S177" s="2">
        <v>0</v>
      </c>
      <c r="T177" s="2">
        <v>0</v>
      </c>
      <c r="U177" s="2">
        <v>0</v>
      </c>
      <c r="V177" s="2">
        <v>0</v>
      </c>
      <c r="W177" s="14">
        <v>0</v>
      </c>
      <c r="X177" s="2">
        <v>0</v>
      </c>
      <c r="Y177" s="2">
        <v>0</v>
      </c>
      <c r="Z177" s="2">
        <v>0</v>
      </c>
      <c r="AA177" s="2">
        <v>0</v>
      </c>
      <c r="AB177" s="2">
        <v>0</v>
      </c>
      <c r="AC177" s="2">
        <v>0</v>
      </c>
      <c r="AD177" s="2">
        <v>0</v>
      </c>
      <c r="AE177" s="2">
        <v>0</v>
      </c>
      <c r="AF177" s="2">
        <v>0</v>
      </c>
      <c r="AG177" s="2">
        <v>0</v>
      </c>
      <c r="AH177" s="2">
        <v>0</v>
      </c>
      <c r="AI177" s="2">
        <v>0</v>
      </c>
      <c r="AJ177" s="2">
        <v>0</v>
      </c>
      <c r="AK177" s="2">
        <v>0</v>
      </c>
      <c r="AL177" s="2">
        <v>0</v>
      </c>
      <c r="AM177" s="2">
        <v>0</v>
      </c>
      <c r="AN177" s="2">
        <v>0</v>
      </c>
      <c r="AO177" s="2">
        <v>0</v>
      </c>
      <c r="AP177" s="2">
        <v>5</v>
      </c>
      <c r="AQ177" s="2">
        <v>0</v>
      </c>
      <c r="AR177" s="2">
        <v>0</v>
      </c>
      <c r="AS177" s="2">
        <v>0</v>
      </c>
      <c r="AT177" s="2">
        <v>0</v>
      </c>
      <c r="AU177" s="2">
        <v>0</v>
      </c>
      <c r="AV177" s="2">
        <v>0</v>
      </c>
      <c r="AW177" s="2">
        <v>0</v>
      </c>
      <c r="AX177" s="2">
        <v>0</v>
      </c>
      <c r="AY177" s="2">
        <v>0</v>
      </c>
      <c r="AZ177" s="2" t="s">
        <v>39</v>
      </c>
      <c r="BA177" s="14">
        <v>40000</v>
      </c>
      <c r="BB177" s="14">
        <f>SUM(Table_ship_components[[#This Row],[PRICE]]+(Table_ship_components[[#This Row],[COST_PER_ADD_PERSON]]*Table_ship_components[[#This Row],[OPTIONAL]]))</f>
        <v>40000</v>
      </c>
      <c r="BC177" s="2">
        <v>0</v>
      </c>
      <c r="BD177" s="2">
        <v>0</v>
      </c>
    </row>
    <row r="178" spans="1:56" x14ac:dyDescent="0.35">
      <c r="A178" t="s">
        <v>568</v>
      </c>
      <c r="B178" t="s">
        <v>580</v>
      </c>
      <c r="C178" s="2">
        <v>0</v>
      </c>
      <c r="D178" s="2">
        <v>6</v>
      </c>
      <c r="E178" s="2">
        <f>SUM(Table_ship_components[[#This Row],[UNIT_SIZE]]+(Table_ship_components[[#This Row],[SIZE_PER_ADD_PERSON]]*Table_ship_components[[#This Row],[OPTIONAL]]))</f>
        <v>6</v>
      </c>
      <c r="F178" s="2">
        <v>2</v>
      </c>
      <c r="G178" s="2">
        <f>SUM(Table_ship_components[[#This Row],[POWER_CONSUMPTION]]+(Table_ship_components[[#This Row],[POWER_PER_ADD_PERSON]]*Table_ship_components[[#This Row],[OPTIONAL]]))</f>
        <v>2</v>
      </c>
      <c r="H178" s="2">
        <v>0</v>
      </c>
      <c r="I178" s="2">
        <v>0</v>
      </c>
      <c r="J178" s="2">
        <v>0</v>
      </c>
      <c r="K178" s="2">
        <v>0</v>
      </c>
      <c r="L178" s="2">
        <v>0</v>
      </c>
      <c r="M178" s="2">
        <v>1</v>
      </c>
      <c r="N178" s="2">
        <v>0</v>
      </c>
      <c r="O178" s="2">
        <v>0</v>
      </c>
      <c r="P178" s="2">
        <v>0</v>
      </c>
      <c r="Q178" s="2">
        <v>0</v>
      </c>
      <c r="R178" s="2">
        <v>0</v>
      </c>
      <c r="S178" s="2">
        <v>0</v>
      </c>
      <c r="T178" s="2">
        <v>0</v>
      </c>
      <c r="U178" s="2">
        <v>0</v>
      </c>
      <c r="V178" s="2">
        <v>0</v>
      </c>
      <c r="W178" s="14">
        <v>0</v>
      </c>
      <c r="X178" s="2">
        <v>0</v>
      </c>
      <c r="Y178" s="2">
        <v>0</v>
      </c>
      <c r="Z178" s="2">
        <v>0</v>
      </c>
      <c r="AA178" s="2">
        <v>0</v>
      </c>
      <c r="AB178" s="2">
        <v>0</v>
      </c>
      <c r="AC178" s="2">
        <v>0</v>
      </c>
      <c r="AD178" s="2">
        <v>0</v>
      </c>
      <c r="AE178" s="2">
        <v>0</v>
      </c>
      <c r="AF178" s="2">
        <v>0</v>
      </c>
      <c r="AG178" s="2">
        <v>0</v>
      </c>
      <c r="AH178" s="2">
        <v>0</v>
      </c>
      <c r="AI178" s="2">
        <v>0</v>
      </c>
      <c r="AJ178" s="2">
        <v>0</v>
      </c>
      <c r="AK178" s="2">
        <v>0</v>
      </c>
      <c r="AL178" s="2">
        <v>0</v>
      </c>
      <c r="AM178" s="2">
        <v>0</v>
      </c>
      <c r="AN178" s="2">
        <v>0</v>
      </c>
      <c r="AO178" s="2">
        <v>0</v>
      </c>
      <c r="AP178" s="2">
        <v>10</v>
      </c>
      <c r="AQ178" s="2">
        <v>0</v>
      </c>
      <c r="AR178" s="2">
        <v>0</v>
      </c>
      <c r="AS178" s="2">
        <v>0</v>
      </c>
      <c r="AT178" s="2">
        <v>0</v>
      </c>
      <c r="AU178" s="2">
        <v>0</v>
      </c>
      <c r="AV178" s="2">
        <v>0</v>
      </c>
      <c r="AW178" s="2">
        <v>0</v>
      </c>
      <c r="AX178" s="2">
        <v>0</v>
      </c>
      <c r="AY178" s="2">
        <v>0</v>
      </c>
      <c r="AZ178" s="2" t="s">
        <v>39</v>
      </c>
      <c r="BA178" s="14">
        <v>80000</v>
      </c>
      <c r="BB178" s="14">
        <f>SUM(Table_ship_components[[#This Row],[PRICE]]+(Table_ship_components[[#This Row],[COST_PER_ADD_PERSON]]*Table_ship_components[[#This Row],[OPTIONAL]]))</f>
        <v>80000</v>
      </c>
      <c r="BC178" s="2">
        <v>0</v>
      </c>
      <c r="BD178" s="2">
        <v>0</v>
      </c>
    </row>
    <row r="179" spans="1:56" x14ac:dyDescent="0.35">
      <c r="A179" t="s">
        <v>569</v>
      </c>
      <c r="B179" t="s">
        <v>579</v>
      </c>
      <c r="C179" s="2">
        <v>0</v>
      </c>
      <c r="D179" s="2">
        <v>8</v>
      </c>
      <c r="E179" s="2">
        <f>SUM(Table_ship_components[[#This Row],[UNIT_SIZE]]+(Table_ship_components[[#This Row],[SIZE_PER_ADD_PERSON]]*Table_ship_components[[#This Row],[OPTIONAL]]))</f>
        <v>8</v>
      </c>
      <c r="F179" s="2">
        <v>4</v>
      </c>
      <c r="G179" s="2">
        <f>SUM(Table_ship_components[[#This Row],[POWER_CONSUMPTION]]+(Table_ship_components[[#This Row],[POWER_PER_ADD_PERSON]]*Table_ship_components[[#This Row],[OPTIONAL]]))</f>
        <v>4</v>
      </c>
      <c r="H179" s="2">
        <v>0</v>
      </c>
      <c r="I179" s="2">
        <v>0</v>
      </c>
      <c r="J179" s="2">
        <v>0</v>
      </c>
      <c r="K179" s="2">
        <v>0</v>
      </c>
      <c r="L179" s="2">
        <v>0</v>
      </c>
      <c r="M179" s="2">
        <v>1</v>
      </c>
      <c r="N179" s="2">
        <v>0</v>
      </c>
      <c r="O179" s="2">
        <v>0</v>
      </c>
      <c r="P179" s="2">
        <v>0</v>
      </c>
      <c r="Q179" s="2">
        <v>0</v>
      </c>
      <c r="R179" s="2">
        <v>0</v>
      </c>
      <c r="S179" s="2">
        <v>0</v>
      </c>
      <c r="T179" s="2">
        <v>0</v>
      </c>
      <c r="U179" s="2">
        <v>0</v>
      </c>
      <c r="V179" s="2">
        <v>0</v>
      </c>
      <c r="W179" s="14">
        <v>0</v>
      </c>
      <c r="X179" s="2">
        <v>0</v>
      </c>
      <c r="Y179" s="2">
        <v>0</v>
      </c>
      <c r="Z179" s="2">
        <v>0</v>
      </c>
      <c r="AA179" s="2">
        <v>0</v>
      </c>
      <c r="AB179" s="2">
        <v>0</v>
      </c>
      <c r="AC179" s="2">
        <v>0</v>
      </c>
      <c r="AD179" s="2">
        <v>0</v>
      </c>
      <c r="AE179" s="2">
        <v>0</v>
      </c>
      <c r="AF179" s="2">
        <v>0</v>
      </c>
      <c r="AG179" s="2">
        <v>0</v>
      </c>
      <c r="AH179" s="2">
        <v>0</v>
      </c>
      <c r="AI179" s="2">
        <v>0</v>
      </c>
      <c r="AJ179" s="2">
        <v>0</v>
      </c>
      <c r="AK179" s="2">
        <v>0</v>
      </c>
      <c r="AL179" s="2">
        <v>0</v>
      </c>
      <c r="AM179" s="2">
        <v>0</v>
      </c>
      <c r="AN179" s="2">
        <v>0</v>
      </c>
      <c r="AO179" s="2">
        <v>0</v>
      </c>
      <c r="AP179" s="2">
        <v>15</v>
      </c>
      <c r="AQ179" s="2">
        <v>0</v>
      </c>
      <c r="AR179" s="2">
        <v>0</v>
      </c>
      <c r="AS179" s="2">
        <v>0</v>
      </c>
      <c r="AT179" s="2">
        <v>0</v>
      </c>
      <c r="AU179" s="2">
        <v>0</v>
      </c>
      <c r="AV179" s="2">
        <v>0</v>
      </c>
      <c r="AW179" s="2">
        <v>0</v>
      </c>
      <c r="AX179" s="2">
        <v>0</v>
      </c>
      <c r="AY179" s="2">
        <v>0</v>
      </c>
      <c r="AZ179" s="2" t="s">
        <v>39</v>
      </c>
      <c r="BA179" s="14">
        <v>160000</v>
      </c>
      <c r="BB179" s="14">
        <f>SUM(Table_ship_components[[#This Row],[PRICE]]+(Table_ship_components[[#This Row],[COST_PER_ADD_PERSON]]*Table_ship_components[[#This Row],[OPTIONAL]]))</f>
        <v>160000</v>
      </c>
      <c r="BC179" s="2">
        <v>0</v>
      </c>
      <c r="BD179" s="2">
        <v>0</v>
      </c>
    </row>
    <row r="180" spans="1:56" x14ac:dyDescent="0.35">
      <c r="A180" t="s">
        <v>570</v>
      </c>
      <c r="B180" t="s">
        <v>578</v>
      </c>
      <c r="C180" s="2">
        <v>0</v>
      </c>
      <c r="D180" s="2">
        <v>6</v>
      </c>
      <c r="E180" s="2">
        <f>SUM(Table_ship_components[[#This Row],[UNIT_SIZE]]+(Table_ship_components[[#This Row],[SIZE_PER_ADD_PERSON]]*Table_ship_components[[#This Row],[OPTIONAL]]))</f>
        <v>6</v>
      </c>
      <c r="F180" s="2">
        <v>1</v>
      </c>
      <c r="G180" s="2">
        <f>SUM(Table_ship_components[[#This Row],[POWER_CONSUMPTION]]+(Table_ship_components[[#This Row],[POWER_PER_ADD_PERSON]]*Table_ship_components[[#This Row],[OPTIONAL]]))</f>
        <v>1</v>
      </c>
      <c r="H180" s="2">
        <v>0</v>
      </c>
      <c r="I180" s="2">
        <v>0</v>
      </c>
      <c r="J180" s="2">
        <v>0</v>
      </c>
      <c r="K180" s="2">
        <v>0</v>
      </c>
      <c r="L180" s="2">
        <v>0</v>
      </c>
      <c r="M180" s="2">
        <v>0</v>
      </c>
      <c r="N180" s="2">
        <v>1</v>
      </c>
      <c r="O180" s="2">
        <v>0</v>
      </c>
      <c r="P180" s="2">
        <v>0</v>
      </c>
      <c r="Q180" s="2">
        <v>0</v>
      </c>
      <c r="R180" s="2">
        <v>0</v>
      </c>
      <c r="S180" s="2">
        <v>0</v>
      </c>
      <c r="T180" s="2">
        <v>0</v>
      </c>
      <c r="U180" s="2">
        <v>0</v>
      </c>
      <c r="V180" s="2">
        <v>0</v>
      </c>
      <c r="W180" s="14">
        <v>0</v>
      </c>
      <c r="X180" s="2">
        <v>0</v>
      </c>
      <c r="Y180" s="2">
        <v>0</v>
      </c>
      <c r="Z180" s="2">
        <v>0</v>
      </c>
      <c r="AA180" s="2">
        <v>0</v>
      </c>
      <c r="AB180" s="2">
        <v>0</v>
      </c>
      <c r="AC180" s="2">
        <v>0</v>
      </c>
      <c r="AD180" s="2">
        <v>0</v>
      </c>
      <c r="AE180" s="2">
        <v>0</v>
      </c>
      <c r="AF180" s="2">
        <v>0</v>
      </c>
      <c r="AG180" s="2">
        <v>0</v>
      </c>
      <c r="AH180" s="2">
        <v>0</v>
      </c>
      <c r="AI180" s="2">
        <v>0</v>
      </c>
      <c r="AJ180" s="2">
        <v>0</v>
      </c>
      <c r="AK180" s="2">
        <v>0</v>
      </c>
      <c r="AL180" s="2">
        <v>0</v>
      </c>
      <c r="AM180" s="2">
        <v>0</v>
      </c>
      <c r="AN180" s="2">
        <v>0</v>
      </c>
      <c r="AO180" s="2">
        <v>0</v>
      </c>
      <c r="AP180" s="2">
        <v>5</v>
      </c>
      <c r="AQ180" s="2">
        <v>0</v>
      </c>
      <c r="AR180" s="2">
        <v>0</v>
      </c>
      <c r="AS180" s="2">
        <v>0</v>
      </c>
      <c r="AT180" s="2">
        <v>0</v>
      </c>
      <c r="AU180" s="2">
        <v>0</v>
      </c>
      <c r="AV180" s="2">
        <v>0</v>
      </c>
      <c r="AW180" s="2">
        <v>0</v>
      </c>
      <c r="AX180" s="2">
        <v>0</v>
      </c>
      <c r="AY180" s="2">
        <v>0</v>
      </c>
      <c r="AZ180" s="2" t="s">
        <v>39</v>
      </c>
      <c r="BA180" s="14">
        <v>60000</v>
      </c>
      <c r="BB180" s="14">
        <f>SUM(Table_ship_components[[#This Row],[PRICE]]+(Table_ship_components[[#This Row],[COST_PER_ADD_PERSON]]*Table_ship_components[[#This Row],[OPTIONAL]]))</f>
        <v>60000</v>
      </c>
      <c r="BC180" s="2">
        <v>0</v>
      </c>
      <c r="BD180" s="2">
        <v>0</v>
      </c>
    </row>
    <row r="181" spans="1:56" x14ac:dyDescent="0.35">
      <c r="A181" t="s">
        <v>571</v>
      </c>
      <c r="B181" t="s">
        <v>577</v>
      </c>
      <c r="C181" s="2">
        <v>0</v>
      </c>
      <c r="D181" s="2">
        <v>8</v>
      </c>
      <c r="E181" s="2">
        <f>SUM(Table_ship_components[[#This Row],[UNIT_SIZE]]+(Table_ship_components[[#This Row],[SIZE_PER_ADD_PERSON]]*Table_ship_components[[#This Row],[OPTIONAL]]))</f>
        <v>8</v>
      </c>
      <c r="F181" s="2">
        <v>3</v>
      </c>
      <c r="G181" s="2">
        <f>SUM(Table_ship_components[[#This Row],[POWER_CONSUMPTION]]+(Table_ship_components[[#This Row],[POWER_PER_ADD_PERSON]]*Table_ship_components[[#This Row],[OPTIONAL]]))</f>
        <v>3</v>
      </c>
      <c r="H181" s="2">
        <v>0</v>
      </c>
      <c r="I181" s="2">
        <v>0</v>
      </c>
      <c r="J181" s="2">
        <v>0</v>
      </c>
      <c r="K181" s="2">
        <v>0</v>
      </c>
      <c r="L181" s="2">
        <v>0</v>
      </c>
      <c r="M181" s="2">
        <v>0</v>
      </c>
      <c r="N181" s="2">
        <v>1</v>
      </c>
      <c r="O181" s="2">
        <v>0</v>
      </c>
      <c r="P181" s="2">
        <v>0</v>
      </c>
      <c r="Q181" s="2">
        <v>0</v>
      </c>
      <c r="R181" s="2">
        <v>0</v>
      </c>
      <c r="S181" s="2">
        <v>0</v>
      </c>
      <c r="T181" s="2">
        <v>0</v>
      </c>
      <c r="U181" s="2">
        <v>0</v>
      </c>
      <c r="V181" s="2">
        <v>0</v>
      </c>
      <c r="W181" s="14">
        <v>0</v>
      </c>
      <c r="X181" s="2">
        <v>0</v>
      </c>
      <c r="Y181" s="2">
        <v>0</v>
      </c>
      <c r="Z181" s="2">
        <v>0</v>
      </c>
      <c r="AA181" s="2">
        <v>0</v>
      </c>
      <c r="AB181" s="2">
        <v>0</v>
      </c>
      <c r="AC181" s="2">
        <v>0</v>
      </c>
      <c r="AD181" s="2">
        <v>0</v>
      </c>
      <c r="AE181" s="2">
        <v>0</v>
      </c>
      <c r="AF181" s="2">
        <v>0</v>
      </c>
      <c r="AG181" s="2">
        <v>0</v>
      </c>
      <c r="AH181" s="2">
        <v>0</v>
      </c>
      <c r="AI181" s="2">
        <v>0</v>
      </c>
      <c r="AJ181" s="2">
        <v>0</v>
      </c>
      <c r="AK181" s="2">
        <v>0</v>
      </c>
      <c r="AL181" s="2">
        <v>0</v>
      </c>
      <c r="AM181" s="2">
        <v>0</v>
      </c>
      <c r="AN181" s="2">
        <v>0</v>
      </c>
      <c r="AO181" s="2">
        <v>0</v>
      </c>
      <c r="AP181" s="2">
        <v>10</v>
      </c>
      <c r="AQ181" s="2">
        <v>0</v>
      </c>
      <c r="AR181" s="2">
        <v>0</v>
      </c>
      <c r="AS181" s="2">
        <v>0</v>
      </c>
      <c r="AT181" s="2">
        <v>0</v>
      </c>
      <c r="AU181" s="2">
        <v>0</v>
      </c>
      <c r="AV181" s="2">
        <v>0</v>
      </c>
      <c r="AW181" s="2">
        <v>0</v>
      </c>
      <c r="AX181" s="2">
        <v>0</v>
      </c>
      <c r="AY181" s="2">
        <v>0</v>
      </c>
      <c r="AZ181" s="2" t="s">
        <v>39</v>
      </c>
      <c r="BA181" s="14">
        <v>120000</v>
      </c>
      <c r="BB181" s="14">
        <f>SUM(Table_ship_components[[#This Row],[PRICE]]+(Table_ship_components[[#This Row],[COST_PER_ADD_PERSON]]*Table_ship_components[[#This Row],[OPTIONAL]]))</f>
        <v>120000</v>
      </c>
      <c r="BC181" s="2">
        <v>0</v>
      </c>
      <c r="BD181" s="2">
        <v>0</v>
      </c>
    </row>
    <row r="182" spans="1:56" x14ac:dyDescent="0.35">
      <c r="A182" t="s">
        <v>572</v>
      </c>
      <c r="B182" t="s">
        <v>576</v>
      </c>
      <c r="C182" s="2">
        <v>0</v>
      </c>
      <c r="D182" s="2">
        <v>10</v>
      </c>
      <c r="E182" s="2">
        <f>SUM(Table_ship_components[[#This Row],[UNIT_SIZE]]+(Table_ship_components[[#This Row],[SIZE_PER_ADD_PERSON]]*Table_ship_components[[#This Row],[OPTIONAL]]))</f>
        <v>10</v>
      </c>
      <c r="F182" s="2">
        <v>5</v>
      </c>
      <c r="G182" s="2">
        <f>SUM(Table_ship_components[[#This Row],[POWER_CONSUMPTION]]+(Table_ship_components[[#This Row],[POWER_PER_ADD_PERSON]]*Table_ship_components[[#This Row],[OPTIONAL]]))</f>
        <v>5</v>
      </c>
      <c r="H182" s="2">
        <v>0</v>
      </c>
      <c r="I182" s="2">
        <v>0</v>
      </c>
      <c r="J182" s="2">
        <v>0</v>
      </c>
      <c r="K182" s="2">
        <v>0</v>
      </c>
      <c r="L182" s="2">
        <v>0</v>
      </c>
      <c r="M182" s="2">
        <v>0</v>
      </c>
      <c r="N182" s="2">
        <v>1</v>
      </c>
      <c r="O182" s="2">
        <v>0</v>
      </c>
      <c r="P182" s="2">
        <v>0</v>
      </c>
      <c r="Q182" s="2">
        <v>0</v>
      </c>
      <c r="R182" s="2">
        <v>0</v>
      </c>
      <c r="S182" s="2">
        <v>0</v>
      </c>
      <c r="T182" s="2">
        <v>0</v>
      </c>
      <c r="U182" s="2">
        <v>0</v>
      </c>
      <c r="V182" s="2">
        <v>0</v>
      </c>
      <c r="W182" s="14">
        <v>0</v>
      </c>
      <c r="X182" s="2">
        <v>0</v>
      </c>
      <c r="Y182" s="2">
        <v>0</v>
      </c>
      <c r="Z182" s="2">
        <v>0</v>
      </c>
      <c r="AA182" s="2">
        <v>0</v>
      </c>
      <c r="AB182" s="2">
        <v>0</v>
      </c>
      <c r="AC182" s="2">
        <v>0</v>
      </c>
      <c r="AD182" s="2">
        <v>0</v>
      </c>
      <c r="AE182" s="2">
        <v>0</v>
      </c>
      <c r="AF182" s="2">
        <v>0</v>
      </c>
      <c r="AG182" s="2">
        <v>0</v>
      </c>
      <c r="AH182" s="2">
        <v>0</v>
      </c>
      <c r="AI182" s="2">
        <v>0</v>
      </c>
      <c r="AJ182" s="2">
        <v>0</v>
      </c>
      <c r="AK182" s="2">
        <v>0</v>
      </c>
      <c r="AL182" s="2">
        <v>0</v>
      </c>
      <c r="AM182" s="2">
        <v>0</v>
      </c>
      <c r="AN182" s="2">
        <v>0</v>
      </c>
      <c r="AO182" s="2">
        <v>0</v>
      </c>
      <c r="AP182" s="2">
        <v>15</v>
      </c>
      <c r="AQ182" s="2">
        <v>0</v>
      </c>
      <c r="AR182" s="2">
        <v>0</v>
      </c>
      <c r="AS182" s="2">
        <v>0</v>
      </c>
      <c r="AT182" s="2">
        <v>0</v>
      </c>
      <c r="AU182" s="2">
        <v>0</v>
      </c>
      <c r="AV182" s="2">
        <v>0</v>
      </c>
      <c r="AW182" s="2">
        <v>0</v>
      </c>
      <c r="AX182" s="2">
        <v>0</v>
      </c>
      <c r="AY182" s="2">
        <v>0</v>
      </c>
      <c r="AZ182" s="2" t="s">
        <v>39</v>
      </c>
      <c r="BA182" s="14">
        <v>240000</v>
      </c>
      <c r="BB182" s="14">
        <f>SUM(Table_ship_components[[#This Row],[PRICE]]+(Table_ship_components[[#This Row],[COST_PER_ADD_PERSON]]*Table_ship_components[[#This Row],[OPTIONAL]]))</f>
        <v>240000</v>
      </c>
      <c r="BC182" s="2">
        <v>0</v>
      </c>
      <c r="BD182" s="2">
        <v>0</v>
      </c>
    </row>
    <row r="183" spans="1:56" x14ac:dyDescent="0.35">
      <c r="A183" t="s">
        <v>381</v>
      </c>
      <c r="B183" t="s">
        <v>573</v>
      </c>
      <c r="C183" s="2">
        <v>0</v>
      </c>
      <c r="D183" s="2">
        <v>8</v>
      </c>
      <c r="E183" s="2">
        <f>SUM(Table_ship_components[[#This Row],[UNIT_SIZE]]+(Table_ship_components[[#This Row],[SIZE_PER_ADD_PERSON]]*Table_ship_components[[#This Row],[OPTIONAL]]))</f>
        <v>8</v>
      </c>
      <c r="F183" s="2">
        <v>2</v>
      </c>
      <c r="G183" s="2">
        <f>SUM(Table_ship_components[[#This Row],[POWER_CONSUMPTION]]+(Table_ship_components[[#This Row],[POWER_PER_ADD_PERSON]]*Table_ship_components[[#This Row],[OPTIONAL]]))</f>
        <v>2</v>
      </c>
      <c r="H183" s="2">
        <v>0</v>
      </c>
      <c r="I183" s="2">
        <v>0</v>
      </c>
      <c r="J183" s="2">
        <v>0</v>
      </c>
      <c r="K183" s="2">
        <v>0</v>
      </c>
      <c r="L183" s="2">
        <v>0</v>
      </c>
      <c r="M183" s="2">
        <v>0</v>
      </c>
      <c r="N183" s="2">
        <v>0</v>
      </c>
      <c r="O183" s="2">
        <v>1</v>
      </c>
      <c r="P183" s="2">
        <v>0</v>
      </c>
      <c r="Q183" s="2">
        <v>0</v>
      </c>
      <c r="R183" s="2">
        <v>0</v>
      </c>
      <c r="S183" s="2">
        <v>0</v>
      </c>
      <c r="T183" s="2">
        <v>0</v>
      </c>
      <c r="U183" s="2">
        <v>0</v>
      </c>
      <c r="V183" s="2">
        <v>0</v>
      </c>
      <c r="W183" s="14">
        <v>0</v>
      </c>
      <c r="X183" s="2">
        <v>0</v>
      </c>
      <c r="Y183" s="2">
        <v>0</v>
      </c>
      <c r="Z183" s="2">
        <v>0</v>
      </c>
      <c r="AA183" s="2">
        <v>0</v>
      </c>
      <c r="AB183" s="2">
        <v>0</v>
      </c>
      <c r="AC183" s="2">
        <v>0</v>
      </c>
      <c r="AD183" s="2">
        <v>0</v>
      </c>
      <c r="AE183" s="2">
        <v>0</v>
      </c>
      <c r="AF183" s="2">
        <v>0</v>
      </c>
      <c r="AG183" s="2">
        <v>0</v>
      </c>
      <c r="AH183" s="2">
        <v>0</v>
      </c>
      <c r="AI183" s="2">
        <v>0</v>
      </c>
      <c r="AJ183" s="2">
        <v>0</v>
      </c>
      <c r="AK183" s="2">
        <v>0</v>
      </c>
      <c r="AL183" s="2">
        <v>0</v>
      </c>
      <c r="AM183" s="2">
        <v>0</v>
      </c>
      <c r="AN183" s="2">
        <v>0</v>
      </c>
      <c r="AO183" s="2">
        <v>0</v>
      </c>
      <c r="AP183" s="2">
        <v>5</v>
      </c>
      <c r="AQ183" s="2">
        <v>0</v>
      </c>
      <c r="AR183" s="2">
        <v>0</v>
      </c>
      <c r="AS183" s="2">
        <v>0</v>
      </c>
      <c r="AT183" s="2">
        <v>0</v>
      </c>
      <c r="AU183" s="2">
        <v>0</v>
      </c>
      <c r="AV183" s="2">
        <v>0</v>
      </c>
      <c r="AW183" s="2">
        <v>0</v>
      </c>
      <c r="AX183" s="2">
        <v>0</v>
      </c>
      <c r="AY183" s="2">
        <v>0</v>
      </c>
      <c r="AZ183" s="2" t="s">
        <v>39</v>
      </c>
      <c r="BA183" s="14">
        <v>100000</v>
      </c>
      <c r="BB183" s="14">
        <f>SUM(Table_ship_components[[#This Row],[PRICE]]+(Table_ship_components[[#This Row],[COST_PER_ADD_PERSON]]*Table_ship_components[[#This Row],[OPTIONAL]]))</f>
        <v>100000</v>
      </c>
      <c r="BC183" s="2">
        <v>0</v>
      </c>
      <c r="BD183" s="2">
        <v>0</v>
      </c>
    </row>
    <row r="184" spans="1:56" x14ac:dyDescent="0.35">
      <c r="A184" t="s">
        <v>382</v>
      </c>
      <c r="B184" t="s">
        <v>574</v>
      </c>
      <c r="C184" s="2">
        <v>0</v>
      </c>
      <c r="D184" s="2">
        <v>10</v>
      </c>
      <c r="E184" s="2">
        <f>SUM(Table_ship_components[[#This Row],[UNIT_SIZE]]+(Table_ship_components[[#This Row],[SIZE_PER_ADD_PERSON]]*Table_ship_components[[#This Row],[OPTIONAL]]))</f>
        <v>10</v>
      </c>
      <c r="F184" s="2">
        <v>4</v>
      </c>
      <c r="G184" s="2">
        <f>SUM(Table_ship_components[[#This Row],[POWER_CONSUMPTION]]+(Table_ship_components[[#This Row],[POWER_PER_ADD_PERSON]]*Table_ship_components[[#This Row],[OPTIONAL]]))</f>
        <v>4</v>
      </c>
      <c r="H184" s="2">
        <v>0</v>
      </c>
      <c r="I184" s="2">
        <v>0</v>
      </c>
      <c r="J184" s="2">
        <v>0</v>
      </c>
      <c r="K184" s="2">
        <v>0</v>
      </c>
      <c r="L184" s="2">
        <v>0</v>
      </c>
      <c r="M184" s="2">
        <v>0</v>
      </c>
      <c r="N184" s="2">
        <v>0</v>
      </c>
      <c r="O184" s="2">
        <v>1</v>
      </c>
      <c r="P184" s="2">
        <v>0</v>
      </c>
      <c r="Q184" s="2">
        <v>0</v>
      </c>
      <c r="R184" s="2">
        <v>0</v>
      </c>
      <c r="S184" s="2">
        <v>0</v>
      </c>
      <c r="T184" s="2">
        <v>0</v>
      </c>
      <c r="U184" s="2">
        <v>0</v>
      </c>
      <c r="V184" s="2">
        <v>0</v>
      </c>
      <c r="W184" s="14">
        <v>0</v>
      </c>
      <c r="X184" s="2">
        <v>0</v>
      </c>
      <c r="Y184" s="2">
        <v>0</v>
      </c>
      <c r="Z184" s="2">
        <v>0</v>
      </c>
      <c r="AA184" s="2">
        <v>0</v>
      </c>
      <c r="AB184" s="2">
        <v>0</v>
      </c>
      <c r="AC184" s="2">
        <v>0</v>
      </c>
      <c r="AD184" s="2">
        <v>0</v>
      </c>
      <c r="AE184" s="2">
        <v>0</v>
      </c>
      <c r="AF184" s="2">
        <v>0</v>
      </c>
      <c r="AG184" s="2">
        <v>0</v>
      </c>
      <c r="AH184" s="2">
        <v>0</v>
      </c>
      <c r="AI184" s="2">
        <v>0</v>
      </c>
      <c r="AJ184" s="2">
        <v>0</v>
      </c>
      <c r="AK184" s="2">
        <v>0</v>
      </c>
      <c r="AL184" s="2">
        <v>0</v>
      </c>
      <c r="AM184" s="2">
        <v>0</v>
      </c>
      <c r="AN184" s="2">
        <v>0</v>
      </c>
      <c r="AO184" s="2">
        <v>0</v>
      </c>
      <c r="AP184" s="2">
        <v>10</v>
      </c>
      <c r="AQ184" s="2">
        <v>0</v>
      </c>
      <c r="AR184" s="2">
        <v>0</v>
      </c>
      <c r="AS184" s="2">
        <v>0</v>
      </c>
      <c r="AT184" s="2">
        <v>0</v>
      </c>
      <c r="AU184" s="2">
        <v>0</v>
      </c>
      <c r="AV184" s="2">
        <v>0</v>
      </c>
      <c r="AW184" s="2">
        <v>0</v>
      </c>
      <c r="AX184" s="2">
        <v>0</v>
      </c>
      <c r="AY184" s="2">
        <v>0</v>
      </c>
      <c r="AZ184" s="2" t="s">
        <v>39</v>
      </c>
      <c r="BA184" s="14">
        <v>200000</v>
      </c>
      <c r="BB184" s="14">
        <f>SUM(Table_ship_components[[#This Row],[PRICE]]+(Table_ship_components[[#This Row],[COST_PER_ADD_PERSON]]*Table_ship_components[[#This Row],[OPTIONAL]]))</f>
        <v>200000</v>
      </c>
      <c r="BC184" s="2">
        <v>0</v>
      </c>
      <c r="BD184" s="2">
        <v>0</v>
      </c>
    </row>
    <row r="185" spans="1:56" x14ac:dyDescent="0.35">
      <c r="A185" t="s">
        <v>383</v>
      </c>
      <c r="B185" t="s">
        <v>575</v>
      </c>
      <c r="C185" s="2">
        <v>0</v>
      </c>
      <c r="D185" s="2">
        <v>12</v>
      </c>
      <c r="E185" s="2">
        <f>SUM(Table_ship_components[[#This Row],[UNIT_SIZE]]+(Table_ship_components[[#This Row],[SIZE_PER_ADD_PERSON]]*Table_ship_components[[#This Row],[OPTIONAL]]))</f>
        <v>12</v>
      </c>
      <c r="F185" s="2">
        <v>6</v>
      </c>
      <c r="G185" s="2">
        <f>SUM(Table_ship_components[[#This Row],[POWER_CONSUMPTION]]+(Table_ship_components[[#This Row],[POWER_PER_ADD_PERSON]]*Table_ship_components[[#This Row],[OPTIONAL]]))</f>
        <v>6</v>
      </c>
      <c r="H185" s="2">
        <v>0</v>
      </c>
      <c r="I185" s="2">
        <v>0</v>
      </c>
      <c r="J185" s="2">
        <v>0</v>
      </c>
      <c r="K185" s="2">
        <v>0</v>
      </c>
      <c r="L185" s="2">
        <v>0</v>
      </c>
      <c r="M185" s="2">
        <v>0</v>
      </c>
      <c r="N185" s="2">
        <v>0</v>
      </c>
      <c r="O185" s="2">
        <v>1</v>
      </c>
      <c r="P185" s="2">
        <v>0</v>
      </c>
      <c r="Q185" s="2">
        <v>0</v>
      </c>
      <c r="R185" s="2">
        <v>0</v>
      </c>
      <c r="S185" s="2">
        <v>0</v>
      </c>
      <c r="T185" s="2">
        <v>0</v>
      </c>
      <c r="U185" s="2">
        <v>0</v>
      </c>
      <c r="V185" s="2">
        <v>0</v>
      </c>
      <c r="W185" s="14">
        <v>0</v>
      </c>
      <c r="X185" s="2">
        <v>0</v>
      </c>
      <c r="Y185" s="2">
        <v>0</v>
      </c>
      <c r="Z185" s="2">
        <v>0</v>
      </c>
      <c r="AA185" s="2">
        <v>0</v>
      </c>
      <c r="AB185" s="2">
        <v>0</v>
      </c>
      <c r="AC185" s="2">
        <v>0</v>
      </c>
      <c r="AD185" s="2">
        <v>0</v>
      </c>
      <c r="AE185" s="2">
        <v>0</v>
      </c>
      <c r="AF185" s="2">
        <v>0</v>
      </c>
      <c r="AG185" s="2">
        <v>0</v>
      </c>
      <c r="AH185" s="2">
        <v>0</v>
      </c>
      <c r="AI185" s="2">
        <v>0</v>
      </c>
      <c r="AJ185" s="2">
        <v>0</v>
      </c>
      <c r="AK185" s="2">
        <v>0</v>
      </c>
      <c r="AL185" s="2">
        <v>0</v>
      </c>
      <c r="AM185" s="2">
        <v>0</v>
      </c>
      <c r="AN185" s="2">
        <v>0</v>
      </c>
      <c r="AO185" s="2">
        <v>0</v>
      </c>
      <c r="AP185" s="2">
        <v>15</v>
      </c>
      <c r="AQ185" s="2">
        <v>0</v>
      </c>
      <c r="AR185" s="2">
        <v>0</v>
      </c>
      <c r="AS185" s="2">
        <v>0</v>
      </c>
      <c r="AT185" s="2">
        <v>0</v>
      </c>
      <c r="AU185" s="2">
        <v>0</v>
      </c>
      <c r="AV185" s="2">
        <v>0</v>
      </c>
      <c r="AW185" s="2">
        <v>0</v>
      </c>
      <c r="AX185" s="2">
        <v>0</v>
      </c>
      <c r="AY185" s="2">
        <v>0</v>
      </c>
      <c r="AZ185" s="2" t="s">
        <v>39</v>
      </c>
      <c r="BA185" s="14">
        <v>300000</v>
      </c>
      <c r="BB185" s="14">
        <f>SUM(Table_ship_components[[#This Row],[PRICE]]+(Table_ship_components[[#This Row],[COST_PER_ADD_PERSON]]*Table_ship_components[[#This Row],[OPTIONAL]]))</f>
        <v>300000</v>
      </c>
      <c r="BC185" s="2">
        <v>0</v>
      </c>
      <c r="BD185" s="2">
        <v>0</v>
      </c>
    </row>
    <row r="186" spans="1:56" x14ac:dyDescent="0.35">
      <c r="A186" t="s">
        <v>582</v>
      </c>
      <c r="B186" t="s">
        <v>585</v>
      </c>
      <c r="C186" s="2">
        <v>0</v>
      </c>
      <c r="D186" s="2">
        <v>1</v>
      </c>
      <c r="E186" s="2">
        <f>SUM(Table_ship_components[[#This Row],[UNIT_SIZE]]+(Table_ship_components[[#This Row],[SIZE_PER_ADD_PERSON]]*Table_ship_components[[#This Row],[OPTIONAL]]))</f>
        <v>1</v>
      </c>
      <c r="F186" s="2">
        <v>1</v>
      </c>
      <c r="G186" s="2">
        <f>SUM(Table_ship_components[[#This Row],[POWER_CONSUMPTION]]+(Table_ship_components[[#This Row],[POWER_PER_ADD_PERSON]]*Table_ship_components[[#This Row],[OPTIONAL]]))</f>
        <v>1</v>
      </c>
      <c r="H186" s="2">
        <v>0</v>
      </c>
      <c r="I186" s="2">
        <v>0</v>
      </c>
      <c r="J186" s="2">
        <v>0</v>
      </c>
      <c r="K186" s="2">
        <v>0</v>
      </c>
      <c r="L186" s="2">
        <v>0</v>
      </c>
      <c r="M186" s="2">
        <v>1</v>
      </c>
      <c r="N186" s="2">
        <v>0</v>
      </c>
      <c r="O186" s="2">
        <v>0</v>
      </c>
      <c r="P186" s="2">
        <v>0</v>
      </c>
      <c r="Q186" s="2">
        <v>0</v>
      </c>
      <c r="R186" s="2">
        <v>0</v>
      </c>
      <c r="S186" s="2">
        <v>0</v>
      </c>
      <c r="T186" s="2">
        <v>0</v>
      </c>
      <c r="U186" s="2">
        <v>0</v>
      </c>
      <c r="V186" s="2">
        <v>0</v>
      </c>
      <c r="W186" s="14">
        <v>0</v>
      </c>
      <c r="X186" s="2">
        <v>0</v>
      </c>
      <c r="Y186" s="2">
        <v>0</v>
      </c>
      <c r="Z186" s="2">
        <v>0</v>
      </c>
      <c r="AA186" s="2">
        <v>0</v>
      </c>
      <c r="AB186" s="2">
        <v>0</v>
      </c>
      <c r="AC186" s="2">
        <v>0</v>
      </c>
      <c r="AD186" s="2">
        <v>0</v>
      </c>
      <c r="AE186" s="2">
        <v>0</v>
      </c>
      <c r="AF186" s="2">
        <v>0</v>
      </c>
      <c r="AG186" s="2">
        <v>0</v>
      </c>
      <c r="AH186" s="2">
        <v>0</v>
      </c>
      <c r="AI186" s="2">
        <v>0</v>
      </c>
      <c r="AJ186" s="2">
        <v>0</v>
      </c>
      <c r="AK186" s="2">
        <v>0</v>
      </c>
      <c r="AL186" s="2">
        <v>0</v>
      </c>
      <c r="AM186" s="2">
        <v>0</v>
      </c>
      <c r="AN186" s="2">
        <v>0</v>
      </c>
      <c r="AO186" s="2">
        <v>0</v>
      </c>
      <c r="AP186" s="2">
        <v>0</v>
      </c>
      <c r="AQ186" s="2">
        <v>0</v>
      </c>
      <c r="AR186" s="2">
        <v>0</v>
      </c>
      <c r="AS186" s="2">
        <v>0</v>
      </c>
      <c r="AT186" s="2">
        <v>0</v>
      </c>
      <c r="AU186" s="2">
        <v>-1</v>
      </c>
      <c r="AV186" s="2">
        <v>0</v>
      </c>
      <c r="AW186" s="2">
        <v>0</v>
      </c>
      <c r="AX186" s="2">
        <v>0</v>
      </c>
      <c r="AY186" s="2">
        <v>0</v>
      </c>
      <c r="AZ186" s="2" t="s">
        <v>39</v>
      </c>
      <c r="BA186" s="14">
        <v>70000</v>
      </c>
      <c r="BB186" s="14">
        <f>SUM(Table_ship_components[[#This Row],[PRICE]]+(Table_ship_components[[#This Row],[COST_PER_ADD_PERSON]]*Table_ship_components[[#This Row],[OPTIONAL]]))</f>
        <v>70000</v>
      </c>
      <c r="BC186" s="2">
        <v>0</v>
      </c>
      <c r="BD186" s="2">
        <v>0</v>
      </c>
    </row>
    <row r="187" spans="1:56" x14ac:dyDescent="0.35">
      <c r="A187" t="s">
        <v>583</v>
      </c>
      <c r="B187" t="s">
        <v>586</v>
      </c>
      <c r="C187" s="2">
        <v>0</v>
      </c>
      <c r="D187" s="2">
        <v>2</v>
      </c>
      <c r="E187" s="2">
        <f>SUM(Table_ship_components[[#This Row],[UNIT_SIZE]]+(Table_ship_components[[#This Row],[SIZE_PER_ADD_PERSON]]*Table_ship_components[[#This Row],[OPTIONAL]]))</f>
        <v>2</v>
      </c>
      <c r="F187" s="2">
        <v>2</v>
      </c>
      <c r="G187" s="2">
        <f>SUM(Table_ship_components[[#This Row],[POWER_CONSUMPTION]]+(Table_ship_components[[#This Row],[POWER_PER_ADD_PERSON]]*Table_ship_components[[#This Row],[OPTIONAL]]))</f>
        <v>2</v>
      </c>
      <c r="H187" s="2">
        <v>0</v>
      </c>
      <c r="I187" s="2">
        <v>0</v>
      </c>
      <c r="J187" s="2">
        <v>0</v>
      </c>
      <c r="K187" s="2">
        <v>0</v>
      </c>
      <c r="L187" s="2">
        <v>0</v>
      </c>
      <c r="M187" s="2">
        <v>1</v>
      </c>
      <c r="N187" s="2">
        <v>0</v>
      </c>
      <c r="O187" s="2">
        <v>0</v>
      </c>
      <c r="P187" s="2">
        <v>0</v>
      </c>
      <c r="Q187" s="2">
        <v>0</v>
      </c>
      <c r="R187" s="2">
        <v>0</v>
      </c>
      <c r="S187" s="2">
        <v>0</v>
      </c>
      <c r="T187" s="2">
        <v>0</v>
      </c>
      <c r="U187" s="2">
        <v>0</v>
      </c>
      <c r="V187" s="2">
        <v>0</v>
      </c>
      <c r="W187" s="14">
        <v>0</v>
      </c>
      <c r="X187" s="2">
        <v>0</v>
      </c>
      <c r="Y187" s="2">
        <v>0</v>
      </c>
      <c r="Z187" s="2">
        <v>0</v>
      </c>
      <c r="AA187" s="2">
        <v>0</v>
      </c>
      <c r="AB187" s="2">
        <v>0</v>
      </c>
      <c r="AC187" s="2">
        <v>0</v>
      </c>
      <c r="AD187" s="2">
        <v>0</v>
      </c>
      <c r="AE187" s="2">
        <v>0</v>
      </c>
      <c r="AF187" s="2">
        <v>0</v>
      </c>
      <c r="AG187" s="2">
        <v>0</v>
      </c>
      <c r="AH187" s="2">
        <v>0</v>
      </c>
      <c r="AI187" s="2">
        <v>0</v>
      </c>
      <c r="AJ187" s="2">
        <v>0</v>
      </c>
      <c r="AK187" s="2">
        <v>0</v>
      </c>
      <c r="AL187" s="2">
        <v>0</v>
      </c>
      <c r="AM187" s="2">
        <v>0</v>
      </c>
      <c r="AN187" s="2">
        <v>0</v>
      </c>
      <c r="AO187" s="2">
        <v>0</v>
      </c>
      <c r="AP187" s="2">
        <v>0</v>
      </c>
      <c r="AQ187" s="2">
        <v>0</v>
      </c>
      <c r="AR187" s="2">
        <v>0</v>
      </c>
      <c r="AS187" s="2">
        <v>0</v>
      </c>
      <c r="AT187" s="2">
        <v>0</v>
      </c>
      <c r="AU187" s="2">
        <v>0</v>
      </c>
      <c r="AV187" s="2">
        <v>0</v>
      </c>
      <c r="AW187" s="2">
        <v>0</v>
      </c>
      <c r="AX187" s="2">
        <v>0</v>
      </c>
      <c r="AY187" s="2">
        <v>0</v>
      </c>
      <c r="AZ187" s="2" t="s">
        <v>39</v>
      </c>
      <c r="BA187" s="14">
        <v>140000</v>
      </c>
      <c r="BB187" s="14">
        <f>SUM(Table_ship_components[[#This Row],[PRICE]]+(Table_ship_components[[#This Row],[COST_PER_ADD_PERSON]]*Table_ship_components[[#This Row],[OPTIONAL]]))</f>
        <v>140000</v>
      </c>
      <c r="BC187" s="2">
        <v>0</v>
      </c>
      <c r="BD187" s="2">
        <v>0</v>
      </c>
    </row>
    <row r="188" spans="1:56" x14ac:dyDescent="0.35">
      <c r="A188" t="s">
        <v>584</v>
      </c>
      <c r="B188" t="s">
        <v>587</v>
      </c>
      <c r="C188" s="2">
        <v>0</v>
      </c>
      <c r="D188" s="2">
        <v>3</v>
      </c>
      <c r="E188" s="2">
        <f>SUM(Table_ship_components[[#This Row],[UNIT_SIZE]]+(Table_ship_components[[#This Row],[SIZE_PER_ADD_PERSON]]*Table_ship_components[[#This Row],[OPTIONAL]]))</f>
        <v>3</v>
      </c>
      <c r="F188" s="2">
        <v>3</v>
      </c>
      <c r="G188" s="2">
        <f>SUM(Table_ship_components[[#This Row],[POWER_CONSUMPTION]]+(Table_ship_components[[#This Row],[POWER_PER_ADD_PERSON]]*Table_ship_components[[#This Row],[OPTIONAL]]))</f>
        <v>3</v>
      </c>
      <c r="H188" s="2">
        <v>0</v>
      </c>
      <c r="I188" s="2">
        <v>0</v>
      </c>
      <c r="J188" s="2">
        <v>0</v>
      </c>
      <c r="K188" s="2">
        <v>0</v>
      </c>
      <c r="L188" s="2">
        <v>0</v>
      </c>
      <c r="M188" s="2">
        <v>1</v>
      </c>
      <c r="N188" s="2">
        <v>0</v>
      </c>
      <c r="O188" s="2">
        <v>0</v>
      </c>
      <c r="P188" s="2">
        <v>0</v>
      </c>
      <c r="Q188" s="2">
        <v>0</v>
      </c>
      <c r="R188" s="2">
        <v>0</v>
      </c>
      <c r="S188" s="2">
        <v>0</v>
      </c>
      <c r="T188" s="2">
        <v>0</v>
      </c>
      <c r="U188" s="2">
        <v>0</v>
      </c>
      <c r="V188" s="2">
        <v>0</v>
      </c>
      <c r="W188" s="14">
        <v>0</v>
      </c>
      <c r="X188" s="2">
        <v>0</v>
      </c>
      <c r="Y188" s="2">
        <v>0</v>
      </c>
      <c r="Z188" s="2">
        <v>0</v>
      </c>
      <c r="AA188" s="2">
        <v>0</v>
      </c>
      <c r="AB188" s="2">
        <v>0</v>
      </c>
      <c r="AC188" s="2">
        <v>0</v>
      </c>
      <c r="AD188" s="2">
        <v>0</v>
      </c>
      <c r="AE188" s="2">
        <v>0</v>
      </c>
      <c r="AF188" s="2">
        <v>0</v>
      </c>
      <c r="AG188" s="2">
        <v>0</v>
      </c>
      <c r="AH188" s="2">
        <v>0</v>
      </c>
      <c r="AI188" s="2">
        <v>0</v>
      </c>
      <c r="AJ188" s="2">
        <v>0</v>
      </c>
      <c r="AK188" s="2">
        <v>0</v>
      </c>
      <c r="AL188" s="2">
        <v>0</v>
      </c>
      <c r="AM188" s="2">
        <v>0</v>
      </c>
      <c r="AN188" s="2">
        <v>0</v>
      </c>
      <c r="AO188" s="2">
        <v>0</v>
      </c>
      <c r="AP188" s="2">
        <v>0</v>
      </c>
      <c r="AQ188" s="2">
        <v>0</v>
      </c>
      <c r="AR188" s="2">
        <v>0</v>
      </c>
      <c r="AS188" s="2">
        <v>0</v>
      </c>
      <c r="AT188" s="2">
        <v>0</v>
      </c>
      <c r="AU188" s="2">
        <v>1</v>
      </c>
      <c r="AV188" s="2">
        <v>0</v>
      </c>
      <c r="AW188" s="2">
        <v>0</v>
      </c>
      <c r="AX188" s="2">
        <v>0</v>
      </c>
      <c r="AY188" s="2">
        <v>0</v>
      </c>
      <c r="AZ188" s="2" t="s">
        <v>39</v>
      </c>
      <c r="BA188" s="14">
        <v>280000</v>
      </c>
      <c r="BB188" s="14">
        <f>SUM(Table_ship_components[[#This Row],[PRICE]]+(Table_ship_components[[#This Row],[COST_PER_ADD_PERSON]]*Table_ship_components[[#This Row],[OPTIONAL]]))</f>
        <v>280000</v>
      </c>
      <c r="BC188" s="2">
        <v>0</v>
      </c>
      <c r="BD188" s="2">
        <v>0</v>
      </c>
    </row>
    <row r="189" spans="1:56" x14ac:dyDescent="0.35">
      <c r="A189" t="s">
        <v>437</v>
      </c>
      <c r="B189" t="s">
        <v>438</v>
      </c>
      <c r="C189" s="2">
        <v>0</v>
      </c>
      <c r="D189" s="2">
        <v>1</v>
      </c>
      <c r="E189" s="2">
        <f>SUM(Table_ship_components[[#This Row],[UNIT_SIZE]]+(Table_ship_components[[#This Row],[SIZE_PER_ADD_PERSON]]*Table_ship_components[[#This Row],[OPTIONAL]]))</f>
        <v>1</v>
      </c>
      <c r="F189" s="2">
        <v>1</v>
      </c>
      <c r="G189" s="2">
        <f>SUM(Table_ship_components[[#This Row],[POWER_CONSUMPTION]]+(Table_ship_components[[#This Row],[POWER_PER_ADD_PERSON]]*Table_ship_components[[#This Row],[OPTIONAL]]))</f>
        <v>1</v>
      </c>
      <c r="H189" s="2">
        <v>0</v>
      </c>
      <c r="I189" s="2">
        <v>0</v>
      </c>
      <c r="J189" s="2">
        <v>0</v>
      </c>
      <c r="K189" s="2">
        <v>0</v>
      </c>
      <c r="L189" s="2">
        <v>0</v>
      </c>
      <c r="M189" s="2">
        <v>0</v>
      </c>
      <c r="N189" s="2">
        <v>1</v>
      </c>
      <c r="O189" s="2">
        <v>0</v>
      </c>
      <c r="P189" s="2">
        <v>0</v>
      </c>
      <c r="Q189" s="2">
        <v>0</v>
      </c>
      <c r="R189" s="2">
        <v>0</v>
      </c>
      <c r="S189" s="2">
        <v>0</v>
      </c>
      <c r="T189" s="2">
        <v>0</v>
      </c>
      <c r="U189" s="2">
        <v>0</v>
      </c>
      <c r="V189" s="2">
        <v>0</v>
      </c>
      <c r="W189" s="14">
        <v>0</v>
      </c>
      <c r="X189" s="2">
        <v>0</v>
      </c>
      <c r="Y189" s="2">
        <v>0</v>
      </c>
      <c r="Z189" s="2">
        <v>0</v>
      </c>
      <c r="AA189" s="2">
        <v>0</v>
      </c>
      <c r="AB189" s="2">
        <v>0</v>
      </c>
      <c r="AC189" s="2">
        <v>0</v>
      </c>
      <c r="AD189" s="2">
        <v>0</v>
      </c>
      <c r="AE189" s="2">
        <v>0</v>
      </c>
      <c r="AF189" s="2">
        <v>0</v>
      </c>
      <c r="AG189" s="2">
        <v>0</v>
      </c>
      <c r="AH189" s="2">
        <v>0</v>
      </c>
      <c r="AI189" s="2">
        <v>0</v>
      </c>
      <c r="AJ189" s="2">
        <v>0</v>
      </c>
      <c r="AK189" s="2">
        <v>0</v>
      </c>
      <c r="AL189" s="2">
        <v>0</v>
      </c>
      <c r="AM189" s="2">
        <v>0</v>
      </c>
      <c r="AN189" s="2">
        <v>0</v>
      </c>
      <c r="AO189" s="2">
        <v>0</v>
      </c>
      <c r="AP189" s="2">
        <v>0</v>
      </c>
      <c r="AQ189" s="2">
        <v>0</v>
      </c>
      <c r="AR189" s="2">
        <v>0</v>
      </c>
      <c r="AS189" s="2">
        <v>0</v>
      </c>
      <c r="AT189" s="2">
        <v>0</v>
      </c>
      <c r="AU189" s="2">
        <v>-1</v>
      </c>
      <c r="AV189" s="2">
        <v>0</v>
      </c>
      <c r="AW189" s="2">
        <v>0</v>
      </c>
      <c r="AX189" s="2">
        <v>0</v>
      </c>
      <c r="AY189" s="2">
        <v>0</v>
      </c>
      <c r="AZ189" s="2" t="s">
        <v>39</v>
      </c>
      <c r="BA189" s="14">
        <v>80000</v>
      </c>
      <c r="BB189" s="14">
        <f>SUM(Table_ship_components[[#This Row],[PRICE]]+(Table_ship_components[[#This Row],[COST_PER_ADD_PERSON]]*Table_ship_components[[#This Row],[OPTIONAL]]))</f>
        <v>80000</v>
      </c>
      <c r="BC189" s="2">
        <v>0</v>
      </c>
      <c r="BD189" s="2">
        <v>0</v>
      </c>
    </row>
    <row r="190" spans="1:56" x14ac:dyDescent="0.35">
      <c r="A190" t="s">
        <v>342</v>
      </c>
      <c r="B190" t="s">
        <v>439</v>
      </c>
      <c r="C190" s="2">
        <v>0</v>
      </c>
      <c r="D190" s="2">
        <v>2</v>
      </c>
      <c r="E190" s="2">
        <f>SUM(Table_ship_components[[#This Row],[UNIT_SIZE]]+(Table_ship_components[[#This Row],[SIZE_PER_ADD_PERSON]]*Table_ship_components[[#This Row],[OPTIONAL]]))</f>
        <v>2</v>
      </c>
      <c r="F190" s="2">
        <v>2</v>
      </c>
      <c r="G190" s="2">
        <f>SUM(Table_ship_components[[#This Row],[POWER_CONSUMPTION]]+(Table_ship_components[[#This Row],[POWER_PER_ADD_PERSON]]*Table_ship_components[[#This Row],[OPTIONAL]]))</f>
        <v>2</v>
      </c>
      <c r="H190" s="2">
        <v>0</v>
      </c>
      <c r="I190" s="2">
        <v>0</v>
      </c>
      <c r="J190" s="2">
        <v>0</v>
      </c>
      <c r="K190" s="2">
        <v>0</v>
      </c>
      <c r="L190" s="2">
        <v>0</v>
      </c>
      <c r="M190" s="2">
        <v>0</v>
      </c>
      <c r="N190" s="2">
        <v>1</v>
      </c>
      <c r="O190" s="2">
        <v>0</v>
      </c>
      <c r="P190" s="2">
        <v>0</v>
      </c>
      <c r="Q190" s="2">
        <v>0</v>
      </c>
      <c r="R190" s="2">
        <v>0</v>
      </c>
      <c r="S190" s="2">
        <v>0</v>
      </c>
      <c r="T190" s="2">
        <v>0</v>
      </c>
      <c r="U190" s="2">
        <v>0</v>
      </c>
      <c r="V190" s="2">
        <v>0</v>
      </c>
      <c r="W190" s="14">
        <v>0</v>
      </c>
      <c r="X190" s="2">
        <v>0</v>
      </c>
      <c r="Y190" s="2">
        <v>0</v>
      </c>
      <c r="Z190" s="2">
        <v>0</v>
      </c>
      <c r="AA190" s="2">
        <v>0</v>
      </c>
      <c r="AB190" s="2">
        <v>0</v>
      </c>
      <c r="AC190" s="2">
        <v>0</v>
      </c>
      <c r="AD190" s="2">
        <v>0</v>
      </c>
      <c r="AE190" s="2">
        <v>0</v>
      </c>
      <c r="AF190" s="2">
        <v>0</v>
      </c>
      <c r="AG190" s="2">
        <v>0</v>
      </c>
      <c r="AH190" s="2">
        <v>0</v>
      </c>
      <c r="AI190" s="2">
        <v>0</v>
      </c>
      <c r="AJ190" s="2">
        <v>0</v>
      </c>
      <c r="AK190" s="2">
        <v>0</v>
      </c>
      <c r="AL190" s="2">
        <v>0</v>
      </c>
      <c r="AM190" s="2">
        <v>0</v>
      </c>
      <c r="AN190" s="2">
        <v>0</v>
      </c>
      <c r="AO190" s="2">
        <v>0</v>
      </c>
      <c r="AP190" s="2">
        <v>0</v>
      </c>
      <c r="AQ190" s="2">
        <v>0</v>
      </c>
      <c r="AR190" s="2">
        <v>0</v>
      </c>
      <c r="AS190" s="2">
        <v>0</v>
      </c>
      <c r="AT190" s="2">
        <v>0</v>
      </c>
      <c r="AU190" s="2">
        <v>0</v>
      </c>
      <c r="AV190" s="2">
        <v>0</v>
      </c>
      <c r="AW190" s="2">
        <v>0</v>
      </c>
      <c r="AX190" s="2">
        <v>0</v>
      </c>
      <c r="AY190" s="2">
        <v>0</v>
      </c>
      <c r="AZ190" s="2" t="s">
        <v>39</v>
      </c>
      <c r="BA190" s="14">
        <v>160000</v>
      </c>
      <c r="BB190" s="14">
        <f>SUM(Table_ship_components[[#This Row],[PRICE]]+(Table_ship_components[[#This Row],[COST_PER_ADD_PERSON]]*Table_ship_components[[#This Row],[OPTIONAL]]))</f>
        <v>160000</v>
      </c>
      <c r="BC190" s="2">
        <v>0</v>
      </c>
      <c r="BD190" s="2">
        <v>0</v>
      </c>
    </row>
    <row r="191" spans="1:56" x14ac:dyDescent="0.35">
      <c r="A191" t="s">
        <v>343</v>
      </c>
      <c r="B191" t="s">
        <v>440</v>
      </c>
      <c r="C191" s="2">
        <v>0</v>
      </c>
      <c r="D191" s="2">
        <v>3</v>
      </c>
      <c r="E191" s="2">
        <f>SUM(Table_ship_components[[#This Row],[UNIT_SIZE]]+(Table_ship_components[[#This Row],[SIZE_PER_ADD_PERSON]]*Table_ship_components[[#This Row],[OPTIONAL]]))</f>
        <v>3</v>
      </c>
      <c r="F191" s="2">
        <v>3</v>
      </c>
      <c r="G191" s="2">
        <f>SUM(Table_ship_components[[#This Row],[POWER_CONSUMPTION]]+(Table_ship_components[[#This Row],[POWER_PER_ADD_PERSON]]*Table_ship_components[[#This Row],[OPTIONAL]]))</f>
        <v>3</v>
      </c>
      <c r="H191" s="2">
        <v>0</v>
      </c>
      <c r="I191" s="2">
        <v>0</v>
      </c>
      <c r="J191" s="2">
        <v>0</v>
      </c>
      <c r="K191" s="2">
        <v>0</v>
      </c>
      <c r="L191" s="2">
        <v>0</v>
      </c>
      <c r="M191" s="2">
        <v>0</v>
      </c>
      <c r="N191" s="2">
        <v>1</v>
      </c>
      <c r="O191" s="2">
        <v>0</v>
      </c>
      <c r="P191" s="2">
        <v>0</v>
      </c>
      <c r="Q191" s="2">
        <v>0</v>
      </c>
      <c r="R191" s="2">
        <v>0</v>
      </c>
      <c r="S191" s="2">
        <v>0</v>
      </c>
      <c r="T191" s="2">
        <v>0</v>
      </c>
      <c r="U191" s="2">
        <v>0</v>
      </c>
      <c r="V191" s="2">
        <v>0</v>
      </c>
      <c r="W191" s="14">
        <v>0</v>
      </c>
      <c r="X191" s="2">
        <v>0</v>
      </c>
      <c r="Y191" s="2">
        <v>0</v>
      </c>
      <c r="Z191" s="2">
        <v>0</v>
      </c>
      <c r="AA191" s="2">
        <v>0</v>
      </c>
      <c r="AB191" s="2">
        <v>0</v>
      </c>
      <c r="AC191" s="2">
        <v>0</v>
      </c>
      <c r="AD191" s="2">
        <v>0</v>
      </c>
      <c r="AE191" s="2">
        <v>0</v>
      </c>
      <c r="AF191" s="2">
        <v>0</v>
      </c>
      <c r="AG191" s="2">
        <v>0</v>
      </c>
      <c r="AH191" s="2">
        <v>0</v>
      </c>
      <c r="AI191" s="2">
        <v>0</v>
      </c>
      <c r="AJ191" s="2">
        <v>0</v>
      </c>
      <c r="AK191" s="2">
        <v>0</v>
      </c>
      <c r="AL191" s="2">
        <v>0</v>
      </c>
      <c r="AM191" s="2">
        <v>0</v>
      </c>
      <c r="AN191" s="2">
        <v>0</v>
      </c>
      <c r="AO191" s="2">
        <v>0</v>
      </c>
      <c r="AP191" s="2">
        <v>0</v>
      </c>
      <c r="AQ191" s="2">
        <v>0</v>
      </c>
      <c r="AR191" s="2">
        <v>0</v>
      </c>
      <c r="AS191" s="2">
        <v>0</v>
      </c>
      <c r="AT191" s="2">
        <v>0</v>
      </c>
      <c r="AU191" s="2">
        <v>1</v>
      </c>
      <c r="AV191" s="2">
        <v>0</v>
      </c>
      <c r="AW191" s="2">
        <v>0</v>
      </c>
      <c r="AX191" s="2">
        <v>0</v>
      </c>
      <c r="AY191" s="2">
        <v>0</v>
      </c>
      <c r="AZ191" s="2" t="s">
        <v>39</v>
      </c>
      <c r="BA191" s="14">
        <v>320000</v>
      </c>
      <c r="BB191" s="14">
        <f>SUM(Table_ship_components[[#This Row],[PRICE]]+(Table_ship_components[[#This Row],[COST_PER_ADD_PERSON]]*Table_ship_components[[#This Row],[OPTIONAL]]))</f>
        <v>320000</v>
      </c>
      <c r="BC191" s="2">
        <v>0</v>
      </c>
      <c r="BD191" s="2">
        <v>0</v>
      </c>
    </row>
    <row r="192" spans="1:56" x14ac:dyDescent="0.35">
      <c r="A192" t="s">
        <v>384</v>
      </c>
      <c r="B192" t="s">
        <v>429</v>
      </c>
      <c r="C192" s="2">
        <v>0</v>
      </c>
      <c r="D192" s="2">
        <v>4</v>
      </c>
      <c r="E192" s="2">
        <f>SUM(Table_ship_components[[#This Row],[UNIT_SIZE]]+(Table_ship_components[[#This Row],[SIZE_PER_ADD_PERSON]]*Table_ship_components[[#This Row],[OPTIONAL]]))</f>
        <v>4</v>
      </c>
      <c r="F192" s="2">
        <v>4</v>
      </c>
      <c r="G192" s="2">
        <f>SUM(Table_ship_components[[#This Row],[POWER_CONSUMPTION]]+(Table_ship_components[[#This Row],[POWER_PER_ADD_PERSON]]*Table_ship_components[[#This Row],[OPTIONAL]]))</f>
        <v>4</v>
      </c>
      <c r="H192" s="2">
        <v>0</v>
      </c>
      <c r="I192" s="2">
        <v>0</v>
      </c>
      <c r="J192" s="2">
        <v>0</v>
      </c>
      <c r="K192" s="2">
        <v>0</v>
      </c>
      <c r="L192" s="2">
        <v>0</v>
      </c>
      <c r="M192" s="2">
        <v>0</v>
      </c>
      <c r="N192" s="2">
        <v>0</v>
      </c>
      <c r="O192" s="2">
        <v>1</v>
      </c>
      <c r="P192" s="2">
        <v>0</v>
      </c>
      <c r="Q192" s="2">
        <v>0</v>
      </c>
      <c r="R192" s="2">
        <v>0</v>
      </c>
      <c r="S192" s="2">
        <v>0</v>
      </c>
      <c r="T192" s="2">
        <v>0</v>
      </c>
      <c r="U192" s="2">
        <v>0</v>
      </c>
      <c r="V192" s="2">
        <v>0</v>
      </c>
      <c r="W192" s="14">
        <v>0</v>
      </c>
      <c r="X192" s="2">
        <v>0</v>
      </c>
      <c r="Y192" s="2">
        <v>0</v>
      </c>
      <c r="Z192" s="2">
        <v>0</v>
      </c>
      <c r="AA192" s="2">
        <v>0</v>
      </c>
      <c r="AB192" s="2">
        <v>0</v>
      </c>
      <c r="AC192" s="2">
        <v>0</v>
      </c>
      <c r="AD192" s="2">
        <v>0</v>
      </c>
      <c r="AE192" s="2">
        <v>0</v>
      </c>
      <c r="AF192" s="2">
        <v>0</v>
      </c>
      <c r="AG192" s="2">
        <v>0</v>
      </c>
      <c r="AH192" s="2">
        <v>0</v>
      </c>
      <c r="AI192" s="2">
        <v>0</v>
      </c>
      <c r="AJ192" s="2">
        <v>0</v>
      </c>
      <c r="AK192" s="2">
        <v>0</v>
      </c>
      <c r="AL192" s="2">
        <v>0</v>
      </c>
      <c r="AM192" s="2">
        <v>0</v>
      </c>
      <c r="AN192" s="2">
        <v>0</v>
      </c>
      <c r="AO192" s="2">
        <v>0</v>
      </c>
      <c r="AP192" s="2">
        <v>0</v>
      </c>
      <c r="AQ192" s="2">
        <v>0</v>
      </c>
      <c r="AR192" s="2">
        <v>0</v>
      </c>
      <c r="AS192" s="2">
        <v>0</v>
      </c>
      <c r="AT192" s="2">
        <v>0</v>
      </c>
      <c r="AU192" s="2">
        <v>-1</v>
      </c>
      <c r="AV192" s="2">
        <v>0</v>
      </c>
      <c r="AW192" s="2">
        <v>0</v>
      </c>
      <c r="AX192" s="2">
        <v>0</v>
      </c>
      <c r="AY192" s="2">
        <v>0</v>
      </c>
      <c r="AZ192" s="2" t="s">
        <v>39</v>
      </c>
      <c r="BA192" s="14">
        <v>120000</v>
      </c>
      <c r="BB192" s="14">
        <f>SUM(Table_ship_components[[#This Row],[PRICE]]+(Table_ship_components[[#This Row],[COST_PER_ADD_PERSON]]*Table_ship_components[[#This Row],[OPTIONAL]]))</f>
        <v>120000</v>
      </c>
      <c r="BC192" s="2">
        <v>0</v>
      </c>
      <c r="BD192" s="2">
        <v>0</v>
      </c>
    </row>
    <row r="193" spans="1:56" x14ac:dyDescent="0.35">
      <c r="A193" t="s">
        <v>385</v>
      </c>
      <c r="B193" t="s">
        <v>262</v>
      </c>
      <c r="C193" s="2">
        <v>0</v>
      </c>
      <c r="D193" s="2">
        <v>5</v>
      </c>
      <c r="E193" s="2">
        <f>SUM(Table_ship_components[[#This Row],[UNIT_SIZE]]+(Table_ship_components[[#This Row],[SIZE_PER_ADD_PERSON]]*Table_ship_components[[#This Row],[OPTIONAL]]))</f>
        <v>5</v>
      </c>
      <c r="F193" s="2">
        <v>5</v>
      </c>
      <c r="G193" s="2">
        <f>SUM(Table_ship_components[[#This Row],[POWER_CONSUMPTION]]+(Table_ship_components[[#This Row],[POWER_PER_ADD_PERSON]]*Table_ship_components[[#This Row],[OPTIONAL]]))</f>
        <v>5</v>
      </c>
      <c r="H193" s="2">
        <v>0</v>
      </c>
      <c r="I193" s="2">
        <v>0</v>
      </c>
      <c r="J193" s="2">
        <v>0</v>
      </c>
      <c r="K193" s="2">
        <v>0</v>
      </c>
      <c r="L193" s="2">
        <v>0</v>
      </c>
      <c r="M193" s="2">
        <v>0</v>
      </c>
      <c r="N193" s="2">
        <v>0</v>
      </c>
      <c r="O193" s="2">
        <v>1</v>
      </c>
      <c r="P193" s="2">
        <v>0</v>
      </c>
      <c r="Q193" s="2">
        <v>0</v>
      </c>
      <c r="R193" s="2">
        <v>0</v>
      </c>
      <c r="S193" s="2">
        <v>0</v>
      </c>
      <c r="T193" s="2">
        <v>0</v>
      </c>
      <c r="U193" s="2">
        <v>0</v>
      </c>
      <c r="V193" s="2">
        <v>0</v>
      </c>
      <c r="W193" s="14">
        <v>0</v>
      </c>
      <c r="X193" s="2">
        <v>0</v>
      </c>
      <c r="Y193" s="2">
        <v>0</v>
      </c>
      <c r="Z193" s="2">
        <v>0</v>
      </c>
      <c r="AA193" s="2">
        <v>0</v>
      </c>
      <c r="AB193" s="2">
        <v>0</v>
      </c>
      <c r="AC193" s="2">
        <v>0</v>
      </c>
      <c r="AD193" s="2">
        <v>0</v>
      </c>
      <c r="AE193" s="2">
        <v>0</v>
      </c>
      <c r="AF193" s="2">
        <v>0</v>
      </c>
      <c r="AG193" s="2">
        <v>0</v>
      </c>
      <c r="AH193" s="2">
        <v>0</v>
      </c>
      <c r="AI193" s="2">
        <v>0</v>
      </c>
      <c r="AJ193" s="2">
        <v>0</v>
      </c>
      <c r="AK193" s="2">
        <v>0</v>
      </c>
      <c r="AL193" s="2">
        <v>0</v>
      </c>
      <c r="AM193" s="2">
        <v>0</v>
      </c>
      <c r="AN193" s="2">
        <v>0</v>
      </c>
      <c r="AO193" s="2">
        <v>0</v>
      </c>
      <c r="AP193" s="2">
        <v>0</v>
      </c>
      <c r="AQ193" s="2">
        <v>0</v>
      </c>
      <c r="AR193" s="2">
        <v>0</v>
      </c>
      <c r="AS193" s="2">
        <v>0</v>
      </c>
      <c r="AT193" s="2">
        <v>0</v>
      </c>
      <c r="AU193" s="2">
        <v>0</v>
      </c>
      <c r="AV193" s="2">
        <v>0</v>
      </c>
      <c r="AW193" s="2">
        <v>0</v>
      </c>
      <c r="AX193" s="2">
        <v>0</v>
      </c>
      <c r="AY193" s="2">
        <v>0</v>
      </c>
      <c r="AZ193" s="2" t="s">
        <v>39</v>
      </c>
      <c r="BA193" s="14">
        <v>240000</v>
      </c>
      <c r="BB193" s="14">
        <f>SUM(Table_ship_components[[#This Row],[PRICE]]+(Table_ship_components[[#This Row],[COST_PER_ADD_PERSON]]*Table_ship_components[[#This Row],[OPTIONAL]]))</f>
        <v>240000</v>
      </c>
      <c r="BC193" s="2">
        <v>0</v>
      </c>
      <c r="BD193" s="2">
        <v>0</v>
      </c>
    </row>
    <row r="194" spans="1:56" x14ac:dyDescent="0.35">
      <c r="A194" t="s">
        <v>386</v>
      </c>
      <c r="B194" t="s">
        <v>263</v>
      </c>
      <c r="C194" s="2">
        <v>0</v>
      </c>
      <c r="D194" s="2">
        <v>6</v>
      </c>
      <c r="E194" s="2">
        <f>SUM(Table_ship_components[[#This Row],[UNIT_SIZE]]+(Table_ship_components[[#This Row],[SIZE_PER_ADD_PERSON]]*Table_ship_components[[#This Row],[OPTIONAL]]))</f>
        <v>6</v>
      </c>
      <c r="F194" s="2">
        <v>6</v>
      </c>
      <c r="G194" s="2">
        <f>SUM(Table_ship_components[[#This Row],[POWER_CONSUMPTION]]+(Table_ship_components[[#This Row],[POWER_PER_ADD_PERSON]]*Table_ship_components[[#This Row],[OPTIONAL]]))</f>
        <v>6</v>
      </c>
      <c r="H194" s="2">
        <v>0</v>
      </c>
      <c r="I194" s="2">
        <v>0</v>
      </c>
      <c r="J194" s="2">
        <v>0</v>
      </c>
      <c r="K194" s="2">
        <v>0</v>
      </c>
      <c r="L194" s="2">
        <v>0</v>
      </c>
      <c r="M194" s="2">
        <v>0</v>
      </c>
      <c r="N194" s="2">
        <v>0</v>
      </c>
      <c r="O194" s="2">
        <v>1</v>
      </c>
      <c r="P194" s="2">
        <v>0</v>
      </c>
      <c r="Q194" s="2">
        <v>0</v>
      </c>
      <c r="R194" s="2">
        <v>0</v>
      </c>
      <c r="S194" s="2">
        <v>0</v>
      </c>
      <c r="T194" s="2">
        <v>0</v>
      </c>
      <c r="U194" s="2">
        <v>0</v>
      </c>
      <c r="V194" s="2">
        <v>0</v>
      </c>
      <c r="W194" s="14">
        <v>0</v>
      </c>
      <c r="X194" s="2">
        <v>0</v>
      </c>
      <c r="Y194" s="2">
        <v>0</v>
      </c>
      <c r="Z194" s="2">
        <v>0</v>
      </c>
      <c r="AA194" s="2">
        <v>0</v>
      </c>
      <c r="AB194" s="2">
        <v>0</v>
      </c>
      <c r="AC194" s="2">
        <v>0</v>
      </c>
      <c r="AD194" s="2">
        <v>0</v>
      </c>
      <c r="AE194" s="2">
        <v>0</v>
      </c>
      <c r="AF194" s="2">
        <v>0</v>
      </c>
      <c r="AG194" s="2">
        <v>0</v>
      </c>
      <c r="AH194" s="2">
        <v>0</v>
      </c>
      <c r="AI194" s="2">
        <v>0</v>
      </c>
      <c r="AJ194" s="2">
        <v>0</v>
      </c>
      <c r="AK194" s="2">
        <v>0</v>
      </c>
      <c r="AL194" s="2">
        <v>0</v>
      </c>
      <c r="AM194" s="2">
        <v>0</v>
      </c>
      <c r="AN194" s="2">
        <v>0</v>
      </c>
      <c r="AO194" s="2">
        <v>0</v>
      </c>
      <c r="AP194" s="2">
        <v>0</v>
      </c>
      <c r="AQ194" s="2">
        <v>0</v>
      </c>
      <c r="AR194" s="2">
        <v>0</v>
      </c>
      <c r="AS194" s="2">
        <v>0</v>
      </c>
      <c r="AT194" s="2">
        <v>0</v>
      </c>
      <c r="AU194" s="2">
        <v>1</v>
      </c>
      <c r="AV194" s="2">
        <v>0</v>
      </c>
      <c r="AW194" s="2">
        <v>0</v>
      </c>
      <c r="AX194" s="2">
        <v>0</v>
      </c>
      <c r="AY194" s="2">
        <v>0</v>
      </c>
      <c r="AZ194" s="2" t="s">
        <v>39</v>
      </c>
      <c r="BA194" s="14">
        <v>480000</v>
      </c>
      <c r="BB194" s="14">
        <f>SUM(Table_ship_components[[#This Row],[PRICE]]+(Table_ship_components[[#This Row],[COST_PER_ADD_PERSON]]*Table_ship_components[[#This Row],[OPTIONAL]]))</f>
        <v>480000</v>
      </c>
      <c r="BC194" s="2">
        <v>0</v>
      </c>
      <c r="BD194" s="2">
        <v>0</v>
      </c>
    </row>
    <row r="195" spans="1:56" x14ac:dyDescent="0.35">
      <c r="A195" t="s">
        <v>323</v>
      </c>
      <c r="B195" t="s">
        <v>272</v>
      </c>
      <c r="C195" s="2">
        <v>0</v>
      </c>
      <c r="D195" s="2">
        <v>3</v>
      </c>
      <c r="E195" s="2">
        <f>SUM(Table_ship_components[[#This Row],[UNIT_SIZE]]+(Table_ship_components[[#This Row],[SIZE_PER_ADD_PERSON]]*Table_ship_components[[#This Row],[OPTIONAL]]))</f>
        <v>3</v>
      </c>
      <c r="F195" s="2">
        <v>0</v>
      </c>
      <c r="G195" s="2">
        <f>SUM(Table_ship_components[[#This Row],[POWER_CONSUMPTION]]+(Table_ship_components[[#This Row],[POWER_PER_ADD_PERSON]]*Table_ship_components[[#This Row],[OPTIONAL]]))</f>
        <v>0</v>
      </c>
      <c r="H195" s="2">
        <v>0</v>
      </c>
      <c r="I195" s="2">
        <v>0</v>
      </c>
      <c r="J195" s="2">
        <v>0</v>
      </c>
      <c r="K195" s="2">
        <v>0</v>
      </c>
      <c r="L195" s="2">
        <v>0</v>
      </c>
      <c r="M195" s="2">
        <v>1</v>
      </c>
      <c r="N195" s="2">
        <v>1</v>
      </c>
      <c r="O195" s="2">
        <v>1</v>
      </c>
      <c r="P195" s="2">
        <v>1</v>
      </c>
      <c r="Q195" s="2">
        <v>1</v>
      </c>
      <c r="R195" s="2">
        <v>1</v>
      </c>
      <c r="S195" s="2">
        <v>1</v>
      </c>
      <c r="T195" s="2">
        <v>1</v>
      </c>
      <c r="U195" s="2">
        <v>0</v>
      </c>
      <c r="V195" s="2">
        <v>0</v>
      </c>
      <c r="W195" s="14">
        <v>0</v>
      </c>
      <c r="X195" s="2">
        <v>0</v>
      </c>
      <c r="Y195" s="2">
        <v>0</v>
      </c>
      <c r="Z195" s="2">
        <v>0</v>
      </c>
      <c r="AA195" s="2">
        <v>0</v>
      </c>
      <c r="AB195" s="2">
        <v>0</v>
      </c>
      <c r="AC195" s="2">
        <v>0</v>
      </c>
      <c r="AD195" s="2">
        <v>0</v>
      </c>
      <c r="AE195" s="2">
        <v>0</v>
      </c>
      <c r="AF195" s="2">
        <v>0</v>
      </c>
      <c r="AG195" s="2">
        <v>0</v>
      </c>
      <c r="AH195" s="2">
        <v>0</v>
      </c>
      <c r="AI195" s="2">
        <v>0</v>
      </c>
      <c r="AJ195" s="2">
        <v>0</v>
      </c>
      <c r="AK195" s="2">
        <v>0</v>
      </c>
      <c r="AL195" s="2">
        <v>0</v>
      </c>
      <c r="AM195" s="2">
        <v>0</v>
      </c>
      <c r="AN195" s="2">
        <v>0</v>
      </c>
      <c r="AO195" s="2">
        <v>0</v>
      </c>
      <c r="AP195" s="2">
        <v>0</v>
      </c>
      <c r="AQ195" s="2">
        <v>0</v>
      </c>
      <c r="AR195" s="2">
        <v>0</v>
      </c>
      <c r="AS195" s="2">
        <v>0</v>
      </c>
      <c r="AT195" s="2">
        <v>0</v>
      </c>
      <c r="AU195" s="2">
        <v>0</v>
      </c>
      <c r="AV195" s="2">
        <v>0</v>
      </c>
      <c r="AW195" s="2">
        <v>0</v>
      </c>
      <c r="AX195" s="2">
        <v>0</v>
      </c>
      <c r="AY195" s="2">
        <v>0</v>
      </c>
      <c r="AZ195" s="2" t="s">
        <v>39</v>
      </c>
      <c r="BA195" s="14">
        <v>100000</v>
      </c>
      <c r="BB195" s="14">
        <f>SUM(Table_ship_components[[#This Row],[PRICE]]+(Table_ship_components[[#This Row],[COST_PER_ADD_PERSON]]*Table_ship_components[[#This Row],[OPTIONAL]]))</f>
        <v>100000</v>
      </c>
      <c r="BC195" s="2">
        <v>0</v>
      </c>
      <c r="BD195" s="2">
        <v>0</v>
      </c>
    </row>
    <row r="196" spans="1:56" x14ac:dyDescent="0.35">
      <c r="A196" t="s">
        <v>324</v>
      </c>
      <c r="B196" t="s">
        <v>273</v>
      </c>
      <c r="C196" s="2">
        <v>0</v>
      </c>
      <c r="D196" s="2">
        <v>5</v>
      </c>
      <c r="E196" s="2">
        <f>SUM(Table_ship_components[[#This Row],[UNIT_SIZE]]+(Table_ship_components[[#This Row],[SIZE_PER_ADD_PERSON]]*Table_ship_components[[#This Row],[OPTIONAL]]))</f>
        <v>5</v>
      </c>
      <c r="F196" s="2">
        <v>0</v>
      </c>
      <c r="G196" s="2">
        <f>SUM(Table_ship_components[[#This Row],[POWER_CONSUMPTION]]+(Table_ship_components[[#This Row],[POWER_PER_ADD_PERSON]]*Table_ship_components[[#This Row],[OPTIONAL]]))</f>
        <v>0</v>
      </c>
      <c r="H196" s="2">
        <v>0</v>
      </c>
      <c r="I196" s="2">
        <v>0</v>
      </c>
      <c r="J196" s="2">
        <v>0</v>
      </c>
      <c r="K196" s="2">
        <v>0</v>
      </c>
      <c r="L196" s="2">
        <v>0</v>
      </c>
      <c r="M196" s="2">
        <v>0</v>
      </c>
      <c r="N196" s="2">
        <v>1</v>
      </c>
      <c r="O196" s="2">
        <v>1</v>
      </c>
      <c r="P196" s="2">
        <v>1</v>
      </c>
      <c r="Q196" s="2">
        <v>1</v>
      </c>
      <c r="R196" s="2">
        <v>1</v>
      </c>
      <c r="S196" s="2">
        <v>1</v>
      </c>
      <c r="T196" s="2">
        <v>1</v>
      </c>
      <c r="U196" s="2">
        <v>0</v>
      </c>
      <c r="V196" s="2">
        <v>0</v>
      </c>
      <c r="W196" s="14">
        <v>0</v>
      </c>
      <c r="X196" s="2">
        <v>0</v>
      </c>
      <c r="Y196" s="2">
        <v>0</v>
      </c>
      <c r="Z196" s="2">
        <v>0</v>
      </c>
      <c r="AA196" s="2">
        <v>0</v>
      </c>
      <c r="AB196" s="2">
        <v>0</v>
      </c>
      <c r="AC196" s="2">
        <v>0</v>
      </c>
      <c r="AD196" s="2">
        <v>0</v>
      </c>
      <c r="AE196" s="2">
        <v>0</v>
      </c>
      <c r="AF196" s="2">
        <v>0</v>
      </c>
      <c r="AG196" s="2">
        <v>0</v>
      </c>
      <c r="AH196" s="2">
        <v>0</v>
      </c>
      <c r="AI196" s="2">
        <v>0</v>
      </c>
      <c r="AJ196" s="2">
        <v>0</v>
      </c>
      <c r="AK196" s="2">
        <v>0</v>
      </c>
      <c r="AL196" s="2">
        <v>0</v>
      </c>
      <c r="AM196" s="2">
        <v>0</v>
      </c>
      <c r="AN196" s="2">
        <v>0</v>
      </c>
      <c r="AO196" s="2">
        <v>0</v>
      </c>
      <c r="AP196" s="2">
        <v>0</v>
      </c>
      <c r="AQ196" s="2">
        <v>0</v>
      </c>
      <c r="AR196" s="2">
        <v>0</v>
      </c>
      <c r="AS196" s="2">
        <v>0</v>
      </c>
      <c r="AT196" s="2">
        <v>0</v>
      </c>
      <c r="AU196" s="2">
        <v>0</v>
      </c>
      <c r="AV196" s="2">
        <v>0</v>
      </c>
      <c r="AW196" s="2">
        <v>0</v>
      </c>
      <c r="AX196" s="2">
        <v>0</v>
      </c>
      <c r="AY196" s="2">
        <v>0</v>
      </c>
      <c r="AZ196" s="2" t="s">
        <v>39</v>
      </c>
      <c r="BA196" s="14">
        <v>200000</v>
      </c>
      <c r="BB196" s="14">
        <f>SUM(Table_ship_components[[#This Row],[PRICE]]+(Table_ship_components[[#This Row],[COST_PER_ADD_PERSON]]*Table_ship_components[[#This Row],[OPTIONAL]]))</f>
        <v>200000</v>
      </c>
      <c r="BC196" s="2">
        <v>0</v>
      </c>
      <c r="BD196" s="2">
        <v>0</v>
      </c>
    </row>
    <row r="197" spans="1:56" x14ac:dyDescent="0.35">
      <c r="A197" t="s">
        <v>412</v>
      </c>
      <c r="B197" t="s">
        <v>274</v>
      </c>
      <c r="C197" s="2">
        <v>0</v>
      </c>
      <c r="D197" s="2">
        <v>15</v>
      </c>
      <c r="E197" s="2">
        <f>SUM(Table_ship_components[[#This Row],[UNIT_SIZE]]+(Table_ship_components[[#This Row],[SIZE_PER_ADD_PERSON]]*Table_ship_components[[#This Row],[OPTIONAL]]))</f>
        <v>15</v>
      </c>
      <c r="F197" s="2">
        <v>0</v>
      </c>
      <c r="G197" s="2">
        <f>SUM(Table_ship_components[[#This Row],[POWER_CONSUMPTION]]+(Table_ship_components[[#This Row],[POWER_PER_ADD_PERSON]]*Table_ship_components[[#This Row],[OPTIONAL]]))</f>
        <v>0</v>
      </c>
      <c r="H197" s="2">
        <v>0</v>
      </c>
      <c r="I197" s="2">
        <v>0</v>
      </c>
      <c r="J197" s="2">
        <v>0</v>
      </c>
      <c r="K197" s="2">
        <v>0</v>
      </c>
      <c r="L197" s="2">
        <v>0</v>
      </c>
      <c r="M197" s="2">
        <v>0</v>
      </c>
      <c r="N197" s="2">
        <v>0</v>
      </c>
      <c r="O197" s="2">
        <v>0</v>
      </c>
      <c r="P197" s="2">
        <v>1</v>
      </c>
      <c r="Q197" s="2">
        <v>1</v>
      </c>
      <c r="R197" s="2">
        <v>1</v>
      </c>
      <c r="S197" s="2">
        <v>1</v>
      </c>
      <c r="T197" s="2">
        <v>1</v>
      </c>
      <c r="U197" s="2">
        <v>0</v>
      </c>
      <c r="V197" s="2">
        <v>0</v>
      </c>
      <c r="W197" s="14">
        <v>0</v>
      </c>
      <c r="X197" s="2">
        <v>0</v>
      </c>
      <c r="Y197" s="2">
        <v>0</v>
      </c>
      <c r="Z197" s="2">
        <v>0</v>
      </c>
      <c r="AA197" s="2">
        <v>0</v>
      </c>
      <c r="AB197" s="2">
        <v>0</v>
      </c>
      <c r="AC197" s="2">
        <v>0</v>
      </c>
      <c r="AD197" s="2">
        <v>0</v>
      </c>
      <c r="AE197" s="2">
        <v>0</v>
      </c>
      <c r="AF197" s="2">
        <v>0</v>
      </c>
      <c r="AG197" s="2">
        <v>0</v>
      </c>
      <c r="AH197" s="2">
        <v>0</v>
      </c>
      <c r="AI197" s="2">
        <v>0</v>
      </c>
      <c r="AJ197" s="2">
        <v>0</v>
      </c>
      <c r="AK197" s="2">
        <v>0</v>
      </c>
      <c r="AL197" s="2">
        <v>0</v>
      </c>
      <c r="AM197" s="2">
        <v>0</v>
      </c>
      <c r="AN197" s="2">
        <v>0</v>
      </c>
      <c r="AO197" s="2">
        <v>0</v>
      </c>
      <c r="AP197" s="2">
        <v>0</v>
      </c>
      <c r="AQ197" s="2">
        <v>0</v>
      </c>
      <c r="AR197" s="2">
        <v>0</v>
      </c>
      <c r="AS197" s="2">
        <v>0</v>
      </c>
      <c r="AT197" s="2">
        <v>0</v>
      </c>
      <c r="AU197" s="2">
        <v>0</v>
      </c>
      <c r="AV197" s="2">
        <v>0</v>
      </c>
      <c r="AW197" s="2">
        <v>0</v>
      </c>
      <c r="AX197" s="2">
        <v>0</v>
      </c>
      <c r="AY197" s="2">
        <v>0</v>
      </c>
      <c r="AZ197" s="2" t="s">
        <v>39</v>
      </c>
      <c r="BA197" s="14">
        <v>400000</v>
      </c>
      <c r="BB197" s="14">
        <f>SUM(Table_ship_components[[#This Row],[PRICE]]+(Table_ship_components[[#This Row],[COST_PER_ADD_PERSON]]*Table_ship_components[[#This Row],[OPTIONAL]]))</f>
        <v>400000</v>
      </c>
      <c r="BC197" s="2">
        <v>0</v>
      </c>
      <c r="BD197" s="2">
        <v>0</v>
      </c>
    </row>
    <row r="198" spans="1:56" x14ac:dyDescent="0.35">
      <c r="A198" t="s">
        <v>411</v>
      </c>
      <c r="B198" t="s">
        <v>275</v>
      </c>
      <c r="C198" s="2">
        <v>0</v>
      </c>
      <c r="D198" s="2">
        <v>100</v>
      </c>
      <c r="E198" s="2">
        <f>SUM(Table_ship_components[[#This Row],[UNIT_SIZE]]+(Table_ship_components[[#This Row],[SIZE_PER_ADD_PERSON]]*Table_ship_components[[#This Row],[OPTIONAL]]))</f>
        <v>100</v>
      </c>
      <c r="F198" s="2">
        <v>0</v>
      </c>
      <c r="G198" s="2">
        <f>SUM(Table_ship_components[[#This Row],[POWER_CONSUMPTION]]+(Table_ship_components[[#This Row],[POWER_PER_ADD_PERSON]]*Table_ship_components[[#This Row],[OPTIONAL]]))</f>
        <v>0</v>
      </c>
      <c r="H198" s="2">
        <v>0</v>
      </c>
      <c r="I198" s="2">
        <v>0</v>
      </c>
      <c r="J198" s="2">
        <v>0</v>
      </c>
      <c r="K198" s="2">
        <v>0</v>
      </c>
      <c r="L198" s="2">
        <v>0</v>
      </c>
      <c r="M198" s="2">
        <v>0</v>
      </c>
      <c r="N198" s="2">
        <v>0</v>
      </c>
      <c r="O198" s="2">
        <v>0</v>
      </c>
      <c r="P198" s="2">
        <v>0</v>
      </c>
      <c r="Q198" s="2">
        <v>0</v>
      </c>
      <c r="R198" s="2">
        <v>1</v>
      </c>
      <c r="S198" s="2">
        <v>1</v>
      </c>
      <c r="T198" s="2">
        <v>1</v>
      </c>
      <c r="U198" s="2">
        <v>0</v>
      </c>
      <c r="V198" s="2">
        <v>0</v>
      </c>
      <c r="W198" s="14">
        <v>0</v>
      </c>
      <c r="X198" s="2">
        <v>0</v>
      </c>
      <c r="Y198" s="2">
        <v>0</v>
      </c>
      <c r="Z198" s="2">
        <v>0</v>
      </c>
      <c r="AA198" s="2">
        <v>0</v>
      </c>
      <c r="AB198" s="2">
        <v>0</v>
      </c>
      <c r="AC198" s="2">
        <v>0</v>
      </c>
      <c r="AD198" s="2">
        <v>0</v>
      </c>
      <c r="AE198" s="2">
        <v>0</v>
      </c>
      <c r="AF198" s="2">
        <v>0</v>
      </c>
      <c r="AG198" s="2">
        <v>0</v>
      </c>
      <c r="AH198" s="2">
        <v>0</v>
      </c>
      <c r="AI198" s="2">
        <v>0</v>
      </c>
      <c r="AJ198" s="2">
        <v>0</v>
      </c>
      <c r="AK198" s="2">
        <v>0</v>
      </c>
      <c r="AL198" s="2">
        <v>0</v>
      </c>
      <c r="AM198" s="2">
        <v>0</v>
      </c>
      <c r="AN198" s="2">
        <v>0</v>
      </c>
      <c r="AO198" s="2">
        <v>0</v>
      </c>
      <c r="AP198" s="2">
        <v>0</v>
      </c>
      <c r="AQ198" s="2">
        <v>0</v>
      </c>
      <c r="AR198" s="2">
        <v>0</v>
      </c>
      <c r="AS198" s="2">
        <v>0</v>
      </c>
      <c r="AT198" s="2">
        <v>0</v>
      </c>
      <c r="AU198" s="2">
        <v>0</v>
      </c>
      <c r="AV198" s="2">
        <v>0</v>
      </c>
      <c r="AW198" s="2">
        <v>0</v>
      </c>
      <c r="AX198" s="2">
        <v>0</v>
      </c>
      <c r="AY198" s="2">
        <v>0</v>
      </c>
      <c r="AZ198" s="2" t="s">
        <v>39</v>
      </c>
      <c r="BA198" s="14">
        <v>800000</v>
      </c>
      <c r="BB198" s="14">
        <f>SUM(Table_ship_components[[#This Row],[PRICE]]+(Table_ship_components[[#This Row],[COST_PER_ADD_PERSON]]*Table_ship_components[[#This Row],[OPTIONAL]]))</f>
        <v>800000</v>
      </c>
      <c r="BC198" s="2">
        <v>0</v>
      </c>
      <c r="BD198" s="2">
        <v>0</v>
      </c>
    </row>
    <row r="199" spans="1:56" x14ac:dyDescent="0.35">
      <c r="A199" t="s">
        <v>519</v>
      </c>
      <c r="B199" t="s">
        <v>520</v>
      </c>
      <c r="C199" s="2">
        <v>0</v>
      </c>
      <c r="D199" s="2">
        <v>5</v>
      </c>
      <c r="E199" s="2">
        <f>SUM(Table_ship_components[[#This Row],[UNIT_SIZE]]+(Table_ship_components[[#This Row],[SIZE_PER_ADD_PERSON]]*Table_ship_components[[#This Row],[OPTIONAL]]))</f>
        <v>5</v>
      </c>
      <c r="F199" s="2">
        <v>2</v>
      </c>
      <c r="G199" s="2">
        <f>SUM(Table_ship_components[[#This Row],[POWER_CONSUMPTION]]+(Table_ship_components[[#This Row],[POWER_PER_ADD_PERSON]]*Table_ship_components[[#This Row],[OPTIONAL]]))</f>
        <v>2</v>
      </c>
      <c r="H199" s="2">
        <v>0</v>
      </c>
      <c r="I199" s="2">
        <v>0</v>
      </c>
      <c r="J199" s="2">
        <v>0</v>
      </c>
      <c r="K199" s="2">
        <v>0</v>
      </c>
      <c r="L199" s="2">
        <v>0</v>
      </c>
      <c r="M199" s="2">
        <v>0</v>
      </c>
      <c r="N199" s="2">
        <v>1</v>
      </c>
      <c r="O199" s="2">
        <v>1</v>
      </c>
      <c r="P199" s="2">
        <v>1</v>
      </c>
      <c r="Q199" s="2">
        <v>1</v>
      </c>
      <c r="R199" s="2">
        <v>1</v>
      </c>
      <c r="S199" s="2">
        <v>1</v>
      </c>
      <c r="T199" s="2">
        <v>1</v>
      </c>
      <c r="U199" s="2">
        <v>0</v>
      </c>
      <c r="V199" s="2">
        <v>0</v>
      </c>
      <c r="W199" s="14">
        <v>0</v>
      </c>
      <c r="X199" s="2">
        <v>0</v>
      </c>
      <c r="Y199" s="2">
        <v>0</v>
      </c>
      <c r="Z199" s="2">
        <v>0</v>
      </c>
      <c r="AA199" s="2">
        <v>0</v>
      </c>
      <c r="AB199" s="2">
        <v>0</v>
      </c>
      <c r="AC199" s="2">
        <v>0</v>
      </c>
      <c r="AD199" s="2">
        <v>0</v>
      </c>
      <c r="AE199" s="2">
        <v>0</v>
      </c>
      <c r="AF199" s="2">
        <v>0</v>
      </c>
      <c r="AG199" s="2">
        <v>0</v>
      </c>
      <c r="AH199" s="2">
        <v>0</v>
      </c>
      <c r="AI199" s="2">
        <v>0</v>
      </c>
      <c r="AJ199" s="2">
        <v>0</v>
      </c>
      <c r="AK199" s="2">
        <v>0</v>
      </c>
      <c r="AL199" s="2">
        <v>0</v>
      </c>
      <c r="AM199" s="2">
        <v>0</v>
      </c>
      <c r="AN199" s="2">
        <v>0</v>
      </c>
      <c r="AO199" s="2">
        <v>0</v>
      </c>
      <c r="AP199" s="2">
        <v>0</v>
      </c>
      <c r="AQ199" s="2">
        <v>0</v>
      </c>
      <c r="AR199" s="2">
        <v>0</v>
      </c>
      <c r="AS199" s="2">
        <v>0</v>
      </c>
      <c r="AT199" s="2">
        <v>0</v>
      </c>
      <c r="AU199" s="2">
        <v>0</v>
      </c>
      <c r="AV199" s="2">
        <v>0</v>
      </c>
      <c r="AW199" s="2">
        <v>0</v>
      </c>
      <c r="AX199" s="2">
        <v>0</v>
      </c>
      <c r="AY199" s="2">
        <v>0</v>
      </c>
      <c r="AZ199" s="2" t="s">
        <v>39</v>
      </c>
      <c r="BA199" s="14">
        <v>150000</v>
      </c>
      <c r="BB199" s="14">
        <f>SUM(Table_ship_components[[#This Row],[PRICE]]+(Table_ship_components[[#This Row],[COST_PER_ADD_PERSON]]*Table_ship_components[[#This Row],[OPTIONAL]]))</f>
        <v>150000</v>
      </c>
      <c r="BC199" s="2">
        <v>0</v>
      </c>
      <c r="BD199" s="2">
        <v>0</v>
      </c>
    </row>
    <row r="200" spans="1:56" x14ac:dyDescent="0.35">
      <c r="A200" t="s">
        <v>517</v>
      </c>
      <c r="B200" t="s">
        <v>518</v>
      </c>
      <c r="C200" s="2">
        <v>0</v>
      </c>
      <c r="D200" s="2">
        <v>8</v>
      </c>
      <c r="E200" s="2">
        <f>SUM(Table_ship_components[[#This Row],[UNIT_SIZE]]+(Table_ship_components[[#This Row],[SIZE_PER_ADD_PERSON]]*Table_ship_components[[#This Row],[OPTIONAL]]))</f>
        <v>8</v>
      </c>
      <c r="F200" s="2">
        <v>3</v>
      </c>
      <c r="G200" s="2">
        <f>SUM(Table_ship_components[[#This Row],[POWER_CONSUMPTION]]+(Table_ship_components[[#This Row],[POWER_PER_ADD_PERSON]]*Table_ship_components[[#This Row],[OPTIONAL]]))</f>
        <v>3</v>
      </c>
      <c r="H200" s="2">
        <v>0</v>
      </c>
      <c r="I200" s="2">
        <v>0</v>
      </c>
      <c r="J200" s="2">
        <v>0</v>
      </c>
      <c r="K200" s="2">
        <v>0</v>
      </c>
      <c r="L200" s="2">
        <v>0</v>
      </c>
      <c r="M200" s="2">
        <v>0</v>
      </c>
      <c r="N200" s="2">
        <v>0</v>
      </c>
      <c r="O200" s="2">
        <v>1</v>
      </c>
      <c r="P200" s="2">
        <v>1</v>
      </c>
      <c r="Q200" s="2">
        <v>1</v>
      </c>
      <c r="R200" s="2">
        <v>1</v>
      </c>
      <c r="S200" s="2">
        <v>1</v>
      </c>
      <c r="T200" s="2">
        <v>1</v>
      </c>
      <c r="U200" s="2">
        <v>0</v>
      </c>
      <c r="V200" s="2">
        <v>0</v>
      </c>
      <c r="W200" s="14">
        <v>0</v>
      </c>
      <c r="X200" s="2">
        <v>0</v>
      </c>
      <c r="Y200" s="2">
        <v>0</v>
      </c>
      <c r="Z200" s="2">
        <v>0</v>
      </c>
      <c r="AA200" s="2">
        <v>0</v>
      </c>
      <c r="AB200" s="2">
        <v>0</v>
      </c>
      <c r="AC200" s="2">
        <v>0</v>
      </c>
      <c r="AD200" s="2">
        <v>0</v>
      </c>
      <c r="AE200" s="2">
        <v>0</v>
      </c>
      <c r="AF200" s="2">
        <v>0</v>
      </c>
      <c r="AG200" s="2">
        <v>0</v>
      </c>
      <c r="AH200" s="2">
        <v>0</v>
      </c>
      <c r="AI200" s="2">
        <v>0</v>
      </c>
      <c r="AJ200" s="2">
        <v>0</v>
      </c>
      <c r="AK200" s="2">
        <v>0</v>
      </c>
      <c r="AL200" s="2">
        <v>0</v>
      </c>
      <c r="AM200" s="2">
        <v>0</v>
      </c>
      <c r="AN200" s="2">
        <v>0</v>
      </c>
      <c r="AO200" s="2">
        <v>0</v>
      </c>
      <c r="AP200" s="2">
        <v>0</v>
      </c>
      <c r="AQ200" s="2">
        <v>0</v>
      </c>
      <c r="AR200" s="2">
        <v>0</v>
      </c>
      <c r="AS200" s="2">
        <v>0</v>
      </c>
      <c r="AT200" s="2">
        <v>0</v>
      </c>
      <c r="AU200" s="2">
        <v>0</v>
      </c>
      <c r="AV200" s="2">
        <v>0</v>
      </c>
      <c r="AW200" s="2">
        <v>0</v>
      </c>
      <c r="AX200" s="2">
        <v>0</v>
      </c>
      <c r="AY200" s="2">
        <v>0</v>
      </c>
      <c r="AZ200" s="2" t="s">
        <v>39</v>
      </c>
      <c r="BA200" s="14">
        <v>300000</v>
      </c>
      <c r="BB200" s="14">
        <f>SUM(Table_ship_components[[#This Row],[PRICE]]+(Table_ship_components[[#This Row],[COST_PER_ADD_PERSON]]*Table_ship_components[[#This Row],[OPTIONAL]]))</f>
        <v>300000</v>
      </c>
      <c r="BC200" s="2">
        <v>0</v>
      </c>
      <c r="BD200" s="2">
        <v>0</v>
      </c>
    </row>
    <row r="201" spans="1:56" x14ac:dyDescent="0.35">
      <c r="A201" t="s">
        <v>513</v>
      </c>
      <c r="B201" t="s">
        <v>514</v>
      </c>
      <c r="C201" s="2">
        <v>0</v>
      </c>
      <c r="D201" s="2">
        <v>25</v>
      </c>
      <c r="E201" s="2">
        <f>SUM(Table_ship_components[[#This Row],[UNIT_SIZE]]+(Table_ship_components[[#This Row],[SIZE_PER_ADD_PERSON]]*Table_ship_components[[#This Row],[OPTIONAL]]))</f>
        <v>25</v>
      </c>
      <c r="F201" s="2">
        <v>8</v>
      </c>
      <c r="G201" s="2">
        <f>SUM(Table_ship_components[[#This Row],[POWER_CONSUMPTION]]+(Table_ship_components[[#This Row],[POWER_PER_ADD_PERSON]]*Table_ship_components[[#This Row],[OPTIONAL]]))</f>
        <v>8</v>
      </c>
      <c r="H201" s="2">
        <v>0</v>
      </c>
      <c r="I201" s="2">
        <v>0</v>
      </c>
      <c r="J201" s="2">
        <v>0</v>
      </c>
      <c r="K201" s="2">
        <v>0</v>
      </c>
      <c r="L201" s="2">
        <v>0</v>
      </c>
      <c r="M201" s="2">
        <v>0</v>
      </c>
      <c r="N201" s="2">
        <v>0</v>
      </c>
      <c r="O201" s="2">
        <v>0</v>
      </c>
      <c r="P201" s="2">
        <v>0</v>
      </c>
      <c r="Q201" s="2">
        <v>1</v>
      </c>
      <c r="R201" s="2">
        <v>1</v>
      </c>
      <c r="S201" s="2">
        <v>1</v>
      </c>
      <c r="T201" s="2">
        <v>1</v>
      </c>
      <c r="U201" s="2">
        <v>0</v>
      </c>
      <c r="V201" s="2">
        <v>0</v>
      </c>
      <c r="W201" s="14">
        <v>0</v>
      </c>
      <c r="X201" s="2">
        <v>0</v>
      </c>
      <c r="Y201" s="2">
        <v>0</v>
      </c>
      <c r="Z201" s="2">
        <v>0</v>
      </c>
      <c r="AA201" s="2">
        <v>0</v>
      </c>
      <c r="AB201" s="2">
        <v>0</v>
      </c>
      <c r="AC201" s="2">
        <v>0</v>
      </c>
      <c r="AD201" s="2">
        <v>0</v>
      </c>
      <c r="AE201" s="2">
        <v>0</v>
      </c>
      <c r="AF201" s="2">
        <v>0</v>
      </c>
      <c r="AG201" s="2">
        <v>0</v>
      </c>
      <c r="AH201" s="2">
        <v>0</v>
      </c>
      <c r="AI201" s="2">
        <v>0</v>
      </c>
      <c r="AJ201" s="2">
        <v>0</v>
      </c>
      <c r="AK201" s="2">
        <v>0</v>
      </c>
      <c r="AL201" s="2">
        <v>0</v>
      </c>
      <c r="AM201" s="2">
        <v>0</v>
      </c>
      <c r="AN201" s="2">
        <v>0</v>
      </c>
      <c r="AO201" s="2">
        <v>0</v>
      </c>
      <c r="AP201" s="2">
        <v>0</v>
      </c>
      <c r="AQ201" s="2">
        <v>0</v>
      </c>
      <c r="AR201" s="2">
        <v>0</v>
      </c>
      <c r="AS201" s="2">
        <v>0</v>
      </c>
      <c r="AT201" s="2">
        <v>0</v>
      </c>
      <c r="AU201" s="2">
        <v>0</v>
      </c>
      <c r="AV201" s="2">
        <v>0</v>
      </c>
      <c r="AW201" s="2">
        <v>0</v>
      </c>
      <c r="AX201" s="2">
        <v>0</v>
      </c>
      <c r="AY201" s="2">
        <v>0</v>
      </c>
      <c r="AZ201" s="2" t="s">
        <v>39</v>
      </c>
      <c r="BA201" s="14">
        <v>600000</v>
      </c>
      <c r="BB201" s="14">
        <f>SUM(Table_ship_components[[#This Row],[PRICE]]+(Table_ship_components[[#This Row],[COST_PER_ADD_PERSON]]*Table_ship_components[[#This Row],[OPTIONAL]]))</f>
        <v>600000</v>
      </c>
      <c r="BC201" s="2">
        <v>0</v>
      </c>
      <c r="BD201" s="2">
        <v>0</v>
      </c>
    </row>
    <row r="202" spans="1:56" x14ac:dyDescent="0.35">
      <c r="A202" t="s">
        <v>515</v>
      </c>
      <c r="B202" t="s">
        <v>516</v>
      </c>
      <c r="C202" s="2">
        <v>0</v>
      </c>
      <c r="D202" s="2">
        <v>150</v>
      </c>
      <c r="E202" s="2">
        <f>SUM(Table_ship_components[[#This Row],[UNIT_SIZE]]+(Table_ship_components[[#This Row],[SIZE_PER_ADD_PERSON]]*Table_ship_components[[#This Row],[OPTIONAL]]))</f>
        <v>150</v>
      </c>
      <c r="F202" s="2">
        <v>25</v>
      </c>
      <c r="G202" s="2">
        <f>SUM(Table_ship_components[[#This Row],[POWER_CONSUMPTION]]+(Table_ship_components[[#This Row],[POWER_PER_ADD_PERSON]]*Table_ship_components[[#This Row],[OPTIONAL]]))</f>
        <v>25</v>
      </c>
      <c r="H202" s="2">
        <v>0</v>
      </c>
      <c r="I202" s="2">
        <v>0</v>
      </c>
      <c r="J202" s="2">
        <v>0</v>
      </c>
      <c r="K202" s="2">
        <v>0</v>
      </c>
      <c r="L202" s="2">
        <v>0</v>
      </c>
      <c r="M202" s="2">
        <v>0</v>
      </c>
      <c r="N202" s="2">
        <v>0</v>
      </c>
      <c r="O202" s="2">
        <v>0</v>
      </c>
      <c r="P202" s="2">
        <v>0</v>
      </c>
      <c r="Q202" s="2">
        <v>0</v>
      </c>
      <c r="R202" s="2">
        <v>0</v>
      </c>
      <c r="S202" s="2">
        <v>1</v>
      </c>
      <c r="T202" s="2">
        <v>1</v>
      </c>
      <c r="U202" s="2">
        <v>0</v>
      </c>
      <c r="V202" s="2">
        <v>0</v>
      </c>
      <c r="W202" s="14">
        <v>0</v>
      </c>
      <c r="X202" s="2">
        <v>0</v>
      </c>
      <c r="Y202" s="2">
        <v>0</v>
      </c>
      <c r="Z202" s="2">
        <v>0</v>
      </c>
      <c r="AA202" s="2">
        <v>0</v>
      </c>
      <c r="AB202" s="2">
        <v>0</v>
      </c>
      <c r="AC202" s="2">
        <v>0</v>
      </c>
      <c r="AD202" s="2">
        <v>0</v>
      </c>
      <c r="AE202" s="2">
        <v>0</v>
      </c>
      <c r="AF202" s="2">
        <v>0</v>
      </c>
      <c r="AG202" s="2">
        <v>0</v>
      </c>
      <c r="AH202" s="2">
        <v>0</v>
      </c>
      <c r="AI202" s="2">
        <v>0</v>
      </c>
      <c r="AJ202" s="2">
        <v>0</v>
      </c>
      <c r="AK202" s="2">
        <v>0</v>
      </c>
      <c r="AL202" s="2">
        <v>0</v>
      </c>
      <c r="AM202" s="2">
        <v>0</v>
      </c>
      <c r="AN202" s="2">
        <v>0</v>
      </c>
      <c r="AO202" s="2">
        <v>0</v>
      </c>
      <c r="AP202" s="2">
        <v>0</v>
      </c>
      <c r="AQ202" s="2">
        <v>0</v>
      </c>
      <c r="AR202" s="2">
        <v>0</v>
      </c>
      <c r="AS202" s="2">
        <v>0</v>
      </c>
      <c r="AT202" s="2">
        <v>0</v>
      </c>
      <c r="AU202" s="2">
        <v>0</v>
      </c>
      <c r="AV202" s="2">
        <v>0</v>
      </c>
      <c r="AW202" s="2">
        <v>0</v>
      </c>
      <c r="AX202" s="2">
        <v>0</v>
      </c>
      <c r="AY202" s="2">
        <v>0</v>
      </c>
      <c r="AZ202" s="2" t="s">
        <v>39</v>
      </c>
      <c r="BA202" s="14">
        <v>1000000</v>
      </c>
      <c r="BB202" s="14">
        <f>SUM(Table_ship_components[[#This Row],[PRICE]]+(Table_ship_components[[#This Row],[COST_PER_ADD_PERSON]]*Table_ship_components[[#This Row],[OPTIONAL]]))</f>
        <v>1000000</v>
      </c>
      <c r="BC202" s="2">
        <v>0</v>
      </c>
      <c r="BD202" s="2">
        <v>0</v>
      </c>
    </row>
    <row r="203" spans="1:56" x14ac:dyDescent="0.35">
      <c r="A203" t="s">
        <v>723</v>
      </c>
      <c r="B203" t="s">
        <v>722</v>
      </c>
      <c r="D203" s="2"/>
      <c r="E203" s="2">
        <f>SUM(Table_ship_components[[#This Row],[UNIT_SIZE]]+(Table_ship_components[[#This Row],[SIZE_PER_ADD_PERSON]]*Table_ship_components[[#This Row],[OPTIONAL]]))</f>
        <v>0</v>
      </c>
      <c r="F203" s="2"/>
      <c r="G203" s="2">
        <f>SUM(Table_ship_components[[#This Row],[POWER_CONSUMPTION]]+(Table_ship_components[[#This Row],[POWER_PER_ADD_PERSON]]*Table_ship_components[[#This Row],[OPTIONAL]]))</f>
        <v>0</v>
      </c>
      <c r="H203" s="2"/>
      <c r="I203" s="2"/>
      <c r="J203" s="2"/>
      <c r="K203" s="2"/>
      <c r="L203" s="2"/>
      <c r="M203" s="2"/>
      <c r="N203" s="2"/>
      <c r="O203" s="2"/>
      <c r="P203" s="2"/>
      <c r="Q203" s="2"/>
      <c r="R203" s="2"/>
      <c r="S203" s="2"/>
      <c r="T203" s="2"/>
      <c r="U203" s="2"/>
      <c r="V203" s="2"/>
      <c r="W203" s="14"/>
      <c r="X203" s="2"/>
      <c r="Y203" s="2"/>
      <c r="Z203" s="2"/>
      <c r="AA203" s="2"/>
      <c r="AB203" s="2"/>
      <c r="AC203" s="2"/>
      <c r="AD203" s="2"/>
      <c r="AE203" s="2"/>
      <c r="AF203" s="2"/>
      <c r="AG203" s="2"/>
      <c r="AH203" s="2"/>
      <c r="AI203" s="2"/>
      <c r="AJ203" s="2"/>
      <c r="AK203" s="2"/>
      <c r="AL203" s="2"/>
      <c r="AM203" s="2">
        <v>1</v>
      </c>
      <c r="AN203" s="2">
        <v>5</v>
      </c>
      <c r="AO203" s="2">
        <v>2</v>
      </c>
      <c r="AP203" s="2">
        <v>5</v>
      </c>
      <c r="AQ203" s="2">
        <v>0</v>
      </c>
      <c r="AR203" s="2">
        <v>3</v>
      </c>
      <c r="AS203" s="2">
        <v>2</v>
      </c>
      <c r="AT203" s="2">
        <v>2</v>
      </c>
      <c r="AU203" s="2">
        <v>3</v>
      </c>
      <c r="AV203" s="2">
        <v>25</v>
      </c>
      <c r="AW203" s="2">
        <v>10</v>
      </c>
      <c r="AX203" s="2">
        <v>10</v>
      </c>
      <c r="AY203" s="2">
        <v>5</v>
      </c>
      <c r="AZ203" s="2" t="s">
        <v>39</v>
      </c>
      <c r="BA203" s="14">
        <f>(Table_ship_components[[#This Row],[CORE_SPACE_UNITS]]*50000)+(Table_ship_components[[#This Row],[INTERNAL_SPACE_UNITS]]*5000)+(Table_ship_components[[#This Row],[EXTERNAL_SPACE_UNITS]]*500)</f>
        <v>552500</v>
      </c>
      <c r="BB203" s="14">
        <f>SUM(Table_ship_components[[#This Row],[PRICE]]+(Table_ship_components[[#This Row],[COST_PER_ADD_PERSON]]*Table_ship_components[[#This Row],[OPTIONAL]]))</f>
        <v>552500</v>
      </c>
      <c r="BC203" s="2">
        <v>0</v>
      </c>
      <c r="BD203" s="2">
        <v>0</v>
      </c>
    </row>
    <row r="204" spans="1:56" x14ac:dyDescent="0.35">
      <c r="A204" t="s">
        <v>724</v>
      </c>
      <c r="B204" t="s">
        <v>732</v>
      </c>
      <c r="D204" s="2"/>
      <c r="E204" s="2">
        <f>SUM(Table_ship_components[[#This Row],[UNIT_SIZE]]+(Table_ship_components[[#This Row],[SIZE_PER_ADD_PERSON]]*Table_ship_components[[#This Row],[OPTIONAL]]))</f>
        <v>0</v>
      </c>
      <c r="F204" s="2"/>
      <c r="G204" s="2">
        <f>SUM(Table_ship_components[[#This Row],[POWER_CONSUMPTION]]+(Table_ship_components[[#This Row],[POWER_PER_ADD_PERSON]]*Table_ship_components[[#This Row],[OPTIONAL]]))</f>
        <v>0</v>
      </c>
      <c r="H204" s="2"/>
      <c r="I204" s="2"/>
      <c r="J204" s="2"/>
      <c r="K204" s="2"/>
      <c r="L204" s="2"/>
      <c r="M204" s="2"/>
      <c r="N204" s="2"/>
      <c r="O204" s="2"/>
      <c r="P204" s="2"/>
      <c r="Q204" s="2"/>
      <c r="R204" s="2"/>
      <c r="S204" s="2"/>
      <c r="T204" s="2"/>
      <c r="U204" s="2"/>
      <c r="V204" s="2"/>
      <c r="W204" s="14"/>
      <c r="X204" s="2"/>
      <c r="Y204" s="2"/>
      <c r="Z204" s="2"/>
      <c r="AA204" s="2"/>
      <c r="AB204" s="2"/>
      <c r="AC204" s="2"/>
      <c r="AD204" s="2"/>
      <c r="AE204" s="2"/>
      <c r="AF204" s="2"/>
      <c r="AG204" s="2"/>
      <c r="AH204" s="2"/>
      <c r="AI204" s="2"/>
      <c r="AJ204" s="2"/>
      <c r="AK204" s="2"/>
      <c r="AL204" s="2"/>
      <c r="AM204" s="2">
        <v>1</v>
      </c>
      <c r="AN204" s="2">
        <v>5</v>
      </c>
      <c r="AO204" s="2">
        <v>2</v>
      </c>
      <c r="AP204" s="2">
        <v>5</v>
      </c>
      <c r="AQ204" s="2">
        <v>0</v>
      </c>
      <c r="AR204" s="2">
        <v>3</v>
      </c>
      <c r="AS204" s="2">
        <v>2</v>
      </c>
      <c r="AT204" s="2">
        <v>2</v>
      </c>
      <c r="AU204" s="2">
        <v>3</v>
      </c>
      <c r="AV204" s="2">
        <v>25</v>
      </c>
      <c r="AW204" s="2">
        <v>10</v>
      </c>
      <c r="AX204" s="2">
        <v>15</v>
      </c>
      <c r="AY204" s="2">
        <v>0</v>
      </c>
      <c r="AZ204" s="2" t="s">
        <v>39</v>
      </c>
      <c r="BA204" s="14">
        <f>(Table_ship_components[[#This Row],[CORE_SPACE_UNITS]]*50000)+(Table_ship_components[[#This Row],[INTERNAL_SPACE_UNITS]]*5000)+(Table_ship_components[[#This Row],[EXTERNAL_SPACE_UNITS]]*500)</f>
        <v>575000</v>
      </c>
      <c r="BB204" s="14">
        <f>SUM(Table_ship_components[[#This Row],[PRICE]]+(Table_ship_components[[#This Row],[COST_PER_ADD_PERSON]]*Table_ship_components[[#This Row],[OPTIONAL]]))</f>
        <v>575000</v>
      </c>
      <c r="BC204" s="2">
        <v>0</v>
      </c>
      <c r="BD204" s="2">
        <v>0</v>
      </c>
    </row>
    <row r="205" spans="1:56" x14ac:dyDescent="0.35">
      <c r="A205" t="s">
        <v>728</v>
      </c>
      <c r="B205" t="s">
        <v>731</v>
      </c>
      <c r="D205" s="2"/>
      <c r="E205" s="2">
        <f>SUM(Table_ship_components[[#This Row],[UNIT_SIZE]]+(Table_ship_components[[#This Row],[SIZE_PER_ADD_PERSON]]*Table_ship_components[[#This Row],[OPTIONAL]]))</f>
        <v>0</v>
      </c>
      <c r="F205" s="2"/>
      <c r="G205" s="2">
        <f>SUM(Table_ship_components[[#This Row],[POWER_CONSUMPTION]]+(Table_ship_components[[#This Row],[POWER_PER_ADD_PERSON]]*Table_ship_components[[#This Row],[OPTIONAL]]))</f>
        <v>0</v>
      </c>
      <c r="H205" s="2"/>
      <c r="I205" s="2"/>
      <c r="J205" s="2"/>
      <c r="K205" s="2"/>
      <c r="L205" s="2"/>
      <c r="M205" s="2"/>
      <c r="N205" s="2"/>
      <c r="O205" s="2"/>
      <c r="P205" s="2"/>
      <c r="Q205" s="2"/>
      <c r="R205" s="2"/>
      <c r="S205" s="2"/>
      <c r="T205" s="2"/>
      <c r="U205" s="2"/>
      <c r="V205" s="2"/>
      <c r="W205" s="14"/>
      <c r="X205" s="2"/>
      <c r="Y205" s="2"/>
      <c r="Z205" s="2"/>
      <c r="AA205" s="2"/>
      <c r="AB205" s="2"/>
      <c r="AC205" s="2"/>
      <c r="AD205" s="2"/>
      <c r="AE205" s="2"/>
      <c r="AF205" s="2"/>
      <c r="AG205" s="2"/>
      <c r="AH205" s="2"/>
      <c r="AI205" s="2"/>
      <c r="AJ205" s="2"/>
      <c r="AK205" s="2"/>
      <c r="AL205" s="2"/>
      <c r="AM205" s="2">
        <v>1</v>
      </c>
      <c r="AN205" s="2">
        <v>5</v>
      </c>
      <c r="AO205" s="2">
        <v>2</v>
      </c>
      <c r="AP205" s="2">
        <v>5</v>
      </c>
      <c r="AQ205" s="2">
        <v>0</v>
      </c>
      <c r="AR205" s="2">
        <v>3</v>
      </c>
      <c r="AS205" s="2">
        <v>2</v>
      </c>
      <c r="AT205" s="2">
        <v>2</v>
      </c>
      <c r="AU205" s="2">
        <v>3</v>
      </c>
      <c r="AV205" s="2">
        <v>25</v>
      </c>
      <c r="AW205" s="2">
        <v>10</v>
      </c>
      <c r="AX205" s="2">
        <v>5</v>
      </c>
      <c r="AY205" s="2">
        <v>10</v>
      </c>
      <c r="AZ205" s="2" t="s">
        <v>39</v>
      </c>
      <c r="BA205" s="14">
        <f>(Table_ship_components[[#This Row],[CORE_SPACE_UNITS]]*50000)+(Table_ship_components[[#This Row],[INTERNAL_SPACE_UNITS]]*5000)+(Table_ship_components[[#This Row],[EXTERNAL_SPACE_UNITS]]*500)</f>
        <v>530000</v>
      </c>
      <c r="BB205" s="14">
        <f>SUM(Table_ship_components[[#This Row],[PRICE]]+(Table_ship_components[[#This Row],[COST_PER_ADD_PERSON]]*Table_ship_components[[#This Row],[OPTIONAL]]))</f>
        <v>530000</v>
      </c>
      <c r="BC205" s="2">
        <v>0</v>
      </c>
      <c r="BD205" s="2">
        <v>0</v>
      </c>
    </row>
    <row r="206" spans="1:56" x14ac:dyDescent="0.35">
      <c r="A206" t="s">
        <v>729</v>
      </c>
      <c r="B206" t="s">
        <v>733</v>
      </c>
      <c r="D206" s="2"/>
      <c r="E206" s="2">
        <f>SUM(Table_ship_components[[#This Row],[UNIT_SIZE]]+(Table_ship_components[[#This Row],[SIZE_PER_ADD_PERSON]]*Table_ship_components[[#This Row],[OPTIONAL]]))</f>
        <v>0</v>
      </c>
      <c r="F206" s="2"/>
      <c r="G206" s="2">
        <f>SUM(Table_ship_components[[#This Row],[POWER_CONSUMPTION]]+(Table_ship_components[[#This Row],[POWER_PER_ADD_PERSON]]*Table_ship_components[[#This Row],[OPTIONAL]]))</f>
        <v>0</v>
      </c>
      <c r="H206" s="2"/>
      <c r="I206" s="2"/>
      <c r="J206" s="2"/>
      <c r="K206" s="2"/>
      <c r="L206" s="2"/>
      <c r="M206" s="2"/>
      <c r="N206" s="2"/>
      <c r="O206" s="2"/>
      <c r="P206" s="2"/>
      <c r="Q206" s="2"/>
      <c r="R206" s="2"/>
      <c r="S206" s="2"/>
      <c r="T206" s="2"/>
      <c r="U206" s="2"/>
      <c r="V206" s="2"/>
      <c r="W206" s="14"/>
      <c r="X206" s="2"/>
      <c r="Y206" s="2"/>
      <c r="Z206" s="2"/>
      <c r="AA206" s="2"/>
      <c r="AB206" s="2"/>
      <c r="AC206" s="2"/>
      <c r="AD206" s="2"/>
      <c r="AE206" s="2"/>
      <c r="AF206" s="2"/>
      <c r="AG206" s="2"/>
      <c r="AH206" s="2"/>
      <c r="AI206" s="2"/>
      <c r="AJ206" s="2"/>
      <c r="AK206" s="2"/>
      <c r="AL206" s="2"/>
      <c r="AM206" s="2">
        <v>1</v>
      </c>
      <c r="AN206" s="2">
        <v>5</v>
      </c>
      <c r="AO206" s="2">
        <v>2</v>
      </c>
      <c r="AP206" s="2">
        <v>5</v>
      </c>
      <c r="AQ206" s="2">
        <v>0</v>
      </c>
      <c r="AR206" s="2">
        <v>3</v>
      </c>
      <c r="AS206" s="2">
        <v>2</v>
      </c>
      <c r="AT206" s="2">
        <v>2</v>
      </c>
      <c r="AU206" s="2">
        <v>3</v>
      </c>
      <c r="AV206" s="2">
        <v>25</v>
      </c>
      <c r="AW206" s="2">
        <v>5</v>
      </c>
      <c r="AX206" s="2">
        <v>0</v>
      </c>
      <c r="AY206" s="2">
        <v>20</v>
      </c>
      <c r="AZ206" s="2" t="s">
        <v>39</v>
      </c>
      <c r="BA206" s="14">
        <f>(Table_ship_components[[#This Row],[CORE_SPACE_UNITS]]*50000)+(Table_ship_components[[#This Row],[INTERNAL_SPACE_UNITS]]*5000)+(Table_ship_components[[#This Row],[EXTERNAL_SPACE_UNITS]]*500)</f>
        <v>260000</v>
      </c>
      <c r="BB206" s="14">
        <f>SUM(Table_ship_components[[#This Row],[PRICE]]+(Table_ship_components[[#This Row],[COST_PER_ADD_PERSON]]*Table_ship_components[[#This Row],[OPTIONAL]]))</f>
        <v>260000</v>
      </c>
      <c r="BC206" s="2">
        <v>0</v>
      </c>
      <c r="BD206" s="2">
        <v>0</v>
      </c>
    </row>
    <row r="207" spans="1:56" x14ac:dyDescent="0.35">
      <c r="A207" t="s">
        <v>730</v>
      </c>
      <c r="B207" t="s">
        <v>734</v>
      </c>
      <c r="D207" s="2"/>
      <c r="E207" s="2">
        <f>SUM(Table_ship_components[[#This Row],[UNIT_SIZE]]+(Table_ship_components[[#This Row],[SIZE_PER_ADD_PERSON]]*Table_ship_components[[#This Row],[OPTIONAL]]))</f>
        <v>0</v>
      </c>
      <c r="F207" s="2"/>
      <c r="G207" s="2">
        <f>SUM(Table_ship_components[[#This Row],[POWER_CONSUMPTION]]+(Table_ship_components[[#This Row],[POWER_PER_ADD_PERSON]]*Table_ship_components[[#This Row],[OPTIONAL]]))</f>
        <v>0</v>
      </c>
      <c r="H207" s="2"/>
      <c r="I207" s="2"/>
      <c r="J207" s="2"/>
      <c r="K207" s="2"/>
      <c r="L207" s="2"/>
      <c r="M207" s="2"/>
      <c r="N207" s="2"/>
      <c r="O207" s="2"/>
      <c r="P207" s="2"/>
      <c r="Q207" s="2"/>
      <c r="R207" s="2"/>
      <c r="S207" s="2"/>
      <c r="T207" s="2"/>
      <c r="U207" s="2"/>
      <c r="V207" s="2"/>
      <c r="W207" s="14"/>
      <c r="X207" s="2"/>
      <c r="Y207" s="2"/>
      <c r="Z207" s="2"/>
      <c r="AA207" s="2"/>
      <c r="AB207" s="2"/>
      <c r="AC207" s="2"/>
      <c r="AD207" s="2"/>
      <c r="AE207" s="2"/>
      <c r="AF207" s="2"/>
      <c r="AG207" s="2"/>
      <c r="AH207" s="2"/>
      <c r="AI207" s="2"/>
      <c r="AJ207" s="2"/>
      <c r="AK207" s="2"/>
      <c r="AL207" s="2"/>
      <c r="AM207" s="2">
        <v>1</v>
      </c>
      <c r="AN207" s="2">
        <v>5</v>
      </c>
      <c r="AO207" s="2">
        <v>2</v>
      </c>
      <c r="AP207" s="2">
        <v>5</v>
      </c>
      <c r="AQ207" s="2">
        <v>0</v>
      </c>
      <c r="AR207" s="2">
        <v>3</v>
      </c>
      <c r="AS207" s="2">
        <v>2</v>
      </c>
      <c r="AT207" s="2">
        <v>2</v>
      </c>
      <c r="AU207" s="2">
        <v>3</v>
      </c>
      <c r="AV207" s="2">
        <v>25</v>
      </c>
      <c r="AW207" s="2">
        <v>10</v>
      </c>
      <c r="AX207" s="2">
        <v>0</v>
      </c>
      <c r="AY207" s="2">
        <v>15</v>
      </c>
      <c r="AZ207" s="2" t="s">
        <v>39</v>
      </c>
      <c r="BA207" s="14">
        <f>(Table_ship_components[[#This Row],[CORE_SPACE_UNITS]]*50000)+(Table_ship_components[[#This Row],[INTERNAL_SPACE_UNITS]]*5000)+(Table_ship_components[[#This Row],[EXTERNAL_SPACE_UNITS]]*500)</f>
        <v>507500</v>
      </c>
      <c r="BB207" s="14">
        <f>SUM(Table_ship_components[[#This Row],[PRICE]]+(Table_ship_components[[#This Row],[COST_PER_ADD_PERSON]]*Table_ship_components[[#This Row],[OPTIONAL]]))</f>
        <v>507500</v>
      </c>
      <c r="BC207" s="2">
        <v>0</v>
      </c>
      <c r="BD207" s="2">
        <v>0</v>
      </c>
    </row>
    <row r="208" spans="1:56" x14ac:dyDescent="0.35">
      <c r="A208" t="s">
        <v>716</v>
      </c>
      <c r="B208" t="s">
        <v>721</v>
      </c>
      <c r="D208" s="2"/>
      <c r="E208" s="2">
        <f>SUM(Table_ship_components[[#This Row],[UNIT_SIZE]]+(Table_ship_components[[#This Row],[SIZE_PER_ADD_PERSON]]*Table_ship_components[[#This Row],[OPTIONAL]]))</f>
        <v>0</v>
      </c>
      <c r="F208" s="2"/>
      <c r="G208" s="2">
        <f>SUM(Table_ship_components[[#This Row],[POWER_CONSUMPTION]]+(Table_ship_components[[#This Row],[POWER_PER_ADD_PERSON]]*Table_ship_components[[#This Row],[OPTIONAL]]))</f>
        <v>0</v>
      </c>
      <c r="H208" s="2"/>
      <c r="I208" s="2"/>
      <c r="J208" s="2"/>
      <c r="K208" s="2"/>
      <c r="L208" s="2"/>
      <c r="M208" s="2"/>
      <c r="N208" s="2"/>
      <c r="O208" s="2"/>
      <c r="P208" s="2"/>
      <c r="Q208" s="2"/>
      <c r="R208" s="2"/>
      <c r="S208" s="2"/>
      <c r="T208" s="2"/>
      <c r="U208" s="2"/>
      <c r="V208" s="2"/>
      <c r="W208" s="14"/>
      <c r="X208" s="2"/>
      <c r="Y208" s="2"/>
      <c r="Z208" s="2"/>
      <c r="AA208" s="2"/>
      <c r="AB208" s="2"/>
      <c r="AC208" s="2"/>
      <c r="AD208" s="2"/>
      <c r="AE208" s="2"/>
      <c r="AF208" s="2"/>
      <c r="AG208" s="2"/>
      <c r="AH208" s="2"/>
      <c r="AI208" s="2"/>
      <c r="AJ208" s="2"/>
      <c r="AK208" s="2"/>
      <c r="AL208" s="2"/>
      <c r="AM208" s="2">
        <v>2</v>
      </c>
      <c r="AN208" s="2">
        <v>5</v>
      </c>
      <c r="AO208" s="2">
        <v>2</v>
      </c>
      <c r="AP208" s="2">
        <v>5</v>
      </c>
      <c r="AQ208" s="2">
        <v>0</v>
      </c>
      <c r="AR208" s="2">
        <v>3</v>
      </c>
      <c r="AS208" s="2">
        <v>2</v>
      </c>
      <c r="AT208" s="2">
        <v>2</v>
      </c>
      <c r="AU208" s="2">
        <v>3</v>
      </c>
      <c r="AV208" s="2">
        <v>50</v>
      </c>
      <c r="AW208" s="2">
        <v>15</v>
      </c>
      <c r="AX208" s="2">
        <v>15</v>
      </c>
      <c r="AY208" s="2">
        <v>20</v>
      </c>
      <c r="AZ208" s="2" t="s">
        <v>39</v>
      </c>
      <c r="BA208" s="14">
        <f>(Table_ship_components[[#This Row],[CORE_SPACE_UNITS]]*50000)+(Table_ship_components[[#This Row],[INTERNAL_SPACE_UNITS]]*5000)+(Table_ship_components[[#This Row],[EXTERNAL_SPACE_UNITS]]*500)</f>
        <v>835000</v>
      </c>
      <c r="BB208" s="14">
        <f>SUM(Table_ship_components[[#This Row],[PRICE]]+(Table_ship_components[[#This Row],[COST_PER_ADD_PERSON]]*Table_ship_components[[#This Row],[OPTIONAL]]))</f>
        <v>835000</v>
      </c>
      <c r="BC208" s="2">
        <v>0</v>
      </c>
      <c r="BD208" s="2">
        <v>0</v>
      </c>
    </row>
    <row r="209" spans="1:56" x14ac:dyDescent="0.35">
      <c r="A209" t="s">
        <v>717</v>
      </c>
      <c r="B209" t="s">
        <v>735</v>
      </c>
      <c r="D209" s="2"/>
      <c r="E209" s="2">
        <f>SUM(Table_ship_components[[#This Row],[UNIT_SIZE]]+(Table_ship_components[[#This Row],[SIZE_PER_ADD_PERSON]]*Table_ship_components[[#This Row],[OPTIONAL]]))</f>
        <v>0</v>
      </c>
      <c r="F209" s="2"/>
      <c r="G209" s="2">
        <f>SUM(Table_ship_components[[#This Row],[POWER_CONSUMPTION]]+(Table_ship_components[[#This Row],[POWER_PER_ADD_PERSON]]*Table_ship_components[[#This Row],[OPTIONAL]]))</f>
        <v>0</v>
      </c>
      <c r="H209" s="2"/>
      <c r="I209" s="2"/>
      <c r="J209" s="2"/>
      <c r="K209" s="2"/>
      <c r="L209" s="2"/>
      <c r="M209" s="2"/>
      <c r="N209" s="2"/>
      <c r="O209" s="2"/>
      <c r="P209" s="2"/>
      <c r="Q209" s="2"/>
      <c r="R209" s="2"/>
      <c r="S209" s="2"/>
      <c r="T209" s="2"/>
      <c r="U209" s="2"/>
      <c r="V209" s="2"/>
      <c r="W209" s="14"/>
      <c r="X209" s="2"/>
      <c r="Y209" s="2"/>
      <c r="Z209" s="2"/>
      <c r="AA209" s="2"/>
      <c r="AB209" s="2"/>
      <c r="AC209" s="2"/>
      <c r="AD209" s="2"/>
      <c r="AE209" s="2"/>
      <c r="AF209" s="2"/>
      <c r="AG209" s="2"/>
      <c r="AH209" s="2"/>
      <c r="AI209" s="2"/>
      <c r="AJ209" s="2"/>
      <c r="AK209" s="2"/>
      <c r="AL209" s="2"/>
      <c r="AM209" s="2">
        <v>2</v>
      </c>
      <c r="AN209" s="2">
        <v>5</v>
      </c>
      <c r="AO209" s="2">
        <v>2</v>
      </c>
      <c r="AP209" s="2">
        <v>5</v>
      </c>
      <c r="AQ209" s="2">
        <v>0</v>
      </c>
      <c r="AR209" s="2">
        <v>3</v>
      </c>
      <c r="AS209" s="2">
        <v>2</v>
      </c>
      <c r="AT209" s="2">
        <v>2</v>
      </c>
      <c r="AU209" s="2">
        <v>3</v>
      </c>
      <c r="AV209" s="2">
        <v>50</v>
      </c>
      <c r="AW209" s="2">
        <v>15</v>
      </c>
      <c r="AX209" s="2">
        <v>15</v>
      </c>
      <c r="AY209" s="2">
        <v>20</v>
      </c>
      <c r="AZ209" s="2" t="s">
        <v>39</v>
      </c>
      <c r="BA209" s="14">
        <f>(Table_ship_components[[#This Row],[CORE_SPACE_UNITS]]*50000)+(Table_ship_components[[#This Row],[INTERNAL_SPACE_UNITS]]*5000)+(Table_ship_components[[#This Row],[EXTERNAL_SPACE_UNITS]]*500)</f>
        <v>835000</v>
      </c>
      <c r="BB209" s="14">
        <f>SUM(Table_ship_components[[#This Row],[PRICE]]+(Table_ship_components[[#This Row],[COST_PER_ADD_PERSON]]*Table_ship_components[[#This Row],[OPTIONAL]]))</f>
        <v>835000</v>
      </c>
      <c r="BC209" s="2">
        <v>0</v>
      </c>
      <c r="BD209" s="2">
        <v>0</v>
      </c>
    </row>
    <row r="210" spans="1:56" x14ac:dyDescent="0.35">
      <c r="A210" t="s">
        <v>725</v>
      </c>
      <c r="B210" t="s">
        <v>720</v>
      </c>
      <c r="D210" s="2"/>
      <c r="E210" s="2">
        <f>SUM(Table_ship_components[[#This Row],[UNIT_SIZE]]+(Table_ship_components[[#This Row],[SIZE_PER_ADD_PERSON]]*Table_ship_components[[#This Row],[OPTIONAL]]))</f>
        <v>0</v>
      </c>
      <c r="F210" s="2"/>
      <c r="G210" s="2">
        <f>SUM(Table_ship_components[[#This Row],[POWER_CONSUMPTION]]+(Table_ship_components[[#This Row],[POWER_PER_ADD_PERSON]]*Table_ship_components[[#This Row],[OPTIONAL]]))</f>
        <v>0</v>
      </c>
      <c r="H210" s="2"/>
      <c r="I210" s="2"/>
      <c r="J210" s="2"/>
      <c r="K210" s="2"/>
      <c r="L210" s="2"/>
      <c r="M210" s="2"/>
      <c r="N210" s="2"/>
      <c r="O210" s="2"/>
      <c r="P210" s="2"/>
      <c r="Q210" s="2"/>
      <c r="R210" s="2"/>
      <c r="S210" s="2"/>
      <c r="T210" s="2"/>
      <c r="U210" s="2"/>
      <c r="V210" s="2"/>
      <c r="W210" s="14"/>
      <c r="X210" s="2"/>
      <c r="Y210" s="2"/>
      <c r="Z210" s="2"/>
      <c r="AA210" s="2"/>
      <c r="AB210" s="2"/>
      <c r="AC210" s="2"/>
      <c r="AD210" s="2"/>
      <c r="AE210" s="2"/>
      <c r="AF210" s="2"/>
      <c r="AG210" s="2"/>
      <c r="AH210" s="2"/>
      <c r="AI210" s="2"/>
      <c r="AJ210" s="2"/>
      <c r="AK210" s="2"/>
      <c r="AL210" s="2"/>
      <c r="AM210" s="2">
        <v>2</v>
      </c>
      <c r="AN210" s="2">
        <v>5</v>
      </c>
      <c r="AO210" s="2">
        <v>2</v>
      </c>
      <c r="AP210" s="2">
        <v>5</v>
      </c>
      <c r="AQ210" s="2">
        <v>0</v>
      </c>
      <c r="AR210" s="2">
        <v>3</v>
      </c>
      <c r="AS210" s="2">
        <v>2</v>
      </c>
      <c r="AT210" s="2">
        <v>2</v>
      </c>
      <c r="AU210" s="2">
        <v>3</v>
      </c>
      <c r="AV210" s="2">
        <v>50</v>
      </c>
      <c r="AW210" s="2">
        <v>20</v>
      </c>
      <c r="AX210" s="2">
        <v>20</v>
      </c>
      <c r="AY210" s="2">
        <v>10</v>
      </c>
      <c r="AZ210" s="2" t="s">
        <v>39</v>
      </c>
      <c r="BA210" s="14">
        <f>(Table_ship_components[[#This Row],[CORE_SPACE_UNITS]]*50000)+(Table_ship_components[[#This Row],[INTERNAL_SPACE_UNITS]]*5000)+(Table_ship_components[[#This Row],[EXTERNAL_SPACE_UNITS]]*500)</f>
        <v>1105000</v>
      </c>
      <c r="BB210" s="14">
        <f>SUM(Table_ship_components[[#This Row],[PRICE]]+(Table_ship_components[[#This Row],[COST_PER_ADD_PERSON]]*Table_ship_components[[#This Row],[OPTIONAL]]))</f>
        <v>1105000</v>
      </c>
      <c r="BC210" s="2">
        <v>0</v>
      </c>
      <c r="BD210" s="2">
        <v>0</v>
      </c>
    </row>
    <row r="211" spans="1:56" x14ac:dyDescent="0.35">
      <c r="A211" t="s">
        <v>726</v>
      </c>
      <c r="B211" t="s">
        <v>719</v>
      </c>
      <c r="D211" s="2"/>
      <c r="E211" s="2">
        <f>SUM(Table_ship_components[[#This Row],[UNIT_SIZE]]+(Table_ship_components[[#This Row],[SIZE_PER_ADD_PERSON]]*Table_ship_components[[#This Row],[OPTIONAL]]))</f>
        <v>0</v>
      </c>
      <c r="F211" s="2"/>
      <c r="G211" s="2">
        <f>SUM(Table_ship_components[[#This Row],[POWER_CONSUMPTION]]+(Table_ship_components[[#This Row],[POWER_PER_ADD_PERSON]]*Table_ship_components[[#This Row],[OPTIONAL]]))</f>
        <v>0</v>
      </c>
      <c r="H211" s="2"/>
      <c r="I211" s="2"/>
      <c r="J211" s="2"/>
      <c r="K211" s="2"/>
      <c r="L211" s="2"/>
      <c r="M211" s="2"/>
      <c r="N211" s="2"/>
      <c r="O211" s="2"/>
      <c r="P211" s="2"/>
      <c r="Q211" s="2"/>
      <c r="R211" s="2"/>
      <c r="S211" s="2"/>
      <c r="T211" s="2"/>
      <c r="U211" s="2"/>
      <c r="V211" s="2"/>
      <c r="W211" s="14"/>
      <c r="X211" s="2"/>
      <c r="Y211" s="2"/>
      <c r="Z211" s="2"/>
      <c r="AA211" s="2"/>
      <c r="AB211" s="2"/>
      <c r="AC211" s="2"/>
      <c r="AD211" s="2"/>
      <c r="AE211" s="2"/>
      <c r="AF211" s="2"/>
      <c r="AG211" s="2"/>
      <c r="AH211" s="2"/>
      <c r="AI211" s="2"/>
      <c r="AJ211" s="2"/>
      <c r="AK211" s="2"/>
      <c r="AL211" s="2"/>
      <c r="AM211" s="2">
        <v>2</v>
      </c>
      <c r="AN211" s="2">
        <v>5</v>
      </c>
      <c r="AO211" s="2">
        <v>2</v>
      </c>
      <c r="AP211" s="2">
        <v>5</v>
      </c>
      <c r="AQ211" s="2">
        <v>0</v>
      </c>
      <c r="AR211" s="2">
        <v>3</v>
      </c>
      <c r="AS211" s="2">
        <v>2</v>
      </c>
      <c r="AT211" s="2">
        <v>2</v>
      </c>
      <c r="AU211" s="2">
        <v>3</v>
      </c>
      <c r="AV211" s="2">
        <v>50</v>
      </c>
      <c r="AW211" s="2">
        <v>10</v>
      </c>
      <c r="AX211" s="2">
        <v>20</v>
      </c>
      <c r="AY211" s="2">
        <v>20</v>
      </c>
      <c r="AZ211" s="2" t="s">
        <v>39</v>
      </c>
      <c r="BA211" s="14">
        <f>(Table_ship_components[[#This Row],[CORE_SPACE_UNITS]]*50000)+(Table_ship_components[[#This Row],[INTERNAL_SPACE_UNITS]]*5000)+(Table_ship_components[[#This Row],[EXTERNAL_SPACE_UNITS]]*500)</f>
        <v>610000</v>
      </c>
      <c r="BB211" s="14">
        <f>SUM(Table_ship_components[[#This Row],[PRICE]]+(Table_ship_components[[#This Row],[COST_PER_ADD_PERSON]]*Table_ship_components[[#This Row],[OPTIONAL]]))</f>
        <v>610000</v>
      </c>
      <c r="BC211" s="2">
        <v>0</v>
      </c>
      <c r="BD211" s="2">
        <v>0</v>
      </c>
    </row>
    <row r="212" spans="1:56" x14ac:dyDescent="0.35">
      <c r="A212" t="s">
        <v>727</v>
      </c>
      <c r="B212" t="s">
        <v>718</v>
      </c>
      <c r="D212" s="2"/>
      <c r="E212" s="2">
        <f>SUM(Table_ship_components[[#This Row],[UNIT_SIZE]]+(Table_ship_components[[#This Row],[SIZE_PER_ADD_PERSON]]*Table_ship_components[[#This Row],[OPTIONAL]]))</f>
        <v>0</v>
      </c>
      <c r="F212" s="2"/>
      <c r="G212" s="2">
        <f>SUM(Table_ship_components[[#This Row],[POWER_CONSUMPTION]]+(Table_ship_components[[#This Row],[POWER_PER_ADD_PERSON]]*Table_ship_components[[#This Row],[OPTIONAL]]))</f>
        <v>0</v>
      </c>
      <c r="H212" s="2"/>
      <c r="I212" s="2"/>
      <c r="J212" s="2"/>
      <c r="K212" s="2"/>
      <c r="L212" s="2"/>
      <c r="M212" s="2"/>
      <c r="N212" s="2"/>
      <c r="O212" s="2"/>
      <c r="P212" s="2"/>
      <c r="Q212" s="2"/>
      <c r="R212" s="2"/>
      <c r="S212" s="2"/>
      <c r="T212" s="2"/>
      <c r="U212" s="2"/>
      <c r="V212" s="2"/>
      <c r="W212" s="14"/>
      <c r="X212" s="2"/>
      <c r="Y212" s="2"/>
      <c r="Z212" s="2"/>
      <c r="AA212" s="2"/>
      <c r="AB212" s="2"/>
      <c r="AC212" s="2"/>
      <c r="AD212" s="2"/>
      <c r="AE212" s="2"/>
      <c r="AF212" s="2"/>
      <c r="AG212" s="2"/>
      <c r="AH212" s="2"/>
      <c r="AI212" s="2"/>
      <c r="AJ212" s="2"/>
      <c r="AK212" s="2"/>
      <c r="AL212" s="2"/>
      <c r="AM212" s="2">
        <v>2</v>
      </c>
      <c r="AN212" s="2">
        <v>5</v>
      </c>
      <c r="AO212" s="2">
        <v>2</v>
      </c>
      <c r="AP212" s="2">
        <v>5</v>
      </c>
      <c r="AQ212" s="2">
        <v>0</v>
      </c>
      <c r="AR212" s="2">
        <v>3</v>
      </c>
      <c r="AS212" s="2">
        <v>2</v>
      </c>
      <c r="AT212" s="2">
        <v>2</v>
      </c>
      <c r="AU212" s="2">
        <v>3</v>
      </c>
      <c r="AV212" s="2">
        <v>50</v>
      </c>
      <c r="AW212" s="2">
        <v>10</v>
      </c>
      <c r="AX212" s="2">
        <v>30</v>
      </c>
      <c r="AY212" s="2">
        <v>10</v>
      </c>
      <c r="AZ212" s="2" t="s">
        <v>39</v>
      </c>
      <c r="BA212" s="14">
        <f>(Table_ship_components[[#This Row],[CORE_SPACE_UNITS]]*50000)+(Table_ship_components[[#This Row],[INTERNAL_SPACE_UNITS]]*5000)+(Table_ship_components[[#This Row],[EXTERNAL_SPACE_UNITS]]*500)</f>
        <v>655000</v>
      </c>
      <c r="BB212" s="14">
        <f>SUM(Table_ship_components[[#This Row],[PRICE]]+(Table_ship_components[[#This Row],[COST_PER_ADD_PERSON]]*Table_ship_components[[#This Row],[OPTIONAL]]))</f>
        <v>655000</v>
      </c>
      <c r="BC212" s="2">
        <v>0</v>
      </c>
      <c r="BD212" s="2">
        <v>0</v>
      </c>
    </row>
    <row r="213" spans="1:56" x14ac:dyDescent="0.35">
      <c r="A213" t="s">
        <v>687</v>
      </c>
      <c r="B213" t="s">
        <v>688</v>
      </c>
      <c r="D213" s="2"/>
      <c r="E213" s="2">
        <f>SUM(Table_ship_components[[#This Row],[UNIT_SIZE]]+(Table_ship_components[[#This Row],[SIZE_PER_ADD_PERSON]]*Table_ship_components[[#This Row],[OPTIONAL]]))</f>
        <v>0</v>
      </c>
      <c r="F213" s="2"/>
      <c r="G213" s="2">
        <f>SUM(Table_ship_components[[#This Row],[POWER_CONSUMPTION]]+(Table_ship_components[[#This Row],[POWER_PER_ADD_PERSON]]*Table_ship_components[[#This Row],[OPTIONAL]]))</f>
        <v>0</v>
      </c>
      <c r="H213" s="2"/>
      <c r="I213" s="2"/>
      <c r="J213" s="2"/>
      <c r="K213" s="2"/>
      <c r="L213" s="2"/>
      <c r="M213" s="2"/>
      <c r="N213" s="2"/>
      <c r="O213" s="2"/>
      <c r="P213" s="2"/>
      <c r="Q213" s="2"/>
      <c r="R213" s="2"/>
      <c r="S213" s="2"/>
      <c r="T213" s="2"/>
      <c r="U213" s="2"/>
      <c r="V213" s="2"/>
      <c r="W213" s="14"/>
      <c r="X213" s="2"/>
      <c r="Y213" s="2"/>
      <c r="Z213" s="2"/>
      <c r="AA213" s="2"/>
      <c r="AB213" s="2"/>
      <c r="AC213" s="2"/>
      <c r="AD213" s="2"/>
      <c r="AE213" s="2"/>
      <c r="AF213" s="2"/>
      <c r="AG213" s="2"/>
      <c r="AH213" s="2"/>
      <c r="AI213" s="2"/>
      <c r="AJ213" s="2"/>
      <c r="AK213" s="2"/>
      <c r="AL213" s="2"/>
      <c r="AM213" s="2">
        <v>3</v>
      </c>
      <c r="AN213" s="2">
        <v>10</v>
      </c>
      <c r="AO213" s="2">
        <v>3</v>
      </c>
      <c r="AP213" s="2">
        <v>10</v>
      </c>
      <c r="AQ213" s="2">
        <v>2</v>
      </c>
      <c r="AR213" s="2">
        <v>2</v>
      </c>
      <c r="AS213" s="2">
        <v>2</v>
      </c>
      <c r="AT213" s="2">
        <v>2</v>
      </c>
      <c r="AU213" s="2">
        <v>2</v>
      </c>
      <c r="AV213" s="2">
        <v>125</v>
      </c>
      <c r="AW213" s="2">
        <v>30</v>
      </c>
      <c r="AX213" s="2">
        <v>40</v>
      </c>
      <c r="AY213" s="2">
        <v>55</v>
      </c>
      <c r="AZ213" s="2" t="s">
        <v>39</v>
      </c>
      <c r="BA213" s="14">
        <f>(Table_ship_components[[#This Row],[CORE_SPACE_UNITS]]*50000)+(Table_ship_components[[#This Row],[INTERNAL_SPACE_UNITS]]*5000)+(Table_ship_components[[#This Row],[EXTERNAL_SPACE_UNITS]]*500)</f>
        <v>1727500</v>
      </c>
      <c r="BB213" s="14">
        <f>SUM(Table_ship_components[[#This Row],[PRICE]]+(Table_ship_components[[#This Row],[COST_PER_ADD_PERSON]]*Table_ship_components[[#This Row],[OPTIONAL]]))</f>
        <v>1727500</v>
      </c>
      <c r="BC213" s="2">
        <v>0</v>
      </c>
      <c r="BD213" s="2">
        <v>0</v>
      </c>
    </row>
    <row r="214" spans="1:56" x14ac:dyDescent="0.35">
      <c r="A214" t="s">
        <v>689</v>
      </c>
      <c r="B214" t="s">
        <v>690</v>
      </c>
      <c r="D214" s="2"/>
      <c r="E214" s="2">
        <f>SUM(Table_ship_components[[#This Row],[UNIT_SIZE]]+(Table_ship_components[[#This Row],[SIZE_PER_ADD_PERSON]]*Table_ship_components[[#This Row],[OPTIONAL]]))</f>
        <v>0</v>
      </c>
      <c r="F214" s="2"/>
      <c r="G214" s="2">
        <f>SUM(Table_ship_components[[#This Row],[POWER_CONSUMPTION]]+(Table_ship_components[[#This Row],[POWER_PER_ADD_PERSON]]*Table_ship_components[[#This Row],[OPTIONAL]]))</f>
        <v>0</v>
      </c>
      <c r="H214" s="2"/>
      <c r="I214" s="2"/>
      <c r="J214" s="2"/>
      <c r="K214" s="2"/>
      <c r="L214" s="2"/>
      <c r="M214" s="2"/>
      <c r="N214" s="2"/>
      <c r="O214" s="2"/>
      <c r="P214" s="2"/>
      <c r="Q214" s="2"/>
      <c r="R214" s="2"/>
      <c r="S214" s="2"/>
      <c r="T214" s="2"/>
      <c r="U214" s="2"/>
      <c r="V214" s="2"/>
      <c r="W214" s="14"/>
      <c r="X214" s="2"/>
      <c r="Y214" s="2"/>
      <c r="Z214" s="2"/>
      <c r="AA214" s="2"/>
      <c r="AB214" s="2"/>
      <c r="AC214" s="2"/>
      <c r="AD214" s="2"/>
      <c r="AE214" s="2"/>
      <c r="AF214" s="2"/>
      <c r="AG214" s="2"/>
      <c r="AH214" s="2"/>
      <c r="AI214" s="2"/>
      <c r="AJ214" s="2"/>
      <c r="AK214" s="2"/>
      <c r="AL214" s="2"/>
      <c r="AM214" s="2">
        <v>3</v>
      </c>
      <c r="AN214" s="2">
        <v>10</v>
      </c>
      <c r="AO214" s="2">
        <v>3</v>
      </c>
      <c r="AP214" s="2">
        <v>10</v>
      </c>
      <c r="AQ214" s="2">
        <v>2</v>
      </c>
      <c r="AR214" s="2">
        <v>2</v>
      </c>
      <c r="AS214" s="2">
        <v>2</v>
      </c>
      <c r="AT214" s="2">
        <v>2</v>
      </c>
      <c r="AU214" s="2">
        <v>2</v>
      </c>
      <c r="AV214" s="2">
        <v>125</v>
      </c>
      <c r="AW214" s="2">
        <v>50</v>
      </c>
      <c r="AX214" s="2">
        <v>50</v>
      </c>
      <c r="AY214" s="2">
        <v>25</v>
      </c>
      <c r="AZ214" s="2" t="s">
        <v>39</v>
      </c>
      <c r="BA214" s="14">
        <f>(Table_ship_components[[#This Row],[CORE_SPACE_UNITS]]*50000)+(Table_ship_components[[#This Row],[INTERNAL_SPACE_UNITS]]*5000)+(Table_ship_components[[#This Row],[EXTERNAL_SPACE_UNITS]]*500)</f>
        <v>2762500</v>
      </c>
      <c r="BB214" s="14">
        <f>SUM(Table_ship_components[[#This Row],[PRICE]]+(Table_ship_components[[#This Row],[COST_PER_ADD_PERSON]]*Table_ship_components[[#This Row],[OPTIONAL]]))</f>
        <v>2762500</v>
      </c>
      <c r="BC214" s="2">
        <v>0</v>
      </c>
      <c r="BD214" s="2">
        <v>0</v>
      </c>
    </row>
    <row r="215" spans="1:56" x14ac:dyDescent="0.35">
      <c r="A215" t="s">
        <v>695</v>
      </c>
      <c r="B215" t="s">
        <v>696</v>
      </c>
      <c r="D215" s="2"/>
      <c r="E215" s="2">
        <f>SUM(Table_ship_components[[#This Row],[UNIT_SIZE]]+(Table_ship_components[[#This Row],[SIZE_PER_ADD_PERSON]]*Table_ship_components[[#This Row],[OPTIONAL]]))</f>
        <v>0</v>
      </c>
      <c r="F215" s="2"/>
      <c r="G215" s="2">
        <f>SUM(Table_ship_components[[#This Row],[POWER_CONSUMPTION]]+(Table_ship_components[[#This Row],[POWER_PER_ADD_PERSON]]*Table_ship_components[[#This Row],[OPTIONAL]]))</f>
        <v>0</v>
      </c>
      <c r="H215" s="2"/>
      <c r="I215" s="2"/>
      <c r="J215" s="2"/>
      <c r="K215" s="2"/>
      <c r="L215" s="2"/>
      <c r="M215" s="2"/>
      <c r="N215" s="2"/>
      <c r="O215" s="2"/>
      <c r="P215" s="2"/>
      <c r="Q215" s="2"/>
      <c r="R215" s="2"/>
      <c r="S215" s="2"/>
      <c r="T215" s="2"/>
      <c r="U215" s="2"/>
      <c r="V215" s="2"/>
      <c r="W215" s="14"/>
      <c r="X215" s="2"/>
      <c r="Y215" s="2"/>
      <c r="Z215" s="2"/>
      <c r="AA215" s="2"/>
      <c r="AB215" s="2"/>
      <c r="AC215" s="2"/>
      <c r="AD215" s="2"/>
      <c r="AE215" s="2"/>
      <c r="AF215" s="2"/>
      <c r="AG215" s="2"/>
      <c r="AH215" s="2"/>
      <c r="AI215" s="2"/>
      <c r="AJ215" s="2"/>
      <c r="AK215" s="2"/>
      <c r="AL215" s="2"/>
      <c r="AM215" s="2">
        <v>3</v>
      </c>
      <c r="AN215" s="2">
        <v>10</v>
      </c>
      <c r="AO215" s="2">
        <v>3</v>
      </c>
      <c r="AP215" s="2">
        <v>10</v>
      </c>
      <c r="AQ215" s="2">
        <v>2</v>
      </c>
      <c r="AR215" s="2">
        <v>2</v>
      </c>
      <c r="AS215" s="2">
        <v>2</v>
      </c>
      <c r="AT215" s="2">
        <v>2</v>
      </c>
      <c r="AU215" s="2">
        <v>2</v>
      </c>
      <c r="AV215" s="2">
        <v>125</v>
      </c>
      <c r="AW215" s="2">
        <v>20</v>
      </c>
      <c r="AX215" s="2">
        <v>85</v>
      </c>
      <c r="AY215" s="2">
        <v>20</v>
      </c>
      <c r="AZ215" s="2" t="s">
        <v>39</v>
      </c>
      <c r="BA215" s="14">
        <f>(Table_ship_components[[#This Row],[CORE_SPACE_UNITS]]*50000)+(Table_ship_components[[#This Row],[INTERNAL_SPACE_UNITS]]*5000)+(Table_ship_components[[#This Row],[EXTERNAL_SPACE_UNITS]]*500)</f>
        <v>1435000</v>
      </c>
      <c r="BB215" s="14">
        <f>SUM(Table_ship_components[[#This Row],[PRICE]]+(Table_ship_components[[#This Row],[COST_PER_ADD_PERSON]]*Table_ship_components[[#This Row],[OPTIONAL]]))</f>
        <v>1435000</v>
      </c>
      <c r="BC215" s="2">
        <v>0</v>
      </c>
      <c r="BD215" s="2">
        <v>0</v>
      </c>
    </row>
    <row r="216" spans="1:56" x14ac:dyDescent="0.35">
      <c r="A216" t="s">
        <v>699</v>
      </c>
      <c r="B216" t="s">
        <v>700</v>
      </c>
      <c r="D216" s="2"/>
      <c r="E216" s="2">
        <f>SUM(Table_ship_components[[#This Row],[UNIT_SIZE]]+(Table_ship_components[[#This Row],[SIZE_PER_ADD_PERSON]]*Table_ship_components[[#This Row],[OPTIONAL]]))</f>
        <v>0</v>
      </c>
      <c r="F216" s="2"/>
      <c r="G216" s="2">
        <f>SUM(Table_ship_components[[#This Row],[POWER_CONSUMPTION]]+(Table_ship_components[[#This Row],[POWER_PER_ADD_PERSON]]*Table_ship_components[[#This Row],[OPTIONAL]]))</f>
        <v>0</v>
      </c>
      <c r="H216" s="2"/>
      <c r="I216" s="2"/>
      <c r="J216" s="2"/>
      <c r="K216" s="2"/>
      <c r="L216" s="2"/>
      <c r="M216" s="2"/>
      <c r="N216" s="2"/>
      <c r="O216" s="2"/>
      <c r="P216" s="2"/>
      <c r="Q216" s="2"/>
      <c r="R216" s="2"/>
      <c r="S216" s="2"/>
      <c r="T216" s="2"/>
      <c r="U216" s="2"/>
      <c r="V216" s="2"/>
      <c r="W216" s="14"/>
      <c r="X216" s="2"/>
      <c r="Y216" s="2"/>
      <c r="Z216" s="2"/>
      <c r="AA216" s="2"/>
      <c r="AB216" s="2"/>
      <c r="AC216" s="2"/>
      <c r="AD216" s="2"/>
      <c r="AE216" s="2"/>
      <c r="AF216" s="2"/>
      <c r="AG216" s="2"/>
      <c r="AH216" s="2"/>
      <c r="AI216" s="2"/>
      <c r="AJ216" s="2"/>
      <c r="AK216" s="2"/>
      <c r="AL216" s="2"/>
      <c r="AM216" s="2">
        <v>3</v>
      </c>
      <c r="AN216" s="2">
        <v>10</v>
      </c>
      <c r="AO216" s="2">
        <v>3</v>
      </c>
      <c r="AP216" s="2">
        <v>10</v>
      </c>
      <c r="AQ216" s="2">
        <v>2</v>
      </c>
      <c r="AR216" s="2">
        <v>2</v>
      </c>
      <c r="AS216" s="2">
        <v>2</v>
      </c>
      <c r="AT216" s="2">
        <v>2</v>
      </c>
      <c r="AU216" s="2">
        <v>2</v>
      </c>
      <c r="AV216" s="2">
        <v>125</v>
      </c>
      <c r="AW216" s="2">
        <v>30</v>
      </c>
      <c r="AX216" s="2">
        <v>70</v>
      </c>
      <c r="AY216" s="2">
        <v>25</v>
      </c>
      <c r="AZ216" s="2" t="s">
        <v>39</v>
      </c>
      <c r="BA216" s="14">
        <f>(Table_ship_components[[#This Row],[CORE_SPACE_UNITS]]*50000)+(Table_ship_components[[#This Row],[INTERNAL_SPACE_UNITS]]*5000)+(Table_ship_components[[#This Row],[EXTERNAL_SPACE_UNITS]]*500)</f>
        <v>1862500</v>
      </c>
      <c r="BB216" s="14">
        <f>SUM(Table_ship_components[[#This Row],[PRICE]]+(Table_ship_components[[#This Row],[COST_PER_ADD_PERSON]]*Table_ship_components[[#This Row],[OPTIONAL]]))</f>
        <v>1862500</v>
      </c>
      <c r="BC216" s="2">
        <v>0</v>
      </c>
      <c r="BD216" s="2">
        <v>0</v>
      </c>
    </row>
    <row r="217" spans="1:56" x14ac:dyDescent="0.35">
      <c r="A217" t="s">
        <v>703</v>
      </c>
      <c r="B217" t="s">
        <v>704</v>
      </c>
      <c r="D217" s="2"/>
      <c r="E217" s="2">
        <f>SUM(Table_ship_components[[#This Row],[UNIT_SIZE]]+(Table_ship_components[[#This Row],[SIZE_PER_ADD_PERSON]]*Table_ship_components[[#This Row],[OPTIONAL]]))</f>
        <v>0</v>
      </c>
      <c r="F217" s="2"/>
      <c r="G217" s="2">
        <f>SUM(Table_ship_components[[#This Row],[POWER_CONSUMPTION]]+(Table_ship_components[[#This Row],[POWER_PER_ADD_PERSON]]*Table_ship_components[[#This Row],[OPTIONAL]]))</f>
        <v>0</v>
      </c>
      <c r="H217" s="2"/>
      <c r="I217" s="2"/>
      <c r="J217" s="2"/>
      <c r="K217" s="2"/>
      <c r="L217" s="2"/>
      <c r="M217" s="2"/>
      <c r="N217" s="2"/>
      <c r="O217" s="2"/>
      <c r="P217" s="2"/>
      <c r="Q217" s="2"/>
      <c r="R217" s="2"/>
      <c r="S217" s="2"/>
      <c r="T217" s="2"/>
      <c r="U217" s="2"/>
      <c r="V217" s="2"/>
      <c r="W217" s="14"/>
      <c r="X217" s="2"/>
      <c r="Y217" s="2"/>
      <c r="Z217" s="2"/>
      <c r="AA217" s="2"/>
      <c r="AB217" s="2"/>
      <c r="AC217" s="2"/>
      <c r="AD217" s="2"/>
      <c r="AE217" s="2"/>
      <c r="AF217" s="2"/>
      <c r="AG217" s="2"/>
      <c r="AH217" s="2"/>
      <c r="AI217" s="2"/>
      <c r="AJ217" s="2"/>
      <c r="AK217" s="2"/>
      <c r="AL217" s="2"/>
      <c r="AM217" s="2">
        <v>3</v>
      </c>
      <c r="AN217" s="2">
        <v>10</v>
      </c>
      <c r="AO217" s="2">
        <v>3</v>
      </c>
      <c r="AP217" s="2">
        <v>10</v>
      </c>
      <c r="AQ217" s="2">
        <v>2</v>
      </c>
      <c r="AR217" s="2">
        <v>2</v>
      </c>
      <c r="AS217" s="2">
        <v>2</v>
      </c>
      <c r="AT217" s="2">
        <v>2</v>
      </c>
      <c r="AU217" s="2">
        <v>2</v>
      </c>
      <c r="AV217" s="2">
        <v>125</v>
      </c>
      <c r="AW217" s="2">
        <v>30</v>
      </c>
      <c r="AX217" s="2">
        <v>60</v>
      </c>
      <c r="AY217" s="2">
        <v>35</v>
      </c>
      <c r="AZ217" s="2" t="s">
        <v>39</v>
      </c>
      <c r="BA217" s="14">
        <f>(Table_ship_components[[#This Row],[CORE_SPACE_UNITS]]*50000)+(Table_ship_components[[#This Row],[INTERNAL_SPACE_UNITS]]*5000)+(Table_ship_components[[#This Row],[EXTERNAL_SPACE_UNITS]]*500)</f>
        <v>1817500</v>
      </c>
      <c r="BB217" s="14">
        <f>SUM(Table_ship_components[[#This Row],[PRICE]]+(Table_ship_components[[#This Row],[COST_PER_ADD_PERSON]]*Table_ship_components[[#This Row],[OPTIONAL]]))</f>
        <v>1817500</v>
      </c>
      <c r="BC217" s="2">
        <v>0</v>
      </c>
      <c r="BD217" s="2">
        <v>0</v>
      </c>
    </row>
    <row r="218" spans="1:56" x14ac:dyDescent="0.35">
      <c r="A218" t="s">
        <v>706</v>
      </c>
      <c r="B218" t="s">
        <v>709</v>
      </c>
      <c r="D218" s="2"/>
      <c r="E218" s="2">
        <f>SUM(Table_ship_components[[#This Row],[UNIT_SIZE]]+(Table_ship_components[[#This Row],[SIZE_PER_ADD_PERSON]]*Table_ship_components[[#This Row],[OPTIONAL]]))</f>
        <v>0</v>
      </c>
      <c r="F218" s="2"/>
      <c r="G218" s="2">
        <f>SUM(Table_ship_components[[#This Row],[POWER_CONSUMPTION]]+(Table_ship_components[[#This Row],[POWER_PER_ADD_PERSON]]*Table_ship_components[[#This Row],[OPTIONAL]]))</f>
        <v>0</v>
      </c>
      <c r="H218" s="2"/>
      <c r="I218" s="2"/>
      <c r="J218" s="2"/>
      <c r="K218" s="2"/>
      <c r="L218" s="2"/>
      <c r="M218" s="2"/>
      <c r="N218" s="2"/>
      <c r="O218" s="2"/>
      <c r="P218" s="2"/>
      <c r="Q218" s="2"/>
      <c r="R218" s="2"/>
      <c r="S218" s="2"/>
      <c r="T218" s="2"/>
      <c r="U218" s="2"/>
      <c r="V218" s="2"/>
      <c r="W218" s="14"/>
      <c r="X218" s="2"/>
      <c r="Y218" s="2"/>
      <c r="Z218" s="2"/>
      <c r="AA218" s="2"/>
      <c r="AB218" s="2"/>
      <c r="AC218" s="2"/>
      <c r="AD218" s="2"/>
      <c r="AE218" s="2"/>
      <c r="AF218" s="2"/>
      <c r="AG218" s="2"/>
      <c r="AH218" s="2"/>
      <c r="AI218" s="2"/>
      <c r="AJ218" s="2"/>
      <c r="AK218" s="2"/>
      <c r="AL218" s="2"/>
      <c r="AM218" s="2">
        <v>3</v>
      </c>
      <c r="AN218" s="2">
        <v>10</v>
      </c>
      <c r="AO218" s="2">
        <v>3</v>
      </c>
      <c r="AP218" s="2">
        <v>10</v>
      </c>
      <c r="AQ218" s="2">
        <v>2</v>
      </c>
      <c r="AR218" s="2">
        <v>2</v>
      </c>
      <c r="AS218" s="2">
        <v>2</v>
      </c>
      <c r="AT218" s="2">
        <v>2</v>
      </c>
      <c r="AU218" s="2">
        <v>2</v>
      </c>
      <c r="AV218" s="2">
        <v>125</v>
      </c>
      <c r="AW218" s="2">
        <v>20</v>
      </c>
      <c r="AX218" s="2">
        <v>45</v>
      </c>
      <c r="AY218" s="2">
        <v>60</v>
      </c>
      <c r="AZ218" s="2" t="s">
        <v>39</v>
      </c>
      <c r="BA218" s="14">
        <f>(Table_ship_components[[#This Row],[CORE_SPACE_UNITS]]*50000)+(Table_ship_components[[#This Row],[INTERNAL_SPACE_UNITS]]*5000)+(Table_ship_components[[#This Row],[EXTERNAL_SPACE_UNITS]]*500)</f>
        <v>1255000</v>
      </c>
      <c r="BB218" s="14">
        <f>SUM(Table_ship_components[[#This Row],[PRICE]]+(Table_ship_components[[#This Row],[COST_PER_ADD_PERSON]]*Table_ship_components[[#This Row],[OPTIONAL]]))</f>
        <v>1255000</v>
      </c>
      <c r="BC218" s="2">
        <v>0</v>
      </c>
      <c r="BD218" s="2">
        <v>0</v>
      </c>
    </row>
    <row r="219" spans="1:56" x14ac:dyDescent="0.35">
      <c r="A219" t="s">
        <v>708</v>
      </c>
      <c r="B219" t="s">
        <v>710</v>
      </c>
      <c r="D219" s="2"/>
      <c r="E219" s="2">
        <f>SUM(Table_ship_components[[#This Row],[UNIT_SIZE]]+(Table_ship_components[[#This Row],[SIZE_PER_ADD_PERSON]]*Table_ship_components[[#This Row],[OPTIONAL]]))</f>
        <v>0</v>
      </c>
      <c r="F219" s="2"/>
      <c r="G219" s="2">
        <f>SUM(Table_ship_components[[#This Row],[POWER_CONSUMPTION]]+(Table_ship_components[[#This Row],[POWER_PER_ADD_PERSON]]*Table_ship_components[[#This Row],[OPTIONAL]]))</f>
        <v>0</v>
      </c>
      <c r="H219" s="2"/>
      <c r="I219" s="2"/>
      <c r="J219" s="2"/>
      <c r="K219" s="2"/>
      <c r="L219" s="2"/>
      <c r="M219" s="2"/>
      <c r="N219" s="2"/>
      <c r="O219" s="2"/>
      <c r="P219" s="2"/>
      <c r="Q219" s="2"/>
      <c r="R219" s="2"/>
      <c r="S219" s="2"/>
      <c r="T219" s="2"/>
      <c r="U219" s="2"/>
      <c r="V219" s="2"/>
      <c r="W219" s="14"/>
      <c r="X219" s="2"/>
      <c r="Y219" s="2"/>
      <c r="Z219" s="2"/>
      <c r="AA219" s="2"/>
      <c r="AB219" s="2"/>
      <c r="AC219" s="2"/>
      <c r="AD219" s="2"/>
      <c r="AE219" s="2"/>
      <c r="AF219" s="2"/>
      <c r="AG219" s="2"/>
      <c r="AH219" s="2"/>
      <c r="AI219" s="2"/>
      <c r="AJ219" s="2"/>
      <c r="AK219" s="2"/>
      <c r="AL219" s="2"/>
      <c r="AM219" s="2">
        <v>3</v>
      </c>
      <c r="AN219" s="2">
        <v>10</v>
      </c>
      <c r="AO219" s="2">
        <v>3</v>
      </c>
      <c r="AP219" s="2">
        <v>10</v>
      </c>
      <c r="AQ219" s="2">
        <v>2</v>
      </c>
      <c r="AR219" s="2">
        <v>2</v>
      </c>
      <c r="AS219" s="2">
        <v>2</v>
      </c>
      <c r="AT219" s="2">
        <v>2</v>
      </c>
      <c r="AU219" s="2">
        <v>2</v>
      </c>
      <c r="AV219" s="2">
        <v>125</v>
      </c>
      <c r="AW219" s="2">
        <v>70</v>
      </c>
      <c r="AX219" s="2">
        <v>35</v>
      </c>
      <c r="AY219" s="2">
        <v>20</v>
      </c>
      <c r="AZ219" s="2" t="s">
        <v>39</v>
      </c>
      <c r="BA219" s="14">
        <f>(Table_ship_components[[#This Row],[CORE_SPACE_UNITS]]*50000)+(Table_ship_components[[#This Row],[INTERNAL_SPACE_UNITS]]*5000)+(Table_ship_components[[#This Row],[EXTERNAL_SPACE_UNITS]]*500)</f>
        <v>3685000</v>
      </c>
      <c r="BB219" s="14">
        <f>SUM(Table_ship_components[[#This Row],[PRICE]]+(Table_ship_components[[#This Row],[COST_PER_ADD_PERSON]]*Table_ship_components[[#This Row],[OPTIONAL]]))</f>
        <v>3685000</v>
      </c>
      <c r="BC219" s="2">
        <v>0</v>
      </c>
      <c r="BD219" s="2">
        <v>0</v>
      </c>
    </row>
    <row r="220" spans="1:56" x14ac:dyDescent="0.35">
      <c r="A220" t="s">
        <v>707</v>
      </c>
      <c r="B220" t="s">
        <v>711</v>
      </c>
      <c r="D220" s="2"/>
      <c r="E220" s="2">
        <f>SUM(Table_ship_components[[#This Row],[UNIT_SIZE]]+(Table_ship_components[[#This Row],[SIZE_PER_ADD_PERSON]]*Table_ship_components[[#This Row],[OPTIONAL]]))</f>
        <v>0</v>
      </c>
      <c r="F220" s="2"/>
      <c r="G220" s="2">
        <f>SUM(Table_ship_components[[#This Row],[POWER_CONSUMPTION]]+(Table_ship_components[[#This Row],[POWER_PER_ADD_PERSON]]*Table_ship_components[[#This Row],[OPTIONAL]]))</f>
        <v>0</v>
      </c>
      <c r="H220" s="2"/>
      <c r="I220" s="2"/>
      <c r="J220" s="2"/>
      <c r="K220" s="2"/>
      <c r="L220" s="2"/>
      <c r="M220" s="2"/>
      <c r="N220" s="2"/>
      <c r="O220" s="2"/>
      <c r="P220" s="2"/>
      <c r="Q220" s="2"/>
      <c r="R220" s="2"/>
      <c r="S220" s="2"/>
      <c r="T220" s="2"/>
      <c r="U220" s="2"/>
      <c r="V220" s="2"/>
      <c r="W220" s="14"/>
      <c r="X220" s="2"/>
      <c r="Y220" s="2"/>
      <c r="Z220" s="2"/>
      <c r="AA220" s="2"/>
      <c r="AB220" s="2"/>
      <c r="AC220" s="2"/>
      <c r="AD220" s="2"/>
      <c r="AE220" s="2"/>
      <c r="AF220" s="2"/>
      <c r="AG220" s="2"/>
      <c r="AH220" s="2"/>
      <c r="AI220" s="2"/>
      <c r="AJ220" s="2"/>
      <c r="AK220" s="2"/>
      <c r="AL220" s="2"/>
      <c r="AM220" s="2">
        <v>3</v>
      </c>
      <c r="AN220" s="2">
        <v>10</v>
      </c>
      <c r="AO220" s="2">
        <v>3</v>
      </c>
      <c r="AP220" s="2">
        <v>10</v>
      </c>
      <c r="AQ220" s="2">
        <v>2</v>
      </c>
      <c r="AR220" s="2">
        <v>2</v>
      </c>
      <c r="AS220" s="2">
        <v>2</v>
      </c>
      <c r="AT220" s="2">
        <v>2</v>
      </c>
      <c r="AU220" s="2">
        <v>2</v>
      </c>
      <c r="AV220" s="2">
        <v>125</v>
      </c>
      <c r="AW220" s="2">
        <v>60</v>
      </c>
      <c r="AX220" s="2">
        <v>40</v>
      </c>
      <c r="AY220" s="2">
        <v>25</v>
      </c>
      <c r="AZ220" s="2" t="s">
        <v>39</v>
      </c>
      <c r="BA220" s="14">
        <f>(Table_ship_components[[#This Row],[CORE_SPACE_UNITS]]*50000)+(Table_ship_components[[#This Row],[INTERNAL_SPACE_UNITS]]*5000)+(Table_ship_components[[#This Row],[EXTERNAL_SPACE_UNITS]]*500)</f>
        <v>3212500</v>
      </c>
      <c r="BB220" s="14">
        <f>SUM(Table_ship_components[[#This Row],[PRICE]]+(Table_ship_components[[#This Row],[COST_PER_ADD_PERSON]]*Table_ship_components[[#This Row],[OPTIONAL]]))</f>
        <v>3212500</v>
      </c>
      <c r="BC220" s="2"/>
      <c r="BD220" s="2"/>
    </row>
    <row r="221" spans="1:56" x14ac:dyDescent="0.35">
      <c r="D221" s="2"/>
      <c r="E221" s="2">
        <f>SUM(Table_ship_components[[#This Row],[UNIT_SIZE]]+(Table_ship_components[[#This Row],[SIZE_PER_ADD_PERSON]]*Table_ship_components[[#This Row],[OPTIONAL]]))</f>
        <v>0</v>
      </c>
      <c r="F221" s="2"/>
      <c r="G221" s="2">
        <f>SUM(Table_ship_components[[#This Row],[POWER_CONSUMPTION]]+(Table_ship_components[[#This Row],[POWER_PER_ADD_PERSON]]*Table_ship_components[[#This Row],[OPTIONAL]]))</f>
        <v>0</v>
      </c>
      <c r="H221" s="2"/>
      <c r="I221" s="2"/>
      <c r="J221" s="2"/>
      <c r="K221" s="2"/>
      <c r="L221" s="2"/>
      <c r="M221" s="2"/>
      <c r="N221" s="2"/>
      <c r="O221" s="2"/>
      <c r="P221" s="2"/>
      <c r="Q221" s="2"/>
      <c r="R221" s="2"/>
      <c r="S221" s="2"/>
      <c r="T221" s="2"/>
      <c r="U221" s="2"/>
      <c r="V221" s="2"/>
      <c r="W221" s="14"/>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14">
        <f>(Table_ship_components[[#This Row],[CORE_SPACE_UNITS]]*50000)+(Table_ship_components[[#This Row],[INTERNAL_SPACE_UNITS]]*5000)+(Table_ship_components[[#This Row],[EXTERNAL_SPACE_UNITS]]*500)</f>
        <v>0</v>
      </c>
      <c r="BB221" s="14">
        <f>SUM(Table_ship_components[[#This Row],[PRICE]]+(Table_ship_components[[#This Row],[COST_PER_ADD_PERSON]]*Table_ship_components[[#This Row],[OPTIONAL]]))</f>
        <v>0</v>
      </c>
      <c r="BC221" s="2"/>
      <c r="BD221" s="2"/>
    </row>
    <row r="222" spans="1:56" x14ac:dyDescent="0.35">
      <c r="D222" s="2"/>
      <c r="E222" s="2"/>
      <c r="F222" s="2"/>
      <c r="G222" s="2"/>
      <c r="H222" s="2"/>
      <c r="I222" s="2"/>
      <c r="J222" s="2"/>
      <c r="K222" s="2"/>
      <c r="L222" s="2"/>
      <c r="M222" s="2"/>
      <c r="N222" s="2"/>
      <c r="O222" s="2"/>
      <c r="P222" s="2"/>
      <c r="Q222" s="2"/>
      <c r="R222" s="2"/>
      <c r="S222" s="2"/>
      <c r="T222" s="2"/>
      <c r="U222" s="2"/>
      <c r="V222" s="2"/>
      <c r="W222" s="14"/>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14"/>
      <c r="BB222" s="14"/>
      <c r="BC222" s="2"/>
      <c r="BD222" s="2"/>
    </row>
    <row r="225" spans="1:56" ht="21" x14ac:dyDescent="0.5">
      <c r="A225" s="38" t="s">
        <v>692</v>
      </c>
      <c r="B225" s="38" t="s">
        <v>693</v>
      </c>
    </row>
    <row r="226" spans="1:56" outlineLevel="1" x14ac:dyDescent="0.35">
      <c r="A226" t="s">
        <v>689</v>
      </c>
      <c r="B226" t="str" cm="1">
        <f t="array" ref="B226">VLOOKUP($A226,Table_ship_components[],COLUMN(B:B),0)</f>
        <v>courrier corvette template</v>
      </c>
      <c r="D226" cm="1">
        <f t="array" ref="D226">VLOOKUP($A226,Table_ship_components[],COLUMN(D:D),0)</f>
        <v>0</v>
      </c>
      <c r="E226" cm="1">
        <f t="array" ref="E226">(VLOOKUP($A226,Table_ship_components[],COLUMN(D:D),0)+(V226*C226))</f>
        <v>0</v>
      </c>
      <c r="F226" cm="1">
        <f t="array" ref="F226">VLOOKUP($A226,Table_ship_components[],COLUMN(F:F),0)</f>
        <v>0</v>
      </c>
      <c r="G226" cm="1">
        <f t="array" ref="G226">(VLOOKUP($A226,Table_ship_components[],COLUMN(G:G),0)+(X226*C226))</f>
        <v>0</v>
      </c>
      <c r="H226" cm="1">
        <f t="array" ref="H226">VLOOKUP($A226,Table_ship_components[],COLUMN(H:H),0)</f>
        <v>0</v>
      </c>
      <c r="I226" cm="1">
        <f t="array" ref="I226">VLOOKUP($A226,Table_ship_components[],COLUMN(I:I),0)</f>
        <v>0</v>
      </c>
      <c r="J226" cm="1">
        <f t="array" ref="J226">VLOOKUP($A226,Table_ship_components[],COLUMN(J:J),0)</f>
        <v>0</v>
      </c>
      <c r="K226" cm="1">
        <f t="array" ref="K226">VLOOKUP($A226,Table_ship_components[],COLUMN(K:K),0)</f>
        <v>0</v>
      </c>
      <c r="L226" cm="1">
        <f t="array" ref="L226">VLOOKUP($A226,Table_ship_components[],COLUMN(L:L),0)</f>
        <v>0</v>
      </c>
      <c r="M226" cm="1">
        <f t="array" ref="M226">VLOOKUP($A226,Table_ship_components[],COLUMN(M:M),0)</f>
        <v>0</v>
      </c>
      <c r="N226" cm="1">
        <f t="array" ref="N226">VLOOKUP($A226,Table_ship_components[],COLUMN(N:N),0)</f>
        <v>0</v>
      </c>
      <c r="O226" cm="1">
        <f t="array" ref="O226">VLOOKUP($A226,Table_ship_components[],COLUMN(O:O),0)</f>
        <v>0</v>
      </c>
      <c r="P226" cm="1">
        <f t="array" ref="P226">VLOOKUP($A226,Table_ship_components[],COLUMN(P:P),0)</f>
        <v>0</v>
      </c>
      <c r="Q226" cm="1">
        <f t="array" ref="Q226">VLOOKUP($A226,Table_ship_components[],COLUMN(Q:Q),0)</f>
        <v>0</v>
      </c>
      <c r="R226" cm="1">
        <f t="array" ref="R226">VLOOKUP($A226,Table_ship_components[],COLUMN(R:R),0)</f>
        <v>0</v>
      </c>
      <c r="S226" cm="1">
        <f t="array" ref="S226">VLOOKUP($A226,Table_ship_components[],COLUMN(S:S),0)</f>
        <v>0</v>
      </c>
      <c r="T226" cm="1">
        <f t="array" ref="T226">VLOOKUP($A226,Table_ship_components[],COLUMN(T:T),0)</f>
        <v>0</v>
      </c>
      <c r="U226" cm="1">
        <f t="array" ref="U226">VLOOKUP($A226,Table_ship_components[],COLUMN(U:U),0)</f>
        <v>0</v>
      </c>
      <c r="V226" cm="1">
        <f t="array" ref="V226">VLOOKUP($A226,Table_ship_components[],COLUMN(V:V),0)</f>
        <v>0</v>
      </c>
      <c r="W226" s="15" cm="1">
        <f t="array" ref="W226">VLOOKUP($A226,Table_ship_components[],COLUMN(W:W),0)</f>
        <v>0</v>
      </c>
      <c r="X226" cm="1">
        <f t="array" ref="X226">VLOOKUP($A226,Table_ship_components[],COLUMN(X:X),0)</f>
        <v>0</v>
      </c>
      <c r="Y226" cm="1">
        <f t="array" ref="Y226">VLOOKUP($A226,Table_ship_components[],COLUMN(Y:Y),0)</f>
        <v>0</v>
      </c>
      <c r="Z226" cm="1">
        <f t="array" ref="Z226">VLOOKUP($A226,Table_ship_components[],COLUMN(Z:Z),0)</f>
        <v>0</v>
      </c>
      <c r="AA226" cm="1">
        <f t="array" ref="AA226">VLOOKUP($A226,Table_ship_components[],COLUMN(AA:AA),0)</f>
        <v>0</v>
      </c>
      <c r="AC226" cm="1">
        <f t="array" ref="AC226">VLOOKUP($A226,Table_ship_components[],COLUMN(AC:AC),0)</f>
        <v>0</v>
      </c>
      <c r="AD226" cm="1">
        <f t="array" ref="AD226">VLOOKUP($A226,Table_ship_components[],COLUMN(AD:AD),0)</f>
        <v>0</v>
      </c>
      <c r="AE226" cm="1">
        <f t="array" ref="AE226">VLOOKUP($A226,Table_ship_components[],COLUMN(AE:AE),0)</f>
        <v>0</v>
      </c>
      <c r="AF226" cm="1">
        <f t="array" ref="AF226">VLOOKUP($A226,Table_ship_components[],COLUMN(AF:AF),0)</f>
        <v>0</v>
      </c>
      <c r="AG226" cm="1">
        <f t="array" ref="AG226">VLOOKUP($A226,Table_ship_components[],COLUMN(AG:AG),0)</f>
        <v>0</v>
      </c>
      <c r="AH226" cm="1">
        <f t="array" ref="AH226">VLOOKUP($A226,Table_ship_components[],COLUMN(AH:AH),0)</f>
        <v>0</v>
      </c>
      <c r="AI226" cm="1">
        <f t="array" ref="AI226">VLOOKUP($A226,Table_ship_components[],COLUMN(AI:AI),0)</f>
        <v>0</v>
      </c>
      <c r="AJ226" cm="1">
        <f t="array" ref="AJ226">VLOOKUP($A226,Table_ship_components[],COLUMN(AJ:AJ),0)</f>
        <v>0</v>
      </c>
      <c r="AK226" cm="1">
        <f t="array" ref="AK226">VLOOKUP($A226,Table_ship_components[],COLUMN(AK:AK),0)</f>
        <v>0</v>
      </c>
      <c r="AL226" cm="1">
        <f t="array" ref="AL226">VLOOKUP($A226,Table_ship_components[],COLUMN(AL:AL),0)</f>
        <v>0</v>
      </c>
      <c r="AM226" cm="1">
        <f t="array" ref="AM226">VLOOKUP($A226,Table_ship_components[],COLUMN(AM:AM),0)</f>
        <v>3</v>
      </c>
      <c r="AN226" cm="1">
        <f t="array" ref="AN226">VLOOKUP($A226,Table_ship_components[],COLUMN(AN:AN),0)</f>
        <v>10</v>
      </c>
      <c r="AO226" cm="1">
        <f t="array" ref="AO226">VLOOKUP($A226,Table_ship_components[],COLUMN(AO:AO),0)</f>
        <v>3</v>
      </c>
      <c r="AP226" cm="1">
        <f t="array" ref="AP226">VLOOKUP($A226,Table_ship_components[],COLUMN(AP:AP),0)</f>
        <v>10</v>
      </c>
      <c r="AQ226" cm="1">
        <f t="array" ref="AQ226">VLOOKUP($A226,Table_ship_components[],COLUMN(AQ:AQ),0)</f>
        <v>2</v>
      </c>
      <c r="AR226" cm="1">
        <f t="array" ref="AR226">VLOOKUP($A226,Table_ship_components[],COLUMN(AR:AR),0)</f>
        <v>2</v>
      </c>
      <c r="AS226" cm="1">
        <f t="array" ref="AS226">VLOOKUP($A226,Table_ship_components[],COLUMN(AS:AS),0)</f>
        <v>2</v>
      </c>
      <c r="AT226" cm="1">
        <f t="array" ref="AT226">VLOOKUP($A226,Table_ship_components[],COLUMN(AT:AT),0)</f>
        <v>2</v>
      </c>
      <c r="AU226" s="2" cm="1">
        <f t="array" ref="AU226">VLOOKUP($A226,Table_ship_components[],COLUMN(AU:AU),0)</f>
        <v>2</v>
      </c>
      <c r="AV226" s="2" cm="1">
        <f t="array" ref="AV226">VLOOKUP($A226,Table_ship_components[],COLUMN(AV:AV),0)</f>
        <v>125</v>
      </c>
      <c r="AW226" s="2" cm="1">
        <f t="array" ref="AW226">VLOOKUP($A226,Table_ship_components[],COLUMN(AW:AW),0)</f>
        <v>50</v>
      </c>
      <c r="AX226" s="2" cm="1">
        <f t="array" ref="AX226">VLOOKUP($A226,Table_ship_components[],COLUMN(AX:AX),0)</f>
        <v>50</v>
      </c>
      <c r="AY226" s="2" cm="1">
        <f t="array" ref="AY226">VLOOKUP($A226,Table_ship_components[],COLUMN(AY:AY),0)</f>
        <v>25</v>
      </c>
      <c r="AZ226" s="2" t="str" cm="1">
        <f t="array" ref="AZ226">VLOOKUP($A226,Table_ship_components[],COLUMN(AZ:AZ),0)</f>
        <v>C</v>
      </c>
      <c r="BA226" s="14" cm="1">
        <f t="array" ref="BA226">VLOOKUP($A226,Table_ship_components[],COLUMN(BA:BA),0)</f>
        <v>2762500</v>
      </c>
      <c r="BB226" s="14" cm="1">
        <f t="array" ref="BB226">(VLOOKUP($A226,Table_ship_components[],COLUMN(BA:BA),0)+(W226*C226))</f>
        <v>2762500</v>
      </c>
      <c r="BC226" s="2" cm="1">
        <f t="array" ref="BC226">VLOOKUP($A226,Table_ship_components[],COLUMN(BC:BC),0)</f>
        <v>0</v>
      </c>
      <c r="BD226" s="2" cm="1">
        <f t="array" ref="BD226">VLOOKUP($A226,Table_ship_components[],COLUMN(BD:BD),0)</f>
        <v>0</v>
      </c>
    </row>
    <row r="227" spans="1:56" outlineLevel="1" x14ac:dyDescent="0.35"/>
    <row r="228" spans="1:56" outlineLevel="1" x14ac:dyDescent="0.35">
      <c r="A228" s="40" t="str">
        <f>CONCATENATE("LIFE SUPPORT VALID : ",IF((SUM(Z256:AA256)&lt;=AC256),"YES","NO"))</f>
        <v>LIFE SUPPORT VALID : YES</v>
      </c>
      <c r="B228" s="39" t="str">
        <f>CONCATENATE("TOTAL SIZE ",(SUM(E230:E255))," TOTAL POWER ",(SUM(G230:G255))," / ",(SUM(I230:I255)))</f>
        <v>TOTAL SIZE 125 TOTAL POWER 64 / 65</v>
      </c>
    </row>
    <row r="229" spans="1:56" outlineLevel="1" x14ac:dyDescent="0.35">
      <c r="A229" s="18" t="s">
        <v>423</v>
      </c>
      <c r="B229" s="19" t="str">
        <f>CONCATENATE("SIZE ",(SUM(E230:E236)),"/", AW226,"  POWER ",(SUM(G230:G236)),)</f>
        <v>SIZE 50/50  POWER 31</v>
      </c>
      <c r="C229" s="31" t="s">
        <v>521</v>
      </c>
    </row>
    <row r="230" spans="1:56" outlineLevel="1" x14ac:dyDescent="0.35">
      <c r="A230" t="s">
        <v>369</v>
      </c>
      <c r="B230" t="str" cm="1">
        <f t="array" ref="B230">VLOOKUP($A230,Table_ship_components[],COLUMN(B:B),0)</f>
        <v>basic corvette power plant</v>
      </c>
      <c r="D230" cm="1">
        <f t="array" ref="D230">VLOOKUP($A230,Table_ship_components[],COLUMN(D:D),0)</f>
        <v>12</v>
      </c>
      <c r="E230" cm="1">
        <f t="array" ref="E230">ROUND(VLOOKUP($A230,Table_ship_components[],COLUMN(D:D),0)+(V230*C230),0)</f>
        <v>12</v>
      </c>
      <c r="F230" cm="1">
        <f t="array" ref="F230">VLOOKUP($A230,Table_ship_components[],COLUMN(F:F),0)</f>
        <v>0</v>
      </c>
      <c r="G230" cm="1">
        <f t="array" ref="G230">ROUND(VLOOKUP($A230,Table_ship_components[],COLUMN(G:G),0)+(X230*C230),0)</f>
        <v>0</v>
      </c>
      <c r="H230" cm="1">
        <f t="array" ref="H230">VLOOKUP($A230,Table_ship_components[],COLUMN(H:H),0)</f>
        <v>0</v>
      </c>
      <c r="I230" cm="1">
        <f t="array" ref="I230">VLOOKUP($A230,Table_ship_components[],COLUMN(I:I),0)</f>
        <v>65</v>
      </c>
      <c r="J230" cm="1">
        <f t="array" ref="J230">VLOOKUP($A230,Table_ship_components[],COLUMN(J:J),0)</f>
        <v>0</v>
      </c>
      <c r="K230" cm="1">
        <f t="array" ref="K230">VLOOKUP($A230,Table_ship_components[],COLUMN(K:K),0)</f>
        <v>0</v>
      </c>
      <c r="L230" cm="1">
        <f t="array" ref="L230">VLOOKUP($A230,Table_ship_components[],COLUMN(L:L),0)</f>
        <v>0</v>
      </c>
      <c r="M230" cm="1">
        <f t="array" ref="M230">VLOOKUP($A230,Table_ship_components[],COLUMN(M:M),0)</f>
        <v>0</v>
      </c>
      <c r="N230" cm="1">
        <f t="array" ref="N230">VLOOKUP($A230,Table_ship_components[],COLUMN(N:N),0)</f>
        <v>0</v>
      </c>
      <c r="O230" cm="1">
        <f t="array" ref="O230">VLOOKUP($A230,Table_ship_components[],COLUMN(O:O),0)</f>
        <v>1</v>
      </c>
      <c r="P230" cm="1">
        <f t="array" ref="P230">VLOOKUP($A230,Table_ship_components[],COLUMN(P:P),0)</f>
        <v>1</v>
      </c>
      <c r="Q230" cm="1">
        <f t="array" ref="Q230">VLOOKUP($A230,Table_ship_components[],COLUMN(Q:Q),0)</f>
        <v>1</v>
      </c>
      <c r="R230" cm="1">
        <f t="array" ref="R230">VLOOKUP($A230,Table_ship_components[],COLUMN(R:R),0)</f>
        <v>1</v>
      </c>
      <c r="S230" cm="1">
        <f t="array" ref="S230">VLOOKUP($A230,Table_ship_components[],COLUMN(S:S),0)</f>
        <v>1</v>
      </c>
      <c r="T230" cm="1">
        <f t="array" ref="T230">VLOOKUP($A230,Table_ship_components[],COLUMN(T:T),0)</f>
        <v>1</v>
      </c>
      <c r="U230" cm="1">
        <f t="array" ref="U230">VLOOKUP($A230,Table_ship_components[],COLUMN(U:U),0)</f>
        <v>0</v>
      </c>
      <c r="V230" cm="1">
        <f t="array" ref="V230">VLOOKUP($A230,Table_ship_components[],COLUMN(V:V),0)</f>
        <v>0</v>
      </c>
      <c r="W230" s="15" cm="1">
        <f t="array" ref="W230">VLOOKUP($A230,Table_ship_components[],COLUMN(W:W),0)</f>
        <v>0</v>
      </c>
      <c r="X230" cm="1">
        <f t="array" ref="X230">VLOOKUP($A230,Table_ship_components[],COLUMN(X:X),0)</f>
        <v>0</v>
      </c>
      <c r="Y230" cm="1">
        <f t="array" ref="Y230">VLOOKUP($A230,Table_ship_components[],COLUMN(Y:Y),0)</f>
        <v>0</v>
      </c>
      <c r="Z230" cm="1">
        <f t="array" ref="Z230">VLOOKUP($A230,Table_ship_components[],COLUMN(Z:Z),0)</f>
        <v>0</v>
      </c>
      <c r="AA230" cm="1">
        <f t="array" ref="AA230">IF(A230="PASSENGERSPACE_0-ALL_1-BASIC",(VLOOKUP($A230,Table_ship_components[],COLUMN(AA:AA),0)*C230),VLOOKUP($A230,Table_ship_components[],COLUMN(AA:AA),0))</f>
        <v>0</v>
      </c>
      <c r="AB230">
        <f>IF(A230="CARGOSPACE_0-ALL_0-UNIVERSAL",C230,0)</f>
        <v>0</v>
      </c>
      <c r="AC230" cm="1">
        <f t="array" ref="AC230">VLOOKUP($A230,Table_ship_components[],COLUMN(AC:AC),0)</f>
        <v>0</v>
      </c>
      <c r="AD230" cm="1">
        <f t="array" ref="AD230">VLOOKUP($A230,Table_ship_components[],COLUMN(AD:AD),0)</f>
        <v>0</v>
      </c>
      <c r="AE230" cm="1">
        <f t="array" ref="AE230">VLOOKUP($A230,Table_ship_components[],COLUMN(AE:AE),0)</f>
        <v>0</v>
      </c>
      <c r="AF230" cm="1">
        <f t="array" ref="AF230">VLOOKUP($A230,Table_ship_components[],COLUMN(AF:AF),0)</f>
        <v>0</v>
      </c>
      <c r="AG230" cm="1">
        <f t="array" ref="AG230">VLOOKUP($A230,Table_ship_components[],COLUMN(AG:AG),0)</f>
        <v>0</v>
      </c>
      <c r="AH230" cm="1">
        <f t="array" ref="AH230">VLOOKUP($A230,Table_ship_components[],COLUMN(AH:AH),0)</f>
        <v>0</v>
      </c>
      <c r="AI230" cm="1">
        <f t="array" ref="AI230">VLOOKUP($A230,Table_ship_components[],COLUMN(AI:AI),0)</f>
        <v>0</v>
      </c>
      <c r="AJ230" cm="1">
        <f t="array" ref="AJ230">VLOOKUP($A230,Table_ship_components[],COLUMN(AJ:AJ),0)</f>
        <v>0</v>
      </c>
      <c r="AK230" cm="1">
        <f t="array" ref="AK230">VLOOKUP($A230,Table_ship_components[],COLUMN(AK:AK),0)</f>
        <v>0</v>
      </c>
      <c r="AL230" cm="1">
        <f t="array" ref="AL230">VLOOKUP($A230,Table_ship_components[],COLUMN(AL:AL),0)</f>
        <v>0</v>
      </c>
      <c r="AM230" cm="1">
        <f t="array" ref="AM230">VLOOKUP($A230,Table_ship_components[],COLUMN(AM:AM),0)</f>
        <v>0</v>
      </c>
      <c r="AN230" cm="1">
        <f t="array" ref="AN230">VLOOKUP($A230,Table_ship_components[],COLUMN(AN:AN),0)</f>
        <v>0</v>
      </c>
      <c r="AO230" cm="1">
        <f t="array" ref="AO230">VLOOKUP($A230,Table_ship_components[],COLUMN(AO:AO),0)</f>
        <v>0</v>
      </c>
      <c r="AP230" cm="1">
        <f t="array" ref="AP230">VLOOKUP($A230,Table_ship_components[],COLUMN(AP:AP),0)</f>
        <v>0</v>
      </c>
      <c r="AQ230" cm="1">
        <f t="array" ref="AQ230">VLOOKUP($A230,Table_ship_components[],COLUMN(AQ:AQ),0)</f>
        <v>0</v>
      </c>
      <c r="AR230" cm="1">
        <f t="array" ref="AR230">VLOOKUP($A230,Table_ship_components[],COLUMN(AR:AR),0)</f>
        <v>0</v>
      </c>
      <c r="AS230" cm="1">
        <f t="array" ref="AS230">VLOOKUP($A230,Table_ship_components[],COLUMN(AS:AS),0)</f>
        <v>0</v>
      </c>
      <c r="AT230" cm="1">
        <f t="array" ref="AT230">VLOOKUP($A230,Table_ship_components[],COLUMN(AT:AT),0)</f>
        <v>-1</v>
      </c>
      <c r="AU230" s="2" cm="1">
        <f t="array" ref="AU230">VLOOKUP($A230,Table_ship_components[],COLUMN(AU:AU),0)</f>
        <v>0</v>
      </c>
      <c r="AV230" s="2" cm="1">
        <f t="array" ref="AV230">VLOOKUP($A230,Table_ship_components[],COLUMN(AV:AV),0)</f>
        <v>0</v>
      </c>
      <c r="AW230" s="2" cm="1">
        <f t="array" ref="AW230">VLOOKUP($A230,Table_ship_components[],COLUMN(AW:AW),0)</f>
        <v>0</v>
      </c>
      <c r="AX230" s="2" cm="1">
        <f t="array" ref="AX230">VLOOKUP($A230,Table_ship_components[],COLUMN(AX:AX),0)</f>
        <v>0</v>
      </c>
      <c r="AY230" s="2" cm="1">
        <f t="array" ref="AY230">VLOOKUP($A230,Table_ship_components[],COLUMN(AY:AY),0)</f>
        <v>0</v>
      </c>
      <c r="AZ230" s="2" t="str" cm="1">
        <f t="array" ref="AZ230">VLOOKUP($A230,Table_ship_components[],COLUMN(AZ:AZ),0)</f>
        <v>C</v>
      </c>
      <c r="BA230" s="14" cm="1">
        <f t="array" ref="BA230">VLOOKUP($A230,Table_ship_components[],COLUMN(BA:BA),0)</f>
        <v>250000</v>
      </c>
      <c r="BB230" s="14" cm="1">
        <f t="array" ref="BB230">(VLOOKUP($A230,Table_ship_components[],COLUMN(BA:BA),0)+(W230*C230))</f>
        <v>250000</v>
      </c>
      <c r="BC230" s="2" cm="1">
        <f t="array" ref="BC230">VLOOKUP($A230,Table_ship_components[],COLUMN(BC:BC),0)</f>
        <v>0</v>
      </c>
      <c r="BD230" s="2" cm="1">
        <f t="array" ref="BD230">VLOOKUP($A230,Table_ship_components[],COLUMN(BD:BD),0)</f>
        <v>0</v>
      </c>
    </row>
    <row r="231" spans="1:56" outlineLevel="1" x14ac:dyDescent="0.35">
      <c r="A231" t="s">
        <v>384</v>
      </c>
      <c r="B231" t="str" cm="1">
        <f t="array" ref="B231">VLOOKUP($A231,Table_ship_components[],COLUMN(B:B),0)</f>
        <v>basic corvette warfare assistance</v>
      </c>
      <c r="D231" cm="1">
        <f t="array" ref="D231">VLOOKUP($A231,Table_ship_components[],COLUMN(D:D),0)</f>
        <v>4</v>
      </c>
      <c r="E231" cm="1">
        <f t="array" ref="E231">ROUND(VLOOKUP($A231,Table_ship_components[],COLUMN(D:D),0)+(V231*C231),0)</f>
        <v>4</v>
      </c>
      <c r="F231" cm="1">
        <f t="array" ref="F231">VLOOKUP($A231,Table_ship_components[],COLUMN(F:F),0)</f>
        <v>4</v>
      </c>
      <c r="G231" cm="1">
        <f t="array" ref="G231">ROUND(VLOOKUP($A231,Table_ship_components[],COLUMN(G:G),0)+(X231*C231),0)</f>
        <v>4</v>
      </c>
      <c r="H231" cm="1">
        <f t="array" ref="H231">VLOOKUP($A231,Table_ship_components[],COLUMN(H:H),0)</f>
        <v>0</v>
      </c>
      <c r="I231" cm="1">
        <f t="array" ref="I231">VLOOKUP($A231,Table_ship_components[],COLUMN(I:I),0)</f>
        <v>0</v>
      </c>
      <c r="J231" cm="1">
        <f t="array" ref="J231">VLOOKUP($A231,Table_ship_components[],COLUMN(J:J),0)</f>
        <v>0</v>
      </c>
      <c r="K231" cm="1">
        <f t="array" ref="K231">VLOOKUP($A231,Table_ship_components[],COLUMN(K:K),0)</f>
        <v>0</v>
      </c>
      <c r="L231" cm="1">
        <f t="array" ref="L231">VLOOKUP($A231,Table_ship_components[],COLUMN(L:L),0)</f>
        <v>0</v>
      </c>
      <c r="M231" cm="1">
        <f t="array" ref="M231">VLOOKUP($A231,Table_ship_components[],COLUMN(M:M),0)</f>
        <v>0</v>
      </c>
      <c r="N231" cm="1">
        <f t="array" ref="N231">VLOOKUP($A231,Table_ship_components[],COLUMN(N:N),0)</f>
        <v>0</v>
      </c>
      <c r="O231" cm="1">
        <f t="array" ref="O231">VLOOKUP($A231,Table_ship_components[],COLUMN(O:O),0)</f>
        <v>1</v>
      </c>
      <c r="P231" cm="1">
        <f t="array" ref="P231">VLOOKUP($A231,Table_ship_components[],COLUMN(P:P),0)</f>
        <v>0</v>
      </c>
      <c r="Q231" cm="1">
        <f t="array" ref="Q231">VLOOKUP($A231,Table_ship_components[],COLUMN(Q:Q),0)</f>
        <v>0</v>
      </c>
      <c r="R231" cm="1">
        <f t="array" ref="R231">VLOOKUP($A231,Table_ship_components[],COLUMN(R:R),0)</f>
        <v>0</v>
      </c>
      <c r="S231" cm="1">
        <f t="array" ref="S231">VLOOKUP($A231,Table_ship_components[],COLUMN(S:S),0)</f>
        <v>0</v>
      </c>
      <c r="T231" cm="1">
        <f t="array" ref="T231">VLOOKUP($A231,Table_ship_components[],COLUMN(T:T),0)</f>
        <v>0</v>
      </c>
      <c r="U231" cm="1">
        <f t="array" ref="U231">VLOOKUP($A231,Table_ship_components[],COLUMN(U:U),0)</f>
        <v>0</v>
      </c>
      <c r="V231" cm="1">
        <f t="array" ref="V231">VLOOKUP($A231,Table_ship_components[],COLUMN(V:V),0)</f>
        <v>0</v>
      </c>
      <c r="W231" s="15" cm="1">
        <f t="array" ref="W231">VLOOKUP($A231,Table_ship_components[],COLUMN(W:W),0)</f>
        <v>0</v>
      </c>
      <c r="X231" cm="1">
        <f t="array" ref="X231">VLOOKUP($A231,Table_ship_components[],COLUMN(X:X),0)</f>
        <v>0</v>
      </c>
      <c r="Y231" cm="1">
        <f t="array" ref="Y231">VLOOKUP($A231,Table_ship_components[],COLUMN(Y:Y),0)</f>
        <v>0</v>
      </c>
      <c r="Z231" cm="1">
        <f t="array" ref="Z231">VLOOKUP($A231,Table_ship_components[],COLUMN(Z:Z),0)</f>
        <v>0</v>
      </c>
      <c r="AA231" cm="1">
        <f t="array" ref="AA231">VLOOKUP($A231,Table_ship_components[],COLUMN(AA:AA),0)</f>
        <v>0</v>
      </c>
      <c r="AB231">
        <f t="shared" ref="AB231:AB255" si="0">IF(A231="CARGOSPACE_0-ALL_0-UNIVERSAL",C231,0)</f>
        <v>0</v>
      </c>
      <c r="AC231" cm="1">
        <f t="array" ref="AC231">VLOOKUP($A231,Table_ship_components[],COLUMN(AC:AC),0)</f>
        <v>0</v>
      </c>
      <c r="AD231" cm="1">
        <f t="array" ref="AD231">VLOOKUP($A231,Table_ship_components[],COLUMN(AD:AD),0)</f>
        <v>0</v>
      </c>
      <c r="AE231" cm="1">
        <f t="array" ref="AE231">VLOOKUP($A231,Table_ship_components[],COLUMN(AE:AE),0)</f>
        <v>0</v>
      </c>
      <c r="AF231" cm="1">
        <f t="array" ref="AF231">VLOOKUP($A231,Table_ship_components[],COLUMN(AF:AF),0)</f>
        <v>0</v>
      </c>
      <c r="AG231" cm="1">
        <f t="array" ref="AG231">VLOOKUP($A231,Table_ship_components[],COLUMN(AG:AG),0)</f>
        <v>0</v>
      </c>
      <c r="AH231" cm="1">
        <f t="array" ref="AH231">VLOOKUP($A231,Table_ship_components[],COLUMN(AH:AH),0)</f>
        <v>0</v>
      </c>
      <c r="AI231" cm="1">
        <f t="array" ref="AI231">VLOOKUP($A231,Table_ship_components[],COLUMN(AI:AI),0)</f>
        <v>0</v>
      </c>
      <c r="AJ231" cm="1">
        <f t="array" ref="AJ231">VLOOKUP($A231,Table_ship_components[],COLUMN(AJ:AJ),0)</f>
        <v>0</v>
      </c>
      <c r="AK231" cm="1">
        <f t="array" ref="AK231">VLOOKUP($A231,Table_ship_components[],COLUMN(AK:AK),0)</f>
        <v>0</v>
      </c>
      <c r="AL231" cm="1">
        <f t="array" ref="AL231">VLOOKUP($A231,Table_ship_components[],COLUMN(AL:AL),0)</f>
        <v>0</v>
      </c>
      <c r="AM231" cm="1">
        <f t="array" ref="AM231">VLOOKUP($A231,Table_ship_components[],COLUMN(AM:AM),0)</f>
        <v>0</v>
      </c>
      <c r="AN231" cm="1">
        <f t="array" ref="AN231">VLOOKUP($A231,Table_ship_components[],COLUMN(AN:AN),0)</f>
        <v>0</v>
      </c>
      <c r="AO231" cm="1">
        <f t="array" ref="AO231">VLOOKUP($A231,Table_ship_components[],COLUMN(AO:AO),0)</f>
        <v>0</v>
      </c>
      <c r="AP231" cm="1">
        <f t="array" ref="AP231">VLOOKUP($A231,Table_ship_components[],COLUMN(AP:AP),0)</f>
        <v>0</v>
      </c>
      <c r="AQ231" cm="1">
        <f t="array" ref="AQ231">VLOOKUP($A231,Table_ship_components[],COLUMN(AQ:AQ),0)</f>
        <v>0</v>
      </c>
      <c r="AR231" cm="1">
        <f t="array" ref="AR231">VLOOKUP($A231,Table_ship_components[],COLUMN(AR:AR),0)</f>
        <v>0</v>
      </c>
      <c r="AS231" cm="1">
        <f t="array" ref="AS231">VLOOKUP($A231,Table_ship_components[],COLUMN(AS:AS),0)</f>
        <v>0</v>
      </c>
      <c r="AT231" cm="1">
        <f t="array" ref="AT231">VLOOKUP($A231,Table_ship_components[],COLUMN(AT:AT),0)</f>
        <v>0</v>
      </c>
      <c r="AU231" s="2" cm="1">
        <f t="array" ref="AU231">VLOOKUP($A231,Table_ship_components[],COLUMN(AU:AU),0)</f>
        <v>-1</v>
      </c>
      <c r="AV231" s="2" cm="1">
        <f t="array" ref="AV231">VLOOKUP($A231,Table_ship_components[],COLUMN(AV:AV),0)</f>
        <v>0</v>
      </c>
      <c r="AW231" s="2" cm="1">
        <f t="array" ref="AW231">VLOOKUP($A231,Table_ship_components[],COLUMN(AW:AW),0)</f>
        <v>0</v>
      </c>
      <c r="AX231" s="2" cm="1">
        <f t="array" ref="AX231">VLOOKUP($A231,Table_ship_components[],COLUMN(AX:AX),0)</f>
        <v>0</v>
      </c>
      <c r="AY231" s="2" cm="1">
        <f t="array" ref="AY231">VLOOKUP($A231,Table_ship_components[],COLUMN(AY:AY),0)</f>
        <v>0</v>
      </c>
      <c r="AZ231" s="2" t="str" cm="1">
        <f t="array" ref="AZ231">VLOOKUP($A231,Table_ship_components[],COLUMN(AZ:AZ),0)</f>
        <v>C</v>
      </c>
      <c r="BA231" s="14" cm="1">
        <f t="array" ref="BA231">VLOOKUP($A231,Table_ship_components[],COLUMN(BA:BA),0)</f>
        <v>120000</v>
      </c>
      <c r="BB231" s="14" cm="1">
        <f t="array" ref="BB231">(VLOOKUP($A231,Table_ship_components[],COLUMN(BA:BA),0)+(W231*C231))</f>
        <v>120000</v>
      </c>
      <c r="BC231" s="2" cm="1">
        <f t="array" ref="BC231">VLOOKUP($A231,Table_ship_components[],COLUMN(BC:BC),0)</f>
        <v>0</v>
      </c>
      <c r="BD231" s="2" cm="1">
        <f t="array" ref="BD231">VLOOKUP($A231,Table_ship_components[],COLUMN(BD:BD),0)</f>
        <v>0</v>
      </c>
    </row>
    <row r="232" spans="1:56" outlineLevel="1" x14ac:dyDescent="0.35">
      <c r="A232" t="s">
        <v>350</v>
      </c>
      <c r="B232" t="str" cm="1">
        <f t="array" ref="B232">VLOOKUP($A232,Table_ship_components[],COLUMN(B:B),0)</f>
        <v>good automation of crew functions</v>
      </c>
      <c r="D232" cm="1">
        <f t="array" ref="D232">VLOOKUP($A232,Table_ship_components[],COLUMN(D:D),0)</f>
        <v>6</v>
      </c>
      <c r="E232" cm="1">
        <f t="array" ref="E232">ROUND(VLOOKUP($A232,Table_ship_components[],COLUMN(D:D),0)+(V232*C232),0)</f>
        <v>6</v>
      </c>
      <c r="F232" cm="1">
        <f t="array" ref="F232">VLOOKUP($A232,Table_ship_components[],COLUMN(F:F),0)</f>
        <v>7</v>
      </c>
      <c r="G232" cm="1">
        <f t="array" ref="G232">ROUND(VLOOKUP($A232,Table_ship_components[],COLUMN(G:G),0)+(X232*C232),0)</f>
        <v>7</v>
      </c>
      <c r="H232" cm="1">
        <f t="array" ref="H232">VLOOKUP($A232,Table_ship_components[],COLUMN(H:H),0)</f>
        <v>0</v>
      </c>
      <c r="I232" cm="1">
        <f t="array" ref="I232">VLOOKUP($A232,Table_ship_components[],COLUMN(I:I),0)</f>
        <v>0</v>
      </c>
      <c r="J232" cm="1">
        <f t="array" ref="J232">VLOOKUP($A232,Table_ship_components[],COLUMN(J:J),0)</f>
        <v>0</v>
      </c>
      <c r="K232" cm="1">
        <f t="array" ref="K232">VLOOKUP($A232,Table_ship_components[],COLUMN(K:K),0)</f>
        <v>0</v>
      </c>
      <c r="L232" cm="1">
        <f t="array" ref="L232">VLOOKUP($A232,Table_ship_components[],COLUMN(L:L),0)</f>
        <v>0</v>
      </c>
      <c r="M232" cm="1">
        <f t="array" ref="M232">VLOOKUP($A232,Table_ship_components[],COLUMN(M:M),0)</f>
        <v>0</v>
      </c>
      <c r="N232" cm="1">
        <f t="array" ref="N232">VLOOKUP($A232,Table_ship_components[],COLUMN(N:N),0)</f>
        <v>0</v>
      </c>
      <c r="O232" cm="1">
        <f t="array" ref="O232">VLOOKUP($A232,Table_ship_components[],COLUMN(O:O),0)</f>
        <v>1</v>
      </c>
      <c r="P232" cm="1">
        <f t="array" ref="P232">VLOOKUP($A232,Table_ship_components[],COLUMN(P:P),0)</f>
        <v>0</v>
      </c>
      <c r="Q232" cm="1">
        <f t="array" ref="Q232">VLOOKUP($A232,Table_ship_components[],COLUMN(Q:Q),0)</f>
        <v>0</v>
      </c>
      <c r="R232" cm="1">
        <f t="array" ref="R232">VLOOKUP($A232,Table_ship_components[],COLUMN(R:R),0)</f>
        <v>0</v>
      </c>
      <c r="S232" cm="1">
        <f t="array" ref="S232">VLOOKUP($A232,Table_ship_components[],COLUMN(S:S),0)</f>
        <v>0</v>
      </c>
      <c r="T232" cm="1">
        <f t="array" ref="T232">VLOOKUP($A232,Table_ship_components[],COLUMN(T:T),0)</f>
        <v>0</v>
      </c>
      <c r="U232" cm="1">
        <f t="array" ref="U232">VLOOKUP($A232,Table_ship_components[],COLUMN(U:U),0)</f>
        <v>0</v>
      </c>
      <c r="V232" cm="1">
        <f t="array" ref="V232">VLOOKUP($A232,Table_ship_components[],COLUMN(V:V),0)</f>
        <v>0</v>
      </c>
      <c r="W232" s="15" cm="1">
        <f t="array" ref="W232">VLOOKUP($A232,Table_ship_components[],COLUMN(W:W),0)</f>
        <v>0</v>
      </c>
      <c r="X232" cm="1">
        <f t="array" ref="X232">VLOOKUP($A232,Table_ship_components[],COLUMN(X:X),0)</f>
        <v>0</v>
      </c>
      <c r="Y232" cm="1">
        <f t="array" ref="Y232">VLOOKUP($A232,Table_ship_components[],COLUMN(Y:Y),0)</f>
        <v>1</v>
      </c>
      <c r="Z232" cm="1">
        <f t="array" ref="Z232">VLOOKUP($A232,Table_ship_components[],COLUMN(Z:Z),0)</f>
        <v>2</v>
      </c>
      <c r="AA232" cm="1">
        <f t="array" ref="AA232">VLOOKUP($A232,Table_ship_components[],COLUMN(AA:AA),0)</f>
        <v>0</v>
      </c>
      <c r="AB232">
        <f t="shared" si="0"/>
        <v>0</v>
      </c>
      <c r="AC232" cm="1">
        <f t="array" ref="AC232">VLOOKUP($A232,Table_ship_components[],COLUMN(AC:AC),0)</f>
        <v>0</v>
      </c>
      <c r="AD232" cm="1">
        <f t="array" ref="AD232">VLOOKUP($A232,Table_ship_components[],COLUMN(AD:AD),0)</f>
        <v>0</v>
      </c>
      <c r="AE232" cm="1">
        <f t="array" ref="AE232">VLOOKUP($A232,Table_ship_components[],COLUMN(AE:AE),0)</f>
        <v>0</v>
      </c>
      <c r="AF232" cm="1">
        <f t="array" ref="AF232">VLOOKUP($A232,Table_ship_components[],COLUMN(AF:AF),0)</f>
        <v>0</v>
      </c>
      <c r="AG232" cm="1">
        <f t="array" ref="AG232">VLOOKUP($A232,Table_ship_components[],COLUMN(AG:AG),0)</f>
        <v>0</v>
      </c>
      <c r="AH232" cm="1">
        <f t="array" ref="AH232">VLOOKUP($A232,Table_ship_components[],COLUMN(AH:AH),0)</f>
        <v>0</v>
      </c>
      <c r="AI232" cm="1">
        <f t="array" ref="AI232">VLOOKUP($A232,Table_ship_components[],COLUMN(AI:AI),0)</f>
        <v>0</v>
      </c>
      <c r="AJ232" cm="1">
        <f t="array" ref="AJ232">VLOOKUP($A232,Table_ship_components[],COLUMN(AJ:AJ),0)</f>
        <v>0</v>
      </c>
      <c r="AK232" cm="1">
        <f t="array" ref="AK232">VLOOKUP($A232,Table_ship_components[],COLUMN(AK:AK),0)</f>
        <v>0</v>
      </c>
      <c r="AL232" cm="1">
        <f t="array" ref="AL232">VLOOKUP($A232,Table_ship_components[],COLUMN(AL:AL),0)</f>
        <v>0</v>
      </c>
      <c r="AM232" cm="1">
        <f t="array" ref="AM232">VLOOKUP($A232,Table_ship_components[],COLUMN(AM:AM),0)</f>
        <v>0</v>
      </c>
      <c r="AN232" cm="1">
        <f t="array" ref="AN232">VLOOKUP($A232,Table_ship_components[],COLUMN(AN:AN),0)</f>
        <v>0</v>
      </c>
      <c r="AO232" cm="1">
        <f t="array" ref="AO232">VLOOKUP($A232,Table_ship_components[],COLUMN(AO:AO),0)</f>
        <v>0</v>
      </c>
      <c r="AP232" cm="1">
        <f t="array" ref="AP232">VLOOKUP($A232,Table_ship_components[],COLUMN(AP:AP),0)</f>
        <v>0</v>
      </c>
      <c r="AQ232" cm="1">
        <f t="array" ref="AQ232">VLOOKUP($A232,Table_ship_components[],COLUMN(AQ:AQ),0)</f>
        <v>0</v>
      </c>
      <c r="AR232" cm="1">
        <f t="array" ref="AR232">VLOOKUP($A232,Table_ship_components[],COLUMN(AR:AR),0)</f>
        <v>0</v>
      </c>
      <c r="AS232" cm="1">
        <f t="array" ref="AS232">VLOOKUP($A232,Table_ship_components[],COLUMN(AS:AS),0)</f>
        <v>0</v>
      </c>
      <c r="AT232" cm="1">
        <f t="array" ref="AT232">VLOOKUP($A232,Table_ship_components[],COLUMN(AT:AT),0)</f>
        <v>0</v>
      </c>
      <c r="AU232" s="2" cm="1">
        <f t="array" ref="AU232">VLOOKUP($A232,Table_ship_components[],COLUMN(AU:AU),0)</f>
        <v>0</v>
      </c>
      <c r="AV232" s="2" cm="1">
        <f t="array" ref="AV232">VLOOKUP($A232,Table_ship_components[],COLUMN(AV:AV),0)</f>
        <v>0</v>
      </c>
      <c r="AW232" s="2" cm="1">
        <f t="array" ref="AW232">VLOOKUP($A232,Table_ship_components[],COLUMN(AW:AW),0)</f>
        <v>0</v>
      </c>
      <c r="AX232" s="2" cm="1">
        <f t="array" ref="AX232">VLOOKUP($A232,Table_ship_components[],COLUMN(AX:AX),0)</f>
        <v>0</v>
      </c>
      <c r="AY232" s="2" cm="1">
        <f t="array" ref="AY232">VLOOKUP($A232,Table_ship_components[],COLUMN(AY:AY),0)</f>
        <v>0</v>
      </c>
      <c r="AZ232" s="2" t="str" cm="1">
        <f t="array" ref="AZ232">VLOOKUP($A232,Table_ship_components[],COLUMN(AZ:AZ),0)</f>
        <v>C</v>
      </c>
      <c r="BA232" s="14" cm="1">
        <f t="array" ref="BA232">VLOOKUP($A232,Table_ship_components[],COLUMN(BA:BA),0)</f>
        <v>1000000</v>
      </c>
      <c r="BB232" s="14" cm="1">
        <f t="array" ref="BB232">(VLOOKUP($A232,Table_ship_components[],COLUMN(BA:BA),0)+(W232*C232))</f>
        <v>1000000</v>
      </c>
      <c r="BC232" s="2" cm="1">
        <f t="array" ref="BC232">VLOOKUP($A232,Table_ship_components[],COLUMN(BC:BC),0)</f>
        <v>0</v>
      </c>
      <c r="BD232" s="2" cm="1">
        <f t="array" ref="BD232">VLOOKUP($A232,Table_ship_components[],COLUMN(BD:BD),0)</f>
        <v>0</v>
      </c>
    </row>
    <row r="233" spans="1:56" outlineLevel="1" x14ac:dyDescent="0.35">
      <c r="A233" t="s">
        <v>315</v>
      </c>
      <c r="B233" t="str" cm="1">
        <f t="array" ref="B233">VLOOKUP($A233,Table_ship_components[],COLUMN(B:B),0)</f>
        <v>cargo space (1 HUGE item per unit)</v>
      </c>
      <c r="C233" s="2">
        <v>5</v>
      </c>
      <c r="D233" cm="1">
        <f t="array" ref="D233">VLOOKUP($A233,Table_ship_components[],COLUMN(D:D),0)</f>
        <v>0</v>
      </c>
      <c r="E233" cm="1">
        <f t="array" ref="E233">ROUND(VLOOKUP($A233,Table_ship_components[],COLUMN(D:D),0)+(V233*C233),0)</f>
        <v>5</v>
      </c>
      <c r="F233" cm="1">
        <f t="array" ref="F233">VLOOKUP($A233,Table_ship_components[],COLUMN(F:F),0)</f>
        <v>0</v>
      </c>
      <c r="G233" cm="1">
        <f t="array" ref="G233">ROUND(VLOOKUP($A233,Table_ship_components[],COLUMN(G:G),0)+(X233*C233),0)</f>
        <v>0</v>
      </c>
      <c r="H233" cm="1">
        <f t="array" ref="H233">VLOOKUP($A233,Table_ship_components[],COLUMN(H:H),0)</f>
        <v>0</v>
      </c>
      <c r="I233" cm="1">
        <f t="array" ref="I233">VLOOKUP($A233,Table_ship_components[],COLUMN(I:I),0)</f>
        <v>0</v>
      </c>
      <c r="J233" cm="1">
        <f t="array" ref="J233">VLOOKUP($A233,Table_ship_components[],COLUMN(J:J),0)</f>
        <v>0</v>
      </c>
      <c r="K233" cm="1">
        <f t="array" ref="K233">VLOOKUP($A233,Table_ship_components[],COLUMN(K:K),0)</f>
        <v>0</v>
      </c>
      <c r="L233" cm="1">
        <f t="array" ref="L233">VLOOKUP($A233,Table_ship_components[],COLUMN(L:L),0)</f>
        <v>0</v>
      </c>
      <c r="M233" cm="1">
        <f t="array" ref="M233">VLOOKUP($A233,Table_ship_components[],COLUMN(M:M),0)</f>
        <v>0</v>
      </c>
      <c r="N233" cm="1">
        <f t="array" ref="N233">VLOOKUP($A233,Table_ship_components[],COLUMN(N:N),0)</f>
        <v>1</v>
      </c>
      <c r="O233" cm="1">
        <f t="array" ref="O233">VLOOKUP($A233,Table_ship_components[],COLUMN(O:O),0)</f>
        <v>1</v>
      </c>
      <c r="P233" cm="1">
        <f t="array" ref="P233">VLOOKUP($A233,Table_ship_components[],COLUMN(P:P),0)</f>
        <v>1</v>
      </c>
      <c r="Q233" cm="1">
        <f t="array" ref="Q233">VLOOKUP($A233,Table_ship_components[],COLUMN(Q:Q),0)</f>
        <v>1</v>
      </c>
      <c r="R233" cm="1">
        <f t="array" ref="R233">VLOOKUP($A233,Table_ship_components[],COLUMN(R:R),0)</f>
        <v>1</v>
      </c>
      <c r="S233" cm="1">
        <f t="array" ref="S233">VLOOKUP($A233,Table_ship_components[],COLUMN(S:S),0)</f>
        <v>1</v>
      </c>
      <c r="T233" cm="1">
        <f t="array" ref="T233">VLOOKUP($A233,Table_ship_components[],COLUMN(T:T),0)</f>
        <v>1</v>
      </c>
      <c r="U233" cm="1">
        <f t="array" ref="U233">VLOOKUP($A233,Table_ship_components[],COLUMN(U:U),0)</f>
        <v>1</v>
      </c>
      <c r="V233" cm="1">
        <f t="array" ref="V233">VLOOKUP($A233,Table_ship_components[],COLUMN(V:V),0)</f>
        <v>1</v>
      </c>
      <c r="W233" s="15" cm="1">
        <f t="array" ref="W233">VLOOKUP($A233,Table_ship_components[],COLUMN(W:W),0)</f>
        <v>5000</v>
      </c>
      <c r="X233" cm="1">
        <f t="array" ref="X233">VLOOKUP($A233,Table_ship_components[],COLUMN(X:X),0)</f>
        <v>0</v>
      </c>
      <c r="Y233" cm="1">
        <f t="array" ref="Y233">VLOOKUP($A233,Table_ship_components[],COLUMN(Y:Y),0)</f>
        <v>0</v>
      </c>
      <c r="Z233" cm="1">
        <f t="array" ref="Z233">VLOOKUP($A233,Table_ship_components[],COLUMN(Z:Z),0)</f>
        <v>0</v>
      </c>
      <c r="AA233" cm="1">
        <f t="array" ref="AA233">VLOOKUP($A233,Table_ship_components[],COLUMN(AA:AA),0)</f>
        <v>0</v>
      </c>
      <c r="AB233">
        <f t="shared" si="0"/>
        <v>5</v>
      </c>
      <c r="AC233" cm="1">
        <f t="array" ref="AC233">VLOOKUP($A233,Table_ship_components[],COLUMN(AC:AC),0)</f>
        <v>0</v>
      </c>
      <c r="AD233" cm="1">
        <f t="array" ref="AD233">VLOOKUP($A233,Table_ship_components[],COLUMN(AD:AD),0)</f>
        <v>0</v>
      </c>
      <c r="AE233" cm="1">
        <f t="array" ref="AE233">VLOOKUP($A233,Table_ship_components[],COLUMN(AE:AE),0)</f>
        <v>0</v>
      </c>
      <c r="AF233" cm="1">
        <f t="array" ref="AF233">VLOOKUP($A233,Table_ship_components[],COLUMN(AF:AF),0)</f>
        <v>0</v>
      </c>
      <c r="AG233" cm="1">
        <f t="array" ref="AG233">VLOOKUP($A233,Table_ship_components[],COLUMN(AG:AG),0)</f>
        <v>0</v>
      </c>
      <c r="AH233" cm="1">
        <f t="array" ref="AH233">VLOOKUP($A233,Table_ship_components[],COLUMN(AH:AH),0)</f>
        <v>0</v>
      </c>
      <c r="AI233" cm="1">
        <f t="array" ref="AI233">VLOOKUP($A233,Table_ship_components[],COLUMN(AI:AI),0)</f>
        <v>0</v>
      </c>
      <c r="AJ233" cm="1">
        <f t="array" ref="AJ233">VLOOKUP($A233,Table_ship_components[],COLUMN(AJ:AJ),0)</f>
        <v>0</v>
      </c>
      <c r="AK233" cm="1">
        <f t="array" ref="AK233">VLOOKUP($A233,Table_ship_components[],COLUMN(AK:AK),0)</f>
        <v>0</v>
      </c>
      <c r="AL233" cm="1">
        <f t="array" ref="AL233">VLOOKUP($A233,Table_ship_components[],COLUMN(AL:AL),0)</f>
        <v>0</v>
      </c>
      <c r="AM233" cm="1">
        <f t="array" ref="AM233">VLOOKUP($A233,Table_ship_components[],COLUMN(AM:AM),0)</f>
        <v>0</v>
      </c>
      <c r="AN233" cm="1">
        <f t="array" ref="AN233">VLOOKUP($A233,Table_ship_components[],COLUMN(AN:AN),0)</f>
        <v>0</v>
      </c>
      <c r="AO233" cm="1">
        <f t="array" ref="AO233">VLOOKUP($A233,Table_ship_components[],COLUMN(AO:AO),0)</f>
        <v>0</v>
      </c>
      <c r="AP233" cm="1">
        <f t="array" ref="AP233">VLOOKUP($A233,Table_ship_components[],COLUMN(AP:AP),0)</f>
        <v>0</v>
      </c>
      <c r="AQ233" cm="1">
        <f t="array" ref="AQ233">VLOOKUP($A233,Table_ship_components[],COLUMN(AQ:AQ),0)</f>
        <v>0</v>
      </c>
      <c r="AR233" cm="1">
        <f t="array" ref="AR233">VLOOKUP($A233,Table_ship_components[],COLUMN(AR:AR),0)</f>
        <v>0</v>
      </c>
      <c r="AS233" cm="1">
        <f t="array" ref="AS233">VLOOKUP($A233,Table_ship_components[],COLUMN(AS:AS),0)</f>
        <v>0</v>
      </c>
      <c r="AT233" cm="1">
        <f t="array" ref="AT233">VLOOKUP($A233,Table_ship_components[],COLUMN(AT:AT),0)</f>
        <v>0</v>
      </c>
      <c r="AU233" s="2" cm="1">
        <f t="array" ref="AU233">VLOOKUP($A233,Table_ship_components[],COLUMN(AU:AU),0)</f>
        <v>0</v>
      </c>
      <c r="AV233" s="2" cm="1">
        <f t="array" ref="AV233">VLOOKUP($A233,Table_ship_components[],COLUMN(AV:AV),0)</f>
        <v>0</v>
      </c>
      <c r="AW233" s="2" cm="1">
        <f t="array" ref="AW233">VLOOKUP($A233,Table_ship_components[],COLUMN(AW:AW),0)</f>
        <v>0</v>
      </c>
      <c r="AX233" s="2" cm="1">
        <f t="array" ref="AX233">VLOOKUP($A233,Table_ship_components[],COLUMN(AX:AX),0)</f>
        <v>0</v>
      </c>
      <c r="AY233" s="2" cm="1">
        <f t="array" ref="AY233">VLOOKUP($A233,Table_ship_components[],COLUMN(AY:AY),0)</f>
        <v>0</v>
      </c>
      <c r="AZ233" s="2" t="str" cm="1">
        <f t="array" ref="AZ233">VLOOKUP($A233,Table_ship_components[],COLUMN(AZ:AZ),0)</f>
        <v>C</v>
      </c>
      <c r="BA233" s="14" cm="1">
        <f t="array" ref="BA233">VLOOKUP($A233,Table_ship_components[],COLUMN(BA:BA),0)</f>
        <v>5000</v>
      </c>
      <c r="BB233" s="14" cm="1">
        <f t="array" ref="BB233">(VLOOKUP($A233,Table_ship_components[],COLUMN(BA:BA),0)+(W233*C233))</f>
        <v>30000</v>
      </c>
      <c r="BC233" s="2" cm="1">
        <f t="array" ref="BC233">VLOOKUP($A233,Table_ship_components[],COLUMN(BC:BC),0)</f>
        <v>0</v>
      </c>
      <c r="BD233" s="2" cm="1">
        <f t="array" ref="BD233">VLOOKUP($A233,Table_ship_components[],COLUMN(BD:BD),0)</f>
        <v>0</v>
      </c>
    </row>
    <row r="234" spans="1:56" outlineLevel="1" x14ac:dyDescent="0.35">
      <c r="A234" t="s">
        <v>345</v>
      </c>
      <c r="B234" t="str" cm="1">
        <f t="array" ref="B234">VLOOKUP($A234,Table_ship_components[],COLUMN(B:B),0)</f>
        <v>barebones command bridge</v>
      </c>
      <c r="D234" cm="1">
        <f t="array" ref="D234">VLOOKUP($A234,Table_ship_components[],COLUMN(D:D),0)</f>
        <v>4</v>
      </c>
      <c r="E234" cm="1">
        <f t="array" ref="E234">ROUND(VLOOKUP($A234,Table_ship_components[],COLUMN(D:D),0)+(V234*C234),0)</f>
        <v>4</v>
      </c>
      <c r="F234" cm="1">
        <f t="array" ref="F234">VLOOKUP($A234,Table_ship_components[],COLUMN(F:F),0)</f>
        <v>4</v>
      </c>
      <c r="G234" cm="1">
        <f t="array" ref="G234">ROUND(VLOOKUP($A234,Table_ship_components[],COLUMN(G:G),0)+(X234*C234),0)</f>
        <v>4</v>
      </c>
      <c r="H234" cm="1">
        <f t="array" ref="H234">VLOOKUP($A234,Table_ship_components[],COLUMN(H:H),0)</f>
        <v>0</v>
      </c>
      <c r="I234" cm="1">
        <f t="array" ref="I234">VLOOKUP($A234,Table_ship_components[],COLUMN(I:I),0)</f>
        <v>0</v>
      </c>
      <c r="J234" cm="1">
        <f t="array" ref="J234">VLOOKUP($A234,Table_ship_components[],COLUMN(J:J),0)</f>
        <v>0</v>
      </c>
      <c r="K234" cm="1">
        <f t="array" ref="K234">VLOOKUP($A234,Table_ship_components[],COLUMN(K:K),0)</f>
        <v>0</v>
      </c>
      <c r="L234" cm="1">
        <f t="array" ref="L234">VLOOKUP($A234,Table_ship_components[],COLUMN(L:L),0)</f>
        <v>0</v>
      </c>
      <c r="M234" cm="1">
        <f t="array" ref="M234">VLOOKUP($A234,Table_ship_components[],COLUMN(M:M),0)</f>
        <v>0</v>
      </c>
      <c r="N234" cm="1">
        <f t="array" ref="N234">VLOOKUP($A234,Table_ship_components[],COLUMN(N:N),0)</f>
        <v>0</v>
      </c>
      <c r="O234" cm="1">
        <f t="array" ref="O234">VLOOKUP($A234,Table_ship_components[],COLUMN(O:O),0)</f>
        <v>1</v>
      </c>
      <c r="P234" cm="1">
        <f t="array" ref="P234">VLOOKUP($A234,Table_ship_components[],COLUMN(P:P),0)</f>
        <v>0</v>
      </c>
      <c r="Q234" cm="1">
        <f t="array" ref="Q234">VLOOKUP($A234,Table_ship_components[],COLUMN(Q:Q),0)</f>
        <v>0</v>
      </c>
      <c r="R234" cm="1">
        <f t="array" ref="R234">VLOOKUP($A234,Table_ship_components[],COLUMN(R:R),0)</f>
        <v>0</v>
      </c>
      <c r="S234" cm="1">
        <f t="array" ref="S234">VLOOKUP($A234,Table_ship_components[],COLUMN(S:S),0)</f>
        <v>0</v>
      </c>
      <c r="T234" cm="1">
        <f t="array" ref="T234">VLOOKUP($A234,Table_ship_components[],COLUMN(T:T),0)</f>
        <v>0</v>
      </c>
      <c r="U234" cm="1">
        <f t="array" ref="U234">VLOOKUP($A234,Table_ship_components[],COLUMN(U:U),0)</f>
        <v>0</v>
      </c>
      <c r="V234" cm="1">
        <f t="array" ref="V234">VLOOKUP($A234,Table_ship_components[],COLUMN(V:V),0)</f>
        <v>0</v>
      </c>
      <c r="W234" s="15" cm="1">
        <f t="array" ref="W234">VLOOKUP($A234,Table_ship_components[],COLUMN(W:W),0)</f>
        <v>0</v>
      </c>
      <c r="X234" cm="1">
        <f t="array" ref="X234">VLOOKUP($A234,Table_ship_components[],COLUMN(X:X),0)</f>
        <v>0</v>
      </c>
      <c r="Y234" cm="1">
        <f t="array" ref="Y234">VLOOKUP($A234,Table_ship_components[],COLUMN(Y:Y),0)</f>
        <v>0</v>
      </c>
      <c r="Z234" cm="1">
        <f t="array" ref="Z234">VLOOKUP($A234,Table_ship_components[],COLUMN(Z:Z),0)</f>
        <v>0</v>
      </c>
      <c r="AA234" cm="1">
        <f t="array" ref="AA234">VLOOKUP($A234,Table_ship_components[],COLUMN(AA:AA),0)</f>
        <v>0</v>
      </c>
      <c r="AB234">
        <f t="shared" si="0"/>
        <v>0</v>
      </c>
      <c r="AC234" cm="1">
        <f t="array" ref="AC234">VLOOKUP($A234,Table_ship_components[],COLUMN(AC:AC),0)</f>
        <v>0</v>
      </c>
      <c r="AD234" cm="1">
        <f t="array" ref="AD234">VLOOKUP($A234,Table_ship_components[],COLUMN(AD:AD),0)</f>
        <v>0</v>
      </c>
      <c r="AE234" cm="1">
        <f t="array" ref="AE234">VLOOKUP($A234,Table_ship_components[],COLUMN(AE:AE),0)</f>
        <v>0</v>
      </c>
      <c r="AF234" cm="1">
        <f t="array" ref="AF234">VLOOKUP($A234,Table_ship_components[],COLUMN(AF:AF),0)</f>
        <v>0</v>
      </c>
      <c r="AG234" cm="1">
        <f t="array" ref="AG234">VLOOKUP($A234,Table_ship_components[],COLUMN(AG:AG),0)</f>
        <v>0</v>
      </c>
      <c r="AH234" cm="1">
        <f t="array" ref="AH234">VLOOKUP($A234,Table_ship_components[],COLUMN(AH:AH),0)</f>
        <v>0</v>
      </c>
      <c r="AI234" cm="1">
        <f t="array" ref="AI234">VLOOKUP($A234,Table_ship_components[],COLUMN(AI:AI),0)</f>
        <v>0</v>
      </c>
      <c r="AJ234" cm="1">
        <f t="array" ref="AJ234">VLOOKUP($A234,Table_ship_components[],COLUMN(AJ:AJ),0)</f>
        <v>0</v>
      </c>
      <c r="AK234" cm="1">
        <f t="array" ref="AK234">VLOOKUP($A234,Table_ship_components[],COLUMN(AK:AK),0)</f>
        <v>0</v>
      </c>
      <c r="AL234" cm="1">
        <f t="array" ref="AL234">VLOOKUP($A234,Table_ship_components[],COLUMN(AL:AL),0)</f>
        <v>0</v>
      </c>
      <c r="AM234" cm="1">
        <f t="array" ref="AM234">VLOOKUP($A234,Table_ship_components[],COLUMN(AM:AM),0)</f>
        <v>0</v>
      </c>
      <c r="AN234" cm="1">
        <f t="array" ref="AN234">VLOOKUP($A234,Table_ship_components[],COLUMN(AN:AN),0)</f>
        <v>0</v>
      </c>
      <c r="AO234" cm="1">
        <f t="array" ref="AO234">VLOOKUP($A234,Table_ship_components[],COLUMN(AO:AO),0)</f>
        <v>0</v>
      </c>
      <c r="AP234" cm="1">
        <f t="array" ref="AP234">VLOOKUP($A234,Table_ship_components[],COLUMN(AP:AP),0)</f>
        <v>0</v>
      </c>
      <c r="AQ234" cm="1">
        <f t="array" ref="AQ234">VLOOKUP($A234,Table_ship_components[],COLUMN(AQ:AQ),0)</f>
        <v>-1</v>
      </c>
      <c r="AR234" cm="1">
        <f t="array" ref="AR234">VLOOKUP($A234,Table_ship_components[],COLUMN(AR:AR),0)</f>
        <v>0</v>
      </c>
      <c r="AS234" cm="1">
        <f t="array" ref="AS234">VLOOKUP($A234,Table_ship_components[],COLUMN(AS:AS),0)</f>
        <v>0</v>
      </c>
      <c r="AT234" cm="1">
        <f t="array" ref="AT234">VLOOKUP($A234,Table_ship_components[],COLUMN(AT:AT),0)</f>
        <v>0</v>
      </c>
      <c r="AU234" s="2" cm="1">
        <f t="array" ref="AU234">VLOOKUP($A234,Table_ship_components[],COLUMN(AU:AU),0)</f>
        <v>0</v>
      </c>
      <c r="AV234" s="2" cm="1">
        <f t="array" ref="AV234">VLOOKUP($A234,Table_ship_components[],COLUMN(AV:AV),0)</f>
        <v>0</v>
      </c>
      <c r="AW234" s="2" cm="1">
        <f t="array" ref="AW234">VLOOKUP($A234,Table_ship_components[],COLUMN(AW:AW),0)</f>
        <v>0</v>
      </c>
      <c r="AX234" s="2" cm="1">
        <f t="array" ref="AX234">VLOOKUP($A234,Table_ship_components[],COLUMN(AX:AX),0)</f>
        <v>0</v>
      </c>
      <c r="AY234" s="2" cm="1">
        <f t="array" ref="AY234">VLOOKUP($A234,Table_ship_components[],COLUMN(AY:AY),0)</f>
        <v>0</v>
      </c>
      <c r="AZ234" s="2" t="str" cm="1">
        <f t="array" ref="AZ234">VLOOKUP($A234,Table_ship_components[],COLUMN(AZ:AZ),0)</f>
        <v>C</v>
      </c>
      <c r="BA234" s="14" cm="1">
        <f t="array" ref="BA234">VLOOKUP($A234,Table_ship_components[],COLUMN(BA:BA),0)</f>
        <v>125000</v>
      </c>
      <c r="BB234" s="14" cm="1">
        <f t="array" ref="BB234">(VLOOKUP($A234,Table_ship_components[],COLUMN(BA:BA),0)+(W234*C234))</f>
        <v>125000</v>
      </c>
      <c r="BC234" s="2" cm="1">
        <f t="array" ref="BC234">VLOOKUP($A234,Table_ship_components[],COLUMN(BC:BC),0)</f>
        <v>0</v>
      </c>
      <c r="BD234" s="2" cm="1">
        <f t="array" ref="BD234">VLOOKUP($A234,Table_ship_components[],COLUMN(BD:BD),0)</f>
        <v>0</v>
      </c>
    </row>
    <row r="235" spans="1:56" outlineLevel="1" x14ac:dyDescent="0.35">
      <c r="A235" t="s">
        <v>365</v>
      </c>
      <c r="B235" t="str" cm="1">
        <f t="array" ref="B235">VLOOKUP($A235,Table_ship_components[],COLUMN(B:B),0)</f>
        <v>good life support for a corvette</v>
      </c>
      <c r="C235" s="2">
        <v>5</v>
      </c>
      <c r="D235" cm="1">
        <f t="array" ref="D235">VLOOKUP($A235,Table_ship_components[],COLUMN(D:D),0)</f>
        <v>8</v>
      </c>
      <c r="E235" cm="1">
        <f t="array" ref="E235">ROUND(VLOOKUP($A235,Table_ship_components[],COLUMN(D:D),0)+(V235*C235),0)</f>
        <v>13</v>
      </c>
      <c r="F235" cm="1">
        <f t="array" ref="F235">VLOOKUP($A235,Table_ship_components[],COLUMN(F:F),0)</f>
        <v>7</v>
      </c>
      <c r="G235" cm="1">
        <f t="array" ref="G235">ROUND(VLOOKUP($A235,Table_ship_components[],COLUMN(G:G),0)+(X235*C235),0)</f>
        <v>12</v>
      </c>
      <c r="H235" cm="1">
        <f t="array" ref="H235">VLOOKUP($A235,Table_ship_components[],COLUMN(H:H),0)</f>
        <v>0</v>
      </c>
      <c r="I235" cm="1">
        <f t="array" ref="I235">VLOOKUP($A235,Table_ship_components[],COLUMN(I:I),0)</f>
        <v>0</v>
      </c>
      <c r="J235" cm="1">
        <f t="array" ref="J235">VLOOKUP($A235,Table_ship_components[],COLUMN(J:J),0)</f>
        <v>0</v>
      </c>
      <c r="K235" cm="1">
        <f t="array" ref="K235">VLOOKUP($A235,Table_ship_components[],COLUMN(K:K),0)</f>
        <v>0</v>
      </c>
      <c r="L235" cm="1">
        <f t="array" ref="L235">VLOOKUP($A235,Table_ship_components[],COLUMN(L:L),0)</f>
        <v>0</v>
      </c>
      <c r="M235" cm="1">
        <f t="array" ref="M235">VLOOKUP($A235,Table_ship_components[],COLUMN(M:M),0)</f>
        <v>0</v>
      </c>
      <c r="N235" cm="1">
        <f t="array" ref="N235">VLOOKUP($A235,Table_ship_components[],COLUMN(N:N),0)</f>
        <v>0</v>
      </c>
      <c r="O235" cm="1">
        <f t="array" ref="O235">VLOOKUP($A235,Table_ship_components[],COLUMN(O:O),0)</f>
        <v>1</v>
      </c>
      <c r="P235" cm="1">
        <f t="array" ref="P235">VLOOKUP($A235,Table_ship_components[],COLUMN(P:P),0)</f>
        <v>0</v>
      </c>
      <c r="Q235" cm="1">
        <f t="array" ref="Q235">VLOOKUP($A235,Table_ship_components[],COLUMN(Q:Q),0)</f>
        <v>0</v>
      </c>
      <c r="R235" cm="1">
        <f t="array" ref="R235">VLOOKUP($A235,Table_ship_components[],COLUMN(R:R),0)</f>
        <v>0</v>
      </c>
      <c r="S235" cm="1">
        <f t="array" ref="S235">VLOOKUP($A235,Table_ship_components[],COLUMN(S:S),0)</f>
        <v>0</v>
      </c>
      <c r="T235" cm="1">
        <f t="array" ref="T235">VLOOKUP($A235,Table_ship_components[],COLUMN(T:T),0)</f>
        <v>0</v>
      </c>
      <c r="U235" cm="1">
        <f t="array" ref="U235">VLOOKUP($A235,Table_ship_components[],COLUMN(U:U),0)</f>
        <v>1</v>
      </c>
      <c r="V235" cm="1">
        <f t="array" ref="V235">VLOOKUP($A235,Table_ship_components[],COLUMN(V:V),0)</f>
        <v>1</v>
      </c>
      <c r="W235" s="15" cm="1">
        <f t="array" ref="W235">VLOOKUP($A235,Table_ship_components[],COLUMN(W:W),0)</f>
        <v>125000</v>
      </c>
      <c r="X235" cm="1">
        <f t="array" ref="X235">VLOOKUP($A235,Table_ship_components[],COLUMN(X:X),0)</f>
        <v>1</v>
      </c>
      <c r="Y235" cm="1">
        <f t="array" ref="Y235">VLOOKUP($A235,Table_ship_components[],COLUMN(Y:Y),0)</f>
        <v>0</v>
      </c>
      <c r="Z235" cm="1">
        <f t="array" ref="Z235">VLOOKUP($A235,Table_ship_components[],COLUMN(Z:Z),0)</f>
        <v>0</v>
      </c>
      <c r="AA235" cm="1">
        <f t="array" ref="AA235">VLOOKUP($A235,Table_ship_components[],COLUMN(AA:AA),0)</f>
        <v>0</v>
      </c>
      <c r="AB235">
        <f t="shared" si="0"/>
        <v>0</v>
      </c>
      <c r="AC235" cm="1">
        <f t="array" ref="AC235">VLOOKUP($A235,Table_ship_components[],COLUMN(AC:AC),0)*C235</f>
        <v>5</v>
      </c>
      <c r="AD235" cm="1">
        <f t="array" ref="AD235">VLOOKUP($A235,Table_ship_components[],COLUMN(AD:AD),0)</f>
        <v>100</v>
      </c>
      <c r="AE235" cm="1">
        <f t="array" ref="AE235">VLOOKUP($A235,Table_ship_components[],COLUMN(AE:AE),0)</f>
        <v>0</v>
      </c>
      <c r="AF235" cm="1">
        <f t="array" ref="AF235">VLOOKUP($A235,Table_ship_components[],COLUMN(AF:AF),0)</f>
        <v>0</v>
      </c>
      <c r="AG235" cm="1">
        <f t="array" ref="AG235">VLOOKUP($A235,Table_ship_components[],COLUMN(AG:AG),0)</f>
        <v>0</v>
      </c>
      <c r="AH235" cm="1">
        <f t="array" ref="AH235">VLOOKUP($A235,Table_ship_components[],COLUMN(AH:AH),0)</f>
        <v>0</v>
      </c>
      <c r="AI235" cm="1">
        <f t="array" ref="AI235">VLOOKUP($A235,Table_ship_components[],COLUMN(AI:AI),0)</f>
        <v>0</v>
      </c>
      <c r="AJ235" cm="1">
        <f t="array" ref="AJ235">VLOOKUP($A235,Table_ship_components[],COLUMN(AJ:AJ),0)</f>
        <v>0</v>
      </c>
      <c r="AK235" cm="1">
        <f t="array" ref="AK235">VLOOKUP($A235,Table_ship_components[],COLUMN(AK:AK),0)</f>
        <v>0</v>
      </c>
      <c r="AL235" cm="1">
        <f t="array" ref="AL235">VLOOKUP($A235,Table_ship_components[],COLUMN(AL:AL),0)</f>
        <v>0</v>
      </c>
      <c r="AM235" cm="1">
        <f t="array" ref="AM235">VLOOKUP($A235,Table_ship_components[],COLUMN(AM:AM),0)</f>
        <v>0</v>
      </c>
      <c r="AN235" cm="1">
        <f t="array" ref="AN235">VLOOKUP($A235,Table_ship_components[],COLUMN(AN:AN),0)</f>
        <v>0</v>
      </c>
      <c r="AO235" cm="1">
        <f t="array" ref="AO235">VLOOKUP($A235,Table_ship_components[],COLUMN(AO:AO),0)</f>
        <v>0</v>
      </c>
      <c r="AP235" cm="1">
        <f t="array" ref="AP235">VLOOKUP($A235,Table_ship_components[],COLUMN(AP:AP),0)</f>
        <v>0</v>
      </c>
      <c r="AQ235" cm="1">
        <f t="array" ref="AQ235">VLOOKUP($A235,Table_ship_components[],COLUMN(AQ:AQ),0)</f>
        <v>0</v>
      </c>
      <c r="AR235" cm="1">
        <f t="array" ref="AR235">VLOOKUP($A235,Table_ship_components[],COLUMN(AR:AR),0)</f>
        <v>0</v>
      </c>
      <c r="AS235" cm="1">
        <f t="array" ref="AS235">VLOOKUP($A235,Table_ship_components[],COLUMN(AS:AS),0)</f>
        <v>0</v>
      </c>
      <c r="AT235" cm="1">
        <f t="array" ref="AT235">VLOOKUP($A235,Table_ship_components[],COLUMN(AT:AT),0)</f>
        <v>0</v>
      </c>
      <c r="AU235" s="2" cm="1">
        <f t="array" ref="AU235">VLOOKUP($A235,Table_ship_components[],COLUMN(AU:AU),0)</f>
        <v>0</v>
      </c>
      <c r="AV235" s="2" cm="1">
        <f t="array" ref="AV235">VLOOKUP($A235,Table_ship_components[],COLUMN(AV:AV),0)</f>
        <v>0</v>
      </c>
      <c r="AW235" s="2" cm="1">
        <f t="array" ref="AW235">VLOOKUP($A235,Table_ship_components[],COLUMN(AW:AW),0)</f>
        <v>0</v>
      </c>
      <c r="AX235" s="2" cm="1">
        <f t="array" ref="AX235">VLOOKUP($A235,Table_ship_components[],COLUMN(AX:AX),0)</f>
        <v>0</v>
      </c>
      <c r="AY235" s="2" cm="1">
        <f t="array" ref="AY235">VLOOKUP($A235,Table_ship_components[],COLUMN(AY:AY),0)</f>
        <v>0</v>
      </c>
      <c r="AZ235" s="2" t="str" cm="1">
        <f t="array" ref="AZ235">VLOOKUP($A235,Table_ship_components[],COLUMN(AZ:AZ),0)</f>
        <v>C</v>
      </c>
      <c r="BA235" s="14" cm="1">
        <f t="array" ref="BA235">VLOOKUP($A235,Table_ship_components[],COLUMN(BA:BA),0)</f>
        <v>1250000</v>
      </c>
      <c r="BB235" s="14" cm="1">
        <f t="array" ref="BB235">(VLOOKUP($A235,Table_ship_components[],COLUMN(BA:BA),0)+(W235*C235))</f>
        <v>1875000</v>
      </c>
      <c r="BC235" s="2" cm="1">
        <f t="array" ref="BC235">VLOOKUP($A235,Table_ship_components[],COLUMN(BC:BC),0)</f>
        <v>0</v>
      </c>
      <c r="BD235" s="2" cm="1">
        <f t="array" ref="BD235">VLOOKUP($A235,Table_ship_components[],COLUMN(BD:BD),0)</f>
        <v>0</v>
      </c>
    </row>
    <row r="236" spans="1:56" outlineLevel="1" x14ac:dyDescent="0.35">
      <c r="A236" t="s">
        <v>320</v>
      </c>
      <c r="B236" t="str" cm="1">
        <f t="array" ref="B236">VLOOKUP($A236,Table_ship_components[],COLUMN(B:B),0)</f>
        <v>basic accomodations and cryo for passengers</v>
      </c>
      <c r="C236" s="2">
        <v>3</v>
      </c>
      <c r="D236" cm="1">
        <f t="array" ref="D236">VLOOKUP($A236,Table_ship_components[],COLUMN(D:D),0)</f>
        <v>3</v>
      </c>
      <c r="E236" cm="1">
        <f t="array" ref="E236">ROUND(VLOOKUP($A236,Table_ship_components[],COLUMN(D:D),0)+(V236*C236),0)</f>
        <v>6</v>
      </c>
      <c r="F236" cm="1">
        <f t="array" ref="F236">VLOOKUP($A236,Table_ship_components[],COLUMN(F:F),0)</f>
        <v>1</v>
      </c>
      <c r="G236" cm="1">
        <f t="array" ref="G236">ROUND(VLOOKUP($A236,Table_ship_components[],COLUMN(G:G),0)+(X236*C236),0)</f>
        <v>4</v>
      </c>
      <c r="H236" cm="1">
        <f t="array" ref="H236">VLOOKUP($A236,Table_ship_components[],COLUMN(H:H),0)</f>
        <v>0</v>
      </c>
      <c r="I236" cm="1">
        <f t="array" ref="I236">VLOOKUP($A236,Table_ship_components[],COLUMN(I:I),0)</f>
        <v>0</v>
      </c>
      <c r="J236" cm="1">
        <f t="array" ref="J236">VLOOKUP($A236,Table_ship_components[],COLUMN(J:J),0)</f>
        <v>0</v>
      </c>
      <c r="K236" cm="1">
        <f t="array" ref="K236">VLOOKUP($A236,Table_ship_components[],COLUMN(K:K),0)</f>
        <v>0</v>
      </c>
      <c r="L236" cm="1">
        <f t="array" ref="L236">VLOOKUP($A236,Table_ship_components[],COLUMN(L:L),0)</f>
        <v>0</v>
      </c>
      <c r="M236" cm="1">
        <f t="array" ref="M236">VLOOKUP($A236,Table_ship_components[],COLUMN(M:M),0)</f>
        <v>0</v>
      </c>
      <c r="N236" cm="1">
        <f t="array" ref="N236">VLOOKUP($A236,Table_ship_components[],COLUMN(N:N),0)</f>
        <v>0</v>
      </c>
      <c r="O236" cm="1">
        <f t="array" ref="O236">VLOOKUP($A236,Table_ship_components[],COLUMN(O:O),0)</f>
        <v>1</v>
      </c>
      <c r="P236" cm="1">
        <f t="array" ref="P236">VLOOKUP($A236,Table_ship_components[],COLUMN(P:P),0)</f>
        <v>1</v>
      </c>
      <c r="Q236" cm="1">
        <f t="array" ref="Q236">VLOOKUP($A236,Table_ship_components[],COLUMN(Q:Q),0)</f>
        <v>1</v>
      </c>
      <c r="R236" cm="1">
        <f t="array" ref="R236">VLOOKUP($A236,Table_ship_components[],COLUMN(R:R),0)</f>
        <v>1</v>
      </c>
      <c r="S236" cm="1">
        <f t="array" ref="S236">VLOOKUP($A236,Table_ship_components[],COLUMN(S:S),0)</f>
        <v>1</v>
      </c>
      <c r="T236" cm="1">
        <f t="array" ref="T236">VLOOKUP($A236,Table_ship_components[],COLUMN(T:T),0)</f>
        <v>1</v>
      </c>
      <c r="U236" cm="1">
        <f t="array" ref="U236">VLOOKUP($A236,Table_ship_components[],COLUMN(U:U),0)</f>
        <v>1</v>
      </c>
      <c r="V236" cm="1">
        <f t="array" ref="V236">VLOOKUP($A236,Table_ship_components[],COLUMN(V:V),0)</f>
        <v>1</v>
      </c>
      <c r="W236" s="15" cm="1">
        <f t="array" ref="W236">VLOOKUP($A236,Table_ship_components[],COLUMN(W:W),0)</f>
        <v>7500</v>
      </c>
      <c r="X236" cm="1">
        <f t="array" ref="X236">VLOOKUP($A236,Table_ship_components[],COLUMN(X:X),0)</f>
        <v>1</v>
      </c>
      <c r="Y236" cm="1">
        <f t="array" ref="Y236">VLOOKUP($A236,Table_ship_components[],COLUMN(Y:Y),0)</f>
        <v>0</v>
      </c>
      <c r="Z236" cm="1">
        <f t="array" ref="Z236">VLOOKUP($A236,Table_ship_components[],COLUMN(Z:Z),0)</f>
        <v>0</v>
      </c>
      <c r="AA236" cm="1">
        <f t="array" ref="AA236">VLOOKUP($A236,Table_ship_components[],COLUMN(AA:AA),0)*C236</f>
        <v>3</v>
      </c>
      <c r="AB236">
        <f t="shared" si="0"/>
        <v>0</v>
      </c>
      <c r="AC236" cm="1">
        <f t="array" ref="AC236">VLOOKUP($A236,Table_ship_components[],COLUMN(AC:AC),0)</f>
        <v>0</v>
      </c>
      <c r="AD236" cm="1">
        <f t="array" ref="AD236">VLOOKUP($A236,Table_ship_components[],COLUMN(AD:AD),0)</f>
        <v>0</v>
      </c>
      <c r="AE236" cm="1">
        <f t="array" ref="AE236">VLOOKUP($A236,Table_ship_components[],COLUMN(AE:AE),0)</f>
        <v>0</v>
      </c>
      <c r="AF236" cm="1">
        <f t="array" ref="AF236">VLOOKUP($A236,Table_ship_components[],COLUMN(AF:AF),0)</f>
        <v>0</v>
      </c>
      <c r="AG236" cm="1">
        <f t="array" ref="AG236">VLOOKUP($A236,Table_ship_components[],COLUMN(AG:AG),0)</f>
        <v>0</v>
      </c>
      <c r="AH236" cm="1">
        <f t="array" ref="AH236">VLOOKUP($A236,Table_ship_components[],COLUMN(AH:AH),0)</f>
        <v>0</v>
      </c>
      <c r="AI236" cm="1">
        <f t="array" ref="AI236">VLOOKUP($A236,Table_ship_components[],COLUMN(AI:AI),0)</f>
        <v>0</v>
      </c>
      <c r="AJ236" cm="1">
        <f t="array" ref="AJ236">VLOOKUP($A236,Table_ship_components[],COLUMN(AJ:AJ),0)</f>
        <v>0</v>
      </c>
      <c r="AK236" cm="1">
        <f t="array" ref="AK236">VLOOKUP($A236,Table_ship_components[],COLUMN(AK:AK),0)</f>
        <v>0</v>
      </c>
      <c r="AL236" cm="1">
        <f t="array" ref="AL236">VLOOKUP($A236,Table_ship_components[],COLUMN(AL:AL),0)</f>
        <v>0</v>
      </c>
      <c r="AM236" cm="1">
        <f t="array" ref="AM236">VLOOKUP($A236,Table_ship_components[],COLUMN(AM:AM),0)</f>
        <v>0</v>
      </c>
      <c r="AN236" cm="1">
        <f t="array" ref="AN236">VLOOKUP($A236,Table_ship_components[],COLUMN(AN:AN),0)</f>
        <v>0</v>
      </c>
      <c r="AO236" cm="1">
        <f t="array" ref="AO236">VLOOKUP($A236,Table_ship_components[],COLUMN(AO:AO),0)</f>
        <v>0</v>
      </c>
      <c r="AP236" cm="1">
        <f t="array" ref="AP236">VLOOKUP($A236,Table_ship_components[],COLUMN(AP:AP),0)</f>
        <v>0</v>
      </c>
      <c r="AQ236" cm="1">
        <f t="array" ref="AQ236">VLOOKUP($A236,Table_ship_components[],COLUMN(AQ:AQ),0)</f>
        <v>0</v>
      </c>
      <c r="AR236" cm="1">
        <f t="array" ref="AR236">VLOOKUP($A236,Table_ship_components[],COLUMN(AR:AR),0)</f>
        <v>0</v>
      </c>
      <c r="AS236" cm="1">
        <f t="array" ref="AS236">VLOOKUP($A236,Table_ship_components[],COLUMN(AS:AS),0)</f>
        <v>0</v>
      </c>
      <c r="AT236" cm="1">
        <f t="array" ref="AT236">VLOOKUP($A236,Table_ship_components[],COLUMN(AT:AT),0)</f>
        <v>0</v>
      </c>
      <c r="AU236" s="2" cm="1">
        <f t="array" ref="AU236">VLOOKUP($A236,Table_ship_components[],COLUMN(AU:AU),0)</f>
        <v>0</v>
      </c>
      <c r="AV236" s="2" cm="1">
        <f t="array" ref="AV236">VLOOKUP($A236,Table_ship_components[],COLUMN(AV:AV),0)</f>
        <v>0</v>
      </c>
      <c r="AW236" s="2" cm="1">
        <f t="array" ref="AW236">VLOOKUP($A236,Table_ship_components[],COLUMN(AW:AW),0)</f>
        <v>0</v>
      </c>
      <c r="AX236" s="2" cm="1">
        <f t="array" ref="AX236">VLOOKUP($A236,Table_ship_components[],COLUMN(AX:AX),0)</f>
        <v>0</v>
      </c>
      <c r="AY236" s="2" cm="1">
        <f t="array" ref="AY236">VLOOKUP($A236,Table_ship_components[],COLUMN(AY:AY),0)</f>
        <v>0</v>
      </c>
      <c r="AZ236" s="2" t="str" cm="1">
        <f t="array" ref="AZ236">VLOOKUP($A236,Table_ship_components[],COLUMN(AZ:AZ),0)</f>
        <v>C</v>
      </c>
      <c r="BA236" s="14" cm="1">
        <f t="array" ref="BA236">VLOOKUP($A236,Table_ship_components[],COLUMN(BA:BA),0)</f>
        <v>75000</v>
      </c>
      <c r="BB236" s="14" cm="1">
        <f t="array" ref="BB236">(VLOOKUP($A236,Table_ship_components[],COLUMN(BA:BA),0)+(W236*C236))</f>
        <v>97500</v>
      </c>
      <c r="BC236" s="2" cm="1">
        <f t="array" ref="BC236">VLOOKUP($A236,Table_ship_components[],COLUMN(BC:BC),0)</f>
        <v>0</v>
      </c>
      <c r="BD236" s="2" cm="1">
        <f t="array" ref="BD236">VLOOKUP($A236,Table_ship_components[],COLUMN(BD:BD),0)</f>
        <v>0</v>
      </c>
    </row>
    <row r="237" spans="1:56" outlineLevel="1" x14ac:dyDescent="0.35">
      <c r="A237" s="18" t="s">
        <v>424</v>
      </c>
      <c r="B237" s="19" t="str">
        <f>CONCATENATE("SIZE ",(SUM(E238:E246)),"/",AX226,"  POWER ",(SUM(G238:G246)))</f>
        <v>SIZE 50/50  POWER 33</v>
      </c>
      <c r="AU237" s="2"/>
      <c r="AV237" s="2"/>
      <c r="AW237" s="2"/>
      <c r="AX237" s="2"/>
      <c r="AY237" s="2"/>
      <c r="AZ237" s="2"/>
      <c r="BA237" s="14"/>
      <c r="BB237" s="14"/>
      <c r="BC237" s="2"/>
      <c r="BD237" s="2"/>
    </row>
    <row r="238" spans="1:56" outlineLevel="1" x14ac:dyDescent="0.35">
      <c r="A238" t="s">
        <v>374</v>
      </c>
      <c r="B238" t="str" cm="1">
        <f t="array" ref="B238">VLOOKUP($A238,Table_ship_components[],COLUMN(B:B),0)</f>
        <v>good corvette radar</v>
      </c>
      <c r="D238" cm="1">
        <f t="array" ref="D238">VLOOKUP($A238,Table_ship_components[],COLUMN(D:D),0)</f>
        <v>6</v>
      </c>
      <c r="E238" cm="1">
        <f t="array" ref="E238">ROUND(VLOOKUP($A238,Table_ship_components[],COLUMN(D:D),0)+(V238*C238),0)</f>
        <v>6</v>
      </c>
      <c r="F238" cm="1">
        <f t="array" ref="F238">VLOOKUP($A238,Table_ship_components[],COLUMN(F:F),0)</f>
        <v>7</v>
      </c>
      <c r="G238" cm="1">
        <f t="array" ref="G238">ROUND(VLOOKUP($A238,Table_ship_components[],COLUMN(G:G),0)+(X238*C238),0)</f>
        <v>7</v>
      </c>
      <c r="H238" cm="1">
        <f t="array" ref="H238">VLOOKUP($A238,Table_ship_components[],COLUMN(H:H),0)</f>
        <v>0</v>
      </c>
      <c r="I238" cm="1">
        <f t="array" ref="I238">VLOOKUP($A238,Table_ship_components[],COLUMN(I:I),0)</f>
        <v>0</v>
      </c>
      <c r="J238" cm="1">
        <f t="array" ref="J238">VLOOKUP($A238,Table_ship_components[],COLUMN(J:J),0)</f>
        <v>0</v>
      </c>
      <c r="K238" cm="1">
        <f t="array" ref="K238">VLOOKUP($A238,Table_ship_components[],COLUMN(K:K),0)</f>
        <v>0</v>
      </c>
      <c r="L238" cm="1">
        <f t="array" ref="L238">VLOOKUP($A238,Table_ship_components[],COLUMN(L:L),0)</f>
        <v>0</v>
      </c>
      <c r="M238" cm="1">
        <f t="array" ref="M238">VLOOKUP($A238,Table_ship_components[],COLUMN(M:M),0)</f>
        <v>0</v>
      </c>
      <c r="N238" cm="1">
        <f t="array" ref="N238">VLOOKUP($A238,Table_ship_components[],COLUMN(N:N),0)</f>
        <v>0</v>
      </c>
      <c r="O238" cm="1">
        <f t="array" ref="O238">VLOOKUP($A238,Table_ship_components[],COLUMN(O:O),0)</f>
        <v>1</v>
      </c>
      <c r="P238" cm="1">
        <f t="array" ref="P238">VLOOKUP($A238,Table_ship_components[],COLUMN(P:P),0)</f>
        <v>0</v>
      </c>
      <c r="Q238" cm="1">
        <f t="array" ref="Q238">VLOOKUP($A238,Table_ship_components[],COLUMN(Q:Q),0)</f>
        <v>0</v>
      </c>
      <c r="R238" cm="1">
        <f t="array" ref="R238">VLOOKUP($A238,Table_ship_components[],COLUMN(R:R),0)</f>
        <v>0</v>
      </c>
      <c r="S238" cm="1">
        <f t="array" ref="S238">VLOOKUP($A238,Table_ship_components[],COLUMN(S:S),0)</f>
        <v>0</v>
      </c>
      <c r="T238" cm="1">
        <f t="array" ref="T238">VLOOKUP($A238,Table_ship_components[],COLUMN(T:T),0)</f>
        <v>0</v>
      </c>
      <c r="U238" cm="1">
        <f t="array" ref="U238">VLOOKUP($A238,Table_ship_components[],COLUMN(U:U),0)</f>
        <v>0</v>
      </c>
      <c r="V238" cm="1">
        <f t="array" ref="V238">VLOOKUP($A238,Table_ship_components[],COLUMN(V:V),0)</f>
        <v>0</v>
      </c>
      <c r="W238" s="15" cm="1">
        <f t="array" ref="W238">VLOOKUP($A238,Table_ship_components[],COLUMN(W:W),0)</f>
        <v>0</v>
      </c>
      <c r="X238" cm="1">
        <f t="array" ref="X238">VLOOKUP($A238,Table_ship_components[],COLUMN(X:X),0)</f>
        <v>0</v>
      </c>
      <c r="Y238" cm="1">
        <f t="array" ref="Y238">VLOOKUP($A238,Table_ship_components[],COLUMN(Y:Y),0)</f>
        <v>0</v>
      </c>
      <c r="Z238" cm="1">
        <f t="array" ref="Z238">VLOOKUP($A238,Table_ship_components[],COLUMN(Z:Z),0)</f>
        <v>0</v>
      </c>
      <c r="AA238" cm="1">
        <f t="array" ref="AA238">VLOOKUP($A238,Table_ship_components[],COLUMN(AA:AA),0)</f>
        <v>0</v>
      </c>
      <c r="AB238">
        <f t="shared" si="0"/>
        <v>0</v>
      </c>
      <c r="AC238" cm="1">
        <f t="array" ref="AC238">VLOOKUP($A238,Table_ship_components[],COLUMN(AC:AC),0)</f>
        <v>0</v>
      </c>
      <c r="AD238" cm="1">
        <f t="array" ref="AD238">VLOOKUP($A238,Table_ship_components[],COLUMN(AD:AD),0)</f>
        <v>0</v>
      </c>
      <c r="AE238" cm="1">
        <f t="array" ref="AE238">VLOOKUP($A238,Table_ship_components[],COLUMN(AE:AE),0)</f>
        <v>0</v>
      </c>
      <c r="AF238" cm="1">
        <f t="array" ref="AF238">VLOOKUP($A238,Table_ship_components[],COLUMN(AF:AF),0)</f>
        <v>0</v>
      </c>
      <c r="AG238" cm="1">
        <f t="array" ref="AG238">VLOOKUP($A238,Table_ship_components[],COLUMN(AG:AG),0)</f>
        <v>0</v>
      </c>
      <c r="AH238" cm="1">
        <f t="array" ref="AH238">VLOOKUP($A238,Table_ship_components[],COLUMN(AH:AH),0)</f>
        <v>100</v>
      </c>
      <c r="AI238" cm="1">
        <f t="array" ref="AI238">VLOOKUP($A238,Table_ship_components[],COLUMN(AI:AI),0)</f>
        <v>1000</v>
      </c>
      <c r="AJ238" cm="1">
        <f t="array" ref="AJ238">VLOOKUP($A238,Table_ship_components[],COLUMN(AJ:AJ),0)</f>
        <v>10000</v>
      </c>
      <c r="AK238" cm="1">
        <f t="array" ref="AK238">VLOOKUP($A238,Table_ship_components[],COLUMN(AK:AK),0)</f>
        <v>0</v>
      </c>
      <c r="AL238" cm="1">
        <f t="array" ref="AL238">VLOOKUP($A238,Table_ship_components[],COLUMN(AL:AL),0)</f>
        <v>0</v>
      </c>
      <c r="AM238" cm="1">
        <f t="array" ref="AM238">VLOOKUP($A238,Table_ship_components[],COLUMN(AM:AM),0)</f>
        <v>0</v>
      </c>
      <c r="AN238" cm="1">
        <f t="array" ref="AN238">VLOOKUP($A238,Table_ship_components[],COLUMN(AN:AN),0)</f>
        <v>0</v>
      </c>
      <c r="AO238" cm="1">
        <f t="array" ref="AO238">VLOOKUP($A238,Table_ship_components[],COLUMN(AO:AO),0)</f>
        <v>0</v>
      </c>
      <c r="AP238" cm="1">
        <f t="array" ref="AP238">VLOOKUP($A238,Table_ship_components[],COLUMN(AP:AP),0)</f>
        <v>0</v>
      </c>
      <c r="AQ238" cm="1">
        <f t="array" ref="AQ238">VLOOKUP($A238,Table_ship_components[],COLUMN(AQ:AQ),0)</f>
        <v>0</v>
      </c>
      <c r="AR238" cm="1">
        <f t="array" ref="AR238">VLOOKUP($A238,Table_ship_components[],COLUMN(AR:AR),0)</f>
        <v>0</v>
      </c>
      <c r="AS238" cm="1">
        <f t="array" ref="AS238">VLOOKUP($A238,Table_ship_components[],COLUMN(AS:AS),0)</f>
        <v>1</v>
      </c>
      <c r="AT238" cm="1">
        <f t="array" ref="AT238">VLOOKUP($A238,Table_ship_components[],COLUMN(AT:AT),0)</f>
        <v>0</v>
      </c>
      <c r="AU238" s="2" cm="1">
        <f t="array" ref="AU238">VLOOKUP($A238,Table_ship_components[],COLUMN(AU:AU),0)</f>
        <v>0</v>
      </c>
      <c r="AV238" s="2" cm="1">
        <f t="array" ref="AV238">VLOOKUP($A238,Table_ship_components[],COLUMN(AV:AV),0)</f>
        <v>0</v>
      </c>
      <c r="AW238" s="2" cm="1">
        <f t="array" ref="AW238">VLOOKUP($A238,Table_ship_components[],COLUMN(AW:AW),0)</f>
        <v>0</v>
      </c>
      <c r="AX238" s="2" cm="1">
        <f t="array" ref="AX238">VLOOKUP($A238,Table_ship_components[],COLUMN(AX:AX),0)</f>
        <v>0</v>
      </c>
      <c r="AY238" s="2" cm="1">
        <f t="array" ref="AY238">VLOOKUP($A238,Table_ship_components[],COLUMN(AY:AY),0)</f>
        <v>0</v>
      </c>
      <c r="AZ238" s="2" t="str" cm="1">
        <f t="array" ref="AZ238">VLOOKUP($A238,Table_ship_components[],COLUMN(AZ:AZ),0)</f>
        <v>C</v>
      </c>
      <c r="BA238" s="14" cm="1">
        <f t="array" ref="BA238">VLOOKUP($A238,Table_ship_components[],COLUMN(BA:BA),0)</f>
        <v>650000</v>
      </c>
      <c r="BB238" s="14" cm="1">
        <f t="array" ref="BB238">(VLOOKUP($A238,Table_ship_components[],COLUMN(BA:BA),0)+(W238*C238))</f>
        <v>650000</v>
      </c>
      <c r="BC238" s="2" cm="1">
        <f t="array" ref="BC238">VLOOKUP($A238,Table_ship_components[],COLUMN(BC:BC),0)</f>
        <v>0</v>
      </c>
      <c r="BD238" s="2" cm="1">
        <f t="array" ref="BD238">VLOOKUP($A238,Table_ship_components[],COLUMN(BD:BD),0)</f>
        <v>0</v>
      </c>
    </row>
    <row r="239" spans="1:56" outlineLevel="1" x14ac:dyDescent="0.35">
      <c r="A239" t="s">
        <v>404</v>
      </c>
      <c r="B239" t="str" cm="1">
        <f t="array" ref="B239">VLOOKUP($A239,Table_ship_components[],COLUMN(B:B),0)</f>
        <v>basic crew quatrters and accomodations</v>
      </c>
      <c r="C239" s="2">
        <v>2</v>
      </c>
      <c r="D239" cm="1">
        <f t="array" ref="D239">VLOOKUP($A239,Table_ship_components[],COLUMN(D:D),0)</f>
        <v>5</v>
      </c>
      <c r="E239" cm="1">
        <f t="array" ref="E239">ROUND(VLOOKUP($A239,Table_ship_components[],COLUMN(D:D),0)+(V239*C239),0)</f>
        <v>11</v>
      </c>
      <c r="F239" cm="1">
        <f t="array" ref="F239">VLOOKUP($A239,Table_ship_components[],COLUMN(F:F),0)</f>
        <v>2</v>
      </c>
      <c r="G239" cm="1">
        <f t="array" ref="G239">ROUND(VLOOKUP($A239,Table_ship_components[],COLUMN(G:G),0)+(X239*C239),0)</f>
        <v>4</v>
      </c>
      <c r="H239" cm="1">
        <f t="array" ref="H239">VLOOKUP($A239,Table_ship_components[],COLUMN(H:H),0)</f>
        <v>0</v>
      </c>
      <c r="I239" cm="1">
        <f t="array" ref="I239">VLOOKUP($A239,Table_ship_components[],COLUMN(I:I),0)</f>
        <v>0</v>
      </c>
      <c r="J239" cm="1">
        <f t="array" ref="J239">VLOOKUP($A239,Table_ship_components[],COLUMN(J:J),0)</f>
        <v>0</v>
      </c>
      <c r="K239" cm="1">
        <f t="array" ref="K239">VLOOKUP($A239,Table_ship_components[],COLUMN(K:K),0)</f>
        <v>0</v>
      </c>
      <c r="L239" cm="1">
        <f t="array" ref="L239">VLOOKUP($A239,Table_ship_components[],COLUMN(L:L),0)</f>
        <v>0</v>
      </c>
      <c r="M239" cm="1">
        <f t="array" ref="M239">VLOOKUP($A239,Table_ship_components[],COLUMN(M:M),0)</f>
        <v>0</v>
      </c>
      <c r="N239" cm="1">
        <f t="array" ref="N239">VLOOKUP($A239,Table_ship_components[],COLUMN(N:N),0)</f>
        <v>0</v>
      </c>
      <c r="O239" cm="1">
        <f t="array" ref="O239">VLOOKUP($A239,Table_ship_components[],COLUMN(O:O),0)</f>
        <v>1</v>
      </c>
      <c r="P239" cm="1">
        <f t="array" ref="P239">VLOOKUP($A239,Table_ship_components[],COLUMN(P:P),0)</f>
        <v>1</v>
      </c>
      <c r="Q239" cm="1">
        <f t="array" ref="Q239">VLOOKUP($A239,Table_ship_components[],COLUMN(Q:Q),0)</f>
        <v>1</v>
      </c>
      <c r="R239" cm="1">
        <f t="array" ref="R239">VLOOKUP($A239,Table_ship_components[],COLUMN(R:R),0)</f>
        <v>1</v>
      </c>
      <c r="S239" cm="1">
        <f t="array" ref="S239">VLOOKUP($A239,Table_ship_components[],COLUMN(S:S),0)</f>
        <v>1</v>
      </c>
      <c r="T239" cm="1">
        <f t="array" ref="T239">VLOOKUP($A239,Table_ship_components[],COLUMN(T:T),0)</f>
        <v>1</v>
      </c>
      <c r="U239" cm="1">
        <f t="array" ref="U239">VLOOKUP($A239,Table_ship_components[],COLUMN(U:U),0)</f>
        <v>1</v>
      </c>
      <c r="V239" cm="1">
        <f t="array" ref="V239">VLOOKUP($A239,Table_ship_components[],COLUMN(V:V),0)</f>
        <v>3</v>
      </c>
      <c r="W239" s="15" cm="1">
        <f t="array" ref="W239">VLOOKUP($A239,Table_ship_components[],COLUMN(W:W),0)</f>
        <v>50000</v>
      </c>
      <c r="X239" cm="1">
        <f t="array" ref="X239">VLOOKUP($A239,Table_ship_components[],COLUMN(X:X),0)</f>
        <v>1</v>
      </c>
      <c r="Y239" cm="1">
        <f t="array" ref="Y239">VLOOKUP($A239,Table_ship_components[],COLUMN(Y:Y),0)</f>
        <v>0</v>
      </c>
      <c r="Z239" cm="1">
        <f t="array" ref="Z239">VLOOKUP($A239,Table_ship_components[],COLUMN(Z:Z),0)</f>
        <v>0</v>
      </c>
      <c r="AA239" cm="1">
        <f t="array" ref="AA239">VLOOKUP($A239,Table_ship_components[],COLUMN(AA:AA),0)</f>
        <v>0</v>
      </c>
      <c r="AB239">
        <f t="shared" si="0"/>
        <v>0</v>
      </c>
      <c r="AC239" cm="1">
        <f t="array" ref="AC239">VLOOKUP($A239,Table_ship_components[],COLUMN(AC:AC),0)</f>
        <v>0</v>
      </c>
      <c r="AD239" cm="1">
        <f t="array" ref="AD239">VLOOKUP($A239,Table_ship_components[],COLUMN(AD:AD),0)</f>
        <v>0</v>
      </c>
      <c r="AE239" cm="1">
        <f t="array" ref="AE239">VLOOKUP($A239,Table_ship_components[],COLUMN(AE:AE),0)</f>
        <v>0</v>
      </c>
      <c r="AF239" cm="1">
        <f t="array" ref="AF239">VLOOKUP($A239,Table_ship_components[],COLUMN(AF:AF),0)</f>
        <v>0</v>
      </c>
      <c r="AG239" cm="1">
        <f t="array" ref="AG239">VLOOKUP($A239,Table_ship_components[],COLUMN(AG:AG),0)</f>
        <v>0</v>
      </c>
      <c r="AH239" cm="1">
        <f t="array" ref="AH239">VLOOKUP($A239,Table_ship_components[],COLUMN(AH:AH),0)</f>
        <v>0</v>
      </c>
      <c r="AI239" cm="1">
        <f t="array" ref="AI239">VLOOKUP($A239,Table_ship_components[],COLUMN(AI:AI),0)</f>
        <v>0</v>
      </c>
      <c r="AJ239" cm="1">
        <f t="array" ref="AJ239">VLOOKUP($A239,Table_ship_components[],COLUMN(AJ:AJ),0)</f>
        <v>0</v>
      </c>
      <c r="AK239" cm="1">
        <f t="array" ref="AK239">VLOOKUP($A239,Table_ship_components[],COLUMN(AK:AK),0)</f>
        <v>0</v>
      </c>
      <c r="AL239" cm="1">
        <f t="array" ref="AL239">VLOOKUP($A239,Table_ship_components[],COLUMN(AL:AL),0)</f>
        <v>0</v>
      </c>
      <c r="AM239" cm="1">
        <f t="array" ref="AM239">VLOOKUP($A239,Table_ship_components[],COLUMN(AM:AM),0)</f>
        <v>0</v>
      </c>
      <c r="AN239" cm="1">
        <f t="array" ref="AN239">VLOOKUP($A239,Table_ship_components[],COLUMN(AN:AN),0)</f>
        <v>0</v>
      </c>
      <c r="AO239" cm="1">
        <f t="array" ref="AO239">VLOOKUP($A239,Table_ship_components[],COLUMN(AO:AO),0)</f>
        <v>0</v>
      </c>
      <c r="AP239" cm="1">
        <f t="array" ref="AP239">VLOOKUP($A239,Table_ship_components[],COLUMN(AP:AP),0)</f>
        <v>0</v>
      </c>
      <c r="AQ239" cm="1">
        <f t="array" ref="AQ239">VLOOKUP($A239,Table_ship_components[],COLUMN(AQ:AQ),0)</f>
        <v>0</v>
      </c>
      <c r="AR239" cm="1">
        <f t="array" ref="AR239">VLOOKUP($A239,Table_ship_components[],COLUMN(AR:AR),0)</f>
        <v>0</v>
      </c>
      <c r="AS239" cm="1">
        <f t="array" ref="AS239">VLOOKUP($A239,Table_ship_components[],COLUMN(AS:AS),0)</f>
        <v>0</v>
      </c>
      <c r="AT239" cm="1">
        <f t="array" ref="AT239">VLOOKUP($A239,Table_ship_components[],COLUMN(AT:AT),0)</f>
        <v>0</v>
      </c>
      <c r="AU239" s="2" cm="1">
        <f t="array" ref="AU239">VLOOKUP($A239,Table_ship_components[],COLUMN(AU:AU),0)</f>
        <v>0</v>
      </c>
      <c r="AV239" s="2" cm="1">
        <f t="array" ref="AV239">VLOOKUP($A239,Table_ship_components[],COLUMN(AV:AV),0)</f>
        <v>0</v>
      </c>
      <c r="AW239" s="2" cm="1">
        <f t="array" ref="AW239">VLOOKUP($A239,Table_ship_components[],COLUMN(AW:AW),0)</f>
        <v>0</v>
      </c>
      <c r="AX239" s="2" cm="1">
        <f t="array" ref="AX239">VLOOKUP($A239,Table_ship_components[],COLUMN(AX:AX),0)</f>
        <v>0</v>
      </c>
      <c r="AY239" s="2" cm="1">
        <f t="array" ref="AY239">VLOOKUP($A239,Table_ship_components[],COLUMN(AY:AY),0)</f>
        <v>0</v>
      </c>
      <c r="AZ239" s="2" t="str" cm="1">
        <f t="array" ref="AZ239">VLOOKUP($A239,Table_ship_components[],COLUMN(AZ:AZ),0)</f>
        <v>C</v>
      </c>
      <c r="BA239" s="14" cm="1">
        <f t="array" ref="BA239">VLOOKUP($A239,Table_ship_components[],COLUMN(BA:BA),0)</f>
        <v>80000</v>
      </c>
      <c r="BB239" s="14" cm="1">
        <f t="array" ref="BB239">(VLOOKUP($A239,Table_ship_components[],COLUMN(BA:BA),0)+(W239*C239))</f>
        <v>180000</v>
      </c>
      <c r="BC239" s="2" cm="1">
        <f t="array" ref="BC239">VLOOKUP($A239,Table_ship_components[],COLUMN(BC:BC),0)</f>
        <v>0</v>
      </c>
      <c r="BD239" s="2" cm="1">
        <f t="array" ref="BD239">VLOOKUP($A239,Table_ship_components[],COLUMN(BD:BD),0)</f>
        <v>0</v>
      </c>
    </row>
    <row r="240" spans="1:56" outlineLevel="1" x14ac:dyDescent="0.35">
      <c r="A240" t="s">
        <v>357</v>
      </c>
      <c r="B240" t="str" cm="1">
        <f t="array" ref="B240">VLOOKUP($A240,Table_ship_components[],COLUMN(B:B),0)</f>
        <v>basic light corvette hull</v>
      </c>
      <c r="D240" cm="1">
        <f t="array" ref="D240">VLOOKUP($A240,Table_ship_components[],COLUMN(D:D),0)</f>
        <v>-10</v>
      </c>
      <c r="E240" cm="1">
        <f t="array" ref="E240">ROUND(VLOOKUP($A240,Table_ship_components[],COLUMN(D:D),0)+(V240*C240),0)</f>
        <v>-10</v>
      </c>
      <c r="F240" cm="1">
        <f t="array" ref="F240">VLOOKUP($A240,Table_ship_components[],COLUMN(F:F),0)</f>
        <v>0</v>
      </c>
      <c r="G240" cm="1">
        <f t="array" ref="G240">ROUND(VLOOKUP($A240,Table_ship_components[],COLUMN(G:G),0)+(X240*C240),0)</f>
        <v>0</v>
      </c>
      <c r="H240" cm="1">
        <f t="array" ref="H240">VLOOKUP($A240,Table_ship_components[],COLUMN(H:H),0)</f>
        <v>0</v>
      </c>
      <c r="I240" cm="1">
        <f t="array" ref="I240">VLOOKUP($A240,Table_ship_components[],COLUMN(I:I),0)</f>
        <v>0</v>
      </c>
      <c r="J240" cm="1">
        <f t="array" ref="J240">VLOOKUP($A240,Table_ship_components[],COLUMN(J:J),0)</f>
        <v>0</v>
      </c>
      <c r="K240" cm="1">
        <f t="array" ref="K240">VLOOKUP($A240,Table_ship_components[],COLUMN(K:K),0)</f>
        <v>0</v>
      </c>
      <c r="L240" cm="1">
        <f t="array" ref="L240">VLOOKUP($A240,Table_ship_components[],COLUMN(L:L),0)</f>
        <v>0</v>
      </c>
      <c r="M240" cm="1">
        <f t="array" ref="M240">VLOOKUP($A240,Table_ship_components[],COLUMN(M:M),0)</f>
        <v>0</v>
      </c>
      <c r="N240" cm="1">
        <f t="array" ref="N240">VLOOKUP($A240,Table_ship_components[],COLUMN(N:N),0)</f>
        <v>0</v>
      </c>
      <c r="O240" cm="1">
        <f t="array" ref="O240">VLOOKUP($A240,Table_ship_components[],COLUMN(O:O),0)</f>
        <v>1</v>
      </c>
      <c r="P240" cm="1">
        <f t="array" ref="P240">VLOOKUP($A240,Table_ship_components[],COLUMN(P:P),0)</f>
        <v>0</v>
      </c>
      <c r="Q240" cm="1">
        <f t="array" ref="Q240">VLOOKUP($A240,Table_ship_components[],COLUMN(Q:Q),0)</f>
        <v>0</v>
      </c>
      <c r="R240" cm="1">
        <f t="array" ref="R240">VLOOKUP($A240,Table_ship_components[],COLUMN(R:R),0)</f>
        <v>0</v>
      </c>
      <c r="S240" cm="1">
        <f t="array" ref="S240">VLOOKUP($A240,Table_ship_components[],COLUMN(S:S),0)</f>
        <v>0</v>
      </c>
      <c r="T240" cm="1">
        <f t="array" ref="T240">VLOOKUP($A240,Table_ship_components[],COLUMN(T:T),0)</f>
        <v>0</v>
      </c>
      <c r="U240" cm="1">
        <f t="array" ref="U240">VLOOKUP($A240,Table_ship_components[],COLUMN(U:U),0)</f>
        <v>0</v>
      </c>
      <c r="V240" cm="1">
        <f t="array" ref="V240">VLOOKUP($A240,Table_ship_components[],COLUMN(V:V),0)</f>
        <v>0</v>
      </c>
      <c r="W240" s="15" cm="1">
        <f t="array" ref="W240">VLOOKUP($A240,Table_ship_components[],COLUMN(W:W),0)</f>
        <v>0</v>
      </c>
      <c r="X240" cm="1">
        <f t="array" ref="X240">VLOOKUP($A240,Table_ship_components[],COLUMN(X:X),0)</f>
        <v>0</v>
      </c>
      <c r="Y240" cm="1">
        <f t="array" ref="Y240">VLOOKUP($A240,Table_ship_components[],COLUMN(Y:Y),0)</f>
        <v>0</v>
      </c>
      <c r="Z240" cm="1">
        <f t="array" ref="Z240">VLOOKUP($A240,Table_ship_components[],COLUMN(Z:Z),0)</f>
        <v>0</v>
      </c>
      <c r="AA240" cm="1">
        <f t="array" ref="AA240">VLOOKUP($A240,Table_ship_components[],COLUMN(AA:AA),0)</f>
        <v>0</v>
      </c>
      <c r="AB240">
        <f t="shared" si="0"/>
        <v>0</v>
      </c>
      <c r="AC240" cm="1">
        <f t="array" ref="AC240">VLOOKUP($A240,Table_ship_components[],COLUMN(AC:AC),0)</f>
        <v>0</v>
      </c>
      <c r="AD240" cm="1">
        <f t="array" ref="AD240">VLOOKUP($A240,Table_ship_components[],COLUMN(AD:AD),0)</f>
        <v>0</v>
      </c>
      <c r="AE240" cm="1">
        <f t="array" ref="AE240">VLOOKUP($A240,Table_ship_components[],COLUMN(AE:AE),0)</f>
        <v>0</v>
      </c>
      <c r="AF240" cm="1">
        <f t="array" ref="AF240">VLOOKUP($A240,Table_ship_components[],COLUMN(AF:AF),0)</f>
        <v>0</v>
      </c>
      <c r="AG240" cm="1">
        <f t="array" ref="AG240">VLOOKUP($A240,Table_ship_components[],COLUMN(AG:AG),0)</f>
        <v>0</v>
      </c>
      <c r="AH240" cm="1">
        <f t="array" ref="AH240">VLOOKUP($A240,Table_ship_components[],COLUMN(AH:AH),0)</f>
        <v>0</v>
      </c>
      <c r="AI240" cm="1">
        <f t="array" ref="AI240">VLOOKUP($A240,Table_ship_components[],COLUMN(AI:AI),0)</f>
        <v>0</v>
      </c>
      <c r="AJ240" cm="1">
        <f t="array" ref="AJ240">VLOOKUP($A240,Table_ship_components[],COLUMN(AJ:AJ),0)</f>
        <v>0</v>
      </c>
      <c r="AK240" cm="1">
        <f t="array" ref="AK240">VLOOKUP($A240,Table_ship_components[],COLUMN(AK:AK),0)</f>
        <v>0</v>
      </c>
      <c r="AL240" cm="1">
        <f t="array" ref="AL240">VLOOKUP($A240,Table_ship_components[],COLUMN(AL:AL),0)</f>
        <v>0</v>
      </c>
      <c r="AM240" cm="1">
        <f t="array" ref="AM240">VLOOKUP($A240,Table_ship_components[],COLUMN(AM:AM),0)</f>
        <v>0</v>
      </c>
      <c r="AN240" cm="1">
        <f t="array" ref="AN240">VLOOKUP($A240,Table_ship_components[],COLUMN(AN:AN),0)</f>
        <v>-5</v>
      </c>
      <c r="AO240" cm="1">
        <f t="array" ref="AO240">VLOOKUP($A240,Table_ship_components[],COLUMN(AO:AO),0)</f>
        <v>0</v>
      </c>
      <c r="AP240" cm="1">
        <f t="array" ref="AP240">VLOOKUP($A240,Table_ship_components[],COLUMN(AP:AP),0)</f>
        <v>0</v>
      </c>
      <c r="AQ240" cm="1">
        <f t="array" ref="AQ240">VLOOKUP($A240,Table_ship_components[],COLUMN(AQ:AQ),0)</f>
        <v>0</v>
      </c>
      <c r="AR240" cm="1">
        <f t="array" ref="AR240">VLOOKUP($A240,Table_ship_components[],COLUMN(AR:AR),0)</f>
        <v>1</v>
      </c>
      <c r="AS240" cm="1">
        <f t="array" ref="AS240">VLOOKUP($A240,Table_ship_components[],COLUMN(AS:AS),0)</f>
        <v>0</v>
      </c>
      <c r="AT240" cm="1">
        <f t="array" ref="AT240">VLOOKUP($A240,Table_ship_components[],COLUMN(AT:AT),0)</f>
        <v>0</v>
      </c>
      <c r="AU240" s="2" cm="1">
        <f t="array" ref="AU240">VLOOKUP($A240,Table_ship_components[],COLUMN(AU:AU),0)</f>
        <v>0</v>
      </c>
      <c r="AV240" s="2" cm="1">
        <f t="array" ref="AV240">VLOOKUP($A240,Table_ship_components[],COLUMN(AV:AV),0)</f>
        <v>0</v>
      </c>
      <c r="AW240" s="2" cm="1">
        <f t="array" ref="AW240">VLOOKUP($A240,Table_ship_components[],COLUMN(AW:AW),0)</f>
        <v>0</v>
      </c>
      <c r="AX240" s="2" cm="1">
        <f t="array" ref="AX240">VLOOKUP($A240,Table_ship_components[],COLUMN(AX:AX),0)</f>
        <v>0</v>
      </c>
      <c r="AY240" s="2" cm="1">
        <f t="array" ref="AY240">VLOOKUP($A240,Table_ship_components[],COLUMN(AY:AY),0)</f>
        <v>0</v>
      </c>
      <c r="AZ240" s="2" t="str" cm="1">
        <f t="array" ref="AZ240">VLOOKUP($A240,Table_ship_components[],COLUMN(AZ:AZ),0)</f>
        <v>C</v>
      </c>
      <c r="BA240" s="14" cm="1">
        <f t="array" ref="BA240">VLOOKUP($A240,Table_ship_components[],COLUMN(BA:BA),0)</f>
        <v>1250000</v>
      </c>
      <c r="BB240" s="14" cm="1">
        <f t="array" ref="BB240">(VLOOKUP($A240,Table_ship_components[],COLUMN(BA:BA),0)+(W240*C240))</f>
        <v>1250000</v>
      </c>
      <c r="BC240" s="2" cm="1">
        <f t="array" ref="BC240">VLOOKUP($A240,Table_ship_components[],COLUMN(BC:BC),0)</f>
        <v>0</v>
      </c>
      <c r="BD240" s="2" cm="1">
        <f t="array" ref="BD240">VLOOKUP($A240,Table_ship_components[],COLUMN(BD:BD),0)</f>
        <v>0</v>
      </c>
    </row>
    <row r="241" spans="1:56" outlineLevel="1" x14ac:dyDescent="0.35">
      <c r="A241" t="s">
        <v>388</v>
      </c>
      <c r="B241" t="str" cm="1">
        <f t="array" ref="B241">VLOOKUP($A241,Table_ship_components[],COLUMN(B:B),0)</f>
        <v>basic energy storage for a corvette</v>
      </c>
      <c r="D241" cm="1">
        <f t="array" ref="D241">VLOOKUP($A241,Table_ship_components[],COLUMN(D:D),0)</f>
        <v>8</v>
      </c>
      <c r="E241" cm="1">
        <f t="array" ref="E241">ROUND(VLOOKUP($A241,Table_ship_components[],COLUMN(D:D),0)+(V241*C241),0)</f>
        <v>8</v>
      </c>
      <c r="F241" cm="1">
        <f t="array" ref="F241">VLOOKUP($A241,Table_ship_components[],COLUMN(F:F),0)</f>
        <v>0</v>
      </c>
      <c r="G241" cm="1">
        <f t="array" ref="G241">ROUND(VLOOKUP($A241,Table_ship_components[],COLUMN(G:G),0)+(X241*C241),0)</f>
        <v>0</v>
      </c>
      <c r="H241" cm="1">
        <f t="array" ref="H241">VLOOKUP($A241,Table_ship_components[],COLUMN(H:H),0)</f>
        <v>0</v>
      </c>
      <c r="I241" cm="1">
        <f t="array" ref="I241">VLOOKUP($A241,Table_ship_components[],COLUMN(I:I),0)</f>
        <v>0</v>
      </c>
      <c r="J241" cm="1">
        <f t="array" ref="J241">VLOOKUP($A241,Table_ship_components[],COLUMN(J:J),0)</f>
        <v>10</v>
      </c>
      <c r="K241" cm="1">
        <f t="array" ref="K241">VLOOKUP($A241,Table_ship_components[],COLUMN(K:K),0)</f>
        <v>0</v>
      </c>
      <c r="L241" cm="1">
        <f t="array" ref="L241">VLOOKUP($A241,Table_ship_components[],COLUMN(L:L),0)</f>
        <v>0</v>
      </c>
      <c r="M241" cm="1">
        <f t="array" ref="M241">VLOOKUP($A241,Table_ship_components[],COLUMN(M:M),0)</f>
        <v>0</v>
      </c>
      <c r="N241" cm="1">
        <f t="array" ref="N241">VLOOKUP($A241,Table_ship_components[],COLUMN(N:N),0)</f>
        <v>0</v>
      </c>
      <c r="O241" cm="1">
        <f t="array" ref="O241">VLOOKUP($A241,Table_ship_components[],COLUMN(O:O),0)</f>
        <v>1</v>
      </c>
      <c r="P241" cm="1">
        <f t="array" ref="P241">VLOOKUP($A241,Table_ship_components[],COLUMN(P:P),0)</f>
        <v>0</v>
      </c>
      <c r="Q241" cm="1">
        <f t="array" ref="Q241">VLOOKUP($A241,Table_ship_components[],COLUMN(Q:Q),0)</f>
        <v>0</v>
      </c>
      <c r="R241" cm="1">
        <f t="array" ref="R241">VLOOKUP($A241,Table_ship_components[],COLUMN(R:R),0)</f>
        <v>0</v>
      </c>
      <c r="S241" cm="1">
        <f t="array" ref="S241">VLOOKUP($A241,Table_ship_components[],COLUMN(S:S),0)</f>
        <v>0</v>
      </c>
      <c r="T241" cm="1">
        <f t="array" ref="T241">VLOOKUP($A241,Table_ship_components[],COLUMN(T:T),0)</f>
        <v>0</v>
      </c>
      <c r="U241" cm="1">
        <f t="array" ref="U241">VLOOKUP($A241,Table_ship_components[],COLUMN(U:U),0)</f>
        <v>0</v>
      </c>
      <c r="V241" cm="1">
        <f t="array" ref="V241">VLOOKUP($A241,Table_ship_components[],COLUMN(V:V),0)</f>
        <v>0</v>
      </c>
      <c r="W241" s="15" cm="1">
        <f t="array" ref="W241">VLOOKUP($A241,Table_ship_components[],COLUMN(W:W),0)</f>
        <v>0</v>
      </c>
      <c r="X241" cm="1">
        <f t="array" ref="X241">VLOOKUP($A241,Table_ship_components[],COLUMN(X:X),0)</f>
        <v>0</v>
      </c>
      <c r="Y241" cm="1">
        <f t="array" ref="Y241">VLOOKUP($A241,Table_ship_components[],COLUMN(Y:Y),0)</f>
        <v>0</v>
      </c>
      <c r="Z241" cm="1">
        <f t="array" ref="Z241">VLOOKUP($A241,Table_ship_components[],COLUMN(Z:Z),0)</f>
        <v>0</v>
      </c>
      <c r="AA241" cm="1">
        <f t="array" ref="AA241">VLOOKUP($A241,Table_ship_components[],COLUMN(AA:AA),0)</f>
        <v>0</v>
      </c>
      <c r="AB241">
        <f t="shared" si="0"/>
        <v>0</v>
      </c>
      <c r="AC241" cm="1">
        <f t="array" ref="AC241">VLOOKUP($A241,Table_ship_components[],COLUMN(AC:AC),0)</f>
        <v>0</v>
      </c>
      <c r="AD241" cm="1">
        <f t="array" ref="AD241">VLOOKUP($A241,Table_ship_components[],COLUMN(AD:AD),0)</f>
        <v>0</v>
      </c>
      <c r="AE241" cm="1">
        <f t="array" ref="AE241">VLOOKUP($A241,Table_ship_components[],COLUMN(AE:AE),0)</f>
        <v>0</v>
      </c>
      <c r="AF241" cm="1">
        <f t="array" ref="AF241">VLOOKUP($A241,Table_ship_components[],COLUMN(AF:AF),0)</f>
        <v>0</v>
      </c>
      <c r="AG241" cm="1">
        <f t="array" ref="AG241">VLOOKUP($A241,Table_ship_components[],COLUMN(AG:AG),0)</f>
        <v>0</v>
      </c>
      <c r="AH241" cm="1">
        <f t="array" ref="AH241">VLOOKUP($A241,Table_ship_components[],COLUMN(AH:AH),0)</f>
        <v>0</v>
      </c>
      <c r="AI241" cm="1">
        <f t="array" ref="AI241">VLOOKUP($A241,Table_ship_components[],COLUMN(AI:AI),0)</f>
        <v>0</v>
      </c>
      <c r="AJ241" cm="1">
        <f t="array" ref="AJ241">VLOOKUP($A241,Table_ship_components[],COLUMN(AJ:AJ),0)</f>
        <v>0</v>
      </c>
      <c r="AK241" cm="1">
        <f t="array" ref="AK241">VLOOKUP($A241,Table_ship_components[],COLUMN(AK:AK),0)</f>
        <v>0</v>
      </c>
      <c r="AL241" cm="1">
        <f t="array" ref="AL241">VLOOKUP($A241,Table_ship_components[],COLUMN(AL:AL),0)</f>
        <v>0</v>
      </c>
      <c r="AM241" cm="1">
        <f t="array" ref="AM241">VLOOKUP($A241,Table_ship_components[],COLUMN(AM:AM),0)</f>
        <v>0</v>
      </c>
      <c r="AN241" cm="1">
        <f t="array" ref="AN241">VLOOKUP($A241,Table_ship_components[],COLUMN(AN:AN),0)</f>
        <v>0</v>
      </c>
      <c r="AO241" cm="1">
        <f t="array" ref="AO241">VLOOKUP($A241,Table_ship_components[],COLUMN(AO:AO),0)</f>
        <v>0</v>
      </c>
      <c r="AP241" cm="1">
        <f t="array" ref="AP241">VLOOKUP($A241,Table_ship_components[],COLUMN(AP:AP),0)</f>
        <v>0</v>
      </c>
      <c r="AQ241" cm="1">
        <f t="array" ref="AQ241">VLOOKUP($A241,Table_ship_components[],COLUMN(AQ:AQ),0)</f>
        <v>0</v>
      </c>
      <c r="AR241" cm="1">
        <f t="array" ref="AR241">VLOOKUP($A241,Table_ship_components[],COLUMN(AR:AR),0)</f>
        <v>0</v>
      </c>
      <c r="AS241" cm="1">
        <f t="array" ref="AS241">VLOOKUP($A241,Table_ship_components[],COLUMN(AS:AS),0)</f>
        <v>0</v>
      </c>
      <c r="AT241" cm="1">
        <f t="array" ref="AT241">VLOOKUP($A241,Table_ship_components[],COLUMN(AT:AT),0)</f>
        <v>0</v>
      </c>
      <c r="AU241" s="2" cm="1">
        <f t="array" ref="AU241">VLOOKUP($A241,Table_ship_components[],COLUMN(AU:AU),0)</f>
        <v>0</v>
      </c>
      <c r="AV241" s="2" cm="1">
        <f t="array" ref="AV241">VLOOKUP($A241,Table_ship_components[],COLUMN(AV:AV),0)</f>
        <v>0</v>
      </c>
      <c r="AW241" s="2" cm="1">
        <f t="array" ref="AW241">VLOOKUP($A241,Table_ship_components[],COLUMN(AW:AW),0)</f>
        <v>0</v>
      </c>
      <c r="AX241" s="2" cm="1">
        <f t="array" ref="AX241">VLOOKUP($A241,Table_ship_components[],COLUMN(AX:AX),0)</f>
        <v>0</v>
      </c>
      <c r="AY241" s="2" cm="1">
        <f t="array" ref="AY241">VLOOKUP($A241,Table_ship_components[],COLUMN(AY:AY),0)</f>
        <v>0</v>
      </c>
      <c r="AZ241" s="2" t="str" cm="1">
        <f t="array" ref="AZ241">VLOOKUP($A241,Table_ship_components[],COLUMN(AZ:AZ),0)</f>
        <v>C</v>
      </c>
      <c r="BA241" s="14" cm="1">
        <f t="array" ref="BA241">VLOOKUP($A241,Table_ship_components[],COLUMN(BA:BA),0)</f>
        <v>320000</v>
      </c>
      <c r="BB241" s="14" cm="1">
        <f t="array" ref="BB241">(VLOOKUP($A241,Table_ship_components[],COLUMN(BA:BA),0)+(W241*C241))</f>
        <v>320000</v>
      </c>
      <c r="BC241" s="2" cm="1">
        <f t="array" ref="BC241">VLOOKUP($A241,Table_ship_components[],COLUMN(BC:BC),0)</f>
        <v>0</v>
      </c>
      <c r="BD241" s="2" cm="1">
        <f t="array" ref="BD241">VLOOKUP($A241,Table_ship_components[],COLUMN(BD:BD),0)</f>
        <v>0</v>
      </c>
    </row>
    <row r="242" spans="1:56" outlineLevel="1" x14ac:dyDescent="0.35">
      <c r="A242" t="s">
        <v>375</v>
      </c>
      <c r="B242" t="str" cm="1">
        <f t="array" ref="B242">VLOOKUP($A242,Table_ship_components[],COLUMN(B:B),0)</f>
        <v>basic shield for a corvette</v>
      </c>
      <c r="D242" cm="1">
        <f t="array" ref="D242">VLOOKUP($A242,Table_ship_components[],COLUMN(D:D),0)</f>
        <v>6</v>
      </c>
      <c r="E242" cm="1">
        <f t="array" ref="E242">ROUND(VLOOKUP($A242,Table_ship_components[],COLUMN(D:D),0)+(V242*C242),0)</f>
        <v>6</v>
      </c>
      <c r="F242" cm="1">
        <f t="array" ref="F242">VLOOKUP($A242,Table_ship_components[],COLUMN(F:F),0)</f>
        <v>6</v>
      </c>
      <c r="G242" cm="1">
        <f t="array" ref="G242">ROUND(VLOOKUP($A242,Table_ship_components[],COLUMN(G:G),0)+(X242*C242),0)</f>
        <v>6</v>
      </c>
      <c r="H242" cm="1">
        <f t="array" ref="H242">VLOOKUP($A242,Table_ship_components[],COLUMN(H:H),0)</f>
        <v>0</v>
      </c>
      <c r="I242" cm="1">
        <f t="array" ref="I242">VLOOKUP($A242,Table_ship_components[],COLUMN(I:I),0)</f>
        <v>0</v>
      </c>
      <c r="J242" cm="1">
        <f t="array" ref="J242">VLOOKUP($A242,Table_ship_components[],COLUMN(J:J),0)</f>
        <v>0</v>
      </c>
      <c r="K242" cm="1">
        <f t="array" ref="K242">VLOOKUP($A242,Table_ship_components[],COLUMN(K:K),0)</f>
        <v>35</v>
      </c>
      <c r="L242" cm="1">
        <f t="array" ref="L242">VLOOKUP($A242,Table_ship_components[],COLUMN(L:L),0)</f>
        <v>3</v>
      </c>
      <c r="M242" cm="1">
        <f t="array" ref="M242">VLOOKUP($A242,Table_ship_components[],COLUMN(M:M),0)</f>
        <v>0</v>
      </c>
      <c r="N242" cm="1">
        <f t="array" ref="N242">VLOOKUP($A242,Table_ship_components[],COLUMN(N:N),0)</f>
        <v>0</v>
      </c>
      <c r="O242" cm="1">
        <f t="array" ref="O242">VLOOKUP($A242,Table_ship_components[],COLUMN(O:O),0)</f>
        <v>1</v>
      </c>
      <c r="P242" cm="1">
        <f t="array" ref="P242">VLOOKUP($A242,Table_ship_components[],COLUMN(P:P),0)</f>
        <v>0</v>
      </c>
      <c r="Q242" cm="1">
        <f t="array" ref="Q242">VLOOKUP($A242,Table_ship_components[],COLUMN(Q:Q),0)</f>
        <v>0</v>
      </c>
      <c r="R242" cm="1">
        <f t="array" ref="R242">VLOOKUP($A242,Table_ship_components[],COLUMN(R:R),0)</f>
        <v>0</v>
      </c>
      <c r="S242" cm="1">
        <f t="array" ref="S242">VLOOKUP($A242,Table_ship_components[],COLUMN(S:S),0)</f>
        <v>0</v>
      </c>
      <c r="T242" cm="1">
        <f t="array" ref="T242">VLOOKUP($A242,Table_ship_components[],COLUMN(T:T),0)</f>
        <v>0</v>
      </c>
      <c r="U242" cm="1">
        <f t="array" ref="U242">VLOOKUP($A242,Table_ship_components[],COLUMN(U:U),0)</f>
        <v>0</v>
      </c>
      <c r="V242" cm="1">
        <f t="array" ref="V242">VLOOKUP($A242,Table_ship_components[],COLUMN(V:V),0)</f>
        <v>0</v>
      </c>
      <c r="W242" s="15" cm="1">
        <f t="array" ref="W242">VLOOKUP($A242,Table_ship_components[],COLUMN(W:W),0)</f>
        <v>0</v>
      </c>
      <c r="X242" cm="1">
        <f t="array" ref="X242">VLOOKUP($A242,Table_ship_components[],COLUMN(X:X),0)</f>
        <v>0</v>
      </c>
      <c r="Y242" cm="1">
        <f t="array" ref="Y242">VLOOKUP($A242,Table_ship_components[],COLUMN(Y:Y),0)</f>
        <v>0</v>
      </c>
      <c r="Z242" cm="1">
        <f t="array" ref="Z242">VLOOKUP($A242,Table_ship_components[],COLUMN(Z:Z),0)</f>
        <v>0</v>
      </c>
      <c r="AA242" cm="1">
        <f t="array" ref="AA242">VLOOKUP($A242,Table_ship_components[],COLUMN(AA:AA),0)</f>
        <v>0</v>
      </c>
      <c r="AB242">
        <f t="shared" si="0"/>
        <v>0</v>
      </c>
      <c r="AC242" cm="1">
        <f t="array" ref="AC242">VLOOKUP($A242,Table_ship_components[],COLUMN(AC:AC),0)</f>
        <v>0</v>
      </c>
      <c r="AD242" cm="1">
        <f t="array" ref="AD242">VLOOKUP($A242,Table_ship_components[],COLUMN(AD:AD),0)</f>
        <v>0</v>
      </c>
      <c r="AE242" cm="1">
        <f t="array" ref="AE242">VLOOKUP($A242,Table_ship_components[],COLUMN(AE:AE),0)</f>
        <v>0</v>
      </c>
      <c r="AF242" cm="1">
        <f t="array" ref="AF242">VLOOKUP($A242,Table_ship_components[],COLUMN(AF:AF),0)</f>
        <v>0</v>
      </c>
      <c r="AG242" cm="1">
        <f t="array" ref="AG242">VLOOKUP($A242,Table_ship_components[],COLUMN(AG:AG),0)</f>
        <v>0</v>
      </c>
      <c r="AH242" cm="1">
        <f t="array" ref="AH242">VLOOKUP($A242,Table_ship_components[],COLUMN(AH:AH),0)</f>
        <v>0</v>
      </c>
      <c r="AI242" cm="1">
        <f t="array" ref="AI242">VLOOKUP($A242,Table_ship_components[],COLUMN(AI:AI),0)</f>
        <v>0</v>
      </c>
      <c r="AJ242" cm="1">
        <f t="array" ref="AJ242">VLOOKUP($A242,Table_ship_components[],COLUMN(AJ:AJ),0)</f>
        <v>0</v>
      </c>
      <c r="AK242" cm="1">
        <f t="array" ref="AK242">VLOOKUP($A242,Table_ship_components[],COLUMN(AK:AK),0)</f>
        <v>0</v>
      </c>
      <c r="AL242" cm="1">
        <f t="array" ref="AL242">VLOOKUP($A242,Table_ship_components[],COLUMN(AL:AL),0)</f>
        <v>0</v>
      </c>
      <c r="AM242" cm="1">
        <f t="array" ref="AM242">VLOOKUP($A242,Table_ship_components[],COLUMN(AM:AM),0)</f>
        <v>0</v>
      </c>
      <c r="AN242" cm="1">
        <f t="array" ref="AN242">VLOOKUP($A242,Table_ship_components[],COLUMN(AN:AN),0)</f>
        <v>0</v>
      </c>
      <c r="AO242" cm="1">
        <f t="array" ref="AO242">VLOOKUP($A242,Table_ship_components[],COLUMN(AO:AO),0)</f>
        <v>0</v>
      </c>
      <c r="AP242" cm="1">
        <f t="array" ref="AP242">VLOOKUP($A242,Table_ship_components[],COLUMN(AP:AP),0)</f>
        <v>0</v>
      </c>
      <c r="AQ242" cm="1">
        <f t="array" ref="AQ242">VLOOKUP($A242,Table_ship_components[],COLUMN(AQ:AQ),0)</f>
        <v>0</v>
      </c>
      <c r="AR242" cm="1">
        <f t="array" ref="AR242">VLOOKUP($A242,Table_ship_components[],COLUMN(AR:AR),0)</f>
        <v>0</v>
      </c>
      <c r="AS242" cm="1">
        <f t="array" ref="AS242">VLOOKUP($A242,Table_ship_components[],COLUMN(AS:AS),0)</f>
        <v>0</v>
      </c>
      <c r="AT242" cm="1">
        <f t="array" ref="AT242">VLOOKUP($A242,Table_ship_components[],COLUMN(AT:AT),0)</f>
        <v>0</v>
      </c>
      <c r="AU242" s="2" cm="1">
        <f t="array" ref="AU242">VLOOKUP($A242,Table_ship_components[],COLUMN(AU:AU),0)</f>
        <v>0</v>
      </c>
      <c r="AV242" s="2" cm="1">
        <f t="array" ref="AV242">VLOOKUP($A242,Table_ship_components[],COLUMN(AV:AV),0)</f>
        <v>0</v>
      </c>
      <c r="AW242" s="2" cm="1">
        <f t="array" ref="AW242">VLOOKUP($A242,Table_ship_components[],COLUMN(AW:AW),0)</f>
        <v>0</v>
      </c>
      <c r="AX242" s="2" cm="1">
        <f t="array" ref="AX242">VLOOKUP($A242,Table_ship_components[],COLUMN(AX:AX),0)</f>
        <v>0</v>
      </c>
      <c r="AY242" s="2" cm="1">
        <f t="array" ref="AY242">VLOOKUP($A242,Table_ship_components[],COLUMN(AY:AY),0)</f>
        <v>0</v>
      </c>
      <c r="AZ242" s="2" t="str" cm="1">
        <f t="array" ref="AZ242">VLOOKUP($A242,Table_ship_components[],COLUMN(AZ:AZ),0)</f>
        <v>C</v>
      </c>
      <c r="BA242" s="14" cm="1">
        <f t="array" ref="BA242">VLOOKUP($A242,Table_ship_components[],COLUMN(BA:BA),0)</f>
        <v>800000</v>
      </c>
      <c r="BB242" s="14" cm="1">
        <f t="array" ref="BB242">(VLOOKUP($A242,Table_ship_components[],COLUMN(BA:BA),0)+(W242*C242))</f>
        <v>800000</v>
      </c>
      <c r="BC242" s="2" cm="1">
        <f t="array" ref="BC242">VLOOKUP($A242,Table_ship_components[],COLUMN(BC:BC),0)</f>
        <v>0</v>
      </c>
      <c r="BD242" s="2" cm="1">
        <f t="array" ref="BD242">VLOOKUP($A242,Table_ship_components[],COLUMN(BD:BD),0)</f>
        <v>0</v>
      </c>
    </row>
    <row r="243" spans="1:56" outlineLevel="1" x14ac:dyDescent="0.35">
      <c r="A243" t="s">
        <v>674</v>
      </c>
      <c r="B243" t="str" cm="1">
        <f t="array" ref="B243">VLOOKUP($A243,Table_ship_components[],COLUMN(B:B),0)</f>
        <v>high speed corvette handling engine</v>
      </c>
      <c r="D243" cm="1">
        <f t="array" ref="D243">VLOOKUP($A243,Table_ship_components[],COLUMN(D:D),0)</f>
        <v>13</v>
      </c>
      <c r="E243" cm="1">
        <f t="array" ref="E243">ROUND(VLOOKUP($A243,Table_ship_components[],COLUMN(D:D),0)+(V243*C243),0)</f>
        <v>13</v>
      </c>
      <c r="F243" cm="1">
        <f t="array" ref="F243">VLOOKUP($A243,Table_ship_components[],COLUMN(F:F),0)</f>
        <v>14</v>
      </c>
      <c r="G243" cm="1">
        <f t="array" ref="G243">ROUND(VLOOKUP($A243,Table_ship_components[],COLUMN(G:G),0)+(X243*C243),0)</f>
        <v>14</v>
      </c>
      <c r="H243" cm="1">
        <f t="array" ref="H243">VLOOKUP($A243,Table_ship_components[],COLUMN(H:H),0)</f>
        <v>0</v>
      </c>
      <c r="I243" cm="1">
        <f t="array" ref="I243">VLOOKUP($A243,Table_ship_components[],COLUMN(I:I),0)</f>
        <v>0</v>
      </c>
      <c r="J243" cm="1">
        <f t="array" ref="J243">VLOOKUP($A243,Table_ship_components[],COLUMN(J:J),0)</f>
        <v>0</v>
      </c>
      <c r="K243" cm="1">
        <f t="array" ref="K243">VLOOKUP($A243,Table_ship_components[],COLUMN(K:K),0)</f>
        <v>0</v>
      </c>
      <c r="L243" cm="1">
        <f t="array" ref="L243">VLOOKUP($A243,Table_ship_components[],COLUMN(L:L),0)</f>
        <v>0</v>
      </c>
      <c r="M243" cm="1">
        <f t="array" ref="M243">VLOOKUP($A243,Table_ship_components[],COLUMN(M:M),0)</f>
        <v>0</v>
      </c>
      <c r="N243" cm="1">
        <f t="array" ref="N243">VLOOKUP($A243,Table_ship_components[],COLUMN(N:N),0)</f>
        <v>0</v>
      </c>
      <c r="O243" cm="1">
        <f t="array" ref="O243">VLOOKUP($A243,Table_ship_components[],COLUMN(O:O),0)</f>
        <v>1</v>
      </c>
      <c r="P243" cm="1">
        <f t="array" ref="P243">VLOOKUP($A243,Table_ship_components[],COLUMN(P:P),0)</f>
        <v>0</v>
      </c>
      <c r="Q243" cm="1">
        <f t="array" ref="Q243">VLOOKUP($A243,Table_ship_components[],COLUMN(Q:Q),0)</f>
        <v>0</v>
      </c>
      <c r="R243" cm="1">
        <f t="array" ref="R243">VLOOKUP($A243,Table_ship_components[],COLUMN(R:R),0)</f>
        <v>0</v>
      </c>
      <c r="S243" cm="1">
        <f t="array" ref="S243">VLOOKUP($A243,Table_ship_components[],COLUMN(S:S),0)</f>
        <v>0</v>
      </c>
      <c r="T243" cm="1">
        <f t="array" ref="T243">VLOOKUP($A243,Table_ship_components[],COLUMN(T:T),0)</f>
        <v>0</v>
      </c>
      <c r="U243" cm="1">
        <f t="array" ref="U243">VLOOKUP($A243,Table_ship_components[],COLUMN(U:U),0)</f>
        <v>0</v>
      </c>
      <c r="V243" cm="1">
        <f t="array" ref="V243">VLOOKUP($A243,Table_ship_components[],COLUMN(V:V),0)</f>
        <v>0</v>
      </c>
      <c r="W243" s="15" cm="1">
        <f t="array" ref="W243">VLOOKUP($A243,Table_ship_components[],COLUMN(W:W),0)</f>
        <v>0</v>
      </c>
      <c r="X243" cm="1">
        <f t="array" ref="X243">VLOOKUP($A243,Table_ship_components[],COLUMN(X:X),0)</f>
        <v>0</v>
      </c>
      <c r="Y243" cm="1">
        <f t="array" ref="Y243">VLOOKUP($A243,Table_ship_components[],COLUMN(Y:Y),0)</f>
        <v>0</v>
      </c>
      <c r="Z243" cm="1">
        <f t="array" ref="Z243">VLOOKUP($A243,Table_ship_components[],COLUMN(Z:Z),0)</f>
        <v>0</v>
      </c>
      <c r="AA243" cm="1">
        <f t="array" ref="AA243">VLOOKUP($A243,Table_ship_components[],COLUMN(AA:AA),0)</f>
        <v>0</v>
      </c>
      <c r="AB243">
        <f t="shared" si="0"/>
        <v>0</v>
      </c>
      <c r="AC243" cm="1">
        <f t="array" ref="AC243">VLOOKUP($A243,Table_ship_components[],COLUMN(AC:AC),0)</f>
        <v>0</v>
      </c>
      <c r="AD243" cm="1">
        <f t="array" ref="AD243">VLOOKUP($A243,Table_ship_components[],COLUMN(AD:AD),0)</f>
        <v>0</v>
      </c>
      <c r="AE243" cm="1">
        <f t="array" ref="AE243">VLOOKUP($A243,Table_ship_components[],COLUMN(AE:AE),0)</f>
        <v>0</v>
      </c>
      <c r="AF243" cm="1">
        <f t="array" ref="AF243">VLOOKUP($A243,Table_ship_components[],COLUMN(AF:AF),0)</f>
        <v>0</v>
      </c>
      <c r="AG243" cm="1">
        <f t="array" ref="AG243">VLOOKUP($A243,Table_ship_components[],COLUMN(AG:AG),0)</f>
        <v>0</v>
      </c>
      <c r="AH243" cm="1">
        <f t="array" ref="AH243">VLOOKUP($A243,Table_ship_components[],COLUMN(AH:AH),0)</f>
        <v>0</v>
      </c>
      <c r="AI243" cm="1">
        <f t="array" ref="AI243">VLOOKUP($A243,Table_ship_components[],COLUMN(AI:AI),0)</f>
        <v>0</v>
      </c>
      <c r="AJ243" cm="1">
        <f t="array" ref="AJ243">VLOOKUP($A243,Table_ship_components[],COLUMN(AJ:AJ),0)</f>
        <v>0</v>
      </c>
      <c r="AK243" cm="1">
        <f t="array" ref="AK243">VLOOKUP($A243,Table_ship_components[],COLUMN(AK:AK),0)</f>
        <v>0</v>
      </c>
      <c r="AL243" cm="1">
        <f t="array" ref="AL243">VLOOKUP($A243,Table_ship_components[],COLUMN(AL:AL),0)</f>
        <v>3</v>
      </c>
      <c r="AM243" cm="1">
        <f t="array" ref="AM243">VLOOKUP($A243,Table_ship_components[],COLUMN(AM:AM),0)</f>
        <v>0</v>
      </c>
      <c r="AN243" cm="1">
        <f t="array" ref="AN243">VLOOKUP($A243,Table_ship_components[],COLUMN(AN:AN),0)</f>
        <v>0</v>
      </c>
      <c r="AO243" cm="1">
        <f t="array" ref="AO243">VLOOKUP($A243,Table_ship_components[],COLUMN(AO:AO),0)</f>
        <v>0</v>
      </c>
      <c r="AP243" cm="1">
        <f t="array" ref="AP243">VLOOKUP($A243,Table_ship_components[],COLUMN(AP:AP),0)</f>
        <v>0</v>
      </c>
      <c r="AQ243" cm="1">
        <f t="array" ref="AQ243">VLOOKUP($A243,Table_ship_components[],COLUMN(AQ:AQ),0)</f>
        <v>0</v>
      </c>
      <c r="AR243" cm="1">
        <f t="array" ref="AR243">VLOOKUP($A243,Table_ship_components[],COLUMN(AR:AR),0)</f>
        <v>2</v>
      </c>
      <c r="AS243" cm="1">
        <f t="array" ref="AS243">VLOOKUP($A243,Table_ship_components[],COLUMN(AS:AS),0)</f>
        <v>0</v>
      </c>
      <c r="AT243" cm="1">
        <f t="array" ref="AT243">VLOOKUP($A243,Table_ship_components[],COLUMN(AT:AT),0)</f>
        <v>0</v>
      </c>
      <c r="AU243" s="2" cm="1">
        <f t="array" ref="AU243">VLOOKUP($A243,Table_ship_components[],COLUMN(AU:AU),0)</f>
        <v>0</v>
      </c>
      <c r="AV243" s="2" cm="1">
        <f t="array" ref="AV243">VLOOKUP($A243,Table_ship_components[],COLUMN(AV:AV),0)</f>
        <v>0</v>
      </c>
      <c r="AW243" s="2" cm="1">
        <f t="array" ref="AW243">VLOOKUP($A243,Table_ship_components[],COLUMN(AW:AW),0)</f>
        <v>0</v>
      </c>
      <c r="AX243" s="2" cm="1">
        <f t="array" ref="AX243">VLOOKUP($A243,Table_ship_components[],COLUMN(AX:AX),0)</f>
        <v>0</v>
      </c>
      <c r="AY243" s="2" cm="1">
        <f t="array" ref="AY243">VLOOKUP($A243,Table_ship_components[],COLUMN(AY:AY),0)</f>
        <v>0</v>
      </c>
      <c r="AZ243" s="2" t="str" cm="1">
        <f t="array" ref="AZ243">VLOOKUP($A243,Table_ship_components[],COLUMN(AZ:AZ),0)</f>
        <v>C</v>
      </c>
      <c r="BA243" s="14" cm="1">
        <f t="array" ref="BA243">VLOOKUP($A243,Table_ship_components[],COLUMN(BA:BA),0)</f>
        <v>2000000</v>
      </c>
      <c r="BB243" s="14" cm="1">
        <f t="array" ref="BB243">(VLOOKUP($A243,Table_ship_components[],COLUMN(BA:BA),0)+(W243*C243))</f>
        <v>2000000</v>
      </c>
      <c r="BC243" s="2" cm="1">
        <f t="array" ref="BC243">VLOOKUP($A243,Table_ship_components[],COLUMN(BC:BC),0)</f>
        <v>0</v>
      </c>
      <c r="BD243" s="2" cm="1">
        <f t="array" ref="BD243">VLOOKUP($A243,Table_ship_components[],COLUMN(BD:BD),0)</f>
        <v>0</v>
      </c>
    </row>
    <row r="244" spans="1:56" outlineLevel="1" x14ac:dyDescent="0.35">
      <c r="A244" t="s">
        <v>360</v>
      </c>
      <c r="B244" t="str" cm="1">
        <f t="array" ref="B244">VLOOKUP($A244,Table_ship_components[],COLUMN(B:B),0)</f>
        <v>basic corvette jump drive</v>
      </c>
      <c r="D244" cm="1">
        <f t="array" ref="D244">VLOOKUP($A244,Table_ship_components[],COLUMN(D:D),0)</f>
        <v>10</v>
      </c>
      <c r="E244" cm="1">
        <f t="array" ref="E244">ROUND(VLOOKUP($A244,Table_ship_components[],COLUMN(D:D),0)+(V244*C244),0)</f>
        <v>10</v>
      </c>
      <c r="F244" cm="1">
        <f t="array" ref="F244">VLOOKUP($A244,Table_ship_components[],COLUMN(F:F),0)</f>
        <v>0</v>
      </c>
      <c r="G244" cm="1">
        <f t="array" ref="G244">ROUND(VLOOKUP($A244,Table_ship_components[],COLUMN(G:G),0)+(X244*C244),0)</f>
        <v>0</v>
      </c>
      <c r="H244" cm="1">
        <f t="array" ref="H244">VLOOKUP($A244,Table_ship_components[],COLUMN(H:H),0)</f>
        <v>15</v>
      </c>
      <c r="I244" cm="1">
        <f t="array" ref="I244">VLOOKUP($A244,Table_ship_components[],COLUMN(I:I),0)</f>
        <v>0</v>
      </c>
      <c r="J244" cm="1">
        <f t="array" ref="J244">VLOOKUP($A244,Table_ship_components[],COLUMN(J:J),0)</f>
        <v>0</v>
      </c>
      <c r="K244" cm="1">
        <f t="array" ref="K244">VLOOKUP($A244,Table_ship_components[],COLUMN(K:K),0)</f>
        <v>0</v>
      </c>
      <c r="L244" cm="1">
        <f t="array" ref="L244">VLOOKUP($A244,Table_ship_components[],COLUMN(L:L),0)</f>
        <v>0</v>
      </c>
      <c r="M244" cm="1">
        <f t="array" ref="M244">VLOOKUP($A244,Table_ship_components[],COLUMN(M:M),0)</f>
        <v>0</v>
      </c>
      <c r="N244" cm="1">
        <f t="array" ref="N244">VLOOKUP($A244,Table_ship_components[],COLUMN(N:N),0)</f>
        <v>0</v>
      </c>
      <c r="O244" cm="1">
        <f t="array" ref="O244">VLOOKUP($A244,Table_ship_components[],COLUMN(O:O),0)</f>
        <v>1</v>
      </c>
      <c r="P244" cm="1">
        <f t="array" ref="P244">VLOOKUP($A244,Table_ship_components[],COLUMN(P:P),0)</f>
        <v>0</v>
      </c>
      <c r="Q244" cm="1">
        <f t="array" ref="Q244">VLOOKUP($A244,Table_ship_components[],COLUMN(Q:Q),0)</f>
        <v>0</v>
      </c>
      <c r="R244" cm="1">
        <f t="array" ref="R244">VLOOKUP($A244,Table_ship_components[],COLUMN(R:R),0)</f>
        <v>0</v>
      </c>
      <c r="S244" cm="1">
        <f t="array" ref="S244">VLOOKUP($A244,Table_ship_components[],COLUMN(S:S),0)</f>
        <v>0</v>
      </c>
      <c r="T244" cm="1">
        <f t="array" ref="T244">VLOOKUP($A244,Table_ship_components[],COLUMN(T:T),0)</f>
        <v>0</v>
      </c>
      <c r="U244" cm="1">
        <f t="array" ref="U244">VLOOKUP($A244,Table_ship_components[],COLUMN(U:U),0)</f>
        <v>0</v>
      </c>
      <c r="V244" cm="1">
        <f t="array" ref="V244">VLOOKUP($A244,Table_ship_components[],COLUMN(V:V),0)</f>
        <v>0</v>
      </c>
      <c r="W244" s="15" cm="1">
        <f t="array" ref="W244">VLOOKUP($A244,Table_ship_components[],COLUMN(W:W),0)</f>
        <v>0</v>
      </c>
      <c r="X244" cm="1">
        <f t="array" ref="X244">VLOOKUP($A244,Table_ship_components[],COLUMN(X:X),0)</f>
        <v>0</v>
      </c>
      <c r="Y244" cm="1">
        <f t="array" ref="Y244">VLOOKUP($A244,Table_ship_components[],COLUMN(Y:Y),0)</f>
        <v>0</v>
      </c>
      <c r="Z244" cm="1">
        <f t="array" ref="Z244">VLOOKUP($A244,Table_ship_components[],COLUMN(Z:Z),0)</f>
        <v>0</v>
      </c>
      <c r="AA244" cm="1">
        <f t="array" ref="AA244">VLOOKUP($A244,Table_ship_components[],COLUMN(AA:AA),0)</f>
        <v>0</v>
      </c>
      <c r="AB244">
        <f t="shared" si="0"/>
        <v>0</v>
      </c>
      <c r="AC244" cm="1">
        <f t="array" ref="AC244">VLOOKUP($A244,Table_ship_components[],COLUMN(AC:AC),0)</f>
        <v>0</v>
      </c>
      <c r="AD244" cm="1">
        <f t="array" ref="AD244">VLOOKUP($A244,Table_ship_components[],COLUMN(AD:AD),0)</f>
        <v>0</v>
      </c>
      <c r="AE244" cm="1">
        <f t="array" ref="AE244">VLOOKUP($A244,Table_ship_components[],COLUMN(AE:AE),0)</f>
        <v>0</v>
      </c>
      <c r="AF244" cm="1">
        <f t="array" ref="AF244">VLOOKUP($A244,Table_ship_components[],COLUMN(AF:AF),0)</f>
        <v>0</v>
      </c>
      <c r="AG244" cm="1">
        <f t="array" ref="AG244">VLOOKUP($A244,Table_ship_components[],COLUMN(AG:AG),0)</f>
        <v>0</v>
      </c>
      <c r="AH244" cm="1">
        <f t="array" ref="AH244">VLOOKUP($A244,Table_ship_components[],COLUMN(AH:AH),0)</f>
        <v>0</v>
      </c>
      <c r="AI244" cm="1">
        <f t="array" ref="AI244">VLOOKUP($A244,Table_ship_components[],COLUMN(AI:AI),0)</f>
        <v>0</v>
      </c>
      <c r="AJ244" cm="1">
        <f t="array" ref="AJ244">VLOOKUP($A244,Table_ship_components[],COLUMN(AJ:AJ),0)</f>
        <v>0</v>
      </c>
      <c r="AK244" cm="1">
        <f t="array" ref="AK244">VLOOKUP($A244,Table_ship_components[],COLUMN(AK:AK),0)</f>
        <v>1</v>
      </c>
      <c r="AL244" cm="1">
        <f t="array" ref="AL244">VLOOKUP($A244,Table_ship_components[],COLUMN(AL:AL),0)</f>
        <v>0</v>
      </c>
      <c r="AM244" cm="1">
        <f t="array" ref="AM244">VLOOKUP($A244,Table_ship_components[],COLUMN(AM:AM),0)</f>
        <v>0</v>
      </c>
      <c r="AN244" cm="1">
        <f t="array" ref="AN244">VLOOKUP($A244,Table_ship_components[],COLUMN(AN:AN),0)</f>
        <v>0</v>
      </c>
      <c r="AO244" cm="1">
        <f t="array" ref="AO244">VLOOKUP($A244,Table_ship_components[],COLUMN(AO:AO),0)</f>
        <v>0</v>
      </c>
      <c r="AP244" cm="1">
        <f t="array" ref="AP244">VLOOKUP($A244,Table_ship_components[],COLUMN(AP:AP),0)</f>
        <v>0</v>
      </c>
      <c r="AQ244" cm="1">
        <f t="array" ref="AQ244">VLOOKUP($A244,Table_ship_components[],COLUMN(AQ:AQ),0)</f>
        <v>0</v>
      </c>
      <c r="AR244" cm="1">
        <f t="array" ref="AR244">VLOOKUP($A244,Table_ship_components[],COLUMN(AR:AR),0)</f>
        <v>0</v>
      </c>
      <c r="AS244" cm="1">
        <f t="array" ref="AS244">VLOOKUP($A244,Table_ship_components[],COLUMN(AS:AS),0)</f>
        <v>0</v>
      </c>
      <c r="AT244" cm="1">
        <f t="array" ref="AT244">VLOOKUP($A244,Table_ship_components[],COLUMN(AT:AT),0)</f>
        <v>0</v>
      </c>
      <c r="AU244" s="2" cm="1">
        <f t="array" ref="AU244">VLOOKUP($A244,Table_ship_components[],COLUMN(AU:AU),0)</f>
        <v>0</v>
      </c>
      <c r="AV244" s="2" cm="1">
        <f t="array" ref="AV244">VLOOKUP($A244,Table_ship_components[],COLUMN(AV:AV),0)</f>
        <v>0</v>
      </c>
      <c r="AW244" s="2" cm="1">
        <f t="array" ref="AW244">VLOOKUP($A244,Table_ship_components[],COLUMN(AW:AW),0)</f>
        <v>0</v>
      </c>
      <c r="AX244" s="2" cm="1">
        <f t="array" ref="AX244">VLOOKUP($A244,Table_ship_components[],COLUMN(AX:AX),0)</f>
        <v>0</v>
      </c>
      <c r="AY244" s="2" cm="1">
        <f t="array" ref="AY244">VLOOKUP($A244,Table_ship_components[],COLUMN(AY:AY),0)</f>
        <v>0</v>
      </c>
      <c r="AZ244" s="2" t="str" cm="1">
        <f t="array" ref="AZ244">VLOOKUP($A244,Table_ship_components[],COLUMN(AZ:AZ),0)</f>
        <v>C</v>
      </c>
      <c r="BA244" s="14" cm="1">
        <f t="array" ref="BA244">VLOOKUP($A244,Table_ship_components[],COLUMN(BA:BA),0)</f>
        <v>150000</v>
      </c>
      <c r="BB244" s="14" cm="1">
        <f t="array" ref="BB244">(VLOOKUP($A244,Table_ship_components[],COLUMN(BA:BA),0)+(W244*C244))</f>
        <v>150000</v>
      </c>
      <c r="BC244" s="2" cm="1">
        <f t="array" ref="BC244">VLOOKUP($A244,Table_ship_components[],COLUMN(BC:BC),0)</f>
        <v>0</v>
      </c>
      <c r="BD244" s="2" cm="1">
        <f t="array" ref="BD244">VLOOKUP($A244,Table_ship_components[],COLUMN(BD:BD),0)</f>
        <v>0</v>
      </c>
    </row>
    <row r="245" spans="1:56" outlineLevel="1" x14ac:dyDescent="0.35">
      <c r="A245" t="s">
        <v>413</v>
      </c>
      <c r="B245" t="str" cm="1">
        <f t="array" ref="B245">VLOOKUP($A245,Table_ship_components[],COLUMN(B:B),0)</f>
        <v>general escape pod for 1 person</v>
      </c>
      <c r="C245" s="2">
        <v>2</v>
      </c>
      <c r="D245" cm="1">
        <f t="array" ref="D245">VLOOKUP($A245,Table_ship_components[],COLUMN(D:D),0)</f>
        <v>0</v>
      </c>
      <c r="E245" cm="1">
        <f t="array" ref="E245">ROUND(VLOOKUP($A245,Table_ship_components[],COLUMN(D:D),0)+(V245*C245),0)</f>
        <v>6</v>
      </c>
      <c r="F245" cm="1">
        <f t="array" ref="F245">VLOOKUP($A245,Table_ship_components[],COLUMN(F:F),0)</f>
        <v>0</v>
      </c>
      <c r="G245" cm="1">
        <f t="array" ref="G245">ROUND(VLOOKUP($A245,Table_ship_components[],COLUMN(G:G),0)+(X245*C245),0)</f>
        <v>2</v>
      </c>
      <c r="H245" cm="1">
        <f t="array" ref="H245">VLOOKUP($A245,Table_ship_components[],COLUMN(H:H),0)</f>
        <v>0</v>
      </c>
      <c r="I245" cm="1">
        <f t="array" ref="I245">VLOOKUP($A245,Table_ship_components[],COLUMN(I:I),0)</f>
        <v>0</v>
      </c>
      <c r="J245" cm="1">
        <f t="array" ref="J245">VLOOKUP($A245,Table_ship_components[],COLUMN(J:J),0)</f>
        <v>0</v>
      </c>
      <c r="K245" cm="1">
        <f t="array" ref="K245">VLOOKUP($A245,Table_ship_components[],COLUMN(K:K),0)</f>
        <v>0</v>
      </c>
      <c r="L245" cm="1">
        <f t="array" ref="L245">VLOOKUP($A245,Table_ship_components[],COLUMN(L:L),0)</f>
        <v>0</v>
      </c>
      <c r="M245" cm="1">
        <f t="array" ref="M245">VLOOKUP($A245,Table_ship_components[],COLUMN(M:M),0)</f>
        <v>0</v>
      </c>
      <c r="N245" cm="1">
        <f t="array" ref="N245">VLOOKUP($A245,Table_ship_components[],COLUMN(N:N),0)</f>
        <v>0</v>
      </c>
      <c r="O245" cm="1">
        <f t="array" ref="O245">VLOOKUP($A245,Table_ship_components[],COLUMN(O:O),0)</f>
        <v>1</v>
      </c>
      <c r="P245" cm="1">
        <f t="array" ref="P245">VLOOKUP($A245,Table_ship_components[],COLUMN(P:P),0)</f>
        <v>1</v>
      </c>
      <c r="Q245" cm="1">
        <f t="array" ref="Q245">VLOOKUP($A245,Table_ship_components[],COLUMN(Q:Q),0)</f>
        <v>1</v>
      </c>
      <c r="R245" cm="1">
        <f t="array" ref="R245">VLOOKUP($A245,Table_ship_components[],COLUMN(R:R),0)</f>
        <v>1</v>
      </c>
      <c r="S245" cm="1">
        <f t="array" ref="S245">VLOOKUP($A245,Table_ship_components[],COLUMN(S:S),0)</f>
        <v>1</v>
      </c>
      <c r="T245" cm="1">
        <f t="array" ref="T245">VLOOKUP($A245,Table_ship_components[],COLUMN(T:T),0)</f>
        <v>1</v>
      </c>
      <c r="U245" cm="1">
        <f t="array" ref="U245">VLOOKUP($A245,Table_ship_components[],COLUMN(U:U),0)</f>
        <v>1</v>
      </c>
      <c r="V245" cm="1">
        <f t="array" ref="V245">VLOOKUP($A245,Table_ship_components[],COLUMN(V:V),0)</f>
        <v>3</v>
      </c>
      <c r="W245" s="15" cm="1">
        <f t="array" ref="W245">VLOOKUP($A245,Table_ship_components[],COLUMN(W:W),0)</f>
        <v>40000</v>
      </c>
      <c r="X245" cm="1">
        <f t="array" ref="X245">VLOOKUP($A245,Table_ship_components[],COLUMN(X:X),0)</f>
        <v>1</v>
      </c>
      <c r="Y245" cm="1">
        <f t="array" ref="Y245">VLOOKUP($A245,Table_ship_components[],COLUMN(Y:Y),0)</f>
        <v>0</v>
      </c>
      <c r="Z245" cm="1">
        <f t="array" ref="Z245">VLOOKUP($A245,Table_ship_components[],COLUMN(Z:Z),0)</f>
        <v>0</v>
      </c>
      <c r="AA245" cm="1">
        <f t="array" ref="AA245">VLOOKUP($A245,Table_ship_components[],COLUMN(AA:AA),0)</f>
        <v>0</v>
      </c>
      <c r="AB245">
        <f t="shared" si="0"/>
        <v>0</v>
      </c>
      <c r="AC245" cm="1">
        <f t="array" ref="AC245">VLOOKUP($A245,Table_ship_components[],COLUMN(AC:AC),0)</f>
        <v>0</v>
      </c>
      <c r="AD245" cm="1">
        <f t="array" ref="AD245">VLOOKUP($A245,Table_ship_components[],COLUMN(AD:AD),0)</f>
        <v>0</v>
      </c>
      <c r="AE245" cm="1">
        <f t="array" ref="AE245">VLOOKUP($A245,Table_ship_components[],COLUMN(AE:AE),0)</f>
        <v>0</v>
      </c>
      <c r="AF245" cm="1">
        <f t="array" ref="AF245">VLOOKUP($A245,Table_ship_components[],COLUMN(AF:AF),0)</f>
        <v>0</v>
      </c>
      <c r="AG245" cm="1">
        <f t="array" ref="AG245">VLOOKUP($A245,Table_ship_components[],COLUMN(AG:AG),0)</f>
        <v>0</v>
      </c>
      <c r="AH245" cm="1">
        <f t="array" ref="AH245">VLOOKUP($A245,Table_ship_components[],COLUMN(AH:AH),0)</f>
        <v>0</v>
      </c>
      <c r="AI245" cm="1">
        <f t="array" ref="AI245">VLOOKUP($A245,Table_ship_components[],COLUMN(AI:AI),0)</f>
        <v>0</v>
      </c>
      <c r="AJ245" cm="1">
        <f t="array" ref="AJ245">VLOOKUP($A245,Table_ship_components[],COLUMN(AJ:AJ),0)</f>
        <v>0</v>
      </c>
      <c r="AK245" cm="1">
        <f t="array" ref="AK245">VLOOKUP($A245,Table_ship_components[],COLUMN(AK:AK),0)</f>
        <v>0</v>
      </c>
      <c r="AL245" cm="1">
        <f t="array" ref="AL245">VLOOKUP($A245,Table_ship_components[],COLUMN(AL:AL),0)</f>
        <v>0</v>
      </c>
      <c r="AM245" cm="1">
        <f t="array" ref="AM245">VLOOKUP($A245,Table_ship_components[],COLUMN(AM:AM),0)</f>
        <v>0</v>
      </c>
      <c r="AN245" cm="1">
        <f t="array" ref="AN245">VLOOKUP($A245,Table_ship_components[],COLUMN(AN:AN),0)</f>
        <v>0</v>
      </c>
      <c r="AO245" cm="1">
        <f t="array" ref="AO245">VLOOKUP($A245,Table_ship_components[],COLUMN(AO:AO),0)</f>
        <v>0</v>
      </c>
      <c r="AP245" cm="1">
        <f t="array" ref="AP245">VLOOKUP($A245,Table_ship_components[],COLUMN(AP:AP),0)</f>
        <v>0</v>
      </c>
      <c r="AQ245" cm="1">
        <f t="array" ref="AQ245">VLOOKUP($A245,Table_ship_components[],COLUMN(AQ:AQ),0)</f>
        <v>0</v>
      </c>
      <c r="AR245" cm="1">
        <f t="array" ref="AR245">VLOOKUP($A245,Table_ship_components[],COLUMN(AR:AR),0)</f>
        <v>0</v>
      </c>
      <c r="AS245" cm="1">
        <f t="array" ref="AS245">VLOOKUP($A245,Table_ship_components[],COLUMN(AS:AS),0)</f>
        <v>0</v>
      </c>
      <c r="AT245" cm="1">
        <f t="array" ref="AT245">VLOOKUP($A245,Table_ship_components[],COLUMN(AT:AT),0)</f>
        <v>0</v>
      </c>
      <c r="AU245" s="2" cm="1">
        <f t="array" ref="AU245">VLOOKUP($A245,Table_ship_components[],COLUMN(AU:AU),0)</f>
        <v>0</v>
      </c>
      <c r="AV245" s="2" cm="1">
        <f t="array" ref="AV245">VLOOKUP($A245,Table_ship_components[],COLUMN(AV:AV),0)</f>
        <v>0</v>
      </c>
      <c r="AW245" s="2" cm="1">
        <f t="array" ref="AW245">VLOOKUP($A245,Table_ship_components[],COLUMN(AW:AW),0)</f>
        <v>0</v>
      </c>
      <c r="AX245" s="2" cm="1">
        <f t="array" ref="AX245">VLOOKUP($A245,Table_ship_components[],COLUMN(AX:AX),0)</f>
        <v>0</v>
      </c>
      <c r="AY245" s="2" cm="1">
        <f t="array" ref="AY245">VLOOKUP($A245,Table_ship_components[],COLUMN(AY:AY),0)</f>
        <v>0</v>
      </c>
      <c r="AZ245" s="2" t="str" cm="1">
        <f t="array" ref="AZ245">VLOOKUP($A245,Table_ship_components[],COLUMN(AZ:AZ),0)</f>
        <v>C</v>
      </c>
      <c r="BA245" s="14" cm="1">
        <f t="array" ref="BA245">VLOOKUP($A245,Table_ship_components[],COLUMN(BA:BA),0)</f>
        <v>70000</v>
      </c>
      <c r="BB245" s="14" cm="1">
        <f t="array" ref="BB245">(VLOOKUP($A245,Table_ship_components[],COLUMN(BA:BA),0)+(W245*C245))</f>
        <v>150000</v>
      </c>
      <c r="BC245" s="2" cm="1">
        <f t="array" ref="BC245">VLOOKUP($A245,Table_ship_components[],COLUMN(BC:BC),0)</f>
        <v>0</v>
      </c>
      <c r="BD245" s="2" cm="1">
        <f t="array" ref="BD245">VLOOKUP($A245,Table_ship_components[],COLUMN(BD:BD),0)</f>
        <v>0</v>
      </c>
    </row>
    <row r="246" spans="1:56" outlineLevel="1" x14ac:dyDescent="0.35">
      <c r="A246" t="s">
        <v>288</v>
      </c>
      <c r="B246" t="str" cm="1">
        <f t="array" ref="B246">VLOOKUP($A246,Table_ship_components[],COLUMN(B:B),0)</f>
        <v>PICK A COMPONENT</v>
      </c>
      <c r="D246" cm="1">
        <f t="array" ref="D246">VLOOKUP($A246,Table_ship_components[],COLUMN(D:D),0)</f>
        <v>0</v>
      </c>
      <c r="E246" cm="1">
        <f t="array" ref="E246">ROUND(VLOOKUP($A246,Table_ship_components[],COLUMN(D:D),0)+(V246*C246),0)</f>
        <v>0</v>
      </c>
      <c r="F246" cm="1">
        <f t="array" ref="F246">VLOOKUP($A246,Table_ship_components[],COLUMN(F:F),0)</f>
        <v>0</v>
      </c>
      <c r="G246" cm="1">
        <f t="array" ref="G246">ROUND(VLOOKUP($A246,Table_ship_components[],COLUMN(G:G),0)+(X246*C246),0)</f>
        <v>0</v>
      </c>
      <c r="H246" cm="1">
        <f t="array" ref="H246">VLOOKUP($A246,Table_ship_components[],COLUMN(H:H),0)</f>
        <v>0</v>
      </c>
      <c r="I246" cm="1">
        <f t="array" ref="I246">VLOOKUP($A246,Table_ship_components[],COLUMN(I:I),0)</f>
        <v>0</v>
      </c>
      <c r="J246" cm="1">
        <f t="array" ref="J246">VLOOKUP($A246,Table_ship_components[],COLUMN(J:J),0)</f>
        <v>0</v>
      </c>
      <c r="K246" cm="1">
        <f t="array" ref="K246">VLOOKUP($A246,Table_ship_components[],COLUMN(K:K),0)</f>
        <v>0</v>
      </c>
      <c r="L246" cm="1">
        <f t="array" ref="L246">VLOOKUP($A246,Table_ship_components[],COLUMN(L:L),0)</f>
        <v>0</v>
      </c>
      <c r="M246" cm="1">
        <f t="array" ref="M246">VLOOKUP($A246,Table_ship_components[],COLUMN(M:M),0)</f>
        <v>0</v>
      </c>
      <c r="N246" cm="1">
        <f t="array" ref="N246">VLOOKUP($A246,Table_ship_components[],COLUMN(N:N),0)</f>
        <v>0</v>
      </c>
      <c r="O246" cm="1">
        <f t="array" ref="O246">VLOOKUP($A246,Table_ship_components[],COLUMN(O:O),0)</f>
        <v>0</v>
      </c>
      <c r="P246" cm="1">
        <f t="array" ref="P246">VLOOKUP($A246,Table_ship_components[],COLUMN(P:P),0)</f>
        <v>0</v>
      </c>
      <c r="Q246" cm="1">
        <f t="array" ref="Q246">VLOOKUP($A246,Table_ship_components[],COLUMN(Q:Q),0)</f>
        <v>0</v>
      </c>
      <c r="R246" cm="1">
        <f t="array" ref="R246">VLOOKUP($A246,Table_ship_components[],COLUMN(R:R),0)</f>
        <v>0</v>
      </c>
      <c r="S246" cm="1">
        <f t="array" ref="S246">VLOOKUP($A246,Table_ship_components[],COLUMN(S:S),0)</f>
        <v>0</v>
      </c>
      <c r="T246" cm="1">
        <f t="array" ref="T246">VLOOKUP($A246,Table_ship_components[],COLUMN(T:T),0)</f>
        <v>0</v>
      </c>
      <c r="U246" cm="1">
        <f t="array" ref="U246">VLOOKUP($A246,Table_ship_components[],COLUMN(U:U),0)</f>
        <v>0</v>
      </c>
      <c r="V246" cm="1">
        <f t="array" ref="V246">VLOOKUP($A246,Table_ship_components[],COLUMN(V:V),0)</f>
        <v>0</v>
      </c>
      <c r="W246" s="15" cm="1">
        <f t="array" ref="W246">VLOOKUP($A246,Table_ship_components[],COLUMN(W:W),0)</f>
        <v>0</v>
      </c>
      <c r="X246" cm="1">
        <f t="array" ref="X246">VLOOKUP($A246,Table_ship_components[],COLUMN(X:X),0)</f>
        <v>0</v>
      </c>
      <c r="Y246" cm="1">
        <f t="array" ref="Y246">VLOOKUP($A246,Table_ship_components[],COLUMN(Y:Y),0)</f>
        <v>0</v>
      </c>
      <c r="Z246" cm="1">
        <f t="array" ref="Z246">VLOOKUP($A246,Table_ship_components[],COLUMN(Z:Z),0)</f>
        <v>0</v>
      </c>
      <c r="AA246" cm="1">
        <f t="array" ref="AA246">VLOOKUP($A246,Table_ship_components[],COLUMN(AA:AA),0)</f>
        <v>0</v>
      </c>
      <c r="AB246">
        <f t="shared" si="0"/>
        <v>0</v>
      </c>
      <c r="AC246" cm="1">
        <f t="array" ref="AC246">VLOOKUP($A246,Table_ship_components[],COLUMN(AC:AC),0)</f>
        <v>0</v>
      </c>
      <c r="AD246" cm="1">
        <f t="array" ref="AD246">VLOOKUP($A246,Table_ship_components[],COLUMN(AD:AD),0)</f>
        <v>0</v>
      </c>
      <c r="AE246" cm="1">
        <f t="array" ref="AE246">VLOOKUP($A246,Table_ship_components[],COLUMN(AE:AE),0)</f>
        <v>0</v>
      </c>
      <c r="AF246" cm="1">
        <f t="array" ref="AF246">VLOOKUP($A246,Table_ship_components[],COLUMN(AF:AF),0)</f>
        <v>0</v>
      </c>
      <c r="AG246" cm="1">
        <f t="array" ref="AG246">VLOOKUP($A246,Table_ship_components[],COLUMN(AG:AG),0)</f>
        <v>0</v>
      </c>
      <c r="AH246" cm="1">
        <f t="array" ref="AH246">VLOOKUP($A246,Table_ship_components[],COLUMN(AH:AH),0)</f>
        <v>0</v>
      </c>
      <c r="AI246" cm="1">
        <f t="array" ref="AI246">VLOOKUP($A246,Table_ship_components[],COLUMN(AI:AI),0)</f>
        <v>0</v>
      </c>
      <c r="AJ246" cm="1">
        <f t="array" ref="AJ246">VLOOKUP($A246,Table_ship_components[],COLUMN(AJ:AJ),0)</f>
        <v>0</v>
      </c>
      <c r="AK246" cm="1">
        <f t="array" ref="AK246">VLOOKUP($A246,Table_ship_components[],COLUMN(AK:AK),0)</f>
        <v>0</v>
      </c>
      <c r="AL246" cm="1">
        <f t="array" ref="AL246">VLOOKUP($A246,Table_ship_components[],COLUMN(AL:AL),0)</f>
        <v>0</v>
      </c>
      <c r="AM246" cm="1">
        <f t="array" ref="AM246">VLOOKUP($A246,Table_ship_components[],COLUMN(AM:AM),0)</f>
        <v>0</v>
      </c>
      <c r="AN246" cm="1">
        <f t="array" ref="AN246">VLOOKUP($A246,Table_ship_components[],COLUMN(AN:AN),0)</f>
        <v>0</v>
      </c>
      <c r="AO246" cm="1">
        <f t="array" ref="AO246">VLOOKUP($A246,Table_ship_components[],COLUMN(AO:AO),0)</f>
        <v>0</v>
      </c>
      <c r="AP246" cm="1">
        <f t="array" ref="AP246">VLOOKUP($A246,Table_ship_components[],COLUMN(AP:AP),0)</f>
        <v>0</v>
      </c>
      <c r="AQ246" cm="1">
        <f t="array" ref="AQ246">VLOOKUP($A246,Table_ship_components[],COLUMN(AQ:AQ),0)</f>
        <v>0</v>
      </c>
      <c r="AR246" cm="1">
        <f t="array" ref="AR246">VLOOKUP($A246,Table_ship_components[],COLUMN(AR:AR),0)</f>
        <v>0</v>
      </c>
      <c r="AS246" cm="1">
        <f t="array" ref="AS246">VLOOKUP($A246,Table_ship_components[],COLUMN(AS:AS),0)</f>
        <v>0</v>
      </c>
      <c r="AT246" cm="1">
        <f t="array" ref="AT246">VLOOKUP($A246,Table_ship_components[],COLUMN(AT:AT),0)</f>
        <v>0</v>
      </c>
      <c r="AU246" s="2" cm="1">
        <f t="array" ref="AU246">VLOOKUP($A246,Table_ship_components[],COLUMN(AU:AU),0)</f>
        <v>0</v>
      </c>
      <c r="AV246" s="2" cm="1">
        <f t="array" ref="AV246">VLOOKUP($A246,Table_ship_components[],COLUMN(AV:AV),0)</f>
        <v>0</v>
      </c>
      <c r="AW246" s="2" cm="1">
        <f t="array" ref="AW246">VLOOKUP($A246,Table_ship_components[],COLUMN(AW:AW),0)</f>
        <v>0</v>
      </c>
      <c r="AX246" s="2" cm="1">
        <f t="array" ref="AX246">VLOOKUP($A246,Table_ship_components[],COLUMN(AX:AX),0)</f>
        <v>0</v>
      </c>
      <c r="AY246" s="2" cm="1">
        <f t="array" ref="AY246">VLOOKUP($A246,Table_ship_components[],COLUMN(AY:AY),0)</f>
        <v>0</v>
      </c>
      <c r="AZ246" s="2" t="str" cm="1">
        <f t="array" ref="AZ246">VLOOKUP($A246,Table_ship_components[],COLUMN(AZ:AZ),0)</f>
        <v>C</v>
      </c>
      <c r="BA246" s="14" cm="1">
        <f t="array" ref="BA246">VLOOKUP($A246,Table_ship_components[],COLUMN(BA:BA),0)</f>
        <v>0</v>
      </c>
      <c r="BB246" s="14" cm="1">
        <f t="array" ref="BB246">(VLOOKUP($A246,Table_ship_components[],COLUMN(BA:BA),0)+(W246*C246))</f>
        <v>0</v>
      </c>
      <c r="BC246" s="2" cm="1">
        <f t="array" ref="BC246">VLOOKUP($A246,Table_ship_components[],COLUMN(BC:BC),0)</f>
        <v>0</v>
      </c>
      <c r="BD246" s="2" cm="1">
        <f t="array" ref="BD246">VLOOKUP($A246,Table_ship_components[],COLUMN(BD:BD),0)</f>
        <v>0</v>
      </c>
    </row>
    <row r="247" spans="1:56" outlineLevel="1" x14ac:dyDescent="0.35">
      <c r="A247" s="18" t="s">
        <v>697</v>
      </c>
      <c r="B247" s="19" t="str">
        <f>CONCATENATE("SIZE ",(SUM(E248:E255)),"/",AY226,"  POWER ",(SUM(G248:G255)))</f>
        <v>SIZE 25/25  POWER 0</v>
      </c>
      <c r="AU247" s="2"/>
      <c r="AV247" s="2"/>
      <c r="AW247" s="2"/>
      <c r="AX247" s="2"/>
      <c r="AY247" s="2"/>
      <c r="AZ247" s="2"/>
      <c r="BA247" s="14"/>
      <c r="BB247" s="14"/>
      <c r="BC247" s="2"/>
      <c r="BD247" s="2"/>
    </row>
    <row r="248" spans="1:56" outlineLevel="1" x14ac:dyDescent="0.35">
      <c r="A248" t="s">
        <v>344</v>
      </c>
      <c r="B248" t="str" cm="1">
        <f t="array" ref="B248">VLOOKUP($A248,Table_ship_components[],COLUMN(B:B),0)</f>
        <v>corvette atmospheric package</v>
      </c>
      <c r="D248" cm="1">
        <f t="array" ref="D248">VLOOKUP($A248,Table_ship_components[],COLUMN(D:D),0)</f>
        <v>20</v>
      </c>
      <c r="E248" cm="1">
        <f t="array" ref="E248">ROUND(VLOOKUP($A248,Table_ship_components[],COLUMN(D:D),0)+(V248*C248),0)</f>
        <v>20</v>
      </c>
      <c r="F248" cm="1">
        <f t="array" ref="F248">VLOOKUP($A248,Table_ship_components[],COLUMN(F:F),0)</f>
        <v>0</v>
      </c>
      <c r="G248" cm="1">
        <f t="array" ref="G248">ROUND(VLOOKUP($A248,Table_ship_components[],COLUMN(G:G),0)+(X248*C248),0)</f>
        <v>0</v>
      </c>
      <c r="H248" cm="1">
        <f t="array" ref="H248">VLOOKUP($A248,Table_ship_components[],COLUMN(H:H),0)</f>
        <v>10</v>
      </c>
      <c r="I248" cm="1">
        <f t="array" ref="I248">VLOOKUP($A248,Table_ship_components[],COLUMN(I:I),0)</f>
        <v>0</v>
      </c>
      <c r="J248" cm="1">
        <f t="array" ref="J248">VLOOKUP($A248,Table_ship_components[],COLUMN(J:J),0)</f>
        <v>0</v>
      </c>
      <c r="K248" cm="1">
        <f t="array" ref="K248">VLOOKUP($A248,Table_ship_components[],COLUMN(K:K),0)</f>
        <v>0</v>
      </c>
      <c r="L248" cm="1">
        <f t="array" ref="L248">VLOOKUP($A248,Table_ship_components[],COLUMN(L:L),0)</f>
        <v>0</v>
      </c>
      <c r="M248" cm="1">
        <f t="array" ref="M248">VLOOKUP($A248,Table_ship_components[],COLUMN(M:M),0)</f>
        <v>0</v>
      </c>
      <c r="N248" cm="1">
        <f t="array" ref="N248">VLOOKUP($A248,Table_ship_components[],COLUMN(N:N),0)</f>
        <v>1</v>
      </c>
      <c r="O248" cm="1">
        <f t="array" ref="O248">VLOOKUP($A248,Table_ship_components[],COLUMN(O:O),0)</f>
        <v>0</v>
      </c>
      <c r="P248" cm="1">
        <f t="array" ref="P248">VLOOKUP($A248,Table_ship_components[],COLUMN(P:P),0)</f>
        <v>0</v>
      </c>
      <c r="Q248" cm="1">
        <f t="array" ref="Q248">VLOOKUP($A248,Table_ship_components[],COLUMN(Q:Q),0)</f>
        <v>0</v>
      </c>
      <c r="R248" cm="1">
        <f t="array" ref="R248">VLOOKUP($A248,Table_ship_components[],COLUMN(R:R),0)</f>
        <v>0</v>
      </c>
      <c r="S248" cm="1">
        <f t="array" ref="S248">VLOOKUP($A248,Table_ship_components[],COLUMN(S:S),0)</f>
        <v>0</v>
      </c>
      <c r="T248" cm="1">
        <f t="array" ref="T248">VLOOKUP($A248,Table_ship_components[],COLUMN(T:T),0)</f>
        <v>0</v>
      </c>
      <c r="U248" cm="1">
        <f t="array" ref="U248">VLOOKUP($A248,Table_ship_components[],COLUMN(U:U),0)</f>
        <v>0</v>
      </c>
      <c r="V248" cm="1">
        <f t="array" ref="V248">VLOOKUP($A248,Table_ship_components[],COLUMN(V:V),0)</f>
        <v>0</v>
      </c>
      <c r="W248" s="15" cm="1">
        <f t="array" ref="W248">VLOOKUP($A248,Table_ship_components[],COLUMN(W:W),0)</f>
        <v>0</v>
      </c>
      <c r="X248" cm="1">
        <f t="array" ref="X248">VLOOKUP($A248,Table_ship_components[],COLUMN(X:X),0)</f>
        <v>0</v>
      </c>
      <c r="Y248" cm="1">
        <f t="array" ref="Y248">VLOOKUP($A248,Table_ship_components[],COLUMN(Y:Y),0)</f>
        <v>0</v>
      </c>
      <c r="Z248" cm="1">
        <f t="array" ref="Z248">VLOOKUP($A248,Table_ship_components[],COLUMN(Z:Z),0)</f>
        <v>0</v>
      </c>
      <c r="AA248" cm="1">
        <f t="array" ref="AA248">VLOOKUP($A248,Table_ship_components[],COLUMN(AA:AA),0)</f>
        <v>0</v>
      </c>
      <c r="AB248">
        <f t="shared" si="0"/>
        <v>0</v>
      </c>
      <c r="AC248" cm="1">
        <f t="array" ref="AC248">VLOOKUP($A248,Table_ship_components[],COLUMN(AC:AC),0)</f>
        <v>0</v>
      </c>
      <c r="AD248" cm="1">
        <f t="array" ref="AD248">VLOOKUP($A248,Table_ship_components[],COLUMN(AD:AD),0)</f>
        <v>0</v>
      </c>
      <c r="AE248" cm="1">
        <f t="array" ref="AE248">VLOOKUP($A248,Table_ship_components[],COLUMN(AE:AE),0)</f>
        <v>0</v>
      </c>
      <c r="AF248" cm="1">
        <f t="array" ref="AF248">VLOOKUP($A248,Table_ship_components[],COLUMN(AF:AF),0)</f>
        <v>0</v>
      </c>
      <c r="AG248" cm="1">
        <f t="array" ref="AG248">VLOOKUP($A248,Table_ship_components[],COLUMN(AG:AG),0)</f>
        <v>2</v>
      </c>
      <c r="AH248" cm="1">
        <f t="array" ref="AH248">VLOOKUP($A248,Table_ship_components[],COLUMN(AH:AH),0)</f>
        <v>0</v>
      </c>
      <c r="AI248" cm="1">
        <f t="array" ref="AI248">VLOOKUP($A248,Table_ship_components[],COLUMN(AI:AI),0)</f>
        <v>0</v>
      </c>
      <c r="AJ248" cm="1">
        <f t="array" ref="AJ248">VLOOKUP($A248,Table_ship_components[],COLUMN(AJ:AJ),0)</f>
        <v>0</v>
      </c>
      <c r="AK248" cm="1">
        <f t="array" ref="AK248">VLOOKUP($A248,Table_ship_components[],COLUMN(AK:AK),0)</f>
        <v>0</v>
      </c>
      <c r="AL248" cm="1">
        <f t="array" ref="AL248">VLOOKUP($A248,Table_ship_components[],COLUMN(AL:AL),0)</f>
        <v>0</v>
      </c>
      <c r="AM248" cm="1">
        <f t="array" ref="AM248">VLOOKUP($A248,Table_ship_components[],COLUMN(AM:AM),0)</f>
        <v>0</v>
      </c>
      <c r="AN248" cm="1">
        <f t="array" ref="AN248">VLOOKUP($A248,Table_ship_components[],COLUMN(AN:AN),0)</f>
        <v>0</v>
      </c>
      <c r="AO248" cm="1">
        <f t="array" ref="AO248">VLOOKUP($A248,Table_ship_components[],COLUMN(AO:AO),0)</f>
        <v>0</v>
      </c>
      <c r="AP248" cm="1">
        <f t="array" ref="AP248">VLOOKUP($A248,Table_ship_components[],COLUMN(AP:AP),0)</f>
        <v>0</v>
      </c>
      <c r="AQ248" cm="1">
        <f t="array" ref="AQ248">VLOOKUP($A248,Table_ship_components[],COLUMN(AQ:AQ),0)</f>
        <v>0</v>
      </c>
      <c r="AR248" cm="1">
        <f t="array" ref="AR248">VLOOKUP($A248,Table_ship_components[],COLUMN(AR:AR),0)</f>
        <v>0</v>
      </c>
      <c r="AS248" cm="1">
        <f t="array" ref="AS248">VLOOKUP($A248,Table_ship_components[],COLUMN(AS:AS),0)</f>
        <v>0</v>
      </c>
      <c r="AT248" cm="1">
        <f t="array" ref="AT248">VLOOKUP($A248,Table_ship_components[],COLUMN(AT:AT),0)</f>
        <v>0</v>
      </c>
      <c r="AU248" s="2" cm="1">
        <f t="array" ref="AU248">VLOOKUP($A248,Table_ship_components[],COLUMN(AU:AU),0)</f>
        <v>0</v>
      </c>
      <c r="AV248" s="2" cm="1">
        <f t="array" ref="AV248">VLOOKUP($A248,Table_ship_components[],COLUMN(AV:AV),0)</f>
        <v>0</v>
      </c>
      <c r="AW248" s="2" cm="1">
        <f t="array" ref="AW248">VLOOKUP($A248,Table_ship_components[],COLUMN(AW:AW),0)</f>
        <v>0</v>
      </c>
      <c r="AX248" s="2" cm="1">
        <f t="array" ref="AX248">VLOOKUP($A248,Table_ship_components[],COLUMN(AX:AX),0)</f>
        <v>0</v>
      </c>
      <c r="AY248" s="2" cm="1">
        <f t="array" ref="AY248">VLOOKUP($A248,Table_ship_components[],COLUMN(AY:AY),0)</f>
        <v>0</v>
      </c>
      <c r="AZ248" s="2" t="str" cm="1">
        <f t="array" ref="AZ248">VLOOKUP($A248,Table_ship_components[],COLUMN(AZ:AZ),0)</f>
        <v>C</v>
      </c>
      <c r="BA248" s="14" cm="1">
        <f t="array" ref="BA248">VLOOKUP($A248,Table_ship_components[],COLUMN(BA:BA),0)</f>
        <v>2000000</v>
      </c>
      <c r="BB248" s="14" cm="1">
        <f t="array" ref="BB248">(VLOOKUP($A248,Table_ship_components[],COLUMN(BA:BA),0)+(W248*C248))</f>
        <v>2000000</v>
      </c>
      <c r="BC248" s="2" cm="1">
        <f t="array" ref="BC248">VLOOKUP($A248,Table_ship_components[],COLUMN(BC:BC),0)</f>
        <v>0</v>
      </c>
      <c r="BD248" s="2" cm="1">
        <f t="array" ref="BD248">VLOOKUP($A248,Table_ship_components[],COLUMN(BD:BD),0)</f>
        <v>0</v>
      </c>
    </row>
    <row r="249" spans="1:56" outlineLevel="1" x14ac:dyDescent="0.35">
      <c r="A249" t="s">
        <v>324</v>
      </c>
      <c r="B249" t="str" cm="1">
        <f t="array" ref="B249">VLOOKUP($A249,Table_ship_components[],COLUMN(B:B),0)</f>
        <v>huge fixed weapon mount</v>
      </c>
      <c r="D249" cm="1">
        <f t="array" ref="D249">VLOOKUP($A249,Table_ship_components[],COLUMN(D:D),0)</f>
        <v>5</v>
      </c>
      <c r="E249" cm="1">
        <f t="array" ref="E249">ROUND(VLOOKUP($A249,Table_ship_components[],COLUMN(D:D),0)+(V249*C249),0)</f>
        <v>5</v>
      </c>
      <c r="F249" cm="1">
        <f t="array" ref="F249">VLOOKUP($A249,Table_ship_components[],COLUMN(F:F),0)</f>
        <v>0</v>
      </c>
      <c r="G249" cm="1">
        <f t="array" ref="G249">ROUND(VLOOKUP($A249,Table_ship_components[],COLUMN(G:G),0)+(X249*C249),0)</f>
        <v>0</v>
      </c>
      <c r="H249" cm="1">
        <f t="array" ref="H249">VLOOKUP($A249,Table_ship_components[],COLUMN(H:H),0)</f>
        <v>0</v>
      </c>
      <c r="I249" cm="1">
        <f t="array" ref="I249">VLOOKUP($A249,Table_ship_components[],COLUMN(I:I),0)</f>
        <v>0</v>
      </c>
      <c r="J249" cm="1">
        <f t="array" ref="J249">VLOOKUP($A249,Table_ship_components[],COLUMN(J:J),0)</f>
        <v>0</v>
      </c>
      <c r="K249" cm="1">
        <f t="array" ref="K249">VLOOKUP($A249,Table_ship_components[],COLUMN(K:K),0)</f>
        <v>0</v>
      </c>
      <c r="L249" cm="1">
        <f t="array" ref="L249">VLOOKUP($A249,Table_ship_components[],COLUMN(L:L),0)</f>
        <v>0</v>
      </c>
      <c r="M249" cm="1">
        <f t="array" ref="M249">VLOOKUP($A249,Table_ship_components[],COLUMN(M:M),0)</f>
        <v>0</v>
      </c>
      <c r="N249" cm="1">
        <f t="array" ref="N249">VLOOKUP($A249,Table_ship_components[],COLUMN(N:N),0)</f>
        <v>1</v>
      </c>
      <c r="O249" cm="1">
        <f t="array" ref="O249">VLOOKUP($A249,Table_ship_components[],COLUMN(O:O),0)</f>
        <v>1</v>
      </c>
      <c r="P249" cm="1">
        <f t="array" ref="P249">VLOOKUP($A249,Table_ship_components[],COLUMN(P:P),0)</f>
        <v>1</v>
      </c>
      <c r="Q249" cm="1">
        <f t="array" ref="Q249">VLOOKUP($A249,Table_ship_components[],COLUMN(Q:Q),0)</f>
        <v>1</v>
      </c>
      <c r="R249" cm="1">
        <f t="array" ref="R249">VLOOKUP($A249,Table_ship_components[],COLUMN(R:R),0)</f>
        <v>1</v>
      </c>
      <c r="S249" cm="1">
        <f t="array" ref="S249">VLOOKUP($A249,Table_ship_components[],COLUMN(S:S),0)</f>
        <v>1</v>
      </c>
      <c r="T249" cm="1">
        <f t="array" ref="T249">VLOOKUP($A249,Table_ship_components[],COLUMN(T:T),0)</f>
        <v>1</v>
      </c>
      <c r="U249" cm="1">
        <f t="array" ref="U249">VLOOKUP($A249,Table_ship_components[],COLUMN(U:U),0)</f>
        <v>0</v>
      </c>
      <c r="V249" cm="1">
        <f t="array" ref="V249">VLOOKUP($A249,Table_ship_components[],COLUMN(V:V),0)</f>
        <v>0</v>
      </c>
      <c r="W249" s="15" cm="1">
        <f t="array" ref="W249">VLOOKUP($A249,Table_ship_components[],COLUMN(W:W),0)</f>
        <v>0</v>
      </c>
      <c r="X249" cm="1">
        <f t="array" ref="X249">VLOOKUP($A249,Table_ship_components[],COLUMN(X:X),0)</f>
        <v>0</v>
      </c>
      <c r="Y249" cm="1">
        <f t="array" ref="Y249">VLOOKUP($A249,Table_ship_components[],COLUMN(Y:Y),0)</f>
        <v>0</v>
      </c>
      <c r="Z249" cm="1">
        <f t="array" ref="Z249">VLOOKUP($A249,Table_ship_components[],COLUMN(Z:Z),0)</f>
        <v>0</v>
      </c>
      <c r="AA249" cm="1">
        <f t="array" ref="AA249">VLOOKUP($A249,Table_ship_components[],COLUMN(AA:AA),0)</f>
        <v>0</v>
      </c>
      <c r="AB249">
        <f t="shared" si="0"/>
        <v>0</v>
      </c>
      <c r="AC249" cm="1">
        <f t="array" ref="AC249">VLOOKUP($A249,Table_ship_components[],COLUMN(AC:AC),0)</f>
        <v>0</v>
      </c>
      <c r="AD249" cm="1">
        <f t="array" ref="AD249">VLOOKUP($A249,Table_ship_components[],COLUMN(AD:AD),0)</f>
        <v>0</v>
      </c>
      <c r="AE249" cm="1">
        <f t="array" ref="AE249">VLOOKUP($A249,Table_ship_components[],COLUMN(AE:AE),0)</f>
        <v>0</v>
      </c>
      <c r="AF249" cm="1">
        <f t="array" ref="AF249">VLOOKUP($A249,Table_ship_components[],COLUMN(AF:AF),0)</f>
        <v>0</v>
      </c>
      <c r="AG249" cm="1">
        <f t="array" ref="AG249">VLOOKUP($A249,Table_ship_components[],COLUMN(AG:AG),0)</f>
        <v>0</v>
      </c>
      <c r="AH249" cm="1">
        <f t="array" ref="AH249">VLOOKUP($A249,Table_ship_components[],COLUMN(AH:AH),0)</f>
        <v>0</v>
      </c>
      <c r="AI249" cm="1">
        <f t="array" ref="AI249">VLOOKUP($A249,Table_ship_components[],COLUMN(AI:AI),0)</f>
        <v>0</v>
      </c>
      <c r="AJ249" cm="1">
        <f t="array" ref="AJ249">VLOOKUP($A249,Table_ship_components[],COLUMN(AJ:AJ),0)</f>
        <v>0</v>
      </c>
      <c r="AK249" cm="1">
        <f t="array" ref="AK249">VLOOKUP($A249,Table_ship_components[],COLUMN(AK:AK),0)</f>
        <v>0</v>
      </c>
      <c r="AL249" cm="1">
        <f t="array" ref="AL249">VLOOKUP($A249,Table_ship_components[],COLUMN(AL:AL),0)</f>
        <v>0</v>
      </c>
      <c r="AM249" cm="1">
        <f t="array" ref="AM249">VLOOKUP($A249,Table_ship_components[],COLUMN(AM:AM),0)</f>
        <v>0</v>
      </c>
      <c r="AN249" cm="1">
        <f t="array" ref="AN249">VLOOKUP($A249,Table_ship_components[],COLUMN(AN:AN),0)</f>
        <v>0</v>
      </c>
      <c r="AO249" cm="1">
        <f t="array" ref="AO249">VLOOKUP($A249,Table_ship_components[],COLUMN(AO:AO),0)</f>
        <v>0</v>
      </c>
      <c r="AP249" cm="1">
        <f t="array" ref="AP249">VLOOKUP($A249,Table_ship_components[],COLUMN(AP:AP),0)</f>
        <v>0</v>
      </c>
      <c r="AQ249" cm="1">
        <f t="array" ref="AQ249">VLOOKUP($A249,Table_ship_components[],COLUMN(AQ:AQ),0)</f>
        <v>0</v>
      </c>
      <c r="AR249" cm="1">
        <f t="array" ref="AR249">VLOOKUP($A249,Table_ship_components[],COLUMN(AR:AR),0)</f>
        <v>0</v>
      </c>
      <c r="AS249" cm="1">
        <f t="array" ref="AS249">VLOOKUP($A249,Table_ship_components[],COLUMN(AS:AS),0)</f>
        <v>0</v>
      </c>
      <c r="AT249" cm="1">
        <f t="array" ref="AT249">VLOOKUP($A249,Table_ship_components[],COLUMN(AT:AT),0)</f>
        <v>0</v>
      </c>
      <c r="AU249" s="2" cm="1">
        <f t="array" ref="AU249">VLOOKUP($A249,Table_ship_components[],COLUMN(AU:AU),0)</f>
        <v>0</v>
      </c>
      <c r="AV249" s="2" cm="1">
        <f t="array" ref="AV249">VLOOKUP($A249,Table_ship_components[],COLUMN(AV:AV),0)</f>
        <v>0</v>
      </c>
      <c r="AW249" s="2" cm="1">
        <f t="array" ref="AW249">VLOOKUP($A249,Table_ship_components[],COLUMN(AW:AW),0)</f>
        <v>0</v>
      </c>
      <c r="AX249" s="2" cm="1">
        <f t="array" ref="AX249">VLOOKUP($A249,Table_ship_components[],COLUMN(AX:AX),0)</f>
        <v>0</v>
      </c>
      <c r="AY249" s="2" cm="1">
        <f t="array" ref="AY249">VLOOKUP($A249,Table_ship_components[],COLUMN(AY:AY),0)</f>
        <v>0</v>
      </c>
      <c r="AZ249" s="2" t="str" cm="1">
        <f t="array" ref="AZ249">VLOOKUP($A249,Table_ship_components[],COLUMN(AZ:AZ),0)</f>
        <v>C</v>
      </c>
      <c r="BA249" s="14" cm="1">
        <f t="array" ref="BA249">VLOOKUP($A249,Table_ship_components[],COLUMN(BA:BA),0)</f>
        <v>200000</v>
      </c>
      <c r="BB249" s="14" cm="1">
        <f t="array" ref="BB249">(VLOOKUP($A249,Table_ship_components[],COLUMN(BA:BA),0)+(W249*C249))</f>
        <v>200000</v>
      </c>
      <c r="BC249" s="2" cm="1">
        <f t="array" ref="BC249">VLOOKUP($A249,Table_ship_components[],COLUMN(BC:BC),0)</f>
        <v>0</v>
      </c>
      <c r="BD249" s="2" cm="1">
        <f t="array" ref="BD249">VLOOKUP($A249,Table_ship_components[],COLUMN(BD:BD),0)</f>
        <v>0</v>
      </c>
    </row>
    <row r="250" spans="1:56" outlineLevel="1" x14ac:dyDescent="0.35">
      <c r="A250" t="s">
        <v>288</v>
      </c>
      <c r="B250" t="str" cm="1">
        <f t="array" ref="B250">VLOOKUP($A250,Table_ship_components[],COLUMN(B:B),0)</f>
        <v>PICK A COMPONENT</v>
      </c>
      <c r="D250" cm="1">
        <f t="array" ref="D250">VLOOKUP($A250,Table_ship_components[],COLUMN(D:D),0)</f>
        <v>0</v>
      </c>
      <c r="E250" cm="1">
        <f t="array" ref="E250">ROUND(VLOOKUP($A250,Table_ship_components[],COLUMN(D:D),0)+(V250*C250),0)</f>
        <v>0</v>
      </c>
      <c r="F250" cm="1">
        <f t="array" ref="F250">VLOOKUP($A250,Table_ship_components[],COLUMN(F:F),0)</f>
        <v>0</v>
      </c>
      <c r="G250" cm="1">
        <f t="array" ref="G250">ROUND(VLOOKUP($A250,Table_ship_components[],COLUMN(G:G),0)+(X250*C250),0)</f>
        <v>0</v>
      </c>
      <c r="H250" cm="1">
        <f t="array" ref="H250">VLOOKUP($A250,Table_ship_components[],COLUMN(H:H),0)</f>
        <v>0</v>
      </c>
      <c r="I250" cm="1">
        <f t="array" ref="I250">VLOOKUP($A250,Table_ship_components[],COLUMN(I:I),0)</f>
        <v>0</v>
      </c>
      <c r="J250" cm="1">
        <f t="array" ref="J250">VLOOKUP($A250,Table_ship_components[],COLUMN(J:J),0)</f>
        <v>0</v>
      </c>
      <c r="K250" cm="1">
        <f t="array" ref="K250">VLOOKUP($A250,Table_ship_components[],COLUMN(K:K),0)</f>
        <v>0</v>
      </c>
      <c r="L250" cm="1">
        <f t="array" ref="L250">VLOOKUP($A250,Table_ship_components[],COLUMN(L:L),0)</f>
        <v>0</v>
      </c>
      <c r="M250" cm="1">
        <f t="array" ref="M250">VLOOKUP($A250,Table_ship_components[],COLUMN(M:M),0)</f>
        <v>0</v>
      </c>
      <c r="N250" cm="1">
        <f t="array" ref="N250">VLOOKUP($A250,Table_ship_components[],COLUMN(N:N),0)</f>
        <v>0</v>
      </c>
      <c r="O250" cm="1">
        <f t="array" ref="O250">VLOOKUP($A250,Table_ship_components[],COLUMN(O:O),0)</f>
        <v>0</v>
      </c>
      <c r="P250" cm="1">
        <f t="array" ref="P250">VLOOKUP($A250,Table_ship_components[],COLUMN(P:P),0)</f>
        <v>0</v>
      </c>
      <c r="Q250" cm="1">
        <f t="array" ref="Q250">VLOOKUP($A250,Table_ship_components[],COLUMN(Q:Q),0)</f>
        <v>0</v>
      </c>
      <c r="R250" cm="1">
        <f t="array" ref="R250">VLOOKUP($A250,Table_ship_components[],COLUMN(R:R),0)</f>
        <v>0</v>
      </c>
      <c r="S250" cm="1">
        <f t="array" ref="S250">VLOOKUP($A250,Table_ship_components[],COLUMN(S:S),0)</f>
        <v>0</v>
      </c>
      <c r="T250" cm="1">
        <f t="array" ref="T250">VLOOKUP($A250,Table_ship_components[],COLUMN(T:T),0)</f>
        <v>0</v>
      </c>
      <c r="U250" cm="1">
        <f t="array" ref="U250">VLOOKUP($A250,Table_ship_components[],COLUMN(U:U),0)</f>
        <v>0</v>
      </c>
      <c r="V250" cm="1">
        <f t="array" ref="V250">VLOOKUP($A250,Table_ship_components[],COLUMN(V:V),0)</f>
        <v>0</v>
      </c>
      <c r="W250" s="15" cm="1">
        <f t="array" ref="W250">VLOOKUP($A250,Table_ship_components[],COLUMN(W:W),0)</f>
        <v>0</v>
      </c>
      <c r="X250" cm="1">
        <f t="array" ref="X250">VLOOKUP($A250,Table_ship_components[],COLUMN(X:X),0)</f>
        <v>0</v>
      </c>
      <c r="Y250" cm="1">
        <f t="array" ref="Y250">VLOOKUP($A250,Table_ship_components[],COLUMN(Y:Y),0)</f>
        <v>0</v>
      </c>
      <c r="Z250" cm="1">
        <f t="array" ref="Z250">VLOOKUP($A250,Table_ship_components[],COLUMN(Z:Z),0)</f>
        <v>0</v>
      </c>
      <c r="AA250" cm="1">
        <f t="array" ref="AA250">VLOOKUP($A250,Table_ship_components[],COLUMN(AA:AA),0)</f>
        <v>0</v>
      </c>
      <c r="AB250">
        <f t="shared" si="0"/>
        <v>0</v>
      </c>
      <c r="AC250" cm="1">
        <f t="array" ref="AC250">VLOOKUP($A250,Table_ship_components[],COLUMN(AC:AC),0)</f>
        <v>0</v>
      </c>
      <c r="AD250" cm="1">
        <f t="array" ref="AD250">VLOOKUP($A250,Table_ship_components[],COLUMN(AD:AD),0)</f>
        <v>0</v>
      </c>
      <c r="AE250" cm="1">
        <f t="array" ref="AE250">VLOOKUP($A250,Table_ship_components[],COLUMN(AE:AE),0)</f>
        <v>0</v>
      </c>
      <c r="AF250" cm="1">
        <f t="array" ref="AF250">VLOOKUP($A250,Table_ship_components[],COLUMN(AF:AF),0)</f>
        <v>0</v>
      </c>
      <c r="AG250" cm="1">
        <f t="array" ref="AG250">VLOOKUP($A250,Table_ship_components[],COLUMN(AG:AG),0)</f>
        <v>0</v>
      </c>
      <c r="AH250" cm="1">
        <f t="array" ref="AH250">VLOOKUP($A250,Table_ship_components[],COLUMN(AH:AH),0)</f>
        <v>0</v>
      </c>
      <c r="AI250" cm="1">
        <f t="array" ref="AI250">VLOOKUP($A250,Table_ship_components[],COLUMN(AI:AI),0)</f>
        <v>0</v>
      </c>
      <c r="AJ250" cm="1">
        <f t="array" ref="AJ250">VLOOKUP($A250,Table_ship_components[],COLUMN(AJ:AJ),0)</f>
        <v>0</v>
      </c>
      <c r="AK250" cm="1">
        <f t="array" ref="AK250">VLOOKUP($A250,Table_ship_components[],COLUMN(AK:AK),0)</f>
        <v>0</v>
      </c>
      <c r="AL250" cm="1">
        <f t="array" ref="AL250">VLOOKUP($A250,Table_ship_components[],COLUMN(AL:AL),0)</f>
        <v>0</v>
      </c>
      <c r="AM250" cm="1">
        <f t="array" ref="AM250">VLOOKUP($A250,Table_ship_components[],COLUMN(AM:AM),0)</f>
        <v>0</v>
      </c>
      <c r="AN250" cm="1">
        <f t="array" ref="AN250">VLOOKUP($A250,Table_ship_components[],COLUMN(AN:AN),0)</f>
        <v>0</v>
      </c>
      <c r="AO250" cm="1">
        <f t="array" ref="AO250">VLOOKUP($A250,Table_ship_components[],COLUMN(AO:AO),0)</f>
        <v>0</v>
      </c>
      <c r="AP250" cm="1">
        <f t="array" ref="AP250">VLOOKUP($A250,Table_ship_components[],COLUMN(AP:AP),0)</f>
        <v>0</v>
      </c>
      <c r="AQ250" cm="1">
        <f t="array" ref="AQ250">VLOOKUP($A250,Table_ship_components[],COLUMN(AQ:AQ),0)</f>
        <v>0</v>
      </c>
      <c r="AR250" cm="1">
        <f t="array" ref="AR250">VLOOKUP($A250,Table_ship_components[],COLUMN(AR:AR),0)</f>
        <v>0</v>
      </c>
      <c r="AS250" cm="1">
        <f t="array" ref="AS250">VLOOKUP($A250,Table_ship_components[],COLUMN(AS:AS),0)</f>
        <v>0</v>
      </c>
      <c r="AT250" cm="1">
        <f t="array" ref="AT250">VLOOKUP($A250,Table_ship_components[],COLUMN(AT:AT),0)</f>
        <v>0</v>
      </c>
      <c r="AU250" s="2" cm="1">
        <f t="array" ref="AU250">VLOOKUP($A250,Table_ship_components[],COLUMN(AU:AU),0)</f>
        <v>0</v>
      </c>
      <c r="AV250" s="2" cm="1">
        <f t="array" ref="AV250">VLOOKUP($A250,Table_ship_components[],COLUMN(AV:AV),0)</f>
        <v>0</v>
      </c>
      <c r="AW250" s="2" cm="1">
        <f t="array" ref="AW250">VLOOKUP($A250,Table_ship_components[],COLUMN(AW:AW),0)</f>
        <v>0</v>
      </c>
      <c r="AX250" s="2" cm="1">
        <f t="array" ref="AX250">VLOOKUP($A250,Table_ship_components[],COLUMN(AX:AX),0)</f>
        <v>0</v>
      </c>
      <c r="AY250" s="2" cm="1">
        <f t="array" ref="AY250">VLOOKUP($A250,Table_ship_components[],COLUMN(AY:AY),0)</f>
        <v>0</v>
      </c>
      <c r="AZ250" s="2" t="str" cm="1">
        <f t="array" ref="AZ250">VLOOKUP($A250,Table_ship_components[],COLUMN(AZ:AZ),0)</f>
        <v>C</v>
      </c>
      <c r="BA250" s="14" cm="1">
        <f t="array" ref="BA250">VLOOKUP($A250,Table_ship_components[],COLUMN(BA:BA),0)</f>
        <v>0</v>
      </c>
      <c r="BB250" s="14" cm="1">
        <f t="array" ref="BB250">(VLOOKUP($A250,Table_ship_components[],COLUMN(BA:BA),0)+(W250*C250))</f>
        <v>0</v>
      </c>
      <c r="BC250" s="2" cm="1">
        <f t="array" ref="BC250">VLOOKUP($A250,Table_ship_components[],COLUMN(BC:BC),0)</f>
        <v>0</v>
      </c>
      <c r="BD250" s="2" cm="1">
        <f t="array" ref="BD250">VLOOKUP($A250,Table_ship_components[],COLUMN(BD:BD),0)</f>
        <v>0</v>
      </c>
    </row>
    <row r="251" spans="1:56" outlineLevel="1" x14ac:dyDescent="0.35">
      <c r="A251" t="s">
        <v>288</v>
      </c>
      <c r="B251" t="str" cm="1">
        <f t="array" ref="B251">VLOOKUP($A251,Table_ship_components[],COLUMN(B:B),0)</f>
        <v>PICK A COMPONENT</v>
      </c>
      <c r="D251" cm="1">
        <f t="array" ref="D251">VLOOKUP($A251,Table_ship_components[],COLUMN(D:D),0)</f>
        <v>0</v>
      </c>
      <c r="E251" cm="1">
        <f t="array" ref="E251">ROUND(VLOOKUP($A251,Table_ship_components[],COLUMN(D:D),0)+(V251*C251),0)</f>
        <v>0</v>
      </c>
      <c r="F251" cm="1">
        <f t="array" ref="F251">VLOOKUP($A251,Table_ship_components[],COLUMN(F:F),0)</f>
        <v>0</v>
      </c>
      <c r="G251" cm="1">
        <f t="array" ref="G251">ROUND(VLOOKUP($A251,Table_ship_components[],COLUMN(G:G),0)+(X251*C251),0)</f>
        <v>0</v>
      </c>
      <c r="H251" cm="1">
        <f t="array" ref="H251">VLOOKUP($A251,Table_ship_components[],COLUMN(H:H),0)</f>
        <v>0</v>
      </c>
      <c r="I251" cm="1">
        <f t="array" ref="I251">VLOOKUP($A251,Table_ship_components[],COLUMN(I:I),0)</f>
        <v>0</v>
      </c>
      <c r="J251" cm="1">
        <f t="array" ref="J251">VLOOKUP($A251,Table_ship_components[],COLUMN(J:J),0)</f>
        <v>0</v>
      </c>
      <c r="K251" cm="1">
        <f t="array" ref="K251">VLOOKUP($A251,Table_ship_components[],COLUMN(K:K),0)</f>
        <v>0</v>
      </c>
      <c r="L251" cm="1">
        <f t="array" ref="L251">VLOOKUP($A251,Table_ship_components[],COLUMN(L:L),0)</f>
        <v>0</v>
      </c>
      <c r="M251" cm="1">
        <f t="array" ref="M251">VLOOKUP($A251,Table_ship_components[],COLUMN(M:M),0)</f>
        <v>0</v>
      </c>
      <c r="N251" cm="1">
        <f t="array" ref="N251">VLOOKUP($A251,Table_ship_components[],COLUMN(N:N),0)</f>
        <v>0</v>
      </c>
      <c r="O251" cm="1">
        <f t="array" ref="O251">VLOOKUP($A251,Table_ship_components[],COLUMN(O:O),0)</f>
        <v>0</v>
      </c>
      <c r="P251" cm="1">
        <f t="array" ref="P251">VLOOKUP($A251,Table_ship_components[],COLUMN(P:P),0)</f>
        <v>0</v>
      </c>
      <c r="Q251" cm="1">
        <f t="array" ref="Q251">VLOOKUP($A251,Table_ship_components[],COLUMN(Q:Q),0)</f>
        <v>0</v>
      </c>
      <c r="R251" cm="1">
        <f t="array" ref="R251">VLOOKUP($A251,Table_ship_components[],COLUMN(R:R),0)</f>
        <v>0</v>
      </c>
      <c r="S251" cm="1">
        <f t="array" ref="S251">VLOOKUP($A251,Table_ship_components[],COLUMN(S:S),0)</f>
        <v>0</v>
      </c>
      <c r="T251" cm="1">
        <f t="array" ref="T251">VLOOKUP($A251,Table_ship_components[],COLUMN(T:T),0)</f>
        <v>0</v>
      </c>
      <c r="U251" cm="1">
        <f t="array" ref="U251">VLOOKUP($A251,Table_ship_components[],COLUMN(U:U),0)</f>
        <v>0</v>
      </c>
      <c r="V251" cm="1">
        <f t="array" ref="V251">VLOOKUP($A251,Table_ship_components[],COLUMN(V:V),0)</f>
        <v>0</v>
      </c>
      <c r="W251" s="15" cm="1">
        <f t="array" ref="W251">VLOOKUP($A251,Table_ship_components[],COLUMN(W:W),0)</f>
        <v>0</v>
      </c>
      <c r="X251" cm="1">
        <f t="array" ref="X251">VLOOKUP($A251,Table_ship_components[],COLUMN(X:X),0)</f>
        <v>0</v>
      </c>
      <c r="Y251" cm="1">
        <f t="array" ref="Y251">VLOOKUP($A251,Table_ship_components[],COLUMN(Y:Y),0)</f>
        <v>0</v>
      </c>
      <c r="Z251" cm="1">
        <f t="array" ref="Z251">VLOOKUP($A251,Table_ship_components[],COLUMN(Z:Z),0)</f>
        <v>0</v>
      </c>
      <c r="AA251" cm="1">
        <f t="array" ref="AA251">VLOOKUP($A251,Table_ship_components[],COLUMN(AA:AA),0)</f>
        <v>0</v>
      </c>
      <c r="AB251">
        <f t="shared" si="0"/>
        <v>0</v>
      </c>
      <c r="AC251" cm="1">
        <f t="array" ref="AC251">VLOOKUP($A251,Table_ship_components[],COLUMN(AC:AC),0)</f>
        <v>0</v>
      </c>
      <c r="AD251" cm="1">
        <f t="array" ref="AD251">VLOOKUP($A251,Table_ship_components[],COLUMN(AD:AD),0)</f>
        <v>0</v>
      </c>
      <c r="AE251" cm="1">
        <f t="array" ref="AE251">VLOOKUP($A251,Table_ship_components[],COLUMN(AE:AE),0)</f>
        <v>0</v>
      </c>
      <c r="AF251" cm="1">
        <f t="array" ref="AF251">VLOOKUP($A251,Table_ship_components[],COLUMN(AF:AF),0)</f>
        <v>0</v>
      </c>
      <c r="AG251" cm="1">
        <f t="array" ref="AG251">VLOOKUP($A251,Table_ship_components[],COLUMN(AG:AG),0)</f>
        <v>0</v>
      </c>
      <c r="AH251" cm="1">
        <f t="array" ref="AH251">VLOOKUP($A251,Table_ship_components[],COLUMN(AH:AH),0)</f>
        <v>0</v>
      </c>
      <c r="AI251" cm="1">
        <f t="array" ref="AI251">VLOOKUP($A251,Table_ship_components[],COLUMN(AI:AI),0)</f>
        <v>0</v>
      </c>
      <c r="AJ251" cm="1">
        <f t="array" ref="AJ251">VLOOKUP($A251,Table_ship_components[],COLUMN(AJ:AJ),0)</f>
        <v>0</v>
      </c>
      <c r="AK251" cm="1">
        <f t="array" ref="AK251">VLOOKUP($A251,Table_ship_components[],COLUMN(AK:AK),0)</f>
        <v>0</v>
      </c>
      <c r="AL251" cm="1">
        <f t="array" ref="AL251">VLOOKUP($A251,Table_ship_components[],COLUMN(AL:AL),0)</f>
        <v>0</v>
      </c>
      <c r="AM251" cm="1">
        <f t="array" ref="AM251">VLOOKUP($A251,Table_ship_components[],COLUMN(AM:AM),0)</f>
        <v>0</v>
      </c>
      <c r="AN251" cm="1">
        <f t="array" ref="AN251">VLOOKUP($A251,Table_ship_components[],COLUMN(AN:AN),0)</f>
        <v>0</v>
      </c>
      <c r="AO251" cm="1">
        <f t="array" ref="AO251">VLOOKUP($A251,Table_ship_components[],COLUMN(AO:AO),0)</f>
        <v>0</v>
      </c>
      <c r="AP251" cm="1">
        <f t="array" ref="AP251">VLOOKUP($A251,Table_ship_components[],COLUMN(AP:AP),0)</f>
        <v>0</v>
      </c>
      <c r="AQ251" cm="1">
        <f t="array" ref="AQ251">VLOOKUP($A251,Table_ship_components[],COLUMN(AQ:AQ),0)</f>
        <v>0</v>
      </c>
      <c r="AR251" cm="1">
        <f t="array" ref="AR251">VLOOKUP($A251,Table_ship_components[],COLUMN(AR:AR),0)</f>
        <v>0</v>
      </c>
      <c r="AS251" cm="1">
        <f t="array" ref="AS251">VLOOKUP($A251,Table_ship_components[],COLUMN(AS:AS),0)</f>
        <v>0</v>
      </c>
      <c r="AT251" cm="1">
        <f t="array" ref="AT251">VLOOKUP($A251,Table_ship_components[],COLUMN(AT:AT),0)</f>
        <v>0</v>
      </c>
      <c r="AU251" s="2" cm="1">
        <f t="array" ref="AU251">VLOOKUP($A251,Table_ship_components[],COLUMN(AU:AU),0)</f>
        <v>0</v>
      </c>
      <c r="AV251" s="2" cm="1">
        <f t="array" ref="AV251">VLOOKUP($A251,Table_ship_components[],COLUMN(AV:AV),0)</f>
        <v>0</v>
      </c>
      <c r="AW251" s="2" cm="1">
        <f t="array" ref="AW251">VLOOKUP($A251,Table_ship_components[],COLUMN(AW:AW),0)</f>
        <v>0</v>
      </c>
      <c r="AX251" s="2" cm="1">
        <f t="array" ref="AX251">VLOOKUP($A251,Table_ship_components[],COLUMN(AX:AX),0)</f>
        <v>0</v>
      </c>
      <c r="AY251" s="2" cm="1">
        <f t="array" ref="AY251">VLOOKUP($A251,Table_ship_components[],COLUMN(AY:AY),0)</f>
        <v>0</v>
      </c>
      <c r="AZ251" s="2" t="str" cm="1">
        <f t="array" ref="AZ251">VLOOKUP($A251,Table_ship_components[],COLUMN(AZ:AZ),0)</f>
        <v>C</v>
      </c>
      <c r="BA251" s="14" cm="1">
        <f t="array" ref="BA251">VLOOKUP($A251,Table_ship_components[],COLUMN(BA:BA),0)</f>
        <v>0</v>
      </c>
      <c r="BB251" s="14" cm="1">
        <f t="array" ref="BB251">(VLOOKUP($A251,Table_ship_components[],COLUMN(BA:BA),0)+(W251*C251))</f>
        <v>0</v>
      </c>
      <c r="BC251" s="2" cm="1">
        <f t="array" ref="BC251">VLOOKUP($A251,Table_ship_components[],COLUMN(BC:BC),0)</f>
        <v>0</v>
      </c>
      <c r="BD251" s="2" cm="1">
        <f t="array" ref="BD251">VLOOKUP($A251,Table_ship_components[],COLUMN(BD:BD),0)</f>
        <v>0</v>
      </c>
    </row>
    <row r="252" spans="1:56" outlineLevel="1" x14ac:dyDescent="0.35">
      <c r="A252" t="s">
        <v>288</v>
      </c>
      <c r="B252" t="str" cm="1">
        <f t="array" ref="B252">VLOOKUP($A252,Table_ship_components[],COLUMN(B:B),0)</f>
        <v>PICK A COMPONENT</v>
      </c>
      <c r="D252" cm="1">
        <f t="array" ref="D252">VLOOKUP($A252,Table_ship_components[],COLUMN(D:D),0)</f>
        <v>0</v>
      </c>
      <c r="E252" cm="1">
        <f t="array" ref="E252">ROUND(VLOOKUP($A252,Table_ship_components[],COLUMN(D:D),0)+(V252*C252),0)</f>
        <v>0</v>
      </c>
      <c r="F252" cm="1">
        <f t="array" ref="F252">VLOOKUP($A252,Table_ship_components[],COLUMN(F:F),0)</f>
        <v>0</v>
      </c>
      <c r="G252" cm="1">
        <f t="array" ref="G252">ROUND(VLOOKUP($A252,Table_ship_components[],COLUMN(G:G),0)+(X252*C252),0)</f>
        <v>0</v>
      </c>
      <c r="H252" cm="1">
        <f t="array" ref="H252">VLOOKUP($A252,Table_ship_components[],COLUMN(H:H),0)</f>
        <v>0</v>
      </c>
      <c r="I252" cm="1">
        <f t="array" ref="I252">VLOOKUP($A252,Table_ship_components[],COLUMN(I:I),0)</f>
        <v>0</v>
      </c>
      <c r="J252" cm="1">
        <f t="array" ref="J252">VLOOKUP($A252,Table_ship_components[],COLUMN(J:J),0)</f>
        <v>0</v>
      </c>
      <c r="K252" cm="1">
        <f t="array" ref="K252">VLOOKUP($A252,Table_ship_components[],COLUMN(K:K),0)</f>
        <v>0</v>
      </c>
      <c r="L252" cm="1">
        <f t="array" ref="L252">VLOOKUP($A252,Table_ship_components[],COLUMN(L:L),0)</f>
        <v>0</v>
      </c>
      <c r="M252" cm="1">
        <f t="array" ref="M252">VLOOKUP($A252,Table_ship_components[],COLUMN(M:M),0)</f>
        <v>0</v>
      </c>
      <c r="N252" cm="1">
        <f t="array" ref="N252">VLOOKUP($A252,Table_ship_components[],COLUMN(N:N),0)</f>
        <v>0</v>
      </c>
      <c r="O252" cm="1">
        <f t="array" ref="O252">VLOOKUP($A252,Table_ship_components[],COLUMN(O:O),0)</f>
        <v>0</v>
      </c>
      <c r="P252" cm="1">
        <f t="array" ref="P252">VLOOKUP($A252,Table_ship_components[],COLUMN(P:P),0)</f>
        <v>0</v>
      </c>
      <c r="Q252" cm="1">
        <f t="array" ref="Q252">VLOOKUP($A252,Table_ship_components[],COLUMN(Q:Q),0)</f>
        <v>0</v>
      </c>
      <c r="R252" cm="1">
        <f t="array" ref="R252">VLOOKUP($A252,Table_ship_components[],COLUMN(R:R),0)</f>
        <v>0</v>
      </c>
      <c r="S252" cm="1">
        <f t="array" ref="S252">VLOOKUP($A252,Table_ship_components[],COLUMN(S:S),0)</f>
        <v>0</v>
      </c>
      <c r="T252" cm="1">
        <f t="array" ref="T252">VLOOKUP($A252,Table_ship_components[],COLUMN(T:T),0)</f>
        <v>0</v>
      </c>
      <c r="U252" cm="1">
        <f t="array" ref="U252">VLOOKUP($A252,Table_ship_components[],COLUMN(U:U),0)</f>
        <v>0</v>
      </c>
      <c r="V252" cm="1">
        <f t="array" ref="V252">VLOOKUP($A252,Table_ship_components[],COLUMN(V:V),0)</f>
        <v>0</v>
      </c>
      <c r="W252" s="15" cm="1">
        <f t="array" ref="W252">VLOOKUP($A252,Table_ship_components[],COLUMN(W:W),0)</f>
        <v>0</v>
      </c>
      <c r="X252" cm="1">
        <f t="array" ref="X252">VLOOKUP($A252,Table_ship_components[],COLUMN(X:X),0)</f>
        <v>0</v>
      </c>
      <c r="Y252" cm="1">
        <f t="array" ref="Y252">VLOOKUP($A252,Table_ship_components[],COLUMN(Y:Y),0)</f>
        <v>0</v>
      </c>
      <c r="Z252" cm="1">
        <f t="array" ref="Z252">VLOOKUP($A252,Table_ship_components[],COLUMN(Z:Z),0)</f>
        <v>0</v>
      </c>
      <c r="AA252" cm="1">
        <f t="array" ref="AA252">VLOOKUP($A252,Table_ship_components[],COLUMN(AA:AA),0)</f>
        <v>0</v>
      </c>
      <c r="AB252">
        <f t="shared" si="0"/>
        <v>0</v>
      </c>
      <c r="AC252" cm="1">
        <f t="array" ref="AC252">VLOOKUP($A252,Table_ship_components[],COLUMN(AC:AC),0)</f>
        <v>0</v>
      </c>
      <c r="AD252" cm="1">
        <f t="array" ref="AD252">VLOOKUP($A252,Table_ship_components[],COLUMN(AD:AD),0)</f>
        <v>0</v>
      </c>
      <c r="AE252" cm="1">
        <f t="array" ref="AE252">VLOOKUP($A252,Table_ship_components[],COLUMN(AE:AE),0)</f>
        <v>0</v>
      </c>
      <c r="AF252" cm="1">
        <f t="array" ref="AF252">VLOOKUP($A252,Table_ship_components[],COLUMN(AF:AF),0)</f>
        <v>0</v>
      </c>
      <c r="AG252" cm="1">
        <f t="array" ref="AG252">VLOOKUP($A252,Table_ship_components[],COLUMN(AG:AG),0)</f>
        <v>0</v>
      </c>
      <c r="AH252" cm="1">
        <f t="array" ref="AH252">VLOOKUP($A252,Table_ship_components[],COLUMN(AH:AH),0)</f>
        <v>0</v>
      </c>
      <c r="AI252" cm="1">
        <f t="array" ref="AI252">VLOOKUP($A252,Table_ship_components[],COLUMN(AI:AI),0)</f>
        <v>0</v>
      </c>
      <c r="AJ252" cm="1">
        <f t="array" ref="AJ252">VLOOKUP($A252,Table_ship_components[],COLUMN(AJ:AJ),0)</f>
        <v>0</v>
      </c>
      <c r="AK252" cm="1">
        <f t="array" ref="AK252">VLOOKUP($A252,Table_ship_components[],COLUMN(AK:AK),0)</f>
        <v>0</v>
      </c>
      <c r="AL252" cm="1">
        <f t="array" ref="AL252">VLOOKUP($A252,Table_ship_components[],COLUMN(AL:AL),0)</f>
        <v>0</v>
      </c>
      <c r="AM252" cm="1">
        <f t="array" ref="AM252">VLOOKUP($A252,Table_ship_components[],COLUMN(AM:AM),0)</f>
        <v>0</v>
      </c>
      <c r="AN252" cm="1">
        <f t="array" ref="AN252">VLOOKUP($A252,Table_ship_components[],COLUMN(AN:AN),0)</f>
        <v>0</v>
      </c>
      <c r="AO252" cm="1">
        <f t="array" ref="AO252">VLOOKUP($A252,Table_ship_components[],COLUMN(AO:AO),0)</f>
        <v>0</v>
      </c>
      <c r="AP252" cm="1">
        <f t="array" ref="AP252">VLOOKUP($A252,Table_ship_components[],COLUMN(AP:AP),0)</f>
        <v>0</v>
      </c>
      <c r="AQ252" cm="1">
        <f t="array" ref="AQ252">VLOOKUP($A252,Table_ship_components[],COLUMN(AQ:AQ),0)</f>
        <v>0</v>
      </c>
      <c r="AR252" cm="1">
        <f t="array" ref="AR252">VLOOKUP($A252,Table_ship_components[],COLUMN(AR:AR),0)</f>
        <v>0</v>
      </c>
      <c r="AS252" cm="1">
        <f t="array" ref="AS252">VLOOKUP($A252,Table_ship_components[],COLUMN(AS:AS),0)</f>
        <v>0</v>
      </c>
      <c r="AT252" cm="1">
        <f t="array" ref="AT252">VLOOKUP($A252,Table_ship_components[],COLUMN(AT:AT),0)</f>
        <v>0</v>
      </c>
      <c r="AU252" s="2" cm="1">
        <f t="array" ref="AU252">VLOOKUP($A252,Table_ship_components[],COLUMN(AU:AU),0)</f>
        <v>0</v>
      </c>
      <c r="AV252" s="2" cm="1">
        <f t="array" ref="AV252">VLOOKUP($A252,Table_ship_components[],COLUMN(AV:AV),0)</f>
        <v>0</v>
      </c>
      <c r="AW252" s="2" cm="1">
        <f t="array" ref="AW252">VLOOKUP($A252,Table_ship_components[],COLUMN(AW:AW),0)</f>
        <v>0</v>
      </c>
      <c r="AX252" s="2" cm="1">
        <f t="array" ref="AX252">VLOOKUP($A252,Table_ship_components[],COLUMN(AX:AX),0)</f>
        <v>0</v>
      </c>
      <c r="AY252" s="2" cm="1">
        <f t="array" ref="AY252">VLOOKUP($A252,Table_ship_components[],COLUMN(AY:AY),0)</f>
        <v>0</v>
      </c>
      <c r="AZ252" s="2" t="str" cm="1">
        <f t="array" ref="AZ252">VLOOKUP($A252,Table_ship_components[],COLUMN(AZ:AZ),0)</f>
        <v>C</v>
      </c>
      <c r="BA252" s="14" cm="1">
        <f t="array" ref="BA252">VLOOKUP($A252,Table_ship_components[],COLUMN(BA:BA),0)</f>
        <v>0</v>
      </c>
      <c r="BB252" s="14" cm="1">
        <f t="array" ref="BB252">(VLOOKUP($A252,Table_ship_components[],COLUMN(BA:BA),0)+(W252*C252))</f>
        <v>0</v>
      </c>
      <c r="BC252" s="2" cm="1">
        <f t="array" ref="BC252">VLOOKUP($A252,Table_ship_components[],COLUMN(BC:BC),0)</f>
        <v>0</v>
      </c>
      <c r="BD252" s="2" cm="1">
        <f t="array" ref="BD252">VLOOKUP($A252,Table_ship_components[],COLUMN(BD:BD),0)</f>
        <v>0</v>
      </c>
    </row>
    <row r="253" spans="1:56" outlineLevel="1" x14ac:dyDescent="0.35">
      <c r="A253" t="s">
        <v>288</v>
      </c>
      <c r="B253" t="str" cm="1">
        <f t="array" ref="B253">VLOOKUP($A253,Table_ship_components[],COLUMN(B:B),0)</f>
        <v>PICK A COMPONENT</v>
      </c>
      <c r="D253" cm="1">
        <f t="array" ref="D253">VLOOKUP($A253,Table_ship_components[],COLUMN(D:D),0)</f>
        <v>0</v>
      </c>
      <c r="E253" cm="1">
        <f t="array" ref="E253">ROUND(VLOOKUP($A253,Table_ship_components[],COLUMN(D:D),0)+(V253*C253),0)</f>
        <v>0</v>
      </c>
      <c r="F253" cm="1">
        <f t="array" ref="F253">VLOOKUP($A253,Table_ship_components[],COLUMN(F:F),0)</f>
        <v>0</v>
      </c>
      <c r="G253" cm="1">
        <f t="array" ref="G253">ROUND(VLOOKUP($A253,Table_ship_components[],COLUMN(G:G),0)+(X253*C253),0)</f>
        <v>0</v>
      </c>
      <c r="H253" cm="1">
        <f t="array" ref="H253">VLOOKUP($A253,Table_ship_components[],COLUMN(H:H),0)</f>
        <v>0</v>
      </c>
      <c r="I253" cm="1">
        <f t="array" ref="I253">VLOOKUP($A253,Table_ship_components[],COLUMN(I:I),0)</f>
        <v>0</v>
      </c>
      <c r="J253" cm="1">
        <f t="array" ref="J253">VLOOKUP($A253,Table_ship_components[],COLUMN(J:J),0)</f>
        <v>0</v>
      </c>
      <c r="K253" cm="1">
        <f t="array" ref="K253">VLOOKUP($A253,Table_ship_components[],COLUMN(K:K),0)</f>
        <v>0</v>
      </c>
      <c r="L253" cm="1">
        <f t="array" ref="L253">VLOOKUP($A253,Table_ship_components[],COLUMN(L:L),0)</f>
        <v>0</v>
      </c>
      <c r="M253" cm="1">
        <f t="array" ref="M253">VLOOKUP($A253,Table_ship_components[],COLUMN(M:M),0)</f>
        <v>0</v>
      </c>
      <c r="N253" cm="1">
        <f t="array" ref="N253">VLOOKUP($A253,Table_ship_components[],COLUMN(N:N),0)</f>
        <v>0</v>
      </c>
      <c r="O253" cm="1">
        <f t="array" ref="O253">VLOOKUP($A253,Table_ship_components[],COLUMN(O:O),0)</f>
        <v>0</v>
      </c>
      <c r="P253" cm="1">
        <f t="array" ref="P253">VLOOKUP($A253,Table_ship_components[],COLUMN(P:P),0)</f>
        <v>0</v>
      </c>
      <c r="Q253" cm="1">
        <f t="array" ref="Q253">VLOOKUP($A253,Table_ship_components[],COLUMN(Q:Q),0)</f>
        <v>0</v>
      </c>
      <c r="R253" cm="1">
        <f t="array" ref="R253">VLOOKUP($A253,Table_ship_components[],COLUMN(R:R),0)</f>
        <v>0</v>
      </c>
      <c r="S253" cm="1">
        <f t="array" ref="S253">VLOOKUP($A253,Table_ship_components[],COLUMN(S:S),0)</f>
        <v>0</v>
      </c>
      <c r="T253" cm="1">
        <f t="array" ref="T253">VLOOKUP($A253,Table_ship_components[],COLUMN(T:T),0)</f>
        <v>0</v>
      </c>
      <c r="U253" cm="1">
        <f t="array" ref="U253">VLOOKUP($A253,Table_ship_components[],COLUMN(U:U),0)</f>
        <v>0</v>
      </c>
      <c r="V253" cm="1">
        <f t="array" ref="V253">VLOOKUP($A253,Table_ship_components[],COLUMN(V:V),0)</f>
        <v>0</v>
      </c>
      <c r="W253" s="15" cm="1">
        <f t="array" ref="W253">VLOOKUP($A253,Table_ship_components[],COLUMN(W:W),0)</f>
        <v>0</v>
      </c>
      <c r="X253" cm="1">
        <f t="array" ref="X253">VLOOKUP($A253,Table_ship_components[],COLUMN(X:X),0)</f>
        <v>0</v>
      </c>
      <c r="Y253" cm="1">
        <f t="array" ref="Y253">VLOOKUP($A253,Table_ship_components[],COLUMN(Y:Y),0)</f>
        <v>0</v>
      </c>
      <c r="Z253" cm="1">
        <f t="array" ref="Z253">VLOOKUP($A253,Table_ship_components[],COLUMN(Z:Z),0)</f>
        <v>0</v>
      </c>
      <c r="AA253" cm="1">
        <f t="array" ref="AA253">VLOOKUP($A253,Table_ship_components[],COLUMN(AA:AA),0)</f>
        <v>0</v>
      </c>
      <c r="AB253">
        <f t="shared" si="0"/>
        <v>0</v>
      </c>
      <c r="AC253" cm="1">
        <f t="array" ref="AC253">VLOOKUP($A253,Table_ship_components[],COLUMN(AC:AC),0)</f>
        <v>0</v>
      </c>
      <c r="AD253" cm="1">
        <f t="array" ref="AD253">VLOOKUP($A253,Table_ship_components[],COLUMN(AD:AD),0)</f>
        <v>0</v>
      </c>
      <c r="AE253" cm="1">
        <f t="array" ref="AE253">VLOOKUP($A253,Table_ship_components[],COLUMN(AE:AE),0)</f>
        <v>0</v>
      </c>
      <c r="AF253" cm="1">
        <f t="array" ref="AF253">VLOOKUP($A253,Table_ship_components[],COLUMN(AF:AF),0)</f>
        <v>0</v>
      </c>
      <c r="AG253" cm="1">
        <f t="array" ref="AG253">VLOOKUP($A253,Table_ship_components[],COLUMN(AG:AG),0)</f>
        <v>0</v>
      </c>
      <c r="AH253" cm="1">
        <f t="array" ref="AH253">VLOOKUP($A253,Table_ship_components[],COLUMN(AH:AH),0)</f>
        <v>0</v>
      </c>
      <c r="AI253" cm="1">
        <f t="array" ref="AI253">VLOOKUP($A253,Table_ship_components[],COLUMN(AI:AI),0)</f>
        <v>0</v>
      </c>
      <c r="AJ253" cm="1">
        <f t="array" ref="AJ253">VLOOKUP($A253,Table_ship_components[],COLUMN(AJ:AJ),0)</f>
        <v>0</v>
      </c>
      <c r="AK253" cm="1">
        <f t="array" ref="AK253">VLOOKUP($A253,Table_ship_components[],COLUMN(AK:AK),0)</f>
        <v>0</v>
      </c>
      <c r="AL253" cm="1">
        <f t="array" ref="AL253">VLOOKUP($A253,Table_ship_components[],COLUMN(AL:AL),0)</f>
        <v>0</v>
      </c>
      <c r="AM253" cm="1">
        <f t="array" ref="AM253">VLOOKUP($A253,Table_ship_components[],COLUMN(AM:AM),0)</f>
        <v>0</v>
      </c>
      <c r="AN253" cm="1">
        <f t="array" ref="AN253">VLOOKUP($A253,Table_ship_components[],COLUMN(AN:AN),0)</f>
        <v>0</v>
      </c>
      <c r="AO253" cm="1">
        <f t="array" ref="AO253">VLOOKUP($A253,Table_ship_components[],COLUMN(AO:AO),0)</f>
        <v>0</v>
      </c>
      <c r="AP253" cm="1">
        <f t="array" ref="AP253">VLOOKUP($A253,Table_ship_components[],COLUMN(AP:AP),0)</f>
        <v>0</v>
      </c>
      <c r="AQ253" cm="1">
        <f t="array" ref="AQ253">VLOOKUP($A253,Table_ship_components[],COLUMN(AQ:AQ),0)</f>
        <v>0</v>
      </c>
      <c r="AR253" cm="1">
        <f t="array" ref="AR253">VLOOKUP($A253,Table_ship_components[],COLUMN(AR:AR),0)</f>
        <v>0</v>
      </c>
      <c r="AS253" cm="1">
        <f t="array" ref="AS253">VLOOKUP($A253,Table_ship_components[],COLUMN(AS:AS),0)</f>
        <v>0</v>
      </c>
      <c r="AT253" cm="1">
        <f t="array" ref="AT253">VLOOKUP($A253,Table_ship_components[],COLUMN(AT:AT),0)</f>
        <v>0</v>
      </c>
      <c r="AU253" s="2" cm="1">
        <f t="array" ref="AU253">VLOOKUP($A253,Table_ship_components[],COLUMN(AU:AU),0)</f>
        <v>0</v>
      </c>
      <c r="AV253" s="2" cm="1">
        <f t="array" ref="AV253">VLOOKUP($A253,Table_ship_components[],COLUMN(AV:AV),0)</f>
        <v>0</v>
      </c>
      <c r="AW253" s="2" cm="1">
        <f t="array" ref="AW253">VLOOKUP($A253,Table_ship_components[],COLUMN(AW:AW),0)</f>
        <v>0</v>
      </c>
      <c r="AX253" s="2" cm="1">
        <f t="array" ref="AX253">VLOOKUP($A253,Table_ship_components[],COLUMN(AX:AX),0)</f>
        <v>0</v>
      </c>
      <c r="AY253" s="2" cm="1">
        <f t="array" ref="AY253">VLOOKUP($A253,Table_ship_components[],COLUMN(AY:AY),0)</f>
        <v>0</v>
      </c>
      <c r="AZ253" s="2" t="str" cm="1">
        <f t="array" ref="AZ253">VLOOKUP($A253,Table_ship_components[],COLUMN(AZ:AZ),0)</f>
        <v>C</v>
      </c>
      <c r="BA253" s="14" cm="1">
        <f t="array" ref="BA253">VLOOKUP($A253,Table_ship_components[],COLUMN(BA:BA),0)</f>
        <v>0</v>
      </c>
      <c r="BB253" s="14" cm="1">
        <f t="array" ref="BB253">(VLOOKUP($A253,Table_ship_components[],COLUMN(BA:BA),0)+(W253*C253))</f>
        <v>0</v>
      </c>
      <c r="BC253" s="2" cm="1">
        <f t="array" ref="BC253">VLOOKUP($A253,Table_ship_components[],COLUMN(BC:BC),0)</f>
        <v>0</v>
      </c>
      <c r="BD253" s="2" cm="1">
        <f t="array" ref="BD253">VLOOKUP($A253,Table_ship_components[],COLUMN(BD:BD),0)</f>
        <v>0</v>
      </c>
    </row>
    <row r="254" spans="1:56" outlineLevel="1" x14ac:dyDescent="0.35">
      <c r="A254" t="s">
        <v>288</v>
      </c>
      <c r="B254" t="str" cm="1">
        <f t="array" ref="B254">VLOOKUP($A254,Table_ship_components[],COLUMN(B:B),0)</f>
        <v>PICK A COMPONENT</v>
      </c>
      <c r="D254" cm="1">
        <f t="array" ref="D254">VLOOKUP($A254,Table_ship_components[],COLUMN(D:D),0)</f>
        <v>0</v>
      </c>
      <c r="E254" cm="1">
        <f t="array" ref="E254">ROUND(VLOOKUP($A254,Table_ship_components[],COLUMN(D:D),0)+(V254*C254),0)</f>
        <v>0</v>
      </c>
      <c r="F254" cm="1">
        <f t="array" ref="F254">VLOOKUP($A254,Table_ship_components[],COLUMN(F:F),0)</f>
        <v>0</v>
      </c>
      <c r="G254" cm="1">
        <f t="array" ref="G254">ROUND(VLOOKUP($A254,Table_ship_components[],COLUMN(G:G),0)+(X254*C254),0)</f>
        <v>0</v>
      </c>
      <c r="H254" cm="1">
        <f t="array" ref="H254">VLOOKUP($A254,Table_ship_components[],COLUMN(H:H),0)</f>
        <v>0</v>
      </c>
      <c r="I254" cm="1">
        <f t="array" ref="I254">VLOOKUP($A254,Table_ship_components[],COLUMN(I:I),0)</f>
        <v>0</v>
      </c>
      <c r="J254" cm="1">
        <f t="array" ref="J254">VLOOKUP($A254,Table_ship_components[],COLUMN(J:J),0)</f>
        <v>0</v>
      </c>
      <c r="K254" cm="1">
        <f t="array" ref="K254">VLOOKUP($A254,Table_ship_components[],COLUMN(K:K),0)</f>
        <v>0</v>
      </c>
      <c r="L254" cm="1">
        <f t="array" ref="L254">VLOOKUP($A254,Table_ship_components[],COLUMN(L:L),0)</f>
        <v>0</v>
      </c>
      <c r="M254" cm="1">
        <f t="array" ref="M254">VLOOKUP($A254,Table_ship_components[],COLUMN(M:M),0)</f>
        <v>0</v>
      </c>
      <c r="N254" cm="1">
        <f t="array" ref="N254">VLOOKUP($A254,Table_ship_components[],COLUMN(N:N),0)</f>
        <v>0</v>
      </c>
      <c r="O254" cm="1">
        <f t="array" ref="O254">VLOOKUP($A254,Table_ship_components[],COLUMN(O:O),0)</f>
        <v>0</v>
      </c>
      <c r="P254" cm="1">
        <f t="array" ref="P254">VLOOKUP($A254,Table_ship_components[],COLUMN(P:P),0)</f>
        <v>0</v>
      </c>
      <c r="Q254" cm="1">
        <f t="array" ref="Q254">VLOOKUP($A254,Table_ship_components[],COLUMN(Q:Q),0)</f>
        <v>0</v>
      </c>
      <c r="R254" cm="1">
        <f t="array" ref="R254">VLOOKUP($A254,Table_ship_components[],COLUMN(R:R),0)</f>
        <v>0</v>
      </c>
      <c r="S254" cm="1">
        <f t="array" ref="S254">VLOOKUP($A254,Table_ship_components[],COLUMN(S:S),0)</f>
        <v>0</v>
      </c>
      <c r="T254" cm="1">
        <f t="array" ref="T254">VLOOKUP($A254,Table_ship_components[],COLUMN(T:T),0)</f>
        <v>0</v>
      </c>
      <c r="U254" cm="1">
        <f t="array" ref="U254">VLOOKUP($A254,Table_ship_components[],COLUMN(U:U),0)</f>
        <v>0</v>
      </c>
      <c r="V254" cm="1">
        <f t="array" ref="V254">VLOOKUP($A254,Table_ship_components[],COLUMN(V:V),0)</f>
        <v>0</v>
      </c>
      <c r="W254" s="15" cm="1">
        <f t="array" ref="W254">VLOOKUP($A254,Table_ship_components[],COLUMN(W:W),0)</f>
        <v>0</v>
      </c>
      <c r="X254" cm="1">
        <f t="array" ref="X254">VLOOKUP($A254,Table_ship_components[],COLUMN(X:X),0)</f>
        <v>0</v>
      </c>
      <c r="Y254" cm="1">
        <f t="array" ref="Y254">VLOOKUP($A254,Table_ship_components[],COLUMN(Y:Y),0)</f>
        <v>0</v>
      </c>
      <c r="Z254" cm="1">
        <f t="array" ref="Z254">VLOOKUP($A254,Table_ship_components[],COLUMN(Z:Z),0)</f>
        <v>0</v>
      </c>
      <c r="AA254" cm="1">
        <f t="array" ref="AA254">VLOOKUP($A254,Table_ship_components[],COLUMN(AA:AA),0)</f>
        <v>0</v>
      </c>
      <c r="AB254">
        <f t="shared" si="0"/>
        <v>0</v>
      </c>
      <c r="AC254" cm="1">
        <f t="array" ref="AC254">VLOOKUP($A254,Table_ship_components[],COLUMN(AC:AC),0)</f>
        <v>0</v>
      </c>
      <c r="AD254" cm="1">
        <f t="array" ref="AD254">VLOOKUP($A254,Table_ship_components[],COLUMN(AD:AD),0)</f>
        <v>0</v>
      </c>
      <c r="AE254" cm="1">
        <f t="array" ref="AE254">VLOOKUP($A254,Table_ship_components[],COLUMN(AE:AE),0)</f>
        <v>0</v>
      </c>
      <c r="AF254" cm="1">
        <f t="array" ref="AF254">VLOOKUP($A254,Table_ship_components[],COLUMN(AF:AF),0)</f>
        <v>0</v>
      </c>
      <c r="AG254" cm="1">
        <f t="array" ref="AG254">VLOOKUP($A254,Table_ship_components[],COLUMN(AG:AG),0)</f>
        <v>0</v>
      </c>
      <c r="AH254" cm="1">
        <f t="array" ref="AH254">VLOOKUP($A254,Table_ship_components[],COLUMN(AH:AH),0)</f>
        <v>0</v>
      </c>
      <c r="AI254" cm="1">
        <f t="array" ref="AI254">VLOOKUP($A254,Table_ship_components[],COLUMN(AI:AI),0)</f>
        <v>0</v>
      </c>
      <c r="AJ254" cm="1">
        <f t="array" ref="AJ254">VLOOKUP($A254,Table_ship_components[],COLUMN(AJ:AJ),0)</f>
        <v>0</v>
      </c>
      <c r="AK254" cm="1">
        <f t="array" ref="AK254">VLOOKUP($A254,Table_ship_components[],COLUMN(AK:AK),0)</f>
        <v>0</v>
      </c>
      <c r="AL254" cm="1">
        <f t="array" ref="AL254">VLOOKUP($A254,Table_ship_components[],COLUMN(AL:AL),0)</f>
        <v>0</v>
      </c>
      <c r="AM254" cm="1">
        <f t="array" ref="AM254">VLOOKUP($A254,Table_ship_components[],COLUMN(AM:AM),0)</f>
        <v>0</v>
      </c>
      <c r="AN254" cm="1">
        <f t="array" ref="AN254">VLOOKUP($A254,Table_ship_components[],COLUMN(AN:AN),0)</f>
        <v>0</v>
      </c>
      <c r="AO254" cm="1">
        <f t="array" ref="AO254">VLOOKUP($A254,Table_ship_components[],COLUMN(AO:AO),0)</f>
        <v>0</v>
      </c>
      <c r="AP254" cm="1">
        <f t="array" ref="AP254">VLOOKUP($A254,Table_ship_components[],COLUMN(AP:AP),0)</f>
        <v>0</v>
      </c>
      <c r="AQ254" cm="1">
        <f t="array" ref="AQ254">VLOOKUP($A254,Table_ship_components[],COLUMN(AQ:AQ),0)</f>
        <v>0</v>
      </c>
      <c r="AR254" cm="1">
        <f t="array" ref="AR254">VLOOKUP($A254,Table_ship_components[],COLUMN(AR:AR),0)</f>
        <v>0</v>
      </c>
      <c r="AS254" cm="1">
        <f t="array" ref="AS254">VLOOKUP($A254,Table_ship_components[],COLUMN(AS:AS),0)</f>
        <v>0</v>
      </c>
      <c r="AT254" cm="1">
        <f t="array" ref="AT254">VLOOKUP($A254,Table_ship_components[],COLUMN(AT:AT),0)</f>
        <v>0</v>
      </c>
      <c r="AU254" s="2" cm="1">
        <f t="array" ref="AU254">VLOOKUP($A254,Table_ship_components[],COLUMN(AU:AU),0)</f>
        <v>0</v>
      </c>
      <c r="AV254" s="2" cm="1">
        <f t="array" ref="AV254">VLOOKUP($A254,Table_ship_components[],COLUMN(AV:AV),0)</f>
        <v>0</v>
      </c>
      <c r="AW254" s="2" cm="1">
        <f t="array" ref="AW254">VLOOKUP($A254,Table_ship_components[],COLUMN(AW:AW),0)</f>
        <v>0</v>
      </c>
      <c r="AX254" s="2" cm="1">
        <f t="array" ref="AX254">VLOOKUP($A254,Table_ship_components[],COLUMN(AX:AX),0)</f>
        <v>0</v>
      </c>
      <c r="AY254" s="2" cm="1">
        <f t="array" ref="AY254">VLOOKUP($A254,Table_ship_components[],COLUMN(AY:AY),0)</f>
        <v>0</v>
      </c>
      <c r="AZ254" s="2" t="str" cm="1">
        <f t="array" ref="AZ254">VLOOKUP($A254,Table_ship_components[],COLUMN(AZ:AZ),0)</f>
        <v>C</v>
      </c>
      <c r="BA254" s="14" cm="1">
        <f t="array" ref="BA254">VLOOKUP($A254,Table_ship_components[],COLUMN(BA:BA),0)</f>
        <v>0</v>
      </c>
      <c r="BB254" s="14" cm="1">
        <f t="array" ref="BB254">(VLOOKUP($A254,Table_ship_components[],COLUMN(BA:BA),0)+(W254*C254))</f>
        <v>0</v>
      </c>
      <c r="BC254" s="2" cm="1">
        <f t="array" ref="BC254">VLOOKUP($A254,Table_ship_components[],COLUMN(BC:BC),0)</f>
        <v>0</v>
      </c>
      <c r="BD254" s="2" cm="1">
        <f t="array" ref="BD254">VLOOKUP($A254,Table_ship_components[],COLUMN(BD:BD),0)</f>
        <v>0</v>
      </c>
    </row>
    <row r="255" spans="1:56" outlineLevel="1" x14ac:dyDescent="0.35">
      <c r="A255" t="s">
        <v>288</v>
      </c>
      <c r="B255" t="str" cm="1">
        <f t="array" ref="B255">VLOOKUP($A255,Table_ship_components[],COLUMN(B:B),0)</f>
        <v>PICK A COMPONENT</v>
      </c>
      <c r="D255" cm="1">
        <f t="array" ref="D255">VLOOKUP($A255,Table_ship_components[],COLUMN(D:D),0)</f>
        <v>0</v>
      </c>
      <c r="E255" cm="1">
        <f t="array" ref="E255">ROUND(VLOOKUP($A255,Table_ship_components[],COLUMN(D:D),0)+(V255*C255),0)</f>
        <v>0</v>
      </c>
      <c r="F255" cm="1">
        <f t="array" ref="F255">VLOOKUP($A255,Table_ship_components[],COLUMN(F:F),0)</f>
        <v>0</v>
      </c>
      <c r="G255" cm="1">
        <f t="array" ref="G255">ROUND(VLOOKUP($A255,Table_ship_components[],COLUMN(G:G),0)+(X255*C255),0)</f>
        <v>0</v>
      </c>
      <c r="H255" cm="1">
        <f t="array" ref="H255">VLOOKUP($A255,Table_ship_components[],COLUMN(H:H),0)</f>
        <v>0</v>
      </c>
      <c r="I255" cm="1">
        <f t="array" ref="I255">VLOOKUP($A255,Table_ship_components[],COLUMN(I:I),0)</f>
        <v>0</v>
      </c>
      <c r="J255" cm="1">
        <f t="array" ref="J255">VLOOKUP($A255,Table_ship_components[],COLUMN(J:J),0)</f>
        <v>0</v>
      </c>
      <c r="K255" cm="1">
        <f t="array" ref="K255">VLOOKUP($A255,Table_ship_components[],COLUMN(K:K),0)</f>
        <v>0</v>
      </c>
      <c r="L255" cm="1">
        <f t="array" ref="L255">VLOOKUP($A255,Table_ship_components[],COLUMN(L:L),0)</f>
        <v>0</v>
      </c>
      <c r="M255" cm="1">
        <f t="array" ref="M255">VLOOKUP($A255,Table_ship_components[],COLUMN(M:M),0)</f>
        <v>0</v>
      </c>
      <c r="N255" cm="1">
        <f t="array" ref="N255">VLOOKUP($A255,Table_ship_components[],COLUMN(N:N),0)</f>
        <v>0</v>
      </c>
      <c r="O255" cm="1">
        <f t="array" ref="O255">VLOOKUP($A255,Table_ship_components[],COLUMN(O:O),0)</f>
        <v>0</v>
      </c>
      <c r="P255" cm="1">
        <f t="array" ref="P255">VLOOKUP($A255,Table_ship_components[],COLUMN(P:P),0)</f>
        <v>0</v>
      </c>
      <c r="Q255" cm="1">
        <f t="array" ref="Q255">VLOOKUP($A255,Table_ship_components[],COLUMN(Q:Q),0)</f>
        <v>0</v>
      </c>
      <c r="R255" cm="1">
        <f t="array" ref="R255">VLOOKUP($A255,Table_ship_components[],COLUMN(R:R),0)</f>
        <v>0</v>
      </c>
      <c r="S255" cm="1">
        <f t="array" ref="S255">VLOOKUP($A255,Table_ship_components[],COLUMN(S:S),0)</f>
        <v>0</v>
      </c>
      <c r="T255" cm="1">
        <f t="array" ref="T255">VLOOKUP($A255,Table_ship_components[],COLUMN(T:T),0)</f>
        <v>0</v>
      </c>
      <c r="U255" cm="1">
        <f t="array" ref="U255">VLOOKUP($A255,Table_ship_components[],COLUMN(U:U),0)</f>
        <v>0</v>
      </c>
      <c r="V255" cm="1">
        <f t="array" ref="V255">VLOOKUP($A255,Table_ship_components[],COLUMN(V:V),0)</f>
        <v>0</v>
      </c>
      <c r="W255" s="15" cm="1">
        <f t="array" ref="W255">VLOOKUP($A255,Table_ship_components[],COLUMN(W:W),0)</f>
        <v>0</v>
      </c>
      <c r="X255" cm="1">
        <f t="array" ref="X255">VLOOKUP($A255,Table_ship_components[],COLUMN(X:X),0)</f>
        <v>0</v>
      </c>
      <c r="Y255" cm="1">
        <f t="array" ref="Y255">VLOOKUP($A255,Table_ship_components[],COLUMN(Y:Y),0)</f>
        <v>0</v>
      </c>
      <c r="Z255" cm="1">
        <f t="array" ref="Z255">VLOOKUP($A255,Table_ship_components[],COLUMN(Z:Z),0)</f>
        <v>0</v>
      </c>
      <c r="AA255" cm="1">
        <f t="array" ref="AA255">VLOOKUP($A255,Table_ship_components[],COLUMN(AA:AA),0)</f>
        <v>0</v>
      </c>
      <c r="AB255">
        <f t="shared" si="0"/>
        <v>0</v>
      </c>
      <c r="AC255" cm="1">
        <f t="array" ref="AC255">VLOOKUP($A255,Table_ship_components[],COLUMN(AC:AC),0)</f>
        <v>0</v>
      </c>
      <c r="AD255" cm="1">
        <f t="array" ref="AD255">VLOOKUP($A255,Table_ship_components[],COLUMN(AD:AD),0)</f>
        <v>0</v>
      </c>
      <c r="AE255" cm="1">
        <f t="array" ref="AE255">VLOOKUP($A255,Table_ship_components[],COLUMN(AE:AE),0)</f>
        <v>0</v>
      </c>
      <c r="AF255" cm="1">
        <f t="array" ref="AF255">VLOOKUP($A255,Table_ship_components[],COLUMN(AF:AF),0)</f>
        <v>0</v>
      </c>
      <c r="AG255" cm="1">
        <f t="array" ref="AG255">VLOOKUP($A255,Table_ship_components[],COLUMN(AG:AG),0)</f>
        <v>0</v>
      </c>
      <c r="AH255" cm="1">
        <f t="array" ref="AH255">VLOOKUP($A255,Table_ship_components[],COLUMN(AH:AH),0)</f>
        <v>0</v>
      </c>
      <c r="AI255" cm="1">
        <f t="array" ref="AI255">VLOOKUP($A255,Table_ship_components[],COLUMN(AI:AI),0)</f>
        <v>0</v>
      </c>
      <c r="AJ255" cm="1">
        <f t="array" ref="AJ255">VLOOKUP($A255,Table_ship_components[],COLUMN(AJ:AJ),0)</f>
        <v>0</v>
      </c>
      <c r="AK255" cm="1">
        <f t="array" ref="AK255">VLOOKUP($A255,Table_ship_components[],COLUMN(AK:AK),0)</f>
        <v>0</v>
      </c>
      <c r="AL255" cm="1">
        <f t="array" ref="AL255">VLOOKUP($A255,Table_ship_components[],COLUMN(AL:AL),0)</f>
        <v>0</v>
      </c>
      <c r="AM255" cm="1">
        <f t="array" ref="AM255">VLOOKUP($A255,Table_ship_components[],COLUMN(AM:AM),0)</f>
        <v>0</v>
      </c>
      <c r="AN255" cm="1">
        <f t="array" ref="AN255">VLOOKUP($A255,Table_ship_components[],COLUMN(AN:AN),0)</f>
        <v>0</v>
      </c>
      <c r="AO255" cm="1">
        <f t="array" ref="AO255">VLOOKUP($A255,Table_ship_components[],COLUMN(AO:AO),0)</f>
        <v>0</v>
      </c>
      <c r="AP255" cm="1">
        <f t="array" ref="AP255">VLOOKUP($A255,Table_ship_components[],COLUMN(AP:AP),0)</f>
        <v>0</v>
      </c>
      <c r="AQ255" cm="1">
        <f t="array" ref="AQ255">VLOOKUP($A255,Table_ship_components[],COLUMN(AQ:AQ),0)</f>
        <v>0</v>
      </c>
      <c r="AR255" cm="1">
        <f t="array" ref="AR255">VLOOKUP($A255,Table_ship_components[],COLUMN(AR:AR),0)</f>
        <v>0</v>
      </c>
      <c r="AS255" cm="1">
        <f t="array" ref="AS255">VLOOKUP($A255,Table_ship_components[],COLUMN(AS:AS),0)</f>
        <v>0</v>
      </c>
      <c r="AT255" cm="1">
        <f t="array" ref="AT255">VLOOKUP($A255,Table_ship_components[],COLUMN(AT:AT),0)</f>
        <v>0</v>
      </c>
      <c r="AU255" s="2" cm="1">
        <f t="array" ref="AU255">VLOOKUP($A255,Table_ship_components[],COLUMN(AU:AU),0)</f>
        <v>0</v>
      </c>
      <c r="AV255" s="2" cm="1">
        <f t="array" ref="AV255">VLOOKUP($A255,Table_ship_components[],COLUMN(AV:AV),0)</f>
        <v>0</v>
      </c>
      <c r="AW255" s="2" cm="1">
        <f t="array" ref="AW255">VLOOKUP($A255,Table_ship_components[],COLUMN(AW:AW),0)</f>
        <v>0</v>
      </c>
      <c r="AX255" s="2" cm="1">
        <f t="array" ref="AX255">VLOOKUP($A255,Table_ship_components[],COLUMN(AX:AX),0)</f>
        <v>0</v>
      </c>
      <c r="AY255" s="2" cm="1">
        <f t="array" ref="AY255">VLOOKUP($A255,Table_ship_components[],COLUMN(AY:AY),0)</f>
        <v>0</v>
      </c>
      <c r="AZ255" s="2" t="str" cm="1">
        <f t="array" ref="AZ255">VLOOKUP($A255,Table_ship_components[],COLUMN(AZ:AZ),0)</f>
        <v>C</v>
      </c>
      <c r="BA255" s="14" cm="1">
        <f t="array" ref="BA255">VLOOKUP($A255,Table_ship_components[],COLUMN(BA:BA),0)</f>
        <v>0</v>
      </c>
      <c r="BB255" s="14" cm="1">
        <f t="array" ref="BB255">(VLOOKUP($A255,Table_ship_components[],COLUMN(BA:BA),0)+(W255*C255))</f>
        <v>0</v>
      </c>
      <c r="BC255" s="2" cm="1">
        <f t="array" ref="BC255">VLOOKUP($A255,Table_ship_components[],COLUMN(BC:BC),0)</f>
        <v>0</v>
      </c>
      <c r="BD255" s="2" cm="1">
        <f t="array" ref="BD255">VLOOKUP($A255,Table_ship_components[],COLUMN(BD:BD),0)</f>
        <v>0</v>
      </c>
    </row>
    <row r="256" spans="1:56" ht="15" outlineLevel="1" thickBot="1" x14ac:dyDescent="0.4">
      <c r="D256" s="32"/>
      <c r="E256" s="32">
        <f>SUM(E226:E255)</f>
        <v>125</v>
      </c>
      <c r="F256" s="32"/>
      <c r="G256" s="32">
        <f t="shared" ref="G256:L256" si="1">SUM(G226:G255)</f>
        <v>64</v>
      </c>
      <c r="H256" s="32">
        <f t="shared" si="1"/>
        <v>25</v>
      </c>
      <c r="I256" s="32">
        <f t="shared" si="1"/>
        <v>65</v>
      </c>
      <c r="J256" s="32">
        <f t="shared" si="1"/>
        <v>10</v>
      </c>
      <c r="K256" s="32">
        <f t="shared" si="1"/>
        <v>35</v>
      </c>
      <c r="L256" s="32">
        <f t="shared" si="1"/>
        <v>3</v>
      </c>
      <c r="M256" s="32"/>
      <c r="N256" s="32"/>
      <c r="O256" s="32"/>
      <c r="P256" s="32"/>
      <c r="Q256" s="32"/>
      <c r="R256" s="32"/>
      <c r="S256" s="32"/>
      <c r="T256" s="32"/>
      <c r="U256" s="32"/>
      <c r="V256" s="32"/>
      <c r="W256" s="32"/>
      <c r="X256" s="32"/>
      <c r="Y256" s="32">
        <f t="shared" ref="Y256:AU256" si="2">SUM(Y226:Y255)</f>
        <v>1</v>
      </c>
      <c r="Z256" s="32">
        <f t="shared" si="2"/>
        <v>2</v>
      </c>
      <c r="AA256" s="32">
        <f t="shared" si="2"/>
        <v>3</v>
      </c>
      <c r="AB256" s="32">
        <f>SUM(AB226:AB255)</f>
        <v>5</v>
      </c>
      <c r="AC256" s="32">
        <f t="shared" si="2"/>
        <v>5</v>
      </c>
      <c r="AD256" s="32">
        <f t="shared" si="2"/>
        <v>100</v>
      </c>
      <c r="AE256" s="32">
        <f t="shared" si="2"/>
        <v>0</v>
      </c>
      <c r="AF256" s="32">
        <f t="shared" si="2"/>
        <v>0</v>
      </c>
      <c r="AG256" s="32">
        <f t="shared" si="2"/>
        <v>2</v>
      </c>
      <c r="AH256" s="32">
        <f t="shared" si="2"/>
        <v>100</v>
      </c>
      <c r="AI256" s="32">
        <f t="shared" si="2"/>
        <v>1000</v>
      </c>
      <c r="AJ256" s="32">
        <f t="shared" si="2"/>
        <v>10000</v>
      </c>
      <c r="AK256" s="32">
        <f t="shared" si="2"/>
        <v>1</v>
      </c>
      <c r="AL256" s="32">
        <f t="shared" si="2"/>
        <v>3</v>
      </c>
      <c r="AM256" s="32">
        <f t="shared" si="2"/>
        <v>3</v>
      </c>
      <c r="AN256" s="32">
        <f t="shared" si="2"/>
        <v>5</v>
      </c>
      <c r="AO256" s="32">
        <f t="shared" si="2"/>
        <v>3</v>
      </c>
      <c r="AP256" s="32">
        <f t="shared" si="2"/>
        <v>10</v>
      </c>
      <c r="AQ256" s="32">
        <f t="shared" si="2"/>
        <v>1</v>
      </c>
      <c r="AR256" s="32">
        <f t="shared" si="2"/>
        <v>5</v>
      </c>
      <c r="AS256" s="32">
        <f t="shared" si="2"/>
        <v>3</v>
      </c>
      <c r="AT256" s="32">
        <f t="shared" si="2"/>
        <v>1</v>
      </c>
      <c r="AU256" s="32">
        <f t="shared" si="2"/>
        <v>1</v>
      </c>
      <c r="AV256" s="32">
        <f t="shared" ref="AV256" si="3">SUM(AV226:AV255)</f>
        <v>125</v>
      </c>
      <c r="AW256" s="32">
        <f t="shared" ref="AW256" si="4">SUM(AW226:AW255)</f>
        <v>50</v>
      </c>
      <c r="AX256" s="32">
        <f t="shared" ref="AX256" si="5">SUM(AX226:AX255)</f>
        <v>50</v>
      </c>
      <c r="AY256" s="32">
        <f t="shared" ref="AY256" si="6">SUM(AY226:AY255)</f>
        <v>25</v>
      </c>
      <c r="AZ256" s="32"/>
      <c r="BA256" s="33">
        <f t="shared" ref="BA256:BB256" si="7">SUM(BA226:BA255)</f>
        <v>13107500</v>
      </c>
      <c r="BB256" s="33">
        <f t="shared" si="7"/>
        <v>13960000</v>
      </c>
      <c r="BC256" s="32"/>
      <c r="BD256" s="32"/>
    </row>
    <row r="257" spans="1:56" ht="19" outlineLevel="1" thickTop="1" x14ac:dyDescent="0.45">
      <c r="A257" s="35" t="s">
        <v>691</v>
      </c>
      <c r="B257" s="34">
        <f>BB256</f>
        <v>13960000</v>
      </c>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7"/>
      <c r="BB257" s="37"/>
      <c r="BC257" s="36"/>
      <c r="BD257" s="36"/>
    </row>
    <row r="258" spans="1:56" ht="21" x14ac:dyDescent="0.5">
      <c r="A258" s="38" t="s">
        <v>692</v>
      </c>
      <c r="B258" s="38" t="s">
        <v>694</v>
      </c>
    </row>
    <row r="259" spans="1:56" outlineLevel="1" x14ac:dyDescent="0.35">
      <c r="A259" t="s">
        <v>695</v>
      </c>
      <c r="B259" t="str" cm="1">
        <f t="array" ref="B259">VLOOKUP($A259,Table_ship_components[],COLUMN(B:B),0)</f>
        <v>shuttle corvette template</v>
      </c>
      <c r="D259" cm="1">
        <f t="array" ref="D259">VLOOKUP($A259,Table_ship_components[],COLUMN(D:D),0)</f>
        <v>0</v>
      </c>
      <c r="E259" cm="1">
        <f t="array" ref="E259">(VLOOKUP($A259,Table_ship_components[],COLUMN(D:D),0)+(V259*C259))</f>
        <v>0</v>
      </c>
      <c r="F259" cm="1">
        <f t="array" ref="F259">VLOOKUP($A259,Table_ship_components[],COLUMN(F:F),0)</f>
        <v>0</v>
      </c>
      <c r="G259" cm="1">
        <f t="array" ref="G259">(VLOOKUP($A259,Table_ship_components[],COLUMN(G:G),0)+(X259*C259))</f>
        <v>0</v>
      </c>
      <c r="H259" cm="1">
        <f t="array" ref="H259">VLOOKUP($A259,Table_ship_components[],COLUMN(H:H),0)</f>
        <v>0</v>
      </c>
      <c r="I259" cm="1">
        <f t="array" ref="I259">VLOOKUP($A259,Table_ship_components[],COLUMN(I:I),0)</f>
        <v>0</v>
      </c>
      <c r="J259" cm="1">
        <f t="array" ref="J259">VLOOKUP($A259,Table_ship_components[],COLUMN(J:J),0)</f>
        <v>0</v>
      </c>
      <c r="K259" cm="1">
        <f t="array" ref="K259">VLOOKUP($A259,Table_ship_components[],COLUMN(K:K),0)</f>
        <v>0</v>
      </c>
      <c r="L259" cm="1">
        <f t="array" ref="L259">VLOOKUP($A259,Table_ship_components[],COLUMN(L:L),0)</f>
        <v>0</v>
      </c>
      <c r="M259" cm="1">
        <f t="array" ref="M259">VLOOKUP($A259,Table_ship_components[],COLUMN(M:M),0)</f>
        <v>0</v>
      </c>
      <c r="N259" cm="1">
        <f t="array" ref="N259">VLOOKUP($A259,Table_ship_components[],COLUMN(N:N),0)</f>
        <v>0</v>
      </c>
      <c r="O259" cm="1">
        <f t="array" ref="O259">VLOOKUP($A259,Table_ship_components[],COLUMN(O:O),0)</f>
        <v>0</v>
      </c>
      <c r="P259" cm="1">
        <f t="array" ref="P259">VLOOKUP($A259,Table_ship_components[],COLUMN(P:P),0)</f>
        <v>0</v>
      </c>
      <c r="Q259" cm="1">
        <f t="array" ref="Q259">VLOOKUP($A259,Table_ship_components[],COLUMN(Q:Q),0)</f>
        <v>0</v>
      </c>
      <c r="R259" cm="1">
        <f t="array" ref="R259">VLOOKUP($A259,Table_ship_components[],COLUMN(R:R),0)</f>
        <v>0</v>
      </c>
      <c r="S259" cm="1">
        <f t="array" ref="S259">VLOOKUP($A259,Table_ship_components[],COLUMN(S:S),0)</f>
        <v>0</v>
      </c>
      <c r="T259" cm="1">
        <f t="array" ref="T259">VLOOKUP($A259,Table_ship_components[],COLUMN(T:T),0)</f>
        <v>0</v>
      </c>
      <c r="U259" cm="1">
        <f t="array" ref="U259">VLOOKUP($A259,Table_ship_components[],COLUMN(U:U),0)</f>
        <v>0</v>
      </c>
      <c r="V259" cm="1">
        <f t="array" ref="V259">VLOOKUP($A259,Table_ship_components[],COLUMN(V:V),0)</f>
        <v>0</v>
      </c>
      <c r="W259" s="15" cm="1">
        <f t="array" ref="W259">VLOOKUP($A259,Table_ship_components[],COLUMN(W:W),0)</f>
        <v>0</v>
      </c>
      <c r="X259" cm="1">
        <f t="array" ref="X259">VLOOKUP($A259,Table_ship_components[],COLUMN(X:X),0)</f>
        <v>0</v>
      </c>
      <c r="Y259" cm="1">
        <f t="array" ref="Y259">VLOOKUP($A259,Table_ship_components[],COLUMN(Y:Y),0)</f>
        <v>0</v>
      </c>
      <c r="Z259" cm="1">
        <f t="array" ref="Z259">VLOOKUP($A259,Table_ship_components[],COLUMN(Z:Z),0)</f>
        <v>0</v>
      </c>
      <c r="AA259" cm="1">
        <f t="array" ref="AA259">VLOOKUP($A259,Table_ship_components[],COLUMN(AA:AA),0)</f>
        <v>0</v>
      </c>
      <c r="AB259" cm="1">
        <f t="array" ref="AB259">VLOOKUP($A259,Table_ship_components[],COLUMN(AB:AB),0)</f>
        <v>0</v>
      </c>
      <c r="AC259" cm="1">
        <f t="array" ref="AC259">VLOOKUP($A259,Table_ship_components[],COLUMN(AC:AC),0)</f>
        <v>0</v>
      </c>
      <c r="AD259" cm="1">
        <f t="array" ref="AD259">VLOOKUP($A259,Table_ship_components[],COLUMN(AD:AD),0)</f>
        <v>0</v>
      </c>
      <c r="AE259" cm="1">
        <f t="array" ref="AE259">VLOOKUP($A259,Table_ship_components[],COLUMN(AE:AE),0)</f>
        <v>0</v>
      </c>
      <c r="AF259" cm="1">
        <f t="array" ref="AF259">VLOOKUP($A259,Table_ship_components[],COLUMN(AF:AF),0)</f>
        <v>0</v>
      </c>
      <c r="AG259" cm="1">
        <f t="array" ref="AG259">VLOOKUP($A259,Table_ship_components[],COLUMN(AG:AG),0)</f>
        <v>0</v>
      </c>
      <c r="AH259" cm="1">
        <f t="array" ref="AH259">VLOOKUP($A259,Table_ship_components[],COLUMN(AH:AH),0)</f>
        <v>0</v>
      </c>
      <c r="AI259" cm="1">
        <f t="array" ref="AI259">VLOOKUP($A259,Table_ship_components[],COLUMN(AI:AI),0)</f>
        <v>0</v>
      </c>
      <c r="AJ259" cm="1">
        <f t="array" ref="AJ259">VLOOKUP($A259,Table_ship_components[],COLUMN(AJ:AJ),0)</f>
        <v>0</v>
      </c>
      <c r="AK259" cm="1">
        <f t="array" ref="AK259">VLOOKUP($A259,Table_ship_components[],COLUMN(AK:AK),0)</f>
        <v>0</v>
      </c>
      <c r="AL259" cm="1">
        <f t="array" ref="AL259">VLOOKUP($A259,Table_ship_components[],COLUMN(AL:AL),0)</f>
        <v>0</v>
      </c>
      <c r="AM259" cm="1">
        <f t="array" ref="AM259">VLOOKUP($A259,Table_ship_components[],COLUMN(AM:AM),0)</f>
        <v>3</v>
      </c>
      <c r="AN259" cm="1">
        <f t="array" ref="AN259">VLOOKUP($A259,Table_ship_components[],COLUMN(AN:AN),0)</f>
        <v>10</v>
      </c>
      <c r="AO259" cm="1">
        <f t="array" ref="AO259">VLOOKUP($A259,Table_ship_components[],COLUMN(AO:AO),0)</f>
        <v>3</v>
      </c>
      <c r="AP259" cm="1">
        <f t="array" ref="AP259">VLOOKUP($A259,Table_ship_components[],COLUMN(AP:AP),0)</f>
        <v>10</v>
      </c>
      <c r="AQ259" cm="1">
        <f t="array" ref="AQ259">VLOOKUP($A259,Table_ship_components[],COLUMN(AQ:AQ),0)</f>
        <v>2</v>
      </c>
      <c r="AR259" cm="1">
        <f t="array" ref="AR259">VLOOKUP($A259,Table_ship_components[],COLUMN(AR:AR),0)</f>
        <v>2</v>
      </c>
      <c r="AS259" cm="1">
        <f t="array" ref="AS259">VLOOKUP($A259,Table_ship_components[],COLUMN(AS:AS),0)</f>
        <v>2</v>
      </c>
      <c r="AT259" cm="1">
        <f t="array" ref="AT259">VLOOKUP($A259,Table_ship_components[],COLUMN(AT:AT),0)</f>
        <v>2</v>
      </c>
      <c r="AU259" s="2" cm="1">
        <f t="array" ref="AU259">VLOOKUP($A259,Table_ship_components[],COLUMN(AU:AU),0)</f>
        <v>2</v>
      </c>
      <c r="AV259" s="2" cm="1">
        <f t="array" ref="AV259">VLOOKUP($A259,Table_ship_components[],COLUMN(AV:AV),0)</f>
        <v>125</v>
      </c>
      <c r="AW259" s="2" cm="1">
        <f t="array" ref="AW259">VLOOKUP($A259,Table_ship_components[],COLUMN(AW:AW),0)</f>
        <v>20</v>
      </c>
      <c r="AX259" s="2" cm="1">
        <f t="array" ref="AX259">VLOOKUP($A259,Table_ship_components[],COLUMN(AX:AX),0)</f>
        <v>85</v>
      </c>
      <c r="AY259" s="2" cm="1">
        <f t="array" ref="AY259">VLOOKUP($A259,Table_ship_components[],COLUMN(AY:AY),0)</f>
        <v>20</v>
      </c>
      <c r="AZ259" s="2" t="str" cm="1">
        <f t="array" ref="AZ259">VLOOKUP($A259,Table_ship_components[],COLUMN(AZ:AZ),0)</f>
        <v>C</v>
      </c>
      <c r="BA259" s="14" cm="1">
        <f t="array" ref="BA259">VLOOKUP($A259,Table_ship_components[],COLUMN(BA:BA),0)</f>
        <v>1435000</v>
      </c>
      <c r="BB259" s="14" cm="1">
        <f t="array" ref="BB259">(VLOOKUP($A259,Table_ship_components[],COLUMN(BA:BA),0)+(W259*C259))</f>
        <v>1435000</v>
      </c>
      <c r="BC259" s="2" cm="1">
        <f t="array" ref="BC259">VLOOKUP($A259,Table_ship_components[],COLUMN(BC:BC),0)</f>
        <v>0</v>
      </c>
      <c r="BD259" s="2" cm="1">
        <f t="array" ref="BD259">VLOOKUP($A259,Table_ship_components[],COLUMN(BD:BD),0)</f>
        <v>0</v>
      </c>
    </row>
    <row r="260" spans="1:56" outlineLevel="1" x14ac:dyDescent="0.35"/>
    <row r="261" spans="1:56" outlineLevel="1" x14ac:dyDescent="0.35">
      <c r="A261" s="40" t="str">
        <f>CONCATENATE("LIFE SUPPORT VALID : ",IF((SUM(Z287:AA287)&lt;=AC287),"YES","NO"))</f>
        <v>LIFE SUPPORT VALID : YES</v>
      </c>
      <c r="B261" s="39" t="str">
        <f>CONCATENATE("TOTAL SIZE ",(SUM(E263:E286))," TOTAL POWER ",(SUM(G263:G286))," / ",(SUM(I263:I286)))</f>
        <v>TOTAL SIZE 119 TOTAL POWER 69 / 75</v>
      </c>
    </row>
    <row r="262" spans="1:56" outlineLevel="1" x14ac:dyDescent="0.35">
      <c r="A262" s="18" t="s">
        <v>423</v>
      </c>
      <c r="B262" s="19" t="str">
        <f>CONCATENATE("SIZE ",(SUM(E263:E265)),"/", AW259,"  POWER ",(SUM(G263:G265)),)</f>
        <v>SIZE 18/20  POWER 4</v>
      </c>
      <c r="C262" s="31" t="s">
        <v>521</v>
      </c>
    </row>
    <row r="263" spans="1:56" outlineLevel="1" x14ac:dyDescent="0.35">
      <c r="A263" t="s">
        <v>370</v>
      </c>
      <c r="B263" t="str" cm="1">
        <f t="array" ref="B263">VLOOKUP($A263,Table_ship_components[],COLUMN(B:B),0)</f>
        <v>avg corvette power plant</v>
      </c>
      <c r="D263" cm="1">
        <f t="array" ref="D263">VLOOKUP($A263,Table_ship_components[],COLUMN(D:D),0)</f>
        <v>14</v>
      </c>
      <c r="E263" cm="1">
        <f t="array" ref="E263">ROUND(VLOOKUP($A263,Table_ship_components[],COLUMN(D:D),0)+(V263*C263),0)</f>
        <v>14</v>
      </c>
      <c r="F263" cm="1">
        <f t="array" ref="F263">VLOOKUP($A263,Table_ship_components[],COLUMN(F:F),0)</f>
        <v>0</v>
      </c>
      <c r="G263" cm="1">
        <f t="array" ref="G263">ROUND(VLOOKUP($A263,Table_ship_components[],COLUMN(G:G),0)+(X263*C263),0)</f>
        <v>0</v>
      </c>
      <c r="H263" cm="1">
        <f t="array" ref="H263">VLOOKUP($A263,Table_ship_components[],COLUMN(H:H),0)</f>
        <v>0</v>
      </c>
      <c r="I263" cm="1">
        <f t="array" ref="I263">VLOOKUP($A263,Table_ship_components[],COLUMN(I:I),0)</f>
        <v>75</v>
      </c>
      <c r="J263" cm="1">
        <f t="array" ref="J263">VLOOKUP($A263,Table_ship_components[],COLUMN(J:J),0)</f>
        <v>0</v>
      </c>
      <c r="K263" cm="1">
        <f t="array" ref="K263">VLOOKUP($A263,Table_ship_components[],COLUMN(K:K),0)</f>
        <v>0</v>
      </c>
      <c r="L263" cm="1">
        <f t="array" ref="L263">VLOOKUP($A263,Table_ship_components[],COLUMN(L:L),0)</f>
        <v>0</v>
      </c>
      <c r="M263" cm="1">
        <f t="array" ref="M263">VLOOKUP($A263,Table_ship_components[],COLUMN(M:M),0)</f>
        <v>0</v>
      </c>
      <c r="N263" cm="1">
        <f t="array" ref="N263">VLOOKUP($A263,Table_ship_components[],COLUMN(N:N),0)</f>
        <v>0</v>
      </c>
      <c r="O263" cm="1">
        <f t="array" ref="O263">VLOOKUP($A263,Table_ship_components[],COLUMN(O:O),0)</f>
        <v>1</v>
      </c>
      <c r="P263" cm="1">
        <f t="array" ref="P263">VLOOKUP($A263,Table_ship_components[],COLUMN(P:P),0)</f>
        <v>1</v>
      </c>
      <c r="Q263" cm="1">
        <f t="array" ref="Q263">VLOOKUP($A263,Table_ship_components[],COLUMN(Q:Q),0)</f>
        <v>1</v>
      </c>
      <c r="R263" cm="1">
        <f t="array" ref="R263">VLOOKUP($A263,Table_ship_components[],COLUMN(R:R),0)</f>
        <v>1</v>
      </c>
      <c r="S263" cm="1">
        <f t="array" ref="S263">VLOOKUP($A263,Table_ship_components[],COLUMN(S:S),0)</f>
        <v>1</v>
      </c>
      <c r="T263" cm="1">
        <f t="array" ref="T263">VLOOKUP($A263,Table_ship_components[],COLUMN(T:T),0)</f>
        <v>1</v>
      </c>
      <c r="U263" cm="1">
        <f t="array" ref="U263">VLOOKUP($A263,Table_ship_components[],COLUMN(U:U),0)</f>
        <v>0</v>
      </c>
      <c r="V263" cm="1">
        <f t="array" ref="V263">VLOOKUP($A263,Table_ship_components[],COLUMN(V:V),0)</f>
        <v>0</v>
      </c>
      <c r="W263" s="15" cm="1">
        <f t="array" ref="W263">VLOOKUP($A263,Table_ship_components[],COLUMN(W:W),0)</f>
        <v>0</v>
      </c>
      <c r="X263" cm="1">
        <f t="array" ref="X263">VLOOKUP($A263,Table_ship_components[],COLUMN(X:X),0)</f>
        <v>0</v>
      </c>
      <c r="Y263" cm="1">
        <f t="array" ref="Y263">VLOOKUP($A263,Table_ship_components[],COLUMN(Y:Y),0)</f>
        <v>0</v>
      </c>
      <c r="Z263" cm="1">
        <f t="array" ref="Z263">VLOOKUP($A263,Table_ship_components[],COLUMN(Z:Z),0)</f>
        <v>0</v>
      </c>
      <c r="AA263" cm="1">
        <f t="array" ref="AA263">VLOOKUP($A263,Table_ship_components[],COLUMN(AA:AA),0)*C263</f>
        <v>0</v>
      </c>
      <c r="AB263">
        <f>IF(A263="CARGOSPACE_0-ALL_0-UNIVERSAL",C263,0)</f>
        <v>0</v>
      </c>
      <c r="AC263" cm="1">
        <f t="array" ref="AC263">VLOOKUP($A263,Table_ship_components[],COLUMN(AC:AC),0)*C263</f>
        <v>0</v>
      </c>
      <c r="AD263" cm="1">
        <f t="array" ref="AD263">VLOOKUP($A263,Table_ship_components[],COLUMN(AD:AD),0)</f>
        <v>0</v>
      </c>
      <c r="AE263" cm="1">
        <f t="array" ref="AE263">VLOOKUP($A263,Table_ship_components[],COLUMN(AE:AE),0)</f>
        <v>0</v>
      </c>
      <c r="AF263" cm="1">
        <f t="array" ref="AF263">VLOOKUP($A263,Table_ship_components[],COLUMN(AF:AF),0)</f>
        <v>0</v>
      </c>
      <c r="AG263" cm="1">
        <f t="array" ref="AG263">VLOOKUP($A263,Table_ship_components[],COLUMN(AG:AG),0)</f>
        <v>0</v>
      </c>
      <c r="AH263" cm="1">
        <f t="array" ref="AH263">VLOOKUP($A263,Table_ship_components[],COLUMN(AH:AH),0)</f>
        <v>0</v>
      </c>
      <c r="AI263" cm="1">
        <f t="array" ref="AI263">VLOOKUP($A263,Table_ship_components[],COLUMN(AI:AI),0)</f>
        <v>0</v>
      </c>
      <c r="AJ263" cm="1">
        <f t="array" ref="AJ263">VLOOKUP($A263,Table_ship_components[],COLUMN(AJ:AJ),0)</f>
        <v>0</v>
      </c>
      <c r="AK263" cm="1">
        <f t="array" ref="AK263">VLOOKUP($A263,Table_ship_components[],COLUMN(AK:AK),0)</f>
        <v>0</v>
      </c>
      <c r="AL263" cm="1">
        <f t="array" ref="AL263">VLOOKUP($A263,Table_ship_components[],COLUMN(AL:AL),0)</f>
        <v>0</v>
      </c>
      <c r="AM263" cm="1">
        <f t="array" ref="AM263">VLOOKUP($A263,Table_ship_components[],COLUMN(AM:AM),0)</f>
        <v>0</v>
      </c>
      <c r="AN263" cm="1">
        <f t="array" ref="AN263">VLOOKUP($A263,Table_ship_components[],COLUMN(AN:AN),0)</f>
        <v>0</v>
      </c>
      <c r="AO263" cm="1">
        <f t="array" ref="AO263">VLOOKUP($A263,Table_ship_components[],COLUMN(AO:AO),0)</f>
        <v>0</v>
      </c>
      <c r="AP263" cm="1">
        <f t="array" ref="AP263">VLOOKUP($A263,Table_ship_components[],COLUMN(AP:AP),0)</f>
        <v>0</v>
      </c>
      <c r="AQ263" cm="1">
        <f t="array" ref="AQ263">VLOOKUP($A263,Table_ship_components[],COLUMN(AQ:AQ),0)</f>
        <v>0</v>
      </c>
      <c r="AR263" cm="1">
        <f t="array" ref="AR263">VLOOKUP($A263,Table_ship_components[],COLUMN(AR:AR),0)</f>
        <v>0</v>
      </c>
      <c r="AS263" cm="1">
        <f t="array" ref="AS263">VLOOKUP($A263,Table_ship_components[],COLUMN(AS:AS),0)</f>
        <v>0</v>
      </c>
      <c r="AT263" cm="1">
        <f t="array" ref="AT263">VLOOKUP($A263,Table_ship_components[],COLUMN(AT:AT),0)</f>
        <v>0</v>
      </c>
      <c r="AU263" s="2" cm="1">
        <f t="array" ref="AU263">VLOOKUP($A263,Table_ship_components[],COLUMN(AU:AU),0)</f>
        <v>0</v>
      </c>
      <c r="AV263" s="2" cm="1">
        <f t="array" ref="AV263">VLOOKUP($A263,Table_ship_components[],COLUMN(AV:AV),0)</f>
        <v>0</v>
      </c>
      <c r="AW263" s="2" cm="1">
        <f t="array" ref="AW263">VLOOKUP($A263,Table_ship_components[],COLUMN(AW:AW),0)</f>
        <v>0</v>
      </c>
      <c r="AX263" s="2" cm="1">
        <f t="array" ref="AX263">VLOOKUP($A263,Table_ship_components[],COLUMN(AX:AX),0)</f>
        <v>0</v>
      </c>
      <c r="AY263" s="2" cm="1">
        <f t="array" ref="AY263">VLOOKUP($A263,Table_ship_components[],COLUMN(AY:AY),0)</f>
        <v>0</v>
      </c>
      <c r="AZ263" s="2" t="str" cm="1">
        <f t="array" ref="AZ263">VLOOKUP($A263,Table_ship_components[],COLUMN(AZ:AZ),0)</f>
        <v>C</v>
      </c>
      <c r="BA263" s="14" cm="1">
        <f t="array" ref="BA263">VLOOKUP($A263,Table_ship_components[],COLUMN(BA:BA),0)</f>
        <v>500000</v>
      </c>
      <c r="BB263" s="14" cm="1">
        <f t="array" ref="BB263">(VLOOKUP($A263,Table_ship_components[],COLUMN(BA:BA),0)+(W263*C263))</f>
        <v>500000</v>
      </c>
      <c r="BC263" s="2" cm="1">
        <f t="array" ref="BC263">VLOOKUP($A263,Table_ship_components[],COLUMN(BC:BC),0)</f>
        <v>0</v>
      </c>
      <c r="BD263" s="2" cm="1">
        <f t="array" ref="BD263">VLOOKUP($A263,Table_ship_components[],COLUMN(BD:BD),0)</f>
        <v>0</v>
      </c>
    </row>
    <row r="264" spans="1:56" outlineLevel="1" x14ac:dyDescent="0.35">
      <c r="A264" t="s">
        <v>345</v>
      </c>
      <c r="B264" t="str" cm="1">
        <f t="array" ref="B264">VLOOKUP($A264,Table_ship_components[],COLUMN(B:B),0)</f>
        <v>barebones command bridge</v>
      </c>
      <c r="D264" cm="1">
        <f t="array" ref="D264">VLOOKUP($A264,Table_ship_components[],COLUMN(D:D),0)</f>
        <v>4</v>
      </c>
      <c r="E264" cm="1">
        <f t="array" ref="E264">ROUND(VLOOKUP($A264,Table_ship_components[],COLUMN(D:D),0)+(V264*C264),0)</f>
        <v>4</v>
      </c>
      <c r="F264" cm="1">
        <f t="array" ref="F264">VLOOKUP($A264,Table_ship_components[],COLUMN(F:F),0)</f>
        <v>4</v>
      </c>
      <c r="G264" cm="1">
        <f t="array" ref="G264">ROUND(VLOOKUP($A264,Table_ship_components[],COLUMN(G:G),0)+(X264*C264),0)</f>
        <v>4</v>
      </c>
      <c r="H264" cm="1">
        <f t="array" ref="H264">VLOOKUP($A264,Table_ship_components[],COLUMN(H:H),0)</f>
        <v>0</v>
      </c>
      <c r="I264" cm="1">
        <f t="array" ref="I264">VLOOKUP($A264,Table_ship_components[],COLUMN(I:I),0)</f>
        <v>0</v>
      </c>
      <c r="J264" cm="1">
        <f t="array" ref="J264">VLOOKUP($A264,Table_ship_components[],COLUMN(J:J),0)</f>
        <v>0</v>
      </c>
      <c r="K264" cm="1">
        <f t="array" ref="K264">VLOOKUP($A264,Table_ship_components[],COLUMN(K:K),0)</f>
        <v>0</v>
      </c>
      <c r="L264" cm="1">
        <f t="array" ref="L264">VLOOKUP($A264,Table_ship_components[],COLUMN(L:L),0)</f>
        <v>0</v>
      </c>
      <c r="M264" cm="1">
        <f t="array" ref="M264">VLOOKUP($A264,Table_ship_components[],COLUMN(M:M),0)</f>
        <v>0</v>
      </c>
      <c r="N264" cm="1">
        <f t="array" ref="N264">VLOOKUP($A264,Table_ship_components[],COLUMN(N:N),0)</f>
        <v>0</v>
      </c>
      <c r="O264" cm="1">
        <f t="array" ref="O264">VLOOKUP($A264,Table_ship_components[],COLUMN(O:O),0)</f>
        <v>1</v>
      </c>
      <c r="P264" cm="1">
        <f t="array" ref="P264">VLOOKUP($A264,Table_ship_components[],COLUMN(P:P),0)</f>
        <v>0</v>
      </c>
      <c r="Q264" cm="1">
        <f t="array" ref="Q264">VLOOKUP($A264,Table_ship_components[],COLUMN(Q:Q),0)</f>
        <v>0</v>
      </c>
      <c r="R264" cm="1">
        <f t="array" ref="R264">VLOOKUP($A264,Table_ship_components[],COLUMN(R:R),0)</f>
        <v>0</v>
      </c>
      <c r="S264" cm="1">
        <f t="array" ref="S264">VLOOKUP($A264,Table_ship_components[],COLUMN(S:S),0)</f>
        <v>0</v>
      </c>
      <c r="T264" cm="1">
        <f t="array" ref="T264">VLOOKUP($A264,Table_ship_components[],COLUMN(T:T),0)</f>
        <v>0</v>
      </c>
      <c r="U264" cm="1">
        <f t="array" ref="U264">VLOOKUP($A264,Table_ship_components[],COLUMN(U:U),0)</f>
        <v>0</v>
      </c>
      <c r="V264" cm="1">
        <f t="array" ref="V264">VLOOKUP($A264,Table_ship_components[],COLUMN(V:V),0)</f>
        <v>0</v>
      </c>
      <c r="W264" s="15" cm="1">
        <f t="array" ref="W264">VLOOKUP($A264,Table_ship_components[],COLUMN(W:W),0)</f>
        <v>0</v>
      </c>
      <c r="X264" cm="1">
        <f t="array" ref="X264">VLOOKUP($A264,Table_ship_components[],COLUMN(X:X),0)</f>
        <v>0</v>
      </c>
      <c r="Y264" cm="1">
        <f t="array" ref="Y264">VLOOKUP($A264,Table_ship_components[],COLUMN(Y:Y),0)</f>
        <v>0</v>
      </c>
      <c r="Z264" cm="1">
        <f t="array" ref="Z264">VLOOKUP($A264,Table_ship_components[],COLUMN(Z:Z),0)</f>
        <v>0</v>
      </c>
      <c r="AA264" cm="1">
        <f t="array" ref="AA264">VLOOKUP($A264,Table_ship_components[],COLUMN(AA:AA),0)*C264</f>
        <v>0</v>
      </c>
      <c r="AB264">
        <f t="shared" ref="AB264:AB265" si="8">IF(A264="CARGOSPACE_0-ALL_0-UNIVERSAL",C264,0)</f>
        <v>0</v>
      </c>
      <c r="AC264" cm="1">
        <f t="array" ref="AC264">VLOOKUP($A264,Table_ship_components[],COLUMN(AC:AC),0)*C264</f>
        <v>0</v>
      </c>
      <c r="AD264" cm="1">
        <f t="array" ref="AD264">VLOOKUP($A264,Table_ship_components[],COLUMN(AD:AD),0)</f>
        <v>0</v>
      </c>
      <c r="AE264" cm="1">
        <f t="array" ref="AE264">VLOOKUP($A264,Table_ship_components[],COLUMN(AE:AE),0)</f>
        <v>0</v>
      </c>
      <c r="AF264" cm="1">
        <f t="array" ref="AF264">VLOOKUP($A264,Table_ship_components[],COLUMN(AF:AF),0)</f>
        <v>0</v>
      </c>
      <c r="AG264" cm="1">
        <f t="array" ref="AG264">VLOOKUP($A264,Table_ship_components[],COLUMN(AG:AG),0)</f>
        <v>0</v>
      </c>
      <c r="AH264" cm="1">
        <f t="array" ref="AH264">VLOOKUP($A264,Table_ship_components[],COLUMN(AH:AH),0)</f>
        <v>0</v>
      </c>
      <c r="AI264" cm="1">
        <f t="array" ref="AI264">VLOOKUP($A264,Table_ship_components[],COLUMN(AI:AI),0)</f>
        <v>0</v>
      </c>
      <c r="AJ264" cm="1">
        <f t="array" ref="AJ264">VLOOKUP($A264,Table_ship_components[],COLUMN(AJ:AJ),0)</f>
        <v>0</v>
      </c>
      <c r="AK264" cm="1">
        <f t="array" ref="AK264">VLOOKUP($A264,Table_ship_components[],COLUMN(AK:AK),0)</f>
        <v>0</v>
      </c>
      <c r="AL264" cm="1">
        <f t="array" ref="AL264">VLOOKUP($A264,Table_ship_components[],COLUMN(AL:AL),0)</f>
        <v>0</v>
      </c>
      <c r="AM264" cm="1">
        <f t="array" ref="AM264">VLOOKUP($A264,Table_ship_components[],COLUMN(AM:AM),0)</f>
        <v>0</v>
      </c>
      <c r="AN264" cm="1">
        <f t="array" ref="AN264">VLOOKUP($A264,Table_ship_components[],COLUMN(AN:AN),0)</f>
        <v>0</v>
      </c>
      <c r="AO264" cm="1">
        <f t="array" ref="AO264">VLOOKUP($A264,Table_ship_components[],COLUMN(AO:AO),0)</f>
        <v>0</v>
      </c>
      <c r="AP264" cm="1">
        <f t="array" ref="AP264">VLOOKUP($A264,Table_ship_components[],COLUMN(AP:AP),0)</f>
        <v>0</v>
      </c>
      <c r="AQ264" cm="1">
        <f t="array" ref="AQ264">VLOOKUP($A264,Table_ship_components[],COLUMN(AQ:AQ),0)</f>
        <v>-1</v>
      </c>
      <c r="AR264" cm="1">
        <f t="array" ref="AR264">VLOOKUP($A264,Table_ship_components[],COLUMN(AR:AR),0)</f>
        <v>0</v>
      </c>
      <c r="AS264" cm="1">
        <f t="array" ref="AS264">VLOOKUP($A264,Table_ship_components[],COLUMN(AS:AS),0)</f>
        <v>0</v>
      </c>
      <c r="AT264" cm="1">
        <f t="array" ref="AT264">VLOOKUP($A264,Table_ship_components[],COLUMN(AT:AT),0)</f>
        <v>0</v>
      </c>
      <c r="AU264" s="2" cm="1">
        <f t="array" ref="AU264">VLOOKUP($A264,Table_ship_components[],COLUMN(AU:AU),0)</f>
        <v>0</v>
      </c>
      <c r="AV264" s="2" cm="1">
        <f t="array" ref="AV264">VLOOKUP($A264,Table_ship_components[],COLUMN(AV:AV),0)</f>
        <v>0</v>
      </c>
      <c r="AW264" s="2" cm="1">
        <f t="array" ref="AW264">VLOOKUP($A264,Table_ship_components[],COLUMN(AW:AW),0)</f>
        <v>0</v>
      </c>
      <c r="AX264" s="2" cm="1">
        <f t="array" ref="AX264">VLOOKUP($A264,Table_ship_components[],COLUMN(AX:AX),0)</f>
        <v>0</v>
      </c>
      <c r="AY264" s="2" cm="1">
        <f t="array" ref="AY264">VLOOKUP($A264,Table_ship_components[],COLUMN(AY:AY),0)</f>
        <v>0</v>
      </c>
      <c r="AZ264" s="2" t="str" cm="1">
        <f t="array" ref="AZ264">VLOOKUP($A264,Table_ship_components[],COLUMN(AZ:AZ),0)</f>
        <v>C</v>
      </c>
      <c r="BA264" s="14" cm="1">
        <f t="array" ref="BA264">VLOOKUP($A264,Table_ship_components[],COLUMN(BA:BA),0)</f>
        <v>125000</v>
      </c>
      <c r="BB264" s="14" cm="1">
        <f t="array" ref="BB264">(VLOOKUP($A264,Table_ship_components[],COLUMN(BA:BA),0)+(W264*C264))</f>
        <v>125000</v>
      </c>
      <c r="BC264" s="2" cm="1">
        <f t="array" ref="BC264">VLOOKUP($A264,Table_ship_components[],COLUMN(BC:BC),0)</f>
        <v>0</v>
      </c>
      <c r="BD264" s="2" cm="1">
        <f t="array" ref="BD264">VLOOKUP($A264,Table_ship_components[],COLUMN(BD:BD),0)</f>
        <v>0</v>
      </c>
    </row>
    <row r="265" spans="1:56" outlineLevel="1" x14ac:dyDescent="0.35">
      <c r="A265" t="s">
        <v>288</v>
      </c>
      <c r="B265" t="str" cm="1">
        <f t="array" ref="B265">VLOOKUP($A265,Table_ship_components[],COLUMN(B:B),0)</f>
        <v>PICK A COMPONENT</v>
      </c>
      <c r="D265" cm="1">
        <f t="array" ref="D265">VLOOKUP($A265,Table_ship_components[],COLUMN(D:D),0)</f>
        <v>0</v>
      </c>
      <c r="E265" cm="1">
        <f t="array" ref="E265">ROUND(VLOOKUP($A265,Table_ship_components[],COLUMN(D:D),0)+(V265*C265),0)</f>
        <v>0</v>
      </c>
      <c r="F265" cm="1">
        <f t="array" ref="F265">VLOOKUP($A265,Table_ship_components[],COLUMN(F:F),0)</f>
        <v>0</v>
      </c>
      <c r="G265" cm="1">
        <f t="array" ref="G265">ROUND(VLOOKUP($A265,Table_ship_components[],COLUMN(G:G),0)+(X265*C265),0)</f>
        <v>0</v>
      </c>
      <c r="H265" cm="1">
        <f t="array" ref="H265">VLOOKUP($A265,Table_ship_components[],COLUMN(H:H),0)</f>
        <v>0</v>
      </c>
      <c r="I265" cm="1">
        <f t="array" ref="I265">VLOOKUP($A265,Table_ship_components[],COLUMN(I:I),0)</f>
        <v>0</v>
      </c>
      <c r="J265" cm="1">
        <f t="array" ref="J265">VLOOKUP($A265,Table_ship_components[],COLUMN(J:J),0)</f>
        <v>0</v>
      </c>
      <c r="K265" cm="1">
        <f t="array" ref="K265">VLOOKUP($A265,Table_ship_components[],COLUMN(K:K),0)</f>
        <v>0</v>
      </c>
      <c r="L265" cm="1">
        <f t="array" ref="L265">VLOOKUP($A265,Table_ship_components[],COLUMN(L:L),0)</f>
        <v>0</v>
      </c>
      <c r="M265" cm="1">
        <f t="array" ref="M265">VLOOKUP($A265,Table_ship_components[],COLUMN(M:M),0)</f>
        <v>0</v>
      </c>
      <c r="N265" cm="1">
        <f t="array" ref="N265">VLOOKUP($A265,Table_ship_components[],COLUMN(N:N),0)</f>
        <v>0</v>
      </c>
      <c r="O265" cm="1">
        <f t="array" ref="O265">VLOOKUP($A265,Table_ship_components[],COLUMN(O:O),0)</f>
        <v>0</v>
      </c>
      <c r="P265" cm="1">
        <f t="array" ref="P265">VLOOKUP($A265,Table_ship_components[],COLUMN(P:P),0)</f>
        <v>0</v>
      </c>
      <c r="Q265" cm="1">
        <f t="array" ref="Q265">VLOOKUP($A265,Table_ship_components[],COLUMN(Q:Q),0)</f>
        <v>0</v>
      </c>
      <c r="R265" cm="1">
        <f t="array" ref="R265">VLOOKUP($A265,Table_ship_components[],COLUMN(R:R),0)</f>
        <v>0</v>
      </c>
      <c r="S265" cm="1">
        <f t="array" ref="S265">VLOOKUP($A265,Table_ship_components[],COLUMN(S:S),0)</f>
        <v>0</v>
      </c>
      <c r="T265" cm="1">
        <f t="array" ref="T265">VLOOKUP($A265,Table_ship_components[],COLUMN(T:T),0)</f>
        <v>0</v>
      </c>
      <c r="U265" cm="1">
        <f t="array" ref="U265">VLOOKUP($A265,Table_ship_components[],COLUMN(U:U),0)</f>
        <v>0</v>
      </c>
      <c r="V265" cm="1">
        <f t="array" ref="V265">VLOOKUP($A265,Table_ship_components[],COLUMN(V:V),0)</f>
        <v>0</v>
      </c>
      <c r="W265" s="15" cm="1">
        <f t="array" ref="W265">VLOOKUP($A265,Table_ship_components[],COLUMN(W:W),0)</f>
        <v>0</v>
      </c>
      <c r="X265" cm="1">
        <f t="array" ref="X265">VLOOKUP($A265,Table_ship_components[],COLUMN(X:X),0)</f>
        <v>0</v>
      </c>
      <c r="Y265" cm="1">
        <f t="array" ref="Y265">VLOOKUP($A265,Table_ship_components[],COLUMN(Y:Y),0)</f>
        <v>0</v>
      </c>
      <c r="Z265" cm="1">
        <f t="array" ref="Z265">VLOOKUP($A265,Table_ship_components[],COLUMN(Z:Z),0)</f>
        <v>0</v>
      </c>
      <c r="AA265" cm="1">
        <f t="array" ref="AA265">VLOOKUP($A265,Table_ship_components[],COLUMN(AA:AA),0)*C265</f>
        <v>0</v>
      </c>
      <c r="AB265">
        <f t="shared" si="8"/>
        <v>0</v>
      </c>
      <c r="AC265" cm="1">
        <f t="array" ref="AC265">VLOOKUP($A265,Table_ship_components[],COLUMN(AC:AC),0)*C265</f>
        <v>0</v>
      </c>
      <c r="AD265" cm="1">
        <f t="array" ref="AD265">VLOOKUP($A265,Table_ship_components[],COLUMN(AD:AD),0)</f>
        <v>0</v>
      </c>
      <c r="AE265" cm="1">
        <f t="array" ref="AE265">VLOOKUP($A265,Table_ship_components[],COLUMN(AE:AE),0)</f>
        <v>0</v>
      </c>
      <c r="AF265" cm="1">
        <f t="array" ref="AF265">VLOOKUP($A265,Table_ship_components[],COLUMN(AF:AF),0)</f>
        <v>0</v>
      </c>
      <c r="AG265" cm="1">
        <f t="array" ref="AG265">VLOOKUP($A265,Table_ship_components[],COLUMN(AG:AG),0)</f>
        <v>0</v>
      </c>
      <c r="AH265" cm="1">
        <f t="array" ref="AH265">VLOOKUP($A265,Table_ship_components[],COLUMN(AH:AH),0)</f>
        <v>0</v>
      </c>
      <c r="AI265" cm="1">
        <f t="array" ref="AI265">VLOOKUP($A265,Table_ship_components[],COLUMN(AI:AI),0)</f>
        <v>0</v>
      </c>
      <c r="AJ265" cm="1">
        <f t="array" ref="AJ265">VLOOKUP($A265,Table_ship_components[],COLUMN(AJ:AJ),0)</f>
        <v>0</v>
      </c>
      <c r="AK265" cm="1">
        <f t="array" ref="AK265">VLOOKUP($A265,Table_ship_components[],COLUMN(AK:AK),0)</f>
        <v>0</v>
      </c>
      <c r="AL265" cm="1">
        <f t="array" ref="AL265">VLOOKUP($A265,Table_ship_components[],COLUMN(AL:AL),0)</f>
        <v>0</v>
      </c>
      <c r="AM265" cm="1">
        <f t="array" ref="AM265">VLOOKUP($A265,Table_ship_components[],COLUMN(AM:AM),0)</f>
        <v>0</v>
      </c>
      <c r="AN265" cm="1">
        <f t="array" ref="AN265">VLOOKUP($A265,Table_ship_components[],COLUMN(AN:AN),0)</f>
        <v>0</v>
      </c>
      <c r="AO265" cm="1">
        <f t="array" ref="AO265">VLOOKUP($A265,Table_ship_components[],COLUMN(AO:AO),0)</f>
        <v>0</v>
      </c>
      <c r="AP265" cm="1">
        <f t="array" ref="AP265">VLOOKUP($A265,Table_ship_components[],COLUMN(AP:AP),0)</f>
        <v>0</v>
      </c>
      <c r="AQ265" cm="1">
        <f t="array" ref="AQ265">VLOOKUP($A265,Table_ship_components[],COLUMN(AQ:AQ),0)</f>
        <v>0</v>
      </c>
      <c r="AR265" cm="1">
        <f t="array" ref="AR265">VLOOKUP($A265,Table_ship_components[],COLUMN(AR:AR),0)</f>
        <v>0</v>
      </c>
      <c r="AS265" cm="1">
        <f t="array" ref="AS265">VLOOKUP($A265,Table_ship_components[],COLUMN(AS:AS),0)</f>
        <v>0</v>
      </c>
      <c r="AT265" cm="1">
        <f t="array" ref="AT265">VLOOKUP($A265,Table_ship_components[],COLUMN(AT:AT),0)</f>
        <v>0</v>
      </c>
      <c r="AU265" s="2" cm="1">
        <f t="array" ref="AU265">VLOOKUP($A265,Table_ship_components[],COLUMN(AU:AU),0)</f>
        <v>0</v>
      </c>
      <c r="AV265" s="2" cm="1">
        <f t="array" ref="AV265">VLOOKUP($A265,Table_ship_components[],COLUMN(AV:AV),0)</f>
        <v>0</v>
      </c>
      <c r="AW265" s="2" cm="1">
        <f t="array" ref="AW265">VLOOKUP($A265,Table_ship_components[],COLUMN(AW:AW),0)</f>
        <v>0</v>
      </c>
      <c r="AX265" s="2" cm="1">
        <f t="array" ref="AX265">VLOOKUP($A265,Table_ship_components[],COLUMN(AX:AX),0)</f>
        <v>0</v>
      </c>
      <c r="AY265" s="2" cm="1">
        <f t="array" ref="AY265">VLOOKUP($A265,Table_ship_components[],COLUMN(AY:AY),0)</f>
        <v>0</v>
      </c>
      <c r="AZ265" s="2" t="str" cm="1">
        <f t="array" ref="AZ265">VLOOKUP($A265,Table_ship_components[],COLUMN(AZ:AZ),0)</f>
        <v>C</v>
      </c>
      <c r="BA265" s="14" cm="1">
        <f t="array" ref="BA265">VLOOKUP($A265,Table_ship_components[],COLUMN(BA:BA),0)</f>
        <v>0</v>
      </c>
      <c r="BB265" s="14" cm="1">
        <f t="array" ref="BB265">(VLOOKUP($A265,Table_ship_components[],COLUMN(BA:BA),0)+(W265*C265))</f>
        <v>0</v>
      </c>
      <c r="BC265" s="2" cm="1">
        <f t="array" ref="BC265">VLOOKUP($A265,Table_ship_components[],COLUMN(BC:BC),0)</f>
        <v>0</v>
      </c>
      <c r="BD265" s="2" cm="1">
        <f t="array" ref="BD265">VLOOKUP($A265,Table_ship_components[],COLUMN(BD:BD),0)</f>
        <v>0</v>
      </c>
    </row>
    <row r="266" spans="1:56" outlineLevel="1" x14ac:dyDescent="0.35">
      <c r="A266" s="18" t="s">
        <v>424</v>
      </c>
      <c r="B266" s="19" t="str">
        <f>CONCATENATE("SIZE ",(SUM(E267:E277)),"/",AX259,"  POWER ",(SUM(G267:G277)))</f>
        <v>SIZE 81/85  POWER 65</v>
      </c>
      <c r="AU266" s="2"/>
      <c r="AV266" s="2"/>
      <c r="AW266" s="2"/>
      <c r="AX266" s="2"/>
      <c r="AY266" s="2"/>
      <c r="AZ266" s="2"/>
      <c r="BA266" s="14"/>
      <c r="BB266" s="14"/>
      <c r="BC266" s="2"/>
      <c r="BD266" s="2"/>
    </row>
    <row r="267" spans="1:56" outlineLevel="1" x14ac:dyDescent="0.35">
      <c r="A267" t="s">
        <v>373</v>
      </c>
      <c r="B267" t="str" cm="1">
        <f t="array" ref="B267">VLOOKUP($A267,Table_ship_components[],COLUMN(B:B),0)</f>
        <v>average corvette radar</v>
      </c>
      <c r="D267" cm="1">
        <f t="array" ref="D267">VLOOKUP($A267,Table_ship_components[],COLUMN(D:D),0)</f>
        <v>5</v>
      </c>
      <c r="E267" cm="1">
        <f t="array" ref="E267">ROUND(VLOOKUP($A267,Table_ship_components[],COLUMN(D:D),0)+(V267*C267),0)</f>
        <v>5</v>
      </c>
      <c r="F267" cm="1">
        <f t="array" ref="F267">VLOOKUP($A267,Table_ship_components[],COLUMN(F:F),0)</f>
        <v>6</v>
      </c>
      <c r="G267" cm="1">
        <f t="array" ref="G267">ROUND(VLOOKUP($A267,Table_ship_components[],COLUMN(G:G),0)+(X267*C267),0)</f>
        <v>6</v>
      </c>
      <c r="H267" cm="1">
        <f t="array" ref="H267">VLOOKUP($A267,Table_ship_components[],COLUMN(H:H),0)</f>
        <v>0</v>
      </c>
      <c r="I267" cm="1">
        <f t="array" ref="I267">VLOOKUP($A267,Table_ship_components[],COLUMN(I:I),0)</f>
        <v>0</v>
      </c>
      <c r="J267" cm="1">
        <f t="array" ref="J267">VLOOKUP($A267,Table_ship_components[],COLUMN(J:J),0)</f>
        <v>0</v>
      </c>
      <c r="K267" cm="1">
        <f t="array" ref="K267">VLOOKUP($A267,Table_ship_components[],COLUMN(K:K),0)</f>
        <v>0</v>
      </c>
      <c r="L267" cm="1">
        <f t="array" ref="L267">VLOOKUP($A267,Table_ship_components[],COLUMN(L:L),0)</f>
        <v>0</v>
      </c>
      <c r="M267" cm="1">
        <f t="array" ref="M267">VLOOKUP($A267,Table_ship_components[],COLUMN(M:M),0)</f>
        <v>0</v>
      </c>
      <c r="N267" cm="1">
        <f t="array" ref="N267">VLOOKUP($A267,Table_ship_components[],COLUMN(N:N),0)</f>
        <v>0</v>
      </c>
      <c r="O267" cm="1">
        <f t="array" ref="O267">VLOOKUP($A267,Table_ship_components[],COLUMN(O:O),0)</f>
        <v>1</v>
      </c>
      <c r="P267" cm="1">
        <f t="array" ref="P267">VLOOKUP($A267,Table_ship_components[],COLUMN(P:P),0)</f>
        <v>0</v>
      </c>
      <c r="Q267" cm="1">
        <f t="array" ref="Q267">VLOOKUP($A267,Table_ship_components[],COLUMN(Q:Q),0)</f>
        <v>0</v>
      </c>
      <c r="R267" cm="1">
        <f t="array" ref="R267">VLOOKUP($A267,Table_ship_components[],COLUMN(R:R),0)</f>
        <v>0</v>
      </c>
      <c r="S267" cm="1">
        <f t="array" ref="S267">VLOOKUP($A267,Table_ship_components[],COLUMN(S:S),0)</f>
        <v>0</v>
      </c>
      <c r="T267" cm="1">
        <f t="array" ref="T267">VLOOKUP($A267,Table_ship_components[],COLUMN(T:T),0)</f>
        <v>0</v>
      </c>
      <c r="U267" cm="1">
        <f t="array" ref="U267">VLOOKUP($A267,Table_ship_components[],COLUMN(U:U),0)</f>
        <v>0</v>
      </c>
      <c r="V267" cm="1">
        <f t="array" ref="V267">VLOOKUP($A267,Table_ship_components[],COLUMN(V:V),0)</f>
        <v>0</v>
      </c>
      <c r="W267" s="15" cm="1">
        <f t="array" ref="W267">VLOOKUP($A267,Table_ship_components[],COLUMN(W:W),0)</f>
        <v>0</v>
      </c>
      <c r="X267" cm="1">
        <f t="array" ref="X267">VLOOKUP($A267,Table_ship_components[],COLUMN(X:X),0)</f>
        <v>0</v>
      </c>
      <c r="Y267" cm="1">
        <f t="array" ref="Y267">VLOOKUP($A267,Table_ship_components[],COLUMN(Y:Y),0)</f>
        <v>0</v>
      </c>
      <c r="Z267" cm="1">
        <f t="array" ref="Z267">VLOOKUP($A267,Table_ship_components[],COLUMN(Z:Z),0)</f>
        <v>0</v>
      </c>
      <c r="AA267" cm="1">
        <f t="array" ref="AA267">VLOOKUP($A267,Table_ship_components[],COLUMN(AA:AA),0)*C267</f>
        <v>0</v>
      </c>
      <c r="AB267">
        <f t="shared" ref="AB267:AB277" si="9">IF(A267="CARGOSPACE_0-ALL_0-UNIVERSAL",C267,0)</f>
        <v>0</v>
      </c>
      <c r="AC267" cm="1">
        <f t="array" ref="AC267">VLOOKUP($A267,Table_ship_components[],COLUMN(AC:AC),0)*C267</f>
        <v>0</v>
      </c>
      <c r="AD267" cm="1">
        <f t="array" ref="AD267">VLOOKUP($A267,Table_ship_components[],COLUMN(AD:AD),0)</f>
        <v>0</v>
      </c>
      <c r="AE267" cm="1">
        <f t="array" ref="AE267">VLOOKUP($A267,Table_ship_components[],COLUMN(AE:AE),0)</f>
        <v>0</v>
      </c>
      <c r="AF267" cm="1">
        <f t="array" ref="AF267">VLOOKUP($A267,Table_ship_components[],COLUMN(AF:AF),0)</f>
        <v>0</v>
      </c>
      <c r="AG267" cm="1">
        <f t="array" ref="AG267">VLOOKUP($A267,Table_ship_components[],COLUMN(AG:AG),0)</f>
        <v>0</v>
      </c>
      <c r="AH267" cm="1">
        <f t="array" ref="AH267">VLOOKUP($A267,Table_ship_components[],COLUMN(AH:AH),0)</f>
        <v>100</v>
      </c>
      <c r="AI267" cm="1">
        <f t="array" ref="AI267">VLOOKUP($A267,Table_ship_components[],COLUMN(AI:AI),0)</f>
        <v>1000</v>
      </c>
      <c r="AJ267" cm="1">
        <f t="array" ref="AJ267">VLOOKUP($A267,Table_ship_components[],COLUMN(AJ:AJ),0)</f>
        <v>10000</v>
      </c>
      <c r="AK267" cm="1">
        <f t="array" ref="AK267">VLOOKUP($A267,Table_ship_components[],COLUMN(AK:AK),0)</f>
        <v>0</v>
      </c>
      <c r="AL267" cm="1">
        <f t="array" ref="AL267">VLOOKUP($A267,Table_ship_components[],COLUMN(AL:AL),0)</f>
        <v>0</v>
      </c>
      <c r="AM267" cm="1">
        <f t="array" ref="AM267">VLOOKUP($A267,Table_ship_components[],COLUMN(AM:AM),0)</f>
        <v>0</v>
      </c>
      <c r="AN267" cm="1">
        <f t="array" ref="AN267">VLOOKUP($A267,Table_ship_components[],COLUMN(AN:AN),0)</f>
        <v>0</v>
      </c>
      <c r="AO267" cm="1">
        <f t="array" ref="AO267">VLOOKUP($A267,Table_ship_components[],COLUMN(AO:AO),0)</f>
        <v>0</v>
      </c>
      <c r="AP267" cm="1">
        <f t="array" ref="AP267">VLOOKUP($A267,Table_ship_components[],COLUMN(AP:AP),0)</f>
        <v>0</v>
      </c>
      <c r="AQ267" cm="1">
        <f t="array" ref="AQ267">VLOOKUP($A267,Table_ship_components[],COLUMN(AQ:AQ),0)</f>
        <v>0</v>
      </c>
      <c r="AR267" cm="1">
        <f t="array" ref="AR267">VLOOKUP($A267,Table_ship_components[],COLUMN(AR:AR),0)</f>
        <v>0</v>
      </c>
      <c r="AS267" cm="1">
        <f t="array" ref="AS267">VLOOKUP($A267,Table_ship_components[],COLUMN(AS:AS),0)</f>
        <v>0</v>
      </c>
      <c r="AT267" cm="1">
        <f t="array" ref="AT267">VLOOKUP($A267,Table_ship_components[],COLUMN(AT:AT),0)</f>
        <v>0</v>
      </c>
      <c r="AU267" s="2" cm="1">
        <f t="array" ref="AU267">VLOOKUP($A267,Table_ship_components[],COLUMN(AU:AU),0)</f>
        <v>0</v>
      </c>
      <c r="AV267" s="2" cm="1">
        <f t="array" ref="AV267">VLOOKUP($A267,Table_ship_components[],COLUMN(AV:AV),0)</f>
        <v>0</v>
      </c>
      <c r="AW267" s="2" cm="1">
        <f t="array" ref="AW267">VLOOKUP($A267,Table_ship_components[],COLUMN(AW:AW),0)</f>
        <v>0</v>
      </c>
      <c r="AX267" s="2" cm="1">
        <f t="array" ref="AX267">VLOOKUP($A267,Table_ship_components[],COLUMN(AX:AX),0)</f>
        <v>0</v>
      </c>
      <c r="AY267" s="2" cm="1">
        <f t="array" ref="AY267">VLOOKUP($A267,Table_ship_components[],COLUMN(AY:AY),0)</f>
        <v>0</v>
      </c>
      <c r="AZ267" s="2" t="str" cm="1">
        <f t="array" ref="AZ267">VLOOKUP($A267,Table_ship_components[],COLUMN(AZ:AZ),0)</f>
        <v>C</v>
      </c>
      <c r="BA267" s="14" cm="1">
        <f t="array" ref="BA267">VLOOKUP($A267,Table_ship_components[],COLUMN(BA:BA),0)</f>
        <v>550000</v>
      </c>
      <c r="BB267" s="14" cm="1">
        <f t="array" ref="BB267">(VLOOKUP($A267,Table_ship_components[],COLUMN(BA:BA),0)+(W267*C267))</f>
        <v>550000</v>
      </c>
      <c r="BC267" s="2" cm="1">
        <f t="array" ref="BC267">VLOOKUP($A267,Table_ship_components[],COLUMN(BC:BC),0)</f>
        <v>0</v>
      </c>
      <c r="BD267" s="2" cm="1">
        <f t="array" ref="BD267">VLOOKUP($A267,Table_ship_components[],COLUMN(BD:BD),0)</f>
        <v>0</v>
      </c>
    </row>
    <row r="268" spans="1:56" outlineLevel="1" x14ac:dyDescent="0.35">
      <c r="A268" t="s">
        <v>404</v>
      </c>
      <c r="B268" t="str" cm="1">
        <f t="array" ref="B268">VLOOKUP($A268,Table_ship_components[],COLUMN(B:B),0)</f>
        <v>basic crew quatrters and accomodations</v>
      </c>
      <c r="C268" s="2">
        <v>5</v>
      </c>
      <c r="D268" cm="1">
        <f t="array" ref="D268">VLOOKUP($A268,Table_ship_components[],COLUMN(D:D),0)</f>
        <v>5</v>
      </c>
      <c r="E268" cm="1">
        <f t="array" ref="E268">ROUND(VLOOKUP($A268,Table_ship_components[],COLUMN(D:D),0)+(V268*C268),0)</f>
        <v>20</v>
      </c>
      <c r="F268" cm="1">
        <f t="array" ref="F268">VLOOKUP($A268,Table_ship_components[],COLUMN(F:F),0)</f>
        <v>2</v>
      </c>
      <c r="G268" cm="1">
        <f t="array" ref="G268">ROUND(VLOOKUP($A268,Table_ship_components[],COLUMN(G:G),0)+(X268*C268),0)</f>
        <v>7</v>
      </c>
      <c r="H268" cm="1">
        <f t="array" ref="H268">VLOOKUP($A268,Table_ship_components[],COLUMN(H:H),0)</f>
        <v>0</v>
      </c>
      <c r="I268" cm="1">
        <f t="array" ref="I268">VLOOKUP($A268,Table_ship_components[],COLUMN(I:I),0)</f>
        <v>0</v>
      </c>
      <c r="J268" cm="1">
        <f t="array" ref="J268">VLOOKUP($A268,Table_ship_components[],COLUMN(J:J),0)</f>
        <v>0</v>
      </c>
      <c r="K268" cm="1">
        <f t="array" ref="K268">VLOOKUP($A268,Table_ship_components[],COLUMN(K:K),0)</f>
        <v>0</v>
      </c>
      <c r="L268" cm="1">
        <f t="array" ref="L268">VLOOKUP($A268,Table_ship_components[],COLUMN(L:L),0)</f>
        <v>0</v>
      </c>
      <c r="M268" cm="1">
        <f t="array" ref="M268">VLOOKUP($A268,Table_ship_components[],COLUMN(M:M),0)</f>
        <v>0</v>
      </c>
      <c r="N268" cm="1">
        <f t="array" ref="N268">VLOOKUP($A268,Table_ship_components[],COLUMN(N:N),0)</f>
        <v>0</v>
      </c>
      <c r="O268" cm="1">
        <f t="array" ref="O268">VLOOKUP($A268,Table_ship_components[],COLUMN(O:O),0)</f>
        <v>1</v>
      </c>
      <c r="P268" cm="1">
        <f t="array" ref="P268">VLOOKUP($A268,Table_ship_components[],COLUMN(P:P),0)</f>
        <v>1</v>
      </c>
      <c r="Q268" cm="1">
        <f t="array" ref="Q268">VLOOKUP($A268,Table_ship_components[],COLUMN(Q:Q),0)</f>
        <v>1</v>
      </c>
      <c r="R268" cm="1">
        <f t="array" ref="R268">VLOOKUP($A268,Table_ship_components[],COLUMN(R:R),0)</f>
        <v>1</v>
      </c>
      <c r="S268" cm="1">
        <f t="array" ref="S268">VLOOKUP($A268,Table_ship_components[],COLUMN(S:S),0)</f>
        <v>1</v>
      </c>
      <c r="T268" cm="1">
        <f t="array" ref="T268">VLOOKUP($A268,Table_ship_components[],COLUMN(T:T),0)</f>
        <v>1</v>
      </c>
      <c r="U268" cm="1">
        <f t="array" ref="U268">VLOOKUP($A268,Table_ship_components[],COLUMN(U:U),0)</f>
        <v>1</v>
      </c>
      <c r="V268" cm="1">
        <f t="array" ref="V268">VLOOKUP($A268,Table_ship_components[],COLUMN(V:V),0)</f>
        <v>3</v>
      </c>
      <c r="W268" s="15" cm="1">
        <f t="array" ref="W268">VLOOKUP($A268,Table_ship_components[],COLUMN(W:W),0)</f>
        <v>50000</v>
      </c>
      <c r="X268" cm="1">
        <f t="array" ref="X268">VLOOKUP($A268,Table_ship_components[],COLUMN(X:X),0)</f>
        <v>1</v>
      </c>
      <c r="Y268" cm="1">
        <f t="array" ref="Y268">VLOOKUP($A268,Table_ship_components[],COLUMN(Y:Y),0)</f>
        <v>0</v>
      </c>
      <c r="Z268" cm="1">
        <f t="array" ref="Z268">VLOOKUP($A268,Table_ship_components[],COLUMN(Z:Z),0)</f>
        <v>0</v>
      </c>
      <c r="AA268" cm="1">
        <f t="array" ref="AA268">VLOOKUP($A268,Table_ship_components[],COLUMN(AA:AA),0)*C268</f>
        <v>0</v>
      </c>
      <c r="AB268">
        <f t="shared" si="9"/>
        <v>0</v>
      </c>
      <c r="AC268" cm="1">
        <f t="array" ref="AC268">VLOOKUP($A268,Table_ship_components[],COLUMN(AC:AC),0)*C268</f>
        <v>0</v>
      </c>
      <c r="AD268" cm="1">
        <f t="array" ref="AD268">VLOOKUP($A268,Table_ship_components[],COLUMN(AD:AD),0)</f>
        <v>0</v>
      </c>
      <c r="AE268" cm="1">
        <f t="array" ref="AE268">VLOOKUP($A268,Table_ship_components[],COLUMN(AE:AE),0)</f>
        <v>0</v>
      </c>
      <c r="AF268" cm="1">
        <f t="array" ref="AF268">VLOOKUP($A268,Table_ship_components[],COLUMN(AF:AF),0)</f>
        <v>0</v>
      </c>
      <c r="AG268" cm="1">
        <f t="array" ref="AG268">VLOOKUP($A268,Table_ship_components[],COLUMN(AG:AG),0)</f>
        <v>0</v>
      </c>
      <c r="AH268" cm="1">
        <f t="array" ref="AH268">VLOOKUP($A268,Table_ship_components[],COLUMN(AH:AH),0)</f>
        <v>0</v>
      </c>
      <c r="AI268" cm="1">
        <f t="array" ref="AI268">VLOOKUP($A268,Table_ship_components[],COLUMN(AI:AI),0)</f>
        <v>0</v>
      </c>
      <c r="AJ268" cm="1">
        <f t="array" ref="AJ268">VLOOKUP($A268,Table_ship_components[],COLUMN(AJ:AJ),0)</f>
        <v>0</v>
      </c>
      <c r="AK268" cm="1">
        <f t="array" ref="AK268">VLOOKUP($A268,Table_ship_components[],COLUMN(AK:AK),0)</f>
        <v>0</v>
      </c>
      <c r="AL268" cm="1">
        <f t="array" ref="AL268">VLOOKUP($A268,Table_ship_components[],COLUMN(AL:AL),0)</f>
        <v>0</v>
      </c>
      <c r="AM268" cm="1">
        <f t="array" ref="AM268">VLOOKUP($A268,Table_ship_components[],COLUMN(AM:AM),0)</f>
        <v>0</v>
      </c>
      <c r="AN268" cm="1">
        <f t="array" ref="AN268">VLOOKUP($A268,Table_ship_components[],COLUMN(AN:AN),0)</f>
        <v>0</v>
      </c>
      <c r="AO268" cm="1">
        <f t="array" ref="AO268">VLOOKUP($A268,Table_ship_components[],COLUMN(AO:AO),0)</f>
        <v>0</v>
      </c>
      <c r="AP268" cm="1">
        <f t="array" ref="AP268">VLOOKUP($A268,Table_ship_components[],COLUMN(AP:AP),0)</f>
        <v>0</v>
      </c>
      <c r="AQ268" cm="1">
        <f t="array" ref="AQ268">VLOOKUP($A268,Table_ship_components[],COLUMN(AQ:AQ),0)</f>
        <v>0</v>
      </c>
      <c r="AR268" cm="1">
        <f t="array" ref="AR268">VLOOKUP($A268,Table_ship_components[],COLUMN(AR:AR),0)</f>
        <v>0</v>
      </c>
      <c r="AS268" cm="1">
        <f t="array" ref="AS268">VLOOKUP($A268,Table_ship_components[],COLUMN(AS:AS),0)</f>
        <v>0</v>
      </c>
      <c r="AT268" cm="1">
        <f t="array" ref="AT268">VLOOKUP($A268,Table_ship_components[],COLUMN(AT:AT),0)</f>
        <v>0</v>
      </c>
      <c r="AU268" s="2" cm="1">
        <f t="array" ref="AU268">VLOOKUP($A268,Table_ship_components[],COLUMN(AU:AU),0)</f>
        <v>0</v>
      </c>
      <c r="AV268" s="2" cm="1">
        <f t="array" ref="AV268">VLOOKUP($A268,Table_ship_components[],COLUMN(AV:AV),0)</f>
        <v>0</v>
      </c>
      <c r="AW268" s="2" cm="1">
        <f t="array" ref="AW268">VLOOKUP($A268,Table_ship_components[],COLUMN(AW:AW),0)</f>
        <v>0</v>
      </c>
      <c r="AX268" s="2" cm="1">
        <f t="array" ref="AX268">VLOOKUP($A268,Table_ship_components[],COLUMN(AX:AX),0)</f>
        <v>0</v>
      </c>
      <c r="AY268" s="2" cm="1">
        <f t="array" ref="AY268">VLOOKUP($A268,Table_ship_components[],COLUMN(AY:AY),0)</f>
        <v>0</v>
      </c>
      <c r="AZ268" s="2" t="str" cm="1">
        <f t="array" ref="AZ268">VLOOKUP($A268,Table_ship_components[],COLUMN(AZ:AZ),0)</f>
        <v>C</v>
      </c>
      <c r="BA268" s="14" cm="1">
        <f t="array" ref="BA268">VLOOKUP($A268,Table_ship_components[],COLUMN(BA:BA),0)</f>
        <v>80000</v>
      </c>
      <c r="BB268" s="14" cm="1">
        <f t="array" ref="BB268">(VLOOKUP($A268,Table_ship_components[],COLUMN(BA:BA),0)+(W268*C268))</f>
        <v>330000</v>
      </c>
      <c r="BC268" s="2" cm="1">
        <f t="array" ref="BC268">VLOOKUP($A268,Table_ship_components[],COLUMN(BC:BC),0)</f>
        <v>0</v>
      </c>
      <c r="BD268" s="2" cm="1">
        <f t="array" ref="BD268">VLOOKUP($A268,Table_ship_components[],COLUMN(BD:BD),0)</f>
        <v>0</v>
      </c>
    </row>
    <row r="269" spans="1:56" outlineLevel="1" x14ac:dyDescent="0.35">
      <c r="A269" t="s">
        <v>357</v>
      </c>
      <c r="B269" t="str" cm="1">
        <f t="array" ref="B269">VLOOKUP($A269,Table_ship_components[],COLUMN(B:B),0)</f>
        <v>basic light corvette hull</v>
      </c>
      <c r="D269" cm="1">
        <f t="array" ref="D269">VLOOKUP($A269,Table_ship_components[],COLUMN(D:D),0)</f>
        <v>-10</v>
      </c>
      <c r="E269" cm="1">
        <f t="array" ref="E269">ROUND(VLOOKUP($A269,Table_ship_components[],COLUMN(D:D),0)+(V269*C269),0)</f>
        <v>-10</v>
      </c>
      <c r="F269" cm="1">
        <f t="array" ref="F269">VLOOKUP($A269,Table_ship_components[],COLUMN(F:F),0)</f>
        <v>0</v>
      </c>
      <c r="G269" cm="1">
        <f t="array" ref="G269">ROUND(VLOOKUP($A269,Table_ship_components[],COLUMN(G:G),0)+(X269*C269),0)</f>
        <v>0</v>
      </c>
      <c r="H269" cm="1">
        <f t="array" ref="H269">VLOOKUP($A269,Table_ship_components[],COLUMN(H:H),0)</f>
        <v>0</v>
      </c>
      <c r="I269" cm="1">
        <f t="array" ref="I269">VLOOKUP($A269,Table_ship_components[],COLUMN(I:I),0)</f>
        <v>0</v>
      </c>
      <c r="J269" cm="1">
        <f t="array" ref="J269">VLOOKUP($A269,Table_ship_components[],COLUMN(J:J),0)</f>
        <v>0</v>
      </c>
      <c r="K269" cm="1">
        <f t="array" ref="K269">VLOOKUP($A269,Table_ship_components[],COLUMN(K:K),0)</f>
        <v>0</v>
      </c>
      <c r="L269" cm="1">
        <f t="array" ref="L269">VLOOKUP($A269,Table_ship_components[],COLUMN(L:L),0)</f>
        <v>0</v>
      </c>
      <c r="M269" cm="1">
        <f t="array" ref="M269">VLOOKUP($A269,Table_ship_components[],COLUMN(M:M),0)</f>
        <v>0</v>
      </c>
      <c r="N269" cm="1">
        <f t="array" ref="N269">VLOOKUP($A269,Table_ship_components[],COLUMN(N:N),0)</f>
        <v>0</v>
      </c>
      <c r="O269" cm="1">
        <f t="array" ref="O269">VLOOKUP($A269,Table_ship_components[],COLUMN(O:O),0)</f>
        <v>1</v>
      </c>
      <c r="P269" cm="1">
        <f t="array" ref="P269">VLOOKUP($A269,Table_ship_components[],COLUMN(P:P),0)</f>
        <v>0</v>
      </c>
      <c r="Q269" cm="1">
        <f t="array" ref="Q269">VLOOKUP($A269,Table_ship_components[],COLUMN(Q:Q),0)</f>
        <v>0</v>
      </c>
      <c r="R269" cm="1">
        <f t="array" ref="R269">VLOOKUP($A269,Table_ship_components[],COLUMN(R:R),0)</f>
        <v>0</v>
      </c>
      <c r="S269" cm="1">
        <f t="array" ref="S269">VLOOKUP($A269,Table_ship_components[],COLUMN(S:S),0)</f>
        <v>0</v>
      </c>
      <c r="T269" cm="1">
        <f t="array" ref="T269">VLOOKUP($A269,Table_ship_components[],COLUMN(T:T),0)</f>
        <v>0</v>
      </c>
      <c r="U269" cm="1">
        <f t="array" ref="U269">VLOOKUP($A269,Table_ship_components[],COLUMN(U:U),0)</f>
        <v>0</v>
      </c>
      <c r="V269" cm="1">
        <f t="array" ref="V269">VLOOKUP($A269,Table_ship_components[],COLUMN(V:V),0)</f>
        <v>0</v>
      </c>
      <c r="W269" s="15" cm="1">
        <f t="array" ref="W269">VLOOKUP($A269,Table_ship_components[],COLUMN(W:W),0)</f>
        <v>0</v>
      </c>
      <c r="X269" cm="1">
        <f t="array" ref="X269">VLOOKUP($A269,Table_ship_components[],COLUMN(X:X),0)</f>
        <v>0</v>
      </c>
      <c r="Y269" cm="1">
        <f t="array" ref="Y269">VLOOKUP($A269,Table_ship_components[],COLUMN(Y:Y),0)</f>
        <v>0</v>
      </c>
      <c r="Z269" cm="1">
        <f t="array" ref="Z269">VLOOKUP($A269,Table_ship_components[],COLUMN(Z:Z),0)</f>
        <v>0</v>
      </c>
      <c r="AA269" cm="1">
        <f t="array" ref="AA269">VLOOKUP($A269,Table_ship_components[],COLUMN(AA:AA),0)*C269</f>
        <v>0</v>
      </c>
      <c r="AB269">
        <f t="shared" si="9"/>
        <v>0</v>
      </c>
      <c r="AC269" cm="1">
        <f t="array" ref="AC269">VLOOKUP($A269,Table_ship_components[],COLUMN(AC:AC),0)*C269</f>
        <v>0</v>
      </c>
      <c r="AD269" cm="1">
        <f t="array" ref="AD269">VLOOKUP($A269,Table_ship_components[],COLUMN(AD:AD),0)</f>
        <v>0</v>
      </c>
      <c r="AE269" cm="1">
        <f t="array" ref="AE269">VLOOKUP($A269,Table_ship_components[],COLUMN(AE:AE),0)</f>
        <v>0</v>
      </c>
      <c r="AF269" cm="1">
        <f t="array" ref="AF269">VLOOKUP($A269,Table_ship_components[],COLUMN(AF:AF),0)</f>
        <v>0</v>
      </c>
      <c r="AG269" cm="1">
        <f t="array" ref="AG269">VLOOKUP($A269,Table_ship_components[],COLUMN(AG:AG),0)</f>
        <v>0</v>
      </c>
      <c r="AH269" cm="1">
        <f t="array" ref="AH269">VLOOKUP($A269,Table_ship_components[],COLUMN(AH:AH),0)</f>
        <v>0</v>
      </c>
      <c r="AI269" cm="1">
        <f t="array" ref="AI269">VLOOKUP($A269,Table_ship_components[],COLUMN(AI:AI),0)</f>
        <v>0</v>
      </c>
      <c r="AJ269" cm="1">
        <f t="array" ref="AJ269">VLOOKUP($A269,Table_ship_components[],COLUMN(AJ:AJ),0)</f>
        <v>0</v>
      </c>
      <c r="AK269" cm="1">
        <f t="array" ref="AK269">VLOOKUP($A269,Table_ship_components[],COLUMN(AK:AK),0)</f>
        <v>0</v>
      </c>
      <c r="AL269" cm="1">
        <f t="array" ref="AL269">VLOOKUP($A269,Table_ship_components[],COLUMN(AL:AL),0)</f>
        <v>0</v>
      </c>
      <c r="AM269" cm="1">
        <f t="array" ref="AM269">VLOOKUP($A269,Table_ship_components[],COLUMN(AM:AM),0)</f>
        <v>0</v>
      </c>
      <c r="AN269" cm="1">
        <f t="array" ref="AN269">VLOOKUP($A269,Table_ship_components[],COLUMN(AN:AN),0)</f>
        <v>-5</v>
      </c>
      <c r="AO269" cm="1">
        <f t="array" ref="AO269">VLOOKUP($A269,Table_ship_components[],COLUMN(AO:AO),0)</f>
        <v>0</v>
      </c>
      <c r="AP269" cm="1">
        <f t="array" ref="AP269">VLOOKUP($A269,Table_ship_components[],COLUMN(AP:AP),0)</f>
        <v>0</v>
      </c>
      <c r="AQ269" cm="1">
        <f t="array" ref="AQ269">VLOOKUP($A269,Table_ship_components[],COLUMN(AQ:AQ),0)</f>
        <v>0</v>
      </c>
      <c r="AR269" cm="1">
        <f t="array" ref="AR269">VLOOKUP($A269,Table_ship_components[],COLUMN(AR:AR),0)</f>
        <v>1</v>
      </c>
      <c r="AS269" cm="1">
        <f t="array" ref="AS269">VLOOKUP($A269,Table_ship_components[],COLUMN(AS:AS),0)</f>
        <v>0</v>
      </c>
      <c r="AT269" cm="1">
        <f t="array" ref="AT269">VLOOKUP($A269,Table_ship_components[],COLUMN(AT:AT),0)</f>
        <v>0</v>
      </c>
      <c r="AU269" s="2" cm="1">
        <f t="array" ref="AU269">VLOOKUP($A269,Table_ship_components[],COLUMN(AU:AU),0)</f>
        <v>0</v>
      </c>
      <c r="AV269" s="2" cm="1">
        <f t="array" ref="AV269">VLOOKUP($A269,Table_ship_components[],COLUMN(AV:AV),0)</f>
        <v>0</v>
      </c>
      <c r="AW269" s="2" cm="1">
        <f t="array" ref="AW269">VLOOKUP($A269,Table_ship_components[],COLUMN(AW:AW),0)</f>
        <v>0</v>
      </c>
      <c r="AX269" s="2" cm="1">
        <f t="array" ref="AX269">VLOOKUP($A269,Table_ship_components[],COLUMN(AX:AX),0)</f>
        <v>0</v>
      </c>
      <c r="AY269" s="2" cm="1">
        <f t="array" ref="AY269">VLOOKUP($A269,Table_ship_components[],COLUMN(AY:AY),0)</f>
        <v>0</v>
      </c>
      <c r="AZ269" s="2" t="str" cm="1">
        <f t="array" ref="AZ269">VLOOKUP($A269,Table_ship_components[],COLUMN(AZ:AZ),0)</f>
        <v>C</v>
      </c>
      <c r="BA269" s="14" cm="1">
        <f t="array" ref="BA269">VLOOKUP($A269,Table_ship_components[],COLUMN(BA:BA),0)</f>
        <v>1250000</v>
      </c>
      <c r="BB269" s="14" cm="1">
        <f t="array" ref="BB269">(VLOOKUP($A269,Table_ship_components[],COLUMN(BA:BA),0)+(W269*C269))</f>
        <v>1250000</v>
      </c>
      <c r="BC269" s="2" cm="1">
        <f t="array" ref="BC269">VLOOKUP($A269,Table_ship_components[],COLUMN(BC:BC),0)</f>
        <v>0</v>
      </c>
      <c r="BD269" s="2" cm="1">
        <f t="array" ref="BD269">VLOOKUP($A269,Table_ship_components[],COLUMN(BD:BD),0)</f>
        <v>0</v>
      </c>
    </row>
    <row r="270" spans="1:56" outlineLevel="1" x14ac:dyDescent="0.35">
      <c r="A270" t="s">
        <v>388</v>
      </c>
      <c r="B270" t="str" cm="1">
        <f t="array" ref="B270">VLOOKUP($A270,Table_ship_components[],COLUMN(B:B),0)</f>
        <v>basic energy storage for a corvette</v>
      </c>
      <c r="D270" cm="1">
        <f t="array" ref="D270">VLOOKUP($A270,Table_ship_components[],COLUMN(D:D),0)</f>
        <v>8</v>
      </c>
      <c r="E270" cm="1">
        <f t="array" ref="E270">ROUND(VLOOKUP($A270,Table_ship_components[],COLUMN(D:D),0)+(V270*C270),0)</f>
        <v>8</v>
      </c>
      <c r="F270" cm="1">
        <f t="array" ref="F270">VLOOKUP($A270,Table_ship_components[],COLUMN(F:F),0)</f>
        <v>0</v>
      </c>
      <c r="G270" cm="1">
        <f t="array" ref="G270">ROUND(VLOOKUP($A270,Table_ship_components[],COLUMN(G:G),0)+(X270*C270),0)</f>
        <v>0</v>
      </c>
      <c r="H270" cm="1">
        <f t="array" ref="H270">VLOOKUP($A270,Table_ship_components[],COLUMN(H:H),0)</f>
        <v>0</v>
      </c>
      <c r="I270" cm="1">
        <f t="array" ref="I270">VLOOKUP($A270,Table_ship_components[],COLUMN(I:I),0)</f>
        <v>0</v>
      </c>
      <c r="J270" cm="1">
        <f t="array" ref="J270">VLOOKUP($A270,Table_ship_components[],COLUMN(J:J),0)</f>
        <v>10</v>
      </c>
      <c r="K270" cm="1">
        <f t="array" ref="K270">VLOOKUP($A270,Table_ship_components[],COLUMN(K:K),0)</f>
        <v>0</v>
      </c>
      <c r="L270" cm="1">
        <f t="array" ref="L270">VLOOKUP($A270,Table_ship_components[],COLUMN(L:L),0)</f>
        <v>0</v>
      </c>
      <c r="M270" cm="1">
        <f t="array" ref="M270">VLOOKUP($A270,Table_ship_components[],COLUMN(M:M),0)</f>
        <v>0</v>
      </c>
      <c r="N270" cm="1">
        <f t="array" ref="N270">VLOOKUP($A270,Table_ship_components[],COLUMN(N:N),0)</f>
        <v>0</v>
      </c>
      <c r="O270" cm="1">
        <f t="array" ref="O270">VLOOKUP($A270,Table_ship_components[],COLUMN(O:O),0)</f>
        <v>1</v>
      </c>
      <c r="P270" cm="1">
        <f t="array" ref="P270">VLOOKUP($A270,Table_ship_components[],COLUMN(P:P),0)</f>
        <v>0</v>
      </c>
      <c r="Q270" cm="1">
        <f t="array" ref="Q270">VLOOKUP($A270,Table_ship_components[],COLUMN(Q:Q),0)</f>
        <v>0</v>
      </c>
      <c r="R270" cm="1">
        <f t="array" ref="R270">VLOOKUP($A270,Table_ship_components[],COLUMN(R:R),0)</f>
        <v>0</v>
      </c>
      <c r="S270" cm="1">
        <f t="array" ref="S270">VLOOKUP($A270,Table_ship_components[],COLUMN(S:S),0)</f>
        <v>0</v>
      </c>
      <c r="T270" cm="1">
        <f t="array" ref="T270">VLOOKUP($A270,Table_ship_components[],COLUMN(T:T),0)</f>
        <v>0</v>
      </c>
      <c r="U270" cm="1">
        <f t="array" ref="U270">VLOOKUP($A270,Table_ship_components[],COLUMN(U:U),0)</f>
        <v>0</v>
      </c>
      <c r="V270" cm="1">
        <f t="array" ref="V270">VLOOKUP($A270,Table_ship_components[],COLUMN(V:V),0)</f>
        <v>0</v>
      </c>
      <c r="W270" s="15" cm="1">
        <f t="array" ref="W270">VLOOKUP($A270,Table_ship_components[],COLUMN(W:W),0)</f>
        <v>0</v>
      </c>
      <c r="X270" cm="1">
        <f t="array" ref="X270">VLOOKUP($A270,Table_ship_components[],COLUMN(X:X),0)</f>
        <v>0</v>
      </c>
      <c r="Y270" cm="1">
        <f t="array" ref="Y270">VLOOKUP($A270,Table_ship_components[],COLUMN(Y:Y),0)</f>
        <v>0</v>
      </c>
      <c r="Z270" cm="1">
        <f t="array" ref="Z270">VLOOKUP($A270,Table_ship_components[],COLUMN(Z:Z),0)</f>
        <v>0</v>
      </c>
      <c r="AA270" cm="1">
        <f t="array" ref="AA270">VLOOKUP($A270,Table_ship_components[],COLUMN(AA:AA),0)*C270</f>
        <v>0</v>
      </c>
      <c r="AB270">
        <f t="shared" si="9"/>
        <v>0</v>
      </c>
      <c r="AC270" cm="1">
        <f t="array" ref="AC270">VLOOKUP($A270,Table_ship_components[],COLUMN(AC:AC),0)*C270</f>
        <v>0</v>
      </c>
      <c r="AD270" cm="1">
        <f t="array" ref="AD270">VLOOKUP($A270,Table_ship_components[],COLUMN(AD:AD),0)</f>
        <v>0</v>
      </c>
      <c r="AE270" cm="1">
        <f t="array" ref="AE270">VLOOKUP($A270,Table_ship_components[],COLUMN(AE:AE),0)</f>
        <v>0</v>
      </c>
      <c r="AF270" cm="1">
        <f t="array" ref="AF270">VLOOKUP($A270,Table_ship_components[],COLUMN(AF:AF),0)</f>
        <v>0</v>
      </c>
      <c r="AG270" cm="1">
        <f t="array" ref="AG270">VLOOKUP($A270,Table_ship_components[],COLUMN(AG:AG),0)</f>
        <v>0</v>
      </c>
      <c r="AH270" cm="1">
        <f t="array" ref="AH270">VLOOKUP($A270,Table_ship_components[],COLUMN(AH:AH),0)</f>
        <v>0</v>
      </c>
      <c r="AI270" cm="1">
        <f t="array" ref="AI270">VLOOKUP($A270,Table_ship_components[],COLUMN(AI:AI),0)</f>
        <v>0</v>
      </c>
      <c r="AJ270" cm="1">
        <f t="array" ref="AJ270">VLOOKUP($A270,Table_ship_components[],COLUMN(AJ:AJ),0)</f>
        <v>0</v>
      </c>
      <c r="AK270" cm="1">
        <f t="array" ref="AK270">VLOOKUP($A270,Table_ship_components[],COLUMN(AK:AK),0)</f>
        <v>0</v>
      </c>
      <c r="AL270" cm="1">
        <f t="array" ref="AL270">VLOOKUP($A270,Table_ship_components[],COLUMN(AL:AL),0)</f>
        <v>0</v>
      </c>
      <c r="AM270" cm="1">
        <f t="array" ref="AM270">VLOOKUP($A270,Table_ship_components[],COLUMN(AM:AM),0)</f>
        <v>0</v>
      </c>
      <c r="AN270" cm="1">
        <f t="array" ref="AN270">VLOOKUP($A270,Table_ship_components[],COLUMN(AN:AN),0)</f>
        <v>0</v>
      </c>
      <c r="AO270" cm="1">
        <f t="array" ref="AO270">VLOOKUP($A270,Table_ship_components[],COLUMN(AO:AO),0)</f>
        <v>0</v>
      </c>
      <c r="AP270" cm="1">
        <f t="array" ref="AP270">VLOOKUP($A270,Table_ship_components[],COLUMN(AP:AP),0)</f>
        <v>0</v>
      </c>
      <c r="AQ270" cm="1">
        <f t="array" ref="AQ270">VLOOKUP($A270,Table_ship_components[],COLUMN(AQ:AQ),0)</f>
        <v>0</v>
      </c>
      <c r="AR270" cm="1">
        <f t="array" ref="AR270">VLOOKUP($A270,Table_ship_components[],COLUMN(AR:AR),0)</f>
        <v>0</v>
      </c>
      <c r="AS270" cm="1">
        <f t="array" ref="AS270">VLOOKUP($A270,Table_ship_components[],COLUMN(AS:AS),0)</f>
        <v>0</v>
      </c>
      <c r="AT270" cm="1">
        <f t="array" ref="AT270">VLOOKUP($A270,Table_ship_components[],COLUMN(AT:AT),0)</f>
        <v>0</v>
      </c>
      <c r="AU270" s="2" cm="1">
        <f t="array" ref="AU270">VLOOKUP($A270,Table_ship_components[],COLUMN(AU:AU),0)</f>
        <v>0</v>
      </c>
      <c r="AV270" s="2" cm="1">
        <f t="array" ref="AV270">VLOOKUP($A270,Table_ship_components[],COLUMN(AV:AV),0)</f>
        <v>0</v>
      </c>
      <c r="AW270" s="2" cm="1">
        <f t="array" ref="AW270">VLOOKUP($A270,Table_ship_components[],COLUMN(AW:AW),0)</f>
        <v>0</v>
      </c>
      <c r="AX270" s="2" cm="1">
        <f t="array" ref="AX270">VLOOKUP($A270,Table_ship_components[],COLUMN(AX:AX),0)</f>
        <v>0</v>
      </c>
      <c r="AY270" s="2" cm="1">
        <f t="array" ref="AY270">VLOOKUP($A270,Table_ship_components[],COLUMN(AY:AY),0)</f>
        <v>0</v>
      </c>
      <c r="AZ270" s="2" t="str" cm="1">
        <f t="array" ref="AZ270">VLOOKUP($A270,Table_ship_components[],COLUMN(AZ:AZ),0)</f>
        <v>C</v>
      </c>
      <c r="BA270" s="14" cm="1">
        <f t="array" ref="BA270">VLOOKUP($A270,Table_ship_components[],COLUMN(BA:BA),0)</f>
        <v>320000</v>
      </c>
      <c r="BB270" s="14" cm="1">
        <f t="array" ref="BB270">(VLOOKUP($A270,Table_ship_components[],COLUMN(BA:BA),0)+(W270*C270))</f>
        <v>320000</v>
      </c>
      <c r="BC270" s="2" cm="1">
        <f t="array" ref="BC270">VLOOKUP($A270,Table_ship_components[],COLUMN(BC:BC),0)</f>
        <v>0</v>
      </c>
      <c r="BD270" s="2" cm="1">
        <f t="array" ref="BD270">VLOOKUP($A270,Table_ship_components[],COLUMN(BD:BD),0)</f>
        <v>0</v>
      </c>
    </row>
    <row r="271" spans="1:56" outlineLevel="1" x14ac:dyDescent="0.35">
      <c r="A271" t="s">
        <v>375</v>
      </c>
      <c r="B271" t="str" cm="1">
        <f t="array" ref="B271">VLOOKUP($A271,Table_ship_components[],COLUMN(B:B),0)</f>
        <v>basic shield for a corvette</v>
      </c>
      <c r="D271" cm="1">
        <f t="array" ref="D271">VLOOKUP($A271,Table_ship_components[],COLUMN(D:D),0)</f>
        <v>6</v>
      </c>
      <c r="E271" cm="1">
        <f t="array" ref="E271">ROUND(VLOOKUP($A271,Table_ship_components[],COLUMN(D:D),0)+(V271*C271),0)</f>
        <v>6</v>
      </c>
      <c r="F271" cm="1">
        <f t="array" ref="F271">VLOOKUP($A271,Table_ship_components[],COLUMN(F:F),0)</f>
        <v>6</v>
      </c>
      <c r="G271" cm="1">
        <f t="array" ref="G271">ROUND(VLOOKUP($A271,Table_ship_components[],COLUMN(G:G),0)+(X271*C271),0)</f>
        <v>6</v>
      </c>
      <c r="H271" cm="1">
        <f t="array" ref="H271">VLOOKUP($A271,Table_ship_components[],COLUMN(H:H),0)</f>
        <v>0</v>
      </c>
      <c r="I271" cm="1">
        <f t="array" ref="I271">VLOOKUP($A271,Table_ship_components[],COLUMN(I:I),0)</f>
        <v>0</v>
      </c>
      <c r="J271" cm="1">
        <f t="array" ref="J271">VLOOKUP($A271,Table_ship_components[],COLUMN(J:J),0)</f>
        <v>0</v>
      </c>
      <c r="K271" cm="1">
        <f t="array" ref="K271">VLOOKUP($A271,Table_ship_components[],COLUMN(K:K),0)</f>
        <v>35</v>
      </c>
      <c r="L271" cm="1">
        <f t="array" ref="L271">VLOOKUP($A271,Table_ship_components[],COLUMN(L:L),0)</f>
        <v>3</v>
      </c>
      <c r="M271" cm="1">
        <f t="array" ref="M271">VLOOKUP($A271,Table_ship_components[],COLUMN(M:M),0)</f>
        <v>0</v>
      </c>
      <c r="N271" cm="1">
        <f t="array" ref="N271">VLOOKUP($A271,Table_ship_components[],COLUMN(N:N),0)</f>
        <v>0</v>
      </c>
      <c r="O271" cm="1">
        <f t="array" ref="O271">VLOOKUP($A271,Table_ship_components[],COLUMN(O:O),0)</f>
        <v>1</v>
      </c>
      <c r="P271" cm="1">
        <f t="array" ref="P271">VLOOKUP($A271,Table_ship_components[],COLUMN(P:P),0)</f>
        <v>0</v>
      </c>
      <c r="Q271" cm="1">
        <f t="array" ref="Q271">VLOOKUP($A271,Table_ship_components[],COLUMN(Q:Q),0)</f>
        <v>0</v>
      </c>
      <c r="R271" cm="1">
        <f t="array" ref="R271">VLOOKUP($A271,Table_ship_components[],COLUMN(R:R),0)</f>
        <v>0</v>
      </c>
      <c r="S271" cm="1">
        <f t="array" ref="S271">VLOOKUP($A271,Table_ship_components[],COLUMN(S:S),0)</f>
        <v>0</v>
      </c>
      <c r="T271" cm="1">
        <f t="array" ref="T271">VLOOKUP($A271,Table_ship_components[],COLUMN(T:T),0)</f>
        <v>0</v>
      </c>
      <c r="U271" cm="1">
        <f t="array" ref="U271">VLOOKUP($A271,Table_ship_components[],COLUMN(U:U),0)</f>
        <v>0</v>
      </c>
      <c r="V271" cm="1">
        <f t="array" ref="V271">VLOOKUP($A271,Table_ship_components[],COLUMN(V:V),0)</f>
        <v>0</v>
      </c>
      <c r="W271" s="15" cm="1">
        <f t="array" ref="W271">VLOOKUP($A271,Table_ship_components[],COLUMN(W:W),0)</f>
        <v>0</v>
      </c>
      <c r="X271" cm="1">
        <f t="array" ref="X271">VLOOKUP($A271,Table_ship_components[],COLUMN(X:X),0)</f>
        <v>0</v>
      </c>
      <c r="Y271" cm="1">
        <f t="array" ref="Y271">VLOOKUP($A271,Table_ship_components[],COLUMN(Y:Y),0)</f>
        <v>0</v>
      </c>
      <c r="Z271" cm="1">
        <f t="array" ref="Z271">VLOOKUP($A271,Table_ship_components[],COLUMN(Z:Z),0)</f>
        <v>0</v>
      </c>
      <c r="AA271" cm="1">
        <f t="array" ref="AA271">VLOOKUP($A271,Table_ship_components[],COLUMN(AA:AA),0)*C271</f>
        <v>0</v>
      </c>
      <c r="AB271">
        <f t="shared" si="9"/>
        <v>0</v>
      </c>
      <c r="AC271" cm="1">
        <f t="array" ref="AC271">VLOOKUP($A271,Table_ship_components[],COLUMN(AC:AC),0)*C271</f>
        <v>0</v>
      </c>
      <c r="AD271" cm="1">
        <f t="array" ref="AD271">VLOOKUP($A271,Table_ship_components[],COLUMN(AD:AD),0)</f>
        <v>0</v>
      </c>
      <c r="AE271" cm="1">
        <f t="array" ref="AE271">VLOOKUP($A271,Table_ship_components[],COLUMN(AE:AE),0)</f>
        <v>0</v>
      </c>
      <c r="AF271" cm="1">
        <f t="array" ref="AF271">VLOOKUP($A271,Table_ship_components[],COLUMN(AF:AF),0)</f>
        <v>0</v>
      </c>
      <c r="AG271" cm="1">
        <f t="array" ref="AG271">VLOOKUP($A271,Table_ship_components[],COLUMN(AG:AG),0)</f>
        <v>0</v>
      </c>
      <c r="AH271" cm="1">
        <f t="array" ref="AH271">VLOOKUP($A271,Table_ship_components[],COLUMN(AH:AH),0)</f>
        <v>0</v>
      </c>
      <c r="AI271" cm="1">
        <f t="array" ref="AI271">VLOOKUP($A271,Table_ship_components[],COLUMN(AI:AI),0)</f>
        <v>0</v>
      </c>
      <c r="AJ271" cm="1">
        <f t="array" ref="AJ271">VLOOKUP($A271,Table_ship_components[],COLUMN(AJ:AJ),0)</f>
        <v>0</v>
      </c>
      <c r="AK271" cm="1">
        <f t="array" ref="AK271">VLOOKUP($A271,Table_ship_components[],COLUMN(AK:AK),0)</f>
        <v>0</v>
      </c>
      <c r="AL271" cm="1">
        <f t="array" ref="AL271">VLOOKUP($A271,Table_ship_components[],COLUMN(AL:AL),0)</f>
        <v>0</v>
      </c>
      <c r="AM271" cm="1">
        <f t="array" ref="AM271">VLOOKUP($A271,Table_ship_components[],COLUMN(AM:AM),0)</f>
        <v>0</v>
      </c>
      <c r="AN271" cm="1">
        <f t="array" ref="AN271">VLOOKUP($A271,Table_ship_components[],COLUMN(AN:AN),0)</f>
        <v>0</v>
      </c>
      <c r="AO271" cm="1">
        <f t="array" ref="AO271">VLOOKUP($A271,Table_ship_components[],COLUMN(AO:AO),0)</f>
        <v>0</v>
      </c>
      <c r="AP271" cm="1">
        <f t="array" ref="AP271">VLOOKUP($A271,Table_ship_components[],COLUMN(AP:AP),0)</f>
        <v>0</v>
      </c>
      <c r="AQ271" cm="1">
        <f t="array" ref="AQ271">VLOOKUP($A271,Table_ship_components[],COLUMN(AQ:AQ),0)</f>
        <v>0</v>
      </c>
      <c r="AR271" cm="1">
        <f t="array" ref="AR271">VLOOKUP($A271,Table_ship_components[],COLUMN(AR:AR),0)</f>
        <v>0</v>
      </c>
      <c r="AS271" cm="1">
        <f t="array" ref="AS271">VLOOKUP($A271,Table_ship_components[],COLUMN(AS:AS),0)</f>
        <v>0</v>
      </c>
      <c r="AT271" cm="1">
        <f t="array" ref="AT271">VLOOKUP($A271,Table_ship_components[],COLUMN(AT:AT),0)</f>
        <v>0</v>
      </c>
      <c r="AU271" s="2" cm="1">
        <f t="array" ref="AU271">VLOOKUP($A271,Table_ship_components[],COLUMN(AU:AU),0)</f>
        <v>0</v>
      </c>
      <c r="AV271" s="2" cm="1">
        <f t="array" ref="AV271">VLOOKUP($A271,Table_ship_components[],COLUMN(AV:AV),0)</f>
        <v>0</v>
      </c>
      <c r="AW271" s="2" cm="1">
        <f t="array" ref="AW271">VLOOKUP($A271,Table_ship_components[],COLUMN(AW:AW),0)</f>
        <v>0</v>
      </c>
      <c r="AX271" s="2" cm="1">
        <f t="array" ref="AX271">VLOOKUP($A271,Table_ship_components[],COLUMN(AX:AX),0)</f>
        <v>0</v>
      </c>
      <c r="AY271" s="2" cm="1">
        <f t="array" ref="AY271">VLOOKUP($A271,Table_ship_components[],COLUMN(AY:AY),0)</f>
        <v>0</v>
      </c>
      <c r="AZ271" s="2" t="str" cm="1">
        <f t="array" ref="AZ271">VLOOKUP($A271,Table_ship_components[],COLUMN(AZ:AZ),0)</f>
        <v>C</v>
      </c>
      <c r="BA271" s="14" cm="1">
        <f t="array" ref="BA271">VLOOKUP($A271,Table_ship_components[],COLUMN(BA:BA),0)</f>
        <v>800000</v>
      </c>
      <c r="BB271" s="14" cm="1">
        <f t="array" ref="BB271">(VLOOKUP($A271,Table_ship_components[],COLUMN(BA:BA),0)+(W271*C271))</f>
        <v>800000</v>
      </c>
      <c r="BC271" s="2" cm="1">
        <f t="array" ref="BC271">VLOOKUP($A271,Table_ship_components[],COLUMN(BC:BC),0)</f>
        <v>0</v>
      </c>
      <c r="BD271" s="2" cm="1">
        <f t="array" ref="BD271">VLOOKUP($A271,Table_ship_components[],COLUMN(BD:BD),0)</f>
        <v>0</v>
      </c>
    </row>
    <row r="272" spans="1:56" outlineLevel="1" x14ac:dyDescent="0.35">
      <c r="A272" t="s">
        <v>673</v>
      </c>
      <c r="B272" t="str" cm="1">
        <f t="array" ref="B272">VLOOKUP($A272,Table_ship_components[],COLUMN(B:B),0)</f>
        <v>med speed corvette handling engine</v>
      </c>
      <c r="D272" cm="1">
        <f t="array" ref="D272">VLOOKUP($A272,Table_ship_components[],COLUMN(D:D),0)</f>
        <v>11</v>
      </c>
      <c r="E272" cm="1">
        <f t="array" ref="E272">ROUND(VLOOKUP($A272,Table_ship_components[],COLUMN(D:D),0)+(V272*C272),0)</f>
        <v>11</v>
      </c>
      <c r="F272" cm="1">
        <f t="array" ref="F272">VLOOKUP($A272,Table_ship_components[],COLUMN(F:F),0)</f>
        <v>12</v>
      </c>
      <c r="G272" cm="1">
        <f t="array" ref="G272">ROUND(VLOOKUP($A272,Table_ship_components[],COLUMN(G:G),0)+(X272*C272),0)</f>
        <v>12</v>
      </c>
      <c r="H272" cm="1">
        <f t="array" ref="H272">VLOOKUP($A272,Table_ship_components[],COLUMN(H:H),0)</f>
        <v>0</v>
      </c>
      <c r="I272" cm="1">
        <f t="array" ref="I272">VLOOKUP($A272,Table_ship_components[],COLUMN(I:I),0)</f>
        <v>0</v>
      </c>
      <c r="J272" cm="1">
        <f t="array" ref="J272">VLOOKUP($A272,Table_ship_components[],COLUMN(J:J),0)</f>
        <v>0</v>
      </c>
      <c r="K272" cm="1">
        <f t="array" ref="K272">VLOOKUP($A272,Table_ship_components[],COLUMN(K:K),0)</f>
        <v>0</v>
      </c>
      <c r="L272" cm="1">
        <f t="array" ref="L272">VLOOKUP($A272,Table_ship_components[],COLUMN(L:L),0)</f>
        <v>0</v>
      </c>
      <c r="M272" cm="1">
        <f t="array" ref="M272">VLOOKUP($A272,Table_ship_components[],COLUMN(M:M),0)</f>
        <v>0</v>
      </c>
      <c r="N272" cm="1">
        <f t="array" ref="N272">VLOOKUP($A272,Table_ship_components[],COLUMN(N:N),0)</f>
        <v>0</v>
      </c>
      <c r="O272" cm="1">
        <f t="array" ref="O272">VLOOKUP($A272,Table_ship_components[],COLUMN(O:O),0)</f>
        <v>1</v>
      </c>
      <c r="P272" cm="1">
        <f t="array" ref="P272">VLOOKUP($A272,Table_ship_components[],COLUMN(P:P),0)</f>
        <v>0</v>
      </c>
      <c r="Q272" cm="1">
        <f t="array" ref="Q272">VLOOKUP($A272,Table_ship_components[],COLUMN(Q:Q),0)</f>
        <v>0</v>
      </c>
      <c r="R272" cm="1">
        <f t="array" ref="R272">VLOOKUP($A272,Table_ship_components[],COLUMN(R:R),0)</f>
        <v>0</v>
      </c>
      <c r="S272" cm="1">
        <f t="array" ref="S272">VLOOKUP($A272,Table_ship_components[],COLUMN(S:S),0)</f>
        <v>0</v>
      </c>
      <c r="T272" cm="1">
        <f t="array" ref="T272">VLOOKUP($A272,Table_ship_components[],COLUMN(T:T),0)</f>
        <v>0</v>
      </c>
      <c r="U272" cm="1">
        <f t="array" ref="U272">VLOOKUP($A272,Table_ship_components[],COLUMN(U:U),0)</f>
        <v>0</v>
      </c>
      <c r="V272" cm="1">
        <f t="array" ref="V272">VLOOKUP($A272,Table_ship_components[],COLUMN(V:V),0)</f>
        <v>0</v>
      </c>
      <c r="W272" s="15" cm="1">
        <f t="array" ref="W272">VLOOKUP($A272,Table_ship_components[],COLUMN(W:W),0)</f>
        <v>0</v>
      </c>
      <c r="X272" cm="1">
        <f t="array" ref="X272">VLOOKUP($A272,Table_ship_components[],COLUMN(X:X),0)</f>
        <v>0</v>
      </c>
      <c r="Y272" cm="1">
        <f t="array" ref="Y272">VLOOKUP($A272,Table_ship_components[],COLUMN(Y:Y),0)</f>
        <v>0</v>
      </c>
      <c r="Z272" cm="1">
        <f t="array" ref="Z272">VLOOKUP($A272,Table_ship_components[],COLUMN(Z:Z),0)</f>
        <v>0</v>
      </c>
      <c r="AA272" cm="1">
        <f t="array" ref="AA272">VLOOKUP($A272,Table_ship_components[],COLUMN(AA:AA),0)*C272</f>
        <v>0</v>
      </c>
      <c r="AB272">
        <f t="shared" si="9"/>
        <v>0</v>
      </c>
      <c r="AC272" cm="1">
        <f t="array" ref="AC272">VLOOKUP($A272,Table_ship_components[],COLUMN(AC:AC),0)*C272</f>
        <v>0</v>
      </c>
      <c r="AD272" cm="1">
        <f t="array" ref="AD272">VLOOKUP($A272,Table_ship_components[],COLUMN(AD:AD),0)</f>
        <v>0</v>
      </c>
      <c r="AE272" cm="1">
        <f t="array" ref="AE272">VLOOKUP($A272,Table_ship_components[],COLUMN(AE:AE),0)</f>
        <v>0</v>
      </c>
      <c r="AF272" cm="1">
        <f t="array" ref="AF272">VLOOKUP($A272,Table_ship_components[],COLUMN(AF:AF),0)</f>
        <v>0</v>
      </c>
      <c r="AG272" cm="1">
        <f t="array" ref="AG272">VLOOKUP($A272,Table_ship_components[],COLUMN(AG:AG),0)</f>
        <v>0</v>
      </c>
      <c r="AH272" cm="1">
        <f t="array" ref="AH272">VLOOKUP($A272,Table_ship_components[],COLUMN(AH:AH),0)</f>
        <v>0</v>
      </c>
      <c r="AI272" cm="1">
        <f t="array" ref="AI272">VLOOKUP($A272,Table_ship_components[],COLUMN(AI:AI),0)</f>
        <v>0</v>
      </c>
      <c r="AJ272" cm="1">
        <f t="array" ref="AJ272">VLOOKUP($A272,Table_ship_components[],COLUMN(AJ:AJ),0)</f>
        <v>0</v>
      </c>
      <c r="AK272" cm="1">
        <f t="array" ref="AK272">VLOOKUP($A272,Table_ship_components[],COLUMN(AK:AK),0)</f>
        <v>0</v>
      </c>
      <c r="AL272" cm="1">
        <f t="array" ref="AL272">VLOOKUP($A272,Table_ship_components[],COLUMN(AL:AL),0)</f>
        <v>2</v>
      </c>
      <c r="AM272" cm="1">
        <f t="array" ref="AM272">VLOOKUP($A272,Table_ship_components[],COLUMN(AM:AM),0)</f>
        <v>0</v>
      </c>
      <c r="AN272" cm="1">
        <f t="array" ref="AN272">VLOOKUP($A272,Table_ship_components[],COLUMN(AN:AN),0)</f>
        <v>0</v>
      </c>
      <c r="AO272" cm="1">
        <f t="array" ref="AO272">VLOOKUP($A272,Table_ship_components[],COLUMN(AO:AO),0)</f>
        <v>0</v>
      </c>
      <c r="AP272" cm="1">
        <f t="array" ref="AP272">VLOOKUP($A272,Table_ship_components[],COLUMN(AP:AP),0)</f>
        <v>0</v>
      </c>
      <c r="AQ272" cm="1">
        <f t="array" ref="AQ272">VLOOKUP($A272,Table_ship_components[],COLUMN(AQ:AQ),0)</f>
        <v>0</v>
      </c>
      <c r="AR272" cm="1">
        <f t="array" ref="AR272">VLOOKUP($A272,Table_ship_components[],COLUMN(AR:AR),0)</f>
        <v>2</v>
      </c>
      <c r="AS272" cm="1">
        <f t="array" ref="AS272">VLOOKUP($A272,Table_ship_components[],COLUMN(AS:AS),0)</f>
        <v>0</v>
      </c>
      <c r="AT272" cm="1">
        <f t="array" ref="AT272">VLOOKUP($A272,Table_ship_components[],COLUMN(AT:AT),0)</f>
        <v>0</v>
      </c>
      <c r="AU272" s="2" cm="1">
        <f t="array" ref="AU272">VLOOKUP($A272,Table_ship_components[],COLUMN(AU:AU),0)</f>
        <v>0</v>
      </c>
      <c r="AV272" s="2" cm="1">
        <f t="array" ref="AV272">VLOOKUP($A272,Table_ship_components[],COLUMN(AV:AV),0)</f>
        <v>0</v>
      </c>
      <c r="AW272" s="2" cm="1">
        <f t="array" ref="AW272">VLOOKUP($A272,Table_ship_components[],COLUMN(AW:AW),0)</f>
        <v>0</v>
      </c>
      <c r="AX272" s="2" cm="1">
        <f t="array" ref="AX272">VLOOKUP($A272,Table_ship_components[],COLUMN(AX:AX),0)</f>
        <v>0</v>
      </c>
      <c r="AY272" s="2" cm="1">
        <f t="array" ref="AY272">VLOOKUP($A272,Table_ship_components[],COLUMN(AY:AY),0)</f>
        <v>0</v>
      </c>
      <c r="AZ272" s="2" t="str" cm="1">
        <f t="array" ref="AZ272">VLOOKUP($A272,Table_ship_components[],COLUMN(AZ:AZ),0)</f>
        <v>C</v>
      </c>
      <c r="BA272" s="14" cm="1">
        <f t="array" ref="BA272">VLOOKUP($A272,Table_ship_components[],COLUMN(BA:BA),0)</f>
        <v>1000000</v>
      </c>
      <c r="BB272" s="14" cm="1">
        <f t="array" ref="BB272">(VLOOKUP($A272,Table_ship_components[],COLUMN(BA:BA),0)+(W272*C272))</f>
        <v>1000000</v>
      </c>
      <c r="BC272" s="2" cm="1">
        <f t="array" ref="BC272">VLOOKUP($A272,Table_ship_components[],COLUMN(BC:BC),0)</f>
        <v>0</v>
      </c>
      <c r="BD272" s="2" cm="1">
        <f t="array" ref="BD272">VLOOKUP($A272,Table_ship_components[],COLUMN(BD:BD),0)</f>
        <v>0</v>
      </c>
    </row>
    <row r="273" spans="1:56" outlineLevel="1" x14ac:dyDescent="0.35">
      <c r="A273" t="s">
        <v>315</v>
      </c>
      <c r="B273" t="str" cm="1">
        <f t="array" ref="B273">VLOOKUP($A273,Table_ship_components[],COLUMN(B:B),0)</f>
        <v>cargo space (1 HUGE item per unit)</v>
      </c>
      <c r="C273" s="2">
        <v>5</v>
      </c>
      <c r="D273" cm="1">
        <f t="array" ref="D273">VLOOKUP($A273,Table_ship_components[],COLUMN(D:D),0)</f>
        <v>0</v>
      </c>
      <c r="E273" cm="1">
        <f t="array" ref="E273">ROUND(VLOOKUP($A273,Table_ship_components[],COLUMN(D:D),0)+(V273*C273),0)</f>
        <v>5</v>
      </c>
      <c r="F273" cm="1">
        <f t="array" ref="F273">VLOOKUP($A273,Table_ship_components[],COLUMN(F:F),0)</f>
        <v>0</v>
      </c>
      <c r="G273" cm="1">
        <f t="array" ref="G273">ROUND(VLOOKUP($A273,Table_ship_components[],COLUMN(G:G),0)+(X273*C273),0)</f>
        <v>0</v>
      </c>
      <c r="H273" cm="1">
        <f t="array" ref="H273">VLOOKUP($A273,Table_ship_components[],COLUMN(H:H),0)</f>
        <v>0</v>
      </c>
      <c r="I273" cm="1">
        <f t="array" ref="I273">VLOOKUP($A273,Table_ship_components[],COLUMN(I:I),0)</f>
        <v>0</v>
      </c>
      <c r="J273" cm="1">
        <f t="array" ref="J273">VLOOKUP($A273,Table_ship_components[],COLUMN(J:J),0)</f>
        <v>0</v>
      </c>
      <c r="K273" cm="1">
        <f t="array" ref="K273">VLOOKUP($A273,Table_ship_components[],COLUMN(K:K),0)</f>
        <v>0</v>
      </c>
      <c r="L273" cm="1">
        <f t="array" ref="L273">VLOOKUP($A273,Table_ship_components[],COLUMN(L:L),0)</f>
        <v>0</v>
      </c>
      <c r="M273" cm="1">
        <f t="array" ref="M273">VLOOKUP($A273,Table_ship_components[],COLUMN(M:M),0)</f>
        <v>0</v>
      </c>
      <c r="N273" cm="1">
        <f t="array" ref="N273">VLOOKUP($A273,Table_ship_components[],COLUMN(N:N),0)</f>
        <v>1</v>
      </c>
      <c r="O273" cm="1">
        <f t="array" ref="O273">VLOOKUP($A273,Table_ship_components[],COLUMN(O:O),0)</f>
        <v>1</v>
      </c>
      <c r="P273" cm="1">
        <f t="array" ref="P273">VLOOKUP($A273,Table_ship_components[],COLUMN(P:P),0)</f>
        <v>1</v>
      </c>
      <c r="Q273" cm="1">
        <f t="array" ref="Q273">VLOOKUP($A273,Table_ship_components[],COLUMN(Q:Q),0)</f>
        <v>1</v>
      </c>
      <c r="R273" cm="1">
        <f t="array" ref="R273">VLOOKUP($A273,Table_ship_components[],COLUMN(R:R),0)</f>
        <v>1</v>
      </c>
      <c r="S273" cm="1">
        <f t="array" ref="S273">VLOOKUP($A273,Table_ship_components[],COLUMN(S:S),0)</f>
        <v>1</v>
      </c>
      <c r="T273" cm="1">
        <f t="array" ref="T273">VLOOKUP($A273,Table_ship_components[],COLUMN(T:T),0)</f>
        <v>1</v>
      </c>
      <c r="U273" cm="1">
        <f t="array" ref="U273">VLOOKUP($A273,Table_ship_components[],COLUMN(U:U),0)</f>
        <v>1</v>
      </c>
      <c r="V273" cm="1">
        <f t="array" ref="V273">VLOOKUP($A273,Table_ship_components[],COLUMN(V:V),0)</f>
        <v>1</v>
      </c>
      <c r="W273" s="15" cm="1">
        <f t="array" ref="W273">VLOOKUP($A273,Table_ship_components[],COLUMN(W:W),0)</f>
        <v>5000</v>
      </c>
      <c r="X273" cm="1">
        <f t="array" ref="X273">VLOOKUP($A273,Table_ship_components[],COLUMN(X:X),0)</f>
        <v>0</v>
      </c>
      <c r="Y273" cm="1">
        <f t="array" ref="Y273">VLOOKUP($A273,Table_ship_components[],COLUMN(Y:Y),0)</f>
        <v>0</v>
      </c>
      <c r="Z273" cm="1">
        <f t="array" ref="Z273">VLOOKUP($A273,Table_ship_components[],COLUMN(Z:Z),0)</f>
        <v>0</v>
      </c>
      <c r="AA273" cm="1">
        <f t="array" ref="AA273">VLOOKUP($A273,Table_ship_components[],COLUMN(AA:AA),0)*C273</f>
        <v>0</v>
      </c>
      <c r="AB273">
        <f t="shared" si="9"/>
        <v>5</v>
      </c>
      <c r="AC273" cm="1">
        <f t="array" ref="AC273">VLOOKUP($A273,Table_ship_components[],COLUMN(AC:AC),0)*C273</f>
        <v>0</v>
      </c>
      <c r="AD273" cm="1">
        <f t="array" ref="AD273">VLOOKUP($A273,Table_ship_components[],COLUMN(AD:AD),0)</f>
        <v>0</v>
      </c>
      <c r="AE273" cm="1">
        <f t="array" ref="AE273">VLOOKUP($A273,Table_ship_components[],COLUMN(AE:AE),0)</f>
        <v>0</v>
      </c>
      <c r="AF273" cm="1">
        <f t="array" ref="AF273">VLOOKUP($A273,Table_ship_components[],COLUMN(AF:AF),0)</f>
        <v>0</v>
      </c>
      <c r="AG273" cm="1">
        <f t="array" ref="AG273">VLOOKUP($A273,Table_ship_components[],COLUMN(AG:AG),0)</f>
        <v>0</v>
      </c>
      <c r="AH273" cm="1">
        <f t="array" ref="AH273">VLOOKUP($A273,Table_ship_components[],COLUMN(AH:AH),0)</f>
        <v>0</v>
      </c>
      <c r="AI273" cm="1">
        <f t="array" ref="AI273">VLOOKUP($A273,Table_ship_components[],COLUMN(AI:AI),0)</f>
        <v>0</v>
      </c>
      <c r="AJ273" cm="1">
        <f t="array" ref="AJ273">VLOOKUP($A273,Table_ship_components[],COLUMN(AJ:AJ),0)</f>
        <v>0</v>
      </c>
      <c r="AK273" cm="1">
        <f t="array" ref="AK273">VLOOKUP($A273,Table_ship_components[],COLUMN(AK:AK),0)</f>
        <v>0</v>
      </c>
      <c r="AL273" cm="1">
        <f t="array" ref="AL273">VLOOKUP($A273,Table_ship_components[],COLUMN(AL:AL),0)</f>
        <v>0</v>
      </c>
      <c r="AM273" cm="1">
        <f t="array" ref="AM273">VLOOKUP($A273,Table_ship_components[],COLUMN(AM:AM),0)</f>
        <v>0</v>
      </c>
      <c r="AN273" cm="1">
        <f t="array" ref="AN273">VLOOKUP($A273,Table_ship_components[],COLUMN(AN:AN),0)</f>
        <v>0</v>
      </c>
      <c r="AO273" cm="1">
        <f t="array" ref="AO273">VLOOKUP($A273,Table_ship_components[],COLUMN(AO:AO),0)</f>
        <v>0</v>
      </c>
      <c r="AP273" cm="1">
        <f t="array" ref="AP273">VLOOKUP($A273,Table_ship_components[],COLUMN(AP:AP),0)</f>
        <v>0</v>
      </c>
      <c r="AQ273" cm="1">
        <f t="array" ref="AQ273">VLOOKUP($A273,Table_ship_components[],COLUMN(AQ:AQ),0)</f>
        <v>0</v>
      </c>
      <c r="AR273" cm="1">
        <f t="array" ref="AR273">VLOOKUP($A273,Table_ship_components[],COLUMN(AR:AR),0)</f>
        <v>0</v>
      </c>
      <c r="AS273" cm="1">
        <f t="array" ref="AS273">VLOOKUP($A273,Table_ship_components[],COLUMN(AS:AS),0)</f>
        <v>0</v>
      </c>
      <c r="AT273" cm="1">
        <f t="array" ref="AT273">VLOOKUP($A273,Table_ship_components[],COLUMN(AT:AT),0)</f>
        <v>0</v>
      </c>
      <c r="AU273" s="2" cm="1">
        <f t="array" ref="AU273">VLOOKUP($A273,Table_ship_components[],COLUMN(AU:AU),0)</f>
        <v>0</v>
      </c>
      <c r="AV273" s="2" cm="1">
        <f t="array" ref="AV273">VLOOKUP($A273,Table_ship_components[],COLUMN(AV:AV),0)</f>
        <v>0</v>
      </c>
      <c r="AW273" s="2" cm="1">
        <f t="array" ref="AW273">VLOOKUP($A273,Table_ship_components[],COLUMN(AW:AW),0)</f>
        <v>0</v>
      </c>
      <c r="AX273" s="2" cm="1">
        <f t="array" ref="AX273">VLOOKUP($A273,Table_ship_components[],COLUMN(AX:AX),0)</f>
        <v>0</v>
      </c>
      <c r="AY273" s="2" cm="1">
        <f t="array" ref="AY273">VLOOKUP($A273,Table_ship_components[],COLUMN(AY:AY),0)</f>
        <v>0</v>
      </c>
      <c r="AZ273" s="2" t="str" cm="1">
        <f t="array" ref="AZ273">VLOOKUP($A273,Table_ship_components[],COLUMN(AZ:AZ),0)</f>
        <v>C</v>
      </c>
      <c r="BA273" s="14" cm="1">
        <f t="array" ref="BA273">VLOOKUP($A273,Table_ship_components[],COLUMN(BA:BA),0)</f>
        <v>5000</v>
      </c>
      <c r="BB273" s="14" cm="1">
        <f t="array" ref="BB273">(VLOOKUP($A273,Table_ship_components[],COLUMN(BA:BA),0)+(W273*C273))</f>
        <v>30000</v>
      </c>
      <c r="BC273" s="2" cm="1">
        <f t="array" ref="BC273">VLOOKUP($A273,Table_ship_components[],COLUMN(BC:BC),0)</f>
        <v>0</v>
      </c>
      <c r="BD273" s="2" cm="1">
        <f t="array" ref="BD273">VLOOKUP($A273,Table_ship_components[],COLUMN(BD:BD),0)</f>
        <v>0</v>
      </c>
    </row>
    <row r="274" spans="1:56" outlineLevel="1" x14ac:dyDescent="0.35">
      <c r="A274" t="s">
        <v>364</v>
      </c>
      <c r="B274" t="str" cm="1">
        <f t="array" ref="B274">VLOOKUP($A274,Table_ship_components[],COLUMN(B:B),0)</f>
        <v>average life support for a corvette</v>
      </c>
      <c r="C274" s="2">
        <v>15</v>
      </c>
      <c r="D274" cm="1">
        <f t="array" ref="D274">VLOOKUP($A274,Table_ship_components[],COLUMN(D:D),0)</f>
        <v>7</v>
      </c>
      <c r="E274" cm="1">
        <f t="array" ref="E274">ROUND(VLOOKUP($A274,Table_ship_components[],COLUMN(D:D),0)+(V274*C274),0)</f>
        <v>15</v>
      </c>
      <c r="F274" cm="1">
        <f t="array" ref="F274">VLOOKUP($A274,Table_ship_components[],COLUMN(F:F),0)</f>
        <v>6</v>
      </c>
      <c r="G274" cm="1">
        <f t="array" ref="G274">ROUND(VLOOKUP($A274,Table_ship_components[],COLUMN(G:G),0)+(X274*C274),0)</f>
        <v>14</v>
      </c>
      <c r="H274" cm="1">
        <f t="array" ref="H274">VLOOKUP($A274,Table_ship_components[],COLUMN(H:H),0)</f>
        <v>0</v>
      </c>
      <c r="I274" cm="1">
        <f t="array" ref="I274">VLOOKUP($A274,Table_ship_components[],COLUMN(I:I),0)</f>
        <v>0</v>
      </c>
      <c r="J274" cm="1">
        <f t="array" ref="J274">VLOOKUP($A274,Table_ship_components[],COLUMN(J:J),0)</f>
        <v>0</v>
      </c>
      <c r="K274" cm="1">
        <f t="array" ref="K274">VLOOKUP($A274,Table_ship_components[],COLUMN(K:K),0)</f>
        <v>0</v>
      </c>
      <c r="L274" cm="1">
        <f t="array" ref="L274">VLOOKUP($A274,Table_ship_components[],COLUMN(L:L),0)</f>
        <v>0</v>
      </c>
      <c r="M274" cm="1">
        <f t="array" ref="M274">VLOOKUP($A274,Table_ship_components[],COLUMN(M:M),0)</f>
        <v>0</v>
      </c>
      <c r="N274" cm="1">
        <f t="array" ref="N274">VLOOKUP($A274,Table_ship_components[],COLUMN(N:N),0)</f>
        <v>0</v>
      </c>
      <c r="O274" cm="1">
        <f t="array" ref="O274">VLOOKUP($A274,Table_ship_components[],COLUMN(O:O),0)</f>
        <v>1</v>
      </c>
      <c r="P274" cm="1">
        <f t="array" ref="P274">VLOOKUP($A274,Table_ship_components[],COLUMN(P:P),0)</f>
        <v>0</v>
      </c>
      <c r="Q274" cm="1">
        <f t="array" ref="Q274">VLOOKUP($A274,Table_ship_components[],COLUMN(Q:Q),0)</f>
        <v>0</v>
      </c>
      <c r="R274" cm="1">
        <f t="array" ref="R274">VLOOKUP($A274,Table_ship_components[],COLUMN(R:R),0)</f>
        <v>0</v>
      </c>
      <c r="S274" cm="1">
        <f t="array" ref="S274">VLOOKUP($A274,Table_ship_components[],COLUMN(S:S),0)</f>
        <v>0</v>
      </c>
      <c r="T274" cm="1">
        <f t="array" ref="T274">VLOOKUP($A274,Table_ship_components[],COLUMN(T:T),0)</f>
        <v>0</v>
      </c>
      <c r="U274" cm="1">
        <f t="array" ref="U274">VLOOKUP($A274,Table_ship_components[],COLUMN(U:U),0)</f>
        <v>1</v>
      </c>
      <c r="V274" cm="1">
        <f t="array" ref="V274">VLOOKUP($A274,Table_ship_components[],COLUMN(V:V),0)</f>
        <v>0.5</v>
      </c>
      <c r="W274" s="15" cm="1">
        <f t="array" ref="W274">VLOOKUP($A274,Table_ship_components[],COLUMN(W:W),0)</f>
        <v>25000</v>
      </c>
      <c r="X274" cm="1">
        <f t="array" ref="X274">VLOOKUP($A274,Table_ship_components[],COLUMN(X:X),0)</f>
        <v>0.5</v>
      </c>
      <c r="Y274" cm="1">
        <f t="array" ref="Y274">VLOOKUP($A274,Table_ship_components[],COLUMN(Y:Y),0)</f>
        <v>0</v>
      </c>
      <c r="Z274" cm="1">
        <f t="array" ref="Z274">VLOOKUP($A274,Table_ship_components[],COLUMN(Z:Z),0)</f>
        <v>0</v>
      </c>
      <c r="AA274" cm="1">
        <f t="array" ref="AA274">VLOOKUP($A274,Table_ship_components[],COLUMN(AA:AA),0)*C274</f>
        <v>0</v>
      </c>
      <c r="AB274">
        <f t="shared" si="9"/>
        <v>0</v>
      </c>
      <c r="AC274" cm="1">
        <f t="array" ref="AC274">VLOOKUP($A274,Table_ship_components[],COLUMN(AC:AC),0)*C274</f>
        <v>15</v>
      </c>
      <c r="AD274" cm="1">
        <f t="array" ref="AD274">VLOOKUP($A274,Table_ship_components[],COLUMN(AD:AD),0)</f>
        <v>50</v>
      </c>
      <c r="AE274" cm="1">
        <f t="array" ref="AE274">VLOOKUP($A274,Table_ship_components[],COLUMN(AE:AE),0)</f>
        <v>0</v>
      </c>
      <c r="AF274" cm="1">
        <f t="array" ref="AF274">VLOOKUP($A274,Table_ship_components[],COLUMN(AF:AF),0)</f>
        <v>0</v>
      </c>
      <c r="AG274" cm="1">
        <f t="array" ref="AG274">VLOOKUP($A274,Table_ship_components[],COLUMN(AG:AG),0)</f>
        <v>0</v>
      </c>
      <c r="AH274" cm="1">
        <f t="array" ref="AH274">VLOOKUP($A274,Table_ship_components[],COLUMN(AH:AH),0)</f>
        <v>0</v>
      </c>
      <c r="AI274" cm="1">
        <f t="array" ref="AI274">VLOOKUP($A274,Table_ship_components[],COLUMN(AI:AI),0)</f>
        <v>0</v>
      </c>
      <c r="AJ274" cm="1">
        <f t="array" ref="AJ274">VLOOKUP($A274,Table_ship_components[],COLUMN(AJ:AJ),0)</f>
        <v>0</v>
      </c>
      <c r="AK274" cm="1">
        <f t="array" ref="AK274">VLOOKUP($A274,Table_ship_components[],COLUMN(AK:AK),0)</f>
        <v>0</v>
      </c>
      <c r="AL274" cm="1">
        <f t="array" ref="AL274">VLOOKUP($A274,Table_ship_components[],COLUMN(AL:AL),0)</f>
        <v>0</v>
      </c>
      <c r="AM274" cm="1">
        <f t="array" ref="AM274">VLOOKUP($A274,Table_ship_components[],COLUMN(AM:AM),0)</f>
        <v>0</v>
      </c>
      <c r="AN274" cm="1">
        <f t="array" ref="AN274">VLOOKUP($A274,Table_ship_components[],COLUMN(AN:AN),0)</f>
        <v>0</v>
      </c>
      <c r="AO274" cm="1">
        <f t="array" ref="AO274">VLOOKUP($A274,Table_ship_components[],COLUMN(AO:AO),0)</f>
        <v>0</v>
      </c>
      <c r="AP274" cm="1">
        <f t="array" ref="AP274">VLOOKUP($A274,Table_ship_components[],COLUMN(AP:AP),0)</f>
        <v>0</v>
      </c>
      <c r="AQ274" cm="1">
        <f t="array" ref="AQ274">VLOOKUP($A274,Table_ship_components[],COLUMN(AQ:AQ),0)</f>
        <v>0</v>
      </c>
      <c r="AR274" cm="1">
        <f t="array" ref="AR274">VLOOKUP($A274,Table_ship_components[],COLUMN(AR:AR),0)</f>
        <v>0</v>
      </c>
      <c r="AS274" cm="1">
        <f t="array" ref="AS274">VLOOKUP($A274,Table_ship_components[],COLUMN(AS:AS),0)</f>
        <v>0</v>
      </c>
      <c r="AT274" cm="1">
        <f t="array" ref="AT274">VLOOKUP($A274,Table_ship_components[],COLUMN(AT:AT),0)</f>
        <v>0</v>
      </c>
      <c r="AU274" s="2" cm="1">
        <f t="array" ref="AU274">VLOOKUP($A274,Table_ship_components[],COLUMN(AU:AU),0)</f>
        <v>0</v>
      </c>
      <c r="AV274" s="2" cm="1">
        <f t="array" ref="AV274">VLOOKUP($A274,Table_ship_components[],COLUMN(AV:AV),0)</f>
        <v>0</v>
      </c>
      <c r="AW274" s="2" cm="1">
        <f t="array" ref="AW274">VLOOKUP($A274,Table_ship_components[],COLUMN(AW:AW),0)</f>
        <v>0</v>
      </c>
      <c r="AX274" s="2" cm="1">
        <f t="array" ref="AX274">VLOOKUP($A274,Table_ship_components[],COLUMN(AX:AX),0)</f>
        <v>0</v>
      </c>
      <c r="AY274" s="2" cm="1">
        <f t="array" ref="AY274">VLOOKUP($A274,Table_ship_components[],COLUMN(AY:AY),0)</f>
        <v>0</v>
      </c>
      <c r="AZ274" s="2" t="str" cm="1">
        <f t="array" ref="AZ274">VLOOKUP($A274,Table_ship_components[],COLUMN(AZ:AZ),0)</f>
        <v>C</v>
      </c>
      <c r="BA274" s="14" cm="1">
        <f t="array" ref="BA274">VLOOKUP($A274,Table_ship_components[],COLUMN(BA:BA),0)</f>
        <v>250000</v>
      </c>
      <c r="BB274" s="14" cm="1">
        <f t="array" ref="BB274">(VLOOKUP($A274,Table_ship_components[],COLUMN(BA:BA),0)+(W274*C274))</f>
        <v>625000</v>
      </c>
      <c r="BC274" s="2" cm="1">
        <f t="array" ref="BC274">VLOOKUP($A274,Table_ship_components[],COLUMN(BC:BC),0)</f>
        <v>0</v>
      </c>
      <c r="BD274" s="2" cm="1">
        <f t="array" ref="BD274">VLOOKUP($A274,Table_ship_components[],COLUMN(BD:BD),0)</f>
        <v>0</v>
      </c>
    </row>
    <row r="275" spans="1:56" outlineLevel="1" x14ac:dyDescent="0.35">
      <c r="A275" t="s">
        <v>349</v>
      </c>
      <c r="B275" t="str" cm="1">
        <f t="array" ref="B275">VLOOKUP($A275,Table_ship_components[],COLUMN(B:B),0)</f>
        <v>average automation of crew functions</v>
      </c>
      <c r="D275" cm="1">
        <f t="array" ref="D275">VLOOKUP($A275,Table_ship_components[],COLUMN(D:D),0)</f>
        <v>4</v>
      </c>
      <c r="E275" cm="1">
        <f t="array" ref="E275">ROUND(VLOOKUP($A275,Table_ship_components[],COLUMN(D:D),0)+(V275*C275),0)</f>
        <v>4</v>
      </c>
      <c r="F275" cm="1">
        <f t="array" ref="F275">VLOOKUP($A275,Table_ship_components[],COLUMN(F:F),0)</f>
        <v>5</v>
      </c>
      <c r="G275" cm="1">
        <f t="array" ref="G275">ROUND(VLOOKUP($A275,Table_ship_components[],COLUMN(G:G),0)+(X275*C275),0)</f>
        <v>5</v>
      </c>
      <c r="H275" cm="1">
        <f t="array" ref="H275">VLOOKUP($A275,Table_ship_components[],COLUMN(H:H),0)</f>
        <v>0</v>
      </c>
      <c r="I275" cm="1">
        <f t="array" ref="I275">VLOOKUP($A275,Table_ship_components[],COLUMN(I:I),0)</f>
        <v>0</v>
      </c>
      <c r="J275" cm="1">
        <f t="array" ref="J275">VLOOKUP($A275,Table_ship_components[],COLUMN(J:J),0)</f>
        <v>0</v>
      </c>
      <c r="K275" cm="1">
        <f t="array" ref="K275">VLOOKUP($A275,Table_ship_components[],COLUMN(K:K),0)</f>
        <v>0</v>
      </c>
      <c r="L275" cm="1">
        <f t="array" ref="L275">VLOOKUP($A275,Table_ship_components[],COLUMN(L:L),0)</f>
        <v>0</v>
      </c>
      <c r="M275" cm="1">
        <f t="array" ref="M275">VLOOKUP($A275,Table_ship_components[],COLUMN(M:M),0)</f>
        <v>0</v>
      </c>
      <c r="N275" cm="1">
        <f t="array" ref="N275">VLOOKUP($A275,Table_ship_components[],COLUMN(N:N),0)</f>
        <v>0</v>
      </c>
      <c r="O275" cm="1">
        <f t="array" ref="O275">VLOOKUP($A275,Table_ship_components[],COLUMN(O:O),0)</f>
        <v>1</v>
      </c>
      <c r="P275" cm="1">
        <f t="array" ref="P275">VLOOKUP($A275,Table_ship_components[],COLUMN(P:P),0)</f>
        <v>0</v>
      </c>
      <c r="Q275" cm="1">
        <f t="array" ref="Q275">VLOOKUP($A275,Table_ship_components[],COLUMN(Q:Q),0)</f>
        <v>0</v>
      </c>
      <c r="R275" cm="1">
        <f t="array" ref="R275">VLOOKUP($A275,Table_ship_components[],COLUMN(R:R),0)</f>
        <v>0</v>
      </c>
      <c r="S275" cm="1">
        <f t="array" ref="S275">VLOOKUP($A275,Table_ship_components[],COLUMN(S:S),0)</f>
        <v>0</v>
      </c>
      <c r="T275" cm="1">
        <f t="array" ref="T275">VLOOKUP($A275,Table_ship_components[],COLUMN(T:T),0)</f>
        <v>0</v>
      </c>
      <c r="U275" cm="1">
        <f t="array" ref="U275">VLOOKUP($A275,Table_ship_components[],COLUMN(U:U),0)</f>
        <v>0</v>
      </c>
      <c r="V275" cm="1">
        <f t="array" ref="V275">VLOOKUP($A275,Table_ship_components[],COLUMN(V:V),0)</f>
        <v>0</v>
      </c>
      <c r="W275" s="15" cm="1">
        <f t="array" ref="W275">VLOOKUP($A275,Table_ship_components[],COLUMN(W:W),0)</f>
        <v>0</v>
      </c>
      <c r="X275" cm="1">
        <f t="array" ref="X275">VLOOKUP($A275,Table_ship_components[],COLUMN(X:X),0)</f>
        <v>0</v>
      </c>
      <c r="Y275" cm="1">
        <f t="array" ref="Y275">VLOOKUP($A275,Table_ship_components[],COLUMN(Y:Y),0)</f>
        <v>2</v>
      </c>
      <c r="Z275" cm="1">
        <f t="array" ref="Z275">VLOOKUP($A275,Table_ship_components[],COLUMN(Z:Z),0)</f>
        <v>5</v>
      </c>
      <c r="AA275" cm="1">
        <f t="array" ref="AA275">VLOOKUP($A275,Table_ship_components[],COLUMN(AA:AA),0)*C275</f>
        <v>0</v>
      </c>
      <c r="AB275">
        <f t="shared" si="9"/>
        <v>0</v>
      </c>
      <c r="AC275" cm="1">
        <f t="array" ref="AC275">VLOOKUP($A275,Table_ship_components[],COLUMN(AC:AC),0)*C275</f>
        <v>0</v>
      </c>
      <c r="AD275" cm="1">
        <f t="array" ref="AD275">VLOOKUP($A275,Table_ship_components[],COLUMN(AD:AD),0)</f>
        <v>0</v>
      </c>
      <c r="AE275" cm="1">
        <f t="array" ref="AE275">VLOOKUP($A275,Table_ship_components[],COLUMN(AE:AE),0)</f>
        <v>0</v>
      </c>
      <c r="AF275" cm="1">
        <f t="array" ref="AF275">VLOOKUP($A275,Table_ship_components[],COLUMN(AF:AF),0)</f>
        <v>0</v>
      </c>
      <c r="AG275" cm="1">
        <f t="array" ref="AG275">VLOOKUP($A275,Table_ship_components[],COLUMN(AG:AG),0)</f>
        <v>0</v>
      </c>
      <c r="AH275" cm="1">
        <f t="array" ref="AH275">VLOOKUP($A275,Table_ship_components[],COLUMN(AH:AH),0)</f>
        <v>0</v>
      </c>
      <c r="AI275" cm="1">
        <f t="array" ref="AI275">VLOOKUP($A275,Table_ship_components[],COLUMN(AI:AI),0)</f>
        <v>0</v>
      </c>
      <c r="AJ275" cm="1">
        <f t="array" ref="AJ275">VLOOKUP($A275,Table_ship_components[],COLUMN(AJ:AJ),0)</f>
        <v>0</v>
      </c>
      <c r="AK275" cm="1">
        <f t="array" ref="AK275">VLOOKUP($A275,Table_ship_components[],COLUMN(AK:AK),0)</f>
        <v>0</v>
      </c>
      <c r="AL275" cm="1">
        <f t="array" ref="AL275">VLOOKUP($A275,Table_ship_components[],COLUMN(AL:AL),0)</f>
        <v>0</v>
      </c>
      <c r="AM275" cm="1">
        <f t="array" ref="AM275">VLOOKUP($A275,Table_ship_components[],COLUMN(AM:AM),0)</f>
        <v>0</v>
      </c>
      <c r="AN275" cm="1">
        <f t="array" ref="AN275">VLOOKUP($A275,Table_ship_components[],COLUMN(AN:AN),0)</f>
        <v>0</v>
      </c>
      <c r="AO275" cm="1">
        <f t="array" ref="AO275">VLOOKUP($A275,Table_ship_components[],COLUMN(AO:AO),0)</f>
        <v>0</v>
      </c>
      <c r="AP275" cm="1">
        <f t="array" ref="AP275">VLOOKUP($A275,Table_ship_components[],COLUMN(AP:AP),0)</f>
        <v>0</v>
      </c>
      <c r="AQ275" cm="1">
        <f t="array" ref="AQ275">VLOOKUP($A275,Table_ship_components[],COLUMN(AQ:AQ),0)</f>
        <v>0</v>
      </c>
      <c r="AR275" cm="1">
        <f t="array" ref="AR275">VLOOKUP($A275,Table_ship_components[],COLUMN(AR:AR),0)</f>
        <v>0</v>
      </c>
      <c r="AS275" cm="1">
        <f t="array" ref="AS275">VLOOKUP($A275,Table_ship_components[],COLUMN(AS:AS),0)</f>
        <v>0</v>
      </c>
      <c r="AT275" cm="1">
        <f t="array" ref="AT275">VLOOKUP($A275,Table_ship_components[],COLUMN(AT:AT),0)</f>
        <v>0</v>
      </c>
      <c r="AU275" s="2" cm="1">
        <f t="array" ref="AU275">VLOOKUP($A275,Table_ship_components[],COLUMN(AU:AU),0)</f>
        <v>0</v>
      </c>
      <c r="AV275" s="2" cm="1">
        <f t="array" ref="AV275">VLOOKUP($A275,Table_ship_components[],COLUMN(AV:AV),0)</f>
        <v>0</v>
      </c>
      <c r="AW275" s="2" cm="1">
        <f t="array" ref="AW275">VLOOKUP($A275,Table_ship_components[],COLUMN(AW:AW),0)</f>
        <v>0</v>
      </c>
      <c r="AX275" s="2" cm="1">
        <f t="array" ref="AX275">VLOOKUP($A275,Table_ship_components[],COLUMN(AX:AX),0)</f>
        <v>0</v>
      </c>
      <c r="AY275" s="2" cm="1">
        <f t="array" ref="AY275">VLOOKUP($A275,Table_ship_components[],COLUMN(AY:AY),0)</f>
        <v>0</v>
      </c>
      <c r="AZ275" s="2" t="str" cm="1">
        <f t="array" ref="AZ275">VLOOKUP($A275,Table_ship_components[],COLUMN(AZ:AZ),0)</f>
        <v>C</v>
      </c>
      <c r="BA275" s="14" cm="1">
        <f t="array" ref="BA275">VLOOKUP($A275,Table_ship_components[],COLUMN(BA:BA),0)</f>
        <v>200000</v>
      </c>
      <c r="BB275" s="14" cm="1">
        <f t="array" ref="BB275">(VLOOKUP($A275,Table_ship_components[],COLUMN(BA:BA),0)+(W275*C275))</f>
        <v>200000</v>
      </c>
      <c r="BC275" s="2" cm="1">
        <f t="array" ref="BC275">VLOOKUP($A275,Table_ship_components[],COLUMN(BC:BC),0)</f>
        <v>0</v>
      </c>
      <c r="BD275" s="2" cm="1">
        <f t="array" ref="BD275">VLOOKUP($A275,Table_ship_components[],COLUMN(BD:BD),0)</f>
        <v>0</v>
      </c>
    </row>
    <row r="276" spans="1:56" outlineLevel="1" x14ac:dyDescent="0.35">
      <c r="A276" t="s">
        <v>384</v>
      </c>
      <c r="B276" t="str" cm="1">
        <f t="array" ref="B276">VLOOKUP($A276,Table_ship_components[],COLUMN(B:B),0)</f>
        <v>basic corvette warfare assistance</v>
      </c>
      <c r="D276" cm="1">
        <f t="array" ref="D276">VLOOKUP($A276,Table_ship_components[],COLUMN(D:D),0)</f>
        <v>4</v>
      </c>
      <c r="E276" cm="1">
        <f t="array" ref="E276">ROUND(VLOOKUP($A276,Table_ship_components[],COLUMN(D:D),0)+(V276*C276),0)</f>
        <v>4</v>
      </c>
      <c r="F276" cm="1">
        <f t="array" ref="F276">VLOOKUP($A276,Table_ship_components[],COLUMN(F:F),0)</f>
        <v>4</v>
      </c>
      <c r="G276" cm="1">
        <f t="array" ref="G276">ROUND(VLOOKUP($A276,Table_ship_components[],COLUMN(G:G),0)+(X276*C276),0)</f>
        <v>4</v>
      </c>
      <c r="H276" cm="1">
        <f t="array" ref="H276">VLOOKUP($A276,Table_ship_components[],COLUMN(H:H),0)</f>
        <v>0</v>
      </c>
      <c r="I276" cm="1">
        <f t="array" ref="I276">VLOOKUP($A276,Table_ship_components[],COLUMN(I:I),0)</f>
        <v>0</v>
      </c>
      <c r="J276" cm="1">
        <f t="array" ref="J276">VLOOKUP($A276,Table_ship_components[],COLUMN(J:J),0)</f>
        <v>0</v>
      </c>
      <c r="K276" cm="1">
        <f t="array" ref="K276">VLOOKUP($A276,Table_ship_components[],COLUMN(K:K),0)</f>
        <v>0</v>
      </c>
      <c r="L276" cm="1">
        <f t="array" ref="L276">VLOOKUP($A276,Table_ship_components[],COLUMN(L:L),0)</f>
        <v>0</v>
      </c>
      <c r="M276" cm="1">
        <f t="array" ref="M276">VLOOKUP($A276,Table_ship_components[],COLUMN(M:M),0)</f>
        <v>0</v>
      </c>
      <c r="N276" cm="1">
        <f t="array" ref="N276">VLOOKUP($A276,Table_ship_components[],COLUMN(N:N),0)</f>
        <v>0</v>
      </c>
      <c r="O276" cm="1">
        <f t="array" ref="O276">VLOOKUP($A276,Table_ship_components[],COLUMN(O:O),0)</f>
        <v>1</v>
      </c>
      <c r="P276" cm="1">
        <f t="array" ref="P276">VLOOKUP($A276,Table_ship_components[],COLUMN(P:P),0)</f>
        <v>0</v>
      </c>
      <c r="Q276" cm="1">
        <f t="array" ref="Q276">VLOOKUP($A276,Table_ship_components[],COLUMN(Q:Q),0)</f>
        <v>0</v>
      </c>
      <c r="R276" cm="1">
        <f t="array" ref="R276">VLOOKUP($A276,Table_ship_components[],COLUMN(R:R),0)</f>
        <v>0</v>
      </c>
      <c r="S276" cm="1">
        <f t="array" ref="S276">VLOOKUP($A276,Table_ship_components[],COLUMN(S:S),0)</f>
        <v>0</v>
      </c>
      <c r="T276" cm="1">
        <f t="array" ref="T276">VLOOKUP($A276,Table_ship_components[],COLUMN(T:T),0)</f>
        <v>0</v>
      </c>
      <c r="U276" cm="1">
        <f t="array" ref="U276">VLOOKUP($A276,Table_ship_components[],COLUMN(U:U),0)</f>
        <v>0</v>
      </c>
      <c r="V276" cm="1">
        <f t="array" ref="V276">VLOOKUP($A276,Table_ship_components[],COLUMN(V:V),0)</f>
        <v>0</v>
      </c>
      <c r="W276" s="15" cm="1">
        <f t="array" ref="W276">VLOOKUP($A276,Table_ship_components[],COLUMN(W:W),0)</f>
        <v>0</v>
      </c>
      <c r="X276" cm="1">
        <f t="array" ref="X276">VLOOKUP($A276,Table_ship_components[],COLUMN(X:X),0)</f>
        <v>0</v>
      </c>
      <c r="Y276" cm="1">
        <f t="array" ref="Y276">VLOOKUP($A276,Table_ship_components[],COLUMN(Y:Y),0)</f>
        <v>0</v>
      </c>
      <c r="Z276" cm="1">
        <f t="array" ref="Z276">VLOOKUP($A276,Table_ship_components[],COLUMN(Z:Z),0)</f>
        <v>0</v>
      </c>
      <c r="AA276" cm="1">
        <f t="array" ref="AA276">VLOOKUP($A276,Table_ship_components[],COLUMN(AA:AA),0)*C276</f>
        <v>0</v>
      </c>
      <c r="AB276">
        <f t="shared" si="9"/>
        <v>0</v>
      </c>
      <c r="AC276" cm="1">
        <f t="array" ref="AC276">VLOOKUP($A276,Table_ship_components[],COLUMN(AC:AC),0)*C276</f>
        <v>0</v>
      </c>
      <c r="AD276" cm="1">
        <f t="array" ref="AD276">VLOOKUP($A276,Table_ship_components[],COLUMN(AD:AD),0)</f>
        <v>0</v>
      </c>
      <c r="AE276" cm="1">
        <f t="array" ref="AE276">VLOOKUP($A276,Table_ship_components[],COLUMN(AE:AE),0)</f>
        <v>0</v>
      </c>
      <c r="AF276" cm="1">
        <f t="array" ref="AF276">VLOOKUP($A276,Table_ship_components[],COLUMN(AF:AF),0)</f>
        <v>0</v>
      </c>
      <c r="AG276" cm="1">
        <f t="array" ref="AG276">VLOOKUP($A276,Table_ship_components[],COLUMN(AG:AG),0)</f>
        <v>0</v>
      </c>
      <c r="AH276" cm="1">
        <f t="array" ref="AH276">VLOOKUP($A276,Table_ship_components[],COLUMN(AH:AH),0)</f>
        <v>0</v>
      </c>
      <c r="AI276" cm="1">
        <f t="array" ref="AI276">VLOOKUP($A276,Table_ship_components[],COLUMN(AI:AI),0)</f>
        <v>0</v>
      </c>
      <c r="AJ276" cm="1">
        <f t="array" ref="AJ276">VLOOKUP($A276,Table_ship_components[],COLUMN(AJ:AJ),0)</f>
        <v>0</v>
      </c>
      <c r="AK276" cm="1">
        <f t="array" ref="AK276">VLOOKUP($A276,Table_ship_components[],COLUMN(AK:AK),0)</f>
        <v>0</v>
      </c>
      <c r="AL276" cm="1">
        <f t="array" ref="AL276">VLOOKUP($A276,Table_ship_components[],COLUMN(AL:AL),0)</f>
        <v>0</v>
      </c>
      <c r="AM276" cm="1">
        <f t="array" ref="AM276">VLOOKUP($A276,Table_ship_components[],COLUMN(AM:AM),0)</f>
        <v>0</v>
      </c>
      <c r="AN276" cm="1">
        <f t="array" ref="AN276">VLOOKUP($A276,Table_ship_components[],COLUMN(AN:AN),0)</f>
        <v>0</v>
      </c>
      <c r="AO276" cm="1">
        <f t="array" ref="AO276">VLOOKUP($A276,Table_ship_components[],COLUMN(AO:AO),0)</f>
        <v>0</v>
      </c>
      <c r="AP276" cm="1">
        <f t="array" ref="AP276">VLOOKUP($A276,Table_ship_components[],COLUMN(AP:AP),0)</f>
        <v>0</v>
      </c>
      <c r="AQ276" cm="1">
        <f t="array" ref="AQ276">VLOOKUP($A276,Table_ship_components[],COLUMN(AQ:AQ),0)</f>
        <v>0</v>
      </c>
      <c r="AR276" cm="1">
        <f t="array" ref="AR276">VLOOKUP($A276,Table_ship_components[],COLUMN(AR:AR),0)</f>
        <v>0</v>
      </c>
      <c r="AS276" cm="1">
        <f t="array" ref="AS276">VLOOKUP($A276,Table_ship_components[],COLUMN(AS:AS),0)</f>
        <v>0</v>
      </c>
      <c r="AT276" cm="1">
        <f t="array" ref="AT276">VLOOKUP($A276,Table_ship_components[],COLUMN(AT:AT),0)</f>
        <v>0</v>
      </c>
      <c r="AU276" s="2" cm="1">
        <f t="array" ref="AU276">VLOOKUP($A276,Table_ship_components[],COLUMN(AU:AU),0)</f>
        <v>-1</v>
      </c>
      <c r="AV276" s="2" cm="1">
        <f t="array" ref="AV276">VLOOKUP($A276,Table_ship_components[],COLUMN(AV:AV),0)</f>
        <v>0</v>
      </c>
      <c r="AW276" s="2" cm="1">
        <f t="array" ref="AW276">VLOOKUP($A276,Table_ship_components[],COLUMN(AW:AW),0)</f>
        <v>0</v>
      </c>
      <c r="AX276" s="2" cm="1">
        <f t="array" ref="AX276">VLOOKUP($A276,Table_ship_components[],COLUMN(AX:AX),0)</f>
        <v>0</v>
      </c>
      <c r="AY276" s="2" cm="1">
        <f t="array" ref="AY276">VLOOKUP($A276,Table_ship_components[],COLUMN(AY:AY),0)</f>
        <v>0</v>
      </c>
      <c r="AZ276" s="2" t="str" cm="1">
        <f t="array" ref="AZ276">VLOOKUP($A276,Table_ship_components[],COLUMN(AZ:AZ),0)</f>
        <v>C</v>
      </c>
      <c r="BA276" s="14" cm="1">
        <f t="array" ref="BA276">VLOOKUP($A276,Table_ship_components[],COLUMN(BA:BA),0)</f>
        <v>120000</v>
      </c>
      <c r="BB276" s="14" cm="1">
        <f t="array" ref="BB276">(VLOOKUP($A276,Table_ship_components[],COLUMN(BA:BA),0)+(W276*C276))</f>
        <v>120000</v>
      </c>
      <c r="BC276" s="2" cm="1">
        <f t="array" ref="BC276">VLOOKUP($A276,Table_ship_components[],COLUMN(BC:BC),0)</f>
        <v>0</v>
      </c>
      <c r="BD276" s="2" cm="1">
        <f t="array" ref="BD276">VLOOKUP($A276,Table_ship_components[],COLUMN(BD:BD),0)</f>
        <v>0</v>
      </c>
    </row>
    <row r="277" spans="1:56" outlineLevel="1" x14ac:dyDescent="0.35">
      <c r="A277" t="s">
        <v>320</v>
      </c>
      <c r="B277" t="str" cm="1">
        <f t="array" ref="B277">VLOOKUP($A277,Table_ship_components[],COLUMN(B:B),0)</f>
        <v>basic accomodations and cryo for passengers</v>
      </c>
      <c r="C277" s="2">
        <v>10</v>
      </c>
      <c r="D277" cm="1">
        <f t="array" ref="D277">VLOOKUP($A277,Table_ship_components[],COLUMN(D:D),0)</f>
        <v>3</v>
      </c>
      <c r="E277" cm="1">
        <f t="array" ref="E277">ROUND(VLOOKUP($A277,Table_ship_components[],COLUMN(D:D),0)+(V277*C277),0)</f>
        <v>13</v>
      </c>
      <c r="F277" cm="1">
        <f t="array" ref="F277">VLOOKUP($A277,Table_ship_components[],COLUMN(F:F),0)</f>
        <v>1</v>
      </c>
      <c r="G277" cm="1">
        <f t="array" ref="G277">ROUND(VLOOKUP($A277,Table_ship_components[],COLUMN(G:G),0)+(X277*C277),0)</f>
        <v>11</v>
      </c>
      <c r="H277" cm="1">
        <f t="array" ref="H277">VLOOKUP($A277,Table_ship_components[],COLUMN(H:H),0)</f>
        <v>0</v>
      </c>
      <c r="I277" cm="1">
        <f t="array" ref="I277">VLOOKUP($A277,Table_ship_components[],COLUMN(I:I),0)</f>
        <v>0</v>
      </c>
      <c r="J277" cm="1">
        <f t="array" ref="J277">VLOOKUP($A277,Table_ship_components[],COLUMN(J:J),0)</f>
        <v>0</v>
      </c>
      <c r="K277" cm="1">
        <f t="array" ref="K277">VLOOKUP($A277,Table_ship_components[],COLUMN(K:K),0)</f>
        <v>0</v>
      </c>
      <c r="L277" cm="1">
        <f t="array" ref="L277">VLOOKUP($A277,Table_ship_components[],COLUMN(L:L),0)</f>
        <v>0</v>
      </c>
      <c r="M277" cm="1">
        <f t="array" ref="M277">VLOOKUP($A277,Table_ship_components[],COLUMN(M:M),0)</f>
        <v>0</v>
      </c>
      <c r="N277" cm="1">
        <f t="array" ref="N277">VLOOKUP($A277,Table_ship_components[],COLUMN(N:N),0)</f>
        <v>0</v>
      </c>
      <c r="O277" cm="1">
        <f t="array" ref="O277">VLOOKUP($A277,Table_ship_components[],COLUMN(O:O),0)</f>
        <v>1</v>
      </c>
      <c r="P277" cm="1">
        <f t="array" ref="P277">VLOOKUP($A277,Table_ship_components[],COLUMN(P:P),0)</f>
        <v>1</v>
      </c>
      <c r="Q277" cm="1">
        <f t="array" ref="Q277">VLOOKUP($A277,Table_ship_components[],COLUMN(Q:Q),0)</f>
        <v>1</v>
      </c>
      <c r="R277" cm="1">
        <f t="array" ref="R277">VLOOKUP($A277,Table_ship_components[],COLUMN(R:R),0)</f>
        <v>1</v>
      </c>
      <c r="S277" cm="1">
        <f t="array" ref="S277">VLOOKUP($A277,Table_ship_components[],COLUMN(S:S),0)</f>
        <v>1</v>
      </c>
      <c r="T277" cm="1">
        <f t="array" ref="T277">VLOOKUP($A277,Table_ship_components[],COLUMN(T:T),0)</f>
        <v>1</v>
      </c>
      <c r="U277" cm="1">
        <f t="array" ref="U277">VLOOKUP($A277,Table_ship_components[],COLUMN(U:U),0)</f>
        <v>1</v>
      </c>
      <c r="V277" cm="1">
        <f t="array" ref="V277">VLOOKUP($A277,Table_ship_components[],COLUMN(V:V),0)</f>
        <v>1</v>
      </c>
      <c r="W277" s="15" cm="1">
        <f t="array" ref="W277">VLOOKUP($A277,Table_ship_components[],COLUMN(W:W),0)</f>
        <v>7500</v>
      </c>
      <c r="X277" cm="1">
        <f t="array" ref="X277">VLOOKUP($A277,Table_ship_components[],COLUMN(X:X),0)</f>
        <v>1</v>
      </c>
      <c r="Y277" cm="1">
        <f t="array" ref="Y277">VLOOKUP($A277,Table_ship_components[],COLUMN(Y:Y),0)</f>
        <v>0</v>
      </c>
      <c r="Z277" cm="1">
        <f t="array" ref="Z277">VLOOKUP($A277,Table_ship_components[],COLUMN(Z:Z),0)</f>
        <v>0</v>
      </c>
      <c r="AA277" cm="1">
        <f t="array" ref="AA277">VLOOKUP($A277,Table_ship_components[],COLUMN(AA:AA),0)*C277</f>
        <v>10</v>
      </c>
      <c r="AB277">
        <f t="shared" si="9"/>
        <v>0</v>
      </c>
      <c r="AC277" cm="1">
        <f t="array" ref="AC277">VLOOKUP($A277,Table_ship_components[],COLUMN(AC:AC),0)*C277</f>
        <v>0</v>
      </c>
      <c r="AD277" cm="1">
        <f t="array" ref="AD277">VLOOKUP($A277,Table_ship_components[],COLUMN(AD:AD),0)</f>
        <v>0</v>
      </c>
      <c r="AE277" cm="1">
        <f t="array" ref="AE277">VLOOKUP($A277,Table_ship_components[],COLUMN(AE:AE),0)</f>
        <v>0</v>
      </c>
      <c r="AF277" cm="1">
        <f t="array" ref="AF277">VLOOKUP($A277,Table_ship_components[],COLUMN(AF:AF),0)</f>
        <v>0</v>
      </c>
      <c r="AG277" cm="1">
        <f t="array" ref="AG277">VLOOKUP($A277,Table_ship_components[],COLUMN(AG:AG),0)</f>
        <v>0</v>
      </c>
      <c r="AH277" cm="1">
        <f t="array" ref="AH277">VLOOKUP($A277,Table_ship_components[],COLUMN(AH:AH),0)</f>
        <v>0</v>
      </c>
      <c r="AI277" cm="1">
        <f t="array" ref="AI277">VLOOKUP($A277,Table_ship_components[],COLUMN(AI:AI),0)</f>
        <v>0</v>
      </c>
      <c r="AJ277" cm="1">
        <f t="array" ref="AJ277">VLOOKUP($A277,Table_ship_components[],COLUMN(AJ:AJ),0)</f>
        <v>0</v>
      </c>
      <c r="AK277" cm="1">
        <f t="array" ref="AK277">VLOOKUP($A277,Table_ship_components[],COLUMN(AK:AK),0)</f>
        <v>0</v>
      </c>
      <c r="AL277" cm="1">
        <f t="array" ref="AL277">VLOOKUP($A277,Table_ship_components[],COLUMN(AL:AL),0)</f>
        <v>0</v>
      </c>
      <c r="AM277" cm="1">
        <f t="array" ref="AM277">VLOOKUP($A277,Table_ship_components[],COLUMN(AM:AM),0)</f>
        <v>0</v>
      </c>
      <c r="AN277" cm="1">
        <f t="array" ref="AN277">VLOOKUP($A277,Table_ship_components[],COLUMN(AN:AN),0)</f>
        <v>0</v>
      </c>
      <c r="AO277" cm="1">
        <f t="array" ref="AO277">VLOOKUP($A277,Table_ship_components[],COLUMN(AO:AO),0)</f>
        <v>0</v>
      </c>
      <c r="AP277" cm="1">
        <f t="array" ref="AP277">VLOOKUP($A277,Table_ship_components[],COLUMN(AP:AP),0)</f>
        <v>0</v>
      </c>
      <c r="AQ277" cm="1">
        <f t="array" ref="AQ277">VLOOKUP($A277,Table_ship_components[],COLUMN(AQ:AQ),0)</f>
        <v>0</v>
      </c>
      <c r="AR277" cm="1">
        <f t="array" ref="AR277">VLOOKUP($A277,Table_ship_components[],COLUMN(AR:AR),0)</f>
        <v>0</v>
      </c>
      <c r="AS277" cm="1">
        <f t="array" ref="AS277">VLOOKUP($A277,Table_ship_components[],COLUMN(AS:AS),0)</f>
        <v>0</v>
      </c>
      <c r="AT277" cm="1">
        <f t="array" ref="AT277">VLOOKUP($A277,Table_ship_components[],COLUMN(AT:AT),0)</f>
        <v>0</v>
      </c>
      <c r="AU277" s="2" cm="1">
        <f t="array" ref="AU277">VLOOKUP($A277,Table_ship_components[],COLUMN(AU:AU),0)</f>
        <v>0</v>
      </c>
      <c r="AV277" s="2" cm="1">
        <f t="array" ref="AV277">VLOOKUP($A277,Table_ship_components[],COLUMN(AV:AV),0)</f>
        <v>0</v>
      </c>
      <c r="AW277" s="2" cm="1">
        <f t="array" ref="AW277">VLOOKUP($A277,Table_ship_components[],COLUMN(AW:AW),0)</f>
        <v>0</v>
      </c>
      <c r="AX277" s="2" cm="1">
        <f t="array" ref="AX277">VLOOKUP($A277,Table_ship_components[],COLUMN(AX:AX),0)</f>
        <v>0</v>
      </c>
      <c r="AY277" s="2" cm="1">
        <f t="array" ref="AY277">VLOOKUP($A277,Table_ship_components[],COLUMN(AY:AY),0)</f>
        <v>0</v>
      </c>
      <c r="AZ277" s="2" t="str" cm="1">
        <f t="array" ref="AZ277">VLOOKUP($A277,Table_ship_components[],COLUMN(AZ:AZ),0)</f>
        <v>C</v>
      </c>
      <c r="BA277" s="14" cm="1">
        <f t="array" ref="BA277">VLOOKUP($A277,Table_ship_components[],COLUMN(BA:BA),0)</f>
        <v>75000</v>
      </c>
      <c r="BB277" s="14" cm="1">
        <f t="array" ref="BB277">(VLOOKUP($A277,Table_ship_components[],COLUMN(BA:BA),0)+(W277*C277))</f>
        <v>150000</v>
      </c>
      <c r="BC277" s="2" cm="1">
        <f t="array" ref="BC277">VLOOKUP($A277,Table_ship_components[],COLUMN(BC:BC),0)</f>
        <v>0</v>
      </c>
      <c r="BD277" s="2" cm="1">
        <f t="array" ref="BD277">VLOOKUP($A277,Table_ship_components[],COLUMN(BD:BD),0)</f>
        <v>0</v>
      </c>
    </row>
    <row r="278" spans="1:56" outlineLevel="1" x14ac:dyDescent="0.35">
      <c r="A278" s="18" t="s">
        <v>425</v>
      </c>
      <c r="B278" s="19" t="str">
        <f>CONCATENATE("SIZE ",(SUM(E279:E286)),"/",AY259,"  POWER ",(SUM(G279:G286)))</f>
        <v>SIZE 20/20  POWER 0</v>
      </c>
      <c r="AU278" s="2"/>
      <c r="AV278" s="2"/>
      <c r="AW278" s="2"/>
      <c r="AX278" s="2"/>
      <c r="AY278" s="2"/>
      <c r="AZ278" s="2"/>
      <c r="BA278" s="14"/>
      <c r="BB278" s="14"/>
      <c r="BC278" s="2"/>
      <c r="BD278" s="2"/>
    </row>
    <row r="279" spans="1:56" outlineLevel="1" x14ac:dyDescent="0.35">
      <c r="A279" t="s">
        <v>392</v>
      </c>
      <c r="B279" t="str" cm="1">
        <f t="array" ref="B279">VLOOKUP($A279,Table_ship_components[],COLUMN(B:B),0)</f>
        <v>corvette landing package</v>
      </c>
      <c r="D279" cm="1">
        <f t="array" ref="D279">VLOOKUP($A279,Table_ship_components[],COLUMN(D:D),0)</f>
        <v>10</v>
      </c>
      <c r="E279" cm="1">
        <f t="array" ref="E279">ROUND(VLOOKUP($A279,Table_ship_components[],COLUMN(D:D),0)+(V279*C279),0)</f>
        <v>10</v>
      </c>
      <c r="F279" cm="1">
        <f t="array" ref="F279">VLOOKUP($A279,Table_ship_components[],COLUMN(F:F),0)</f>
        <v>0</v>
      </c>
      <c r="G279" cm="1">
        <f t="array" ref="G279">ROUND(VLOOKUP($A279,Table_ship_components[],COLUMN(G:G),0)+(X279*C279),0)</f>
        <v>0</v>
      </c>
      <c r="H279" cm="1">
        <f t="array" ref="H279">VLOOKUP($A279,Table_ship_components[],COLUMN(H:H),0)</f>
        <v>4</v>
      </c>
      <c r="I279" cm="1">
        <f t="array" ref="I279">VLOOKUP($A279,Table_ship_components[],COLUMN(I:I),0)</f>
        <v>0</v>
      </c>
      <c r="J279" cm="1">
        <f t="array" ref="J279">VLOOKUP($A279,Table_ship_components[],COLUMN(J:J),0)</f>
        <v>0</v>
      </c>
      <c r="K279" cm="1">
        <f t="array" ref="K279">VLOOKUP($A279,Table_ship_components[],COLUMN(K:K),0)</f>
        <v>0</v>
      </c>
      <c r="L279" cm="1">
        <f t="array" ref="L279">VLOOKUP($A279,Table_ship_components[],COLUMN(L:L),0)</f>
        <v>0</v>
      </c>
      <c r="M279" cm="1">
        <f t="array" ref="M279">VLOOKUP($A279,Table_ship_components[],COLUMN(M:M),0)</f>
        <v>0</v>
      </c>
      <c r="N279" cm="1">
        <f t="array" ref="N279">VLOOKUP($A279,Table_ship_components[],COLUMN(N:N),0)</f>
        <v>1</v>
      </c>
      <c r="O279" cm="1">
        <f t="array" ref="O279">VLOOKUP($A279,Table_ship_components[],COLUMN(O:O),0)</f>
        <v>0</v>
      </c>
      <c r="P279" cm="1">
        <f t="array" ref="P279">VLOOKUP($A279,Table_ship_components[],COLUMN(P:P),0)</f>
        <v>0</v>
      </c>
      <c r="Q279" cm="1">
        <f t="array" ref="Q279">VLOOKUP($A279,Table_ship_components[],COLUMN(Q:Q),0)</f>
        <v>0</v>
      </c>
      <c r="R279" cm="1">
        <f t="array" ref="R279">VLOOKUP($A279,Table_ship_components[],COLUMN(R:R),0)</f>
        <v>0</v>
      </c>
      <c r="S279" cm="1">
        <f t="array" ref="S279">VLOOKUP($A279,Table_ship_components[],COLUMN(S:S),0)</f>
        <v>0</v>
      </c>
      <c r="T279" cm="1">
        <f t="array" ref="T279">VLOOKUP($A279,Table_ship_components[],COLUMN(T:T),0)</f>
        <v>0</v>
      </c>
      <c r="U279" cm="1">
        <f t="array" ref="U279">VLOOKUP($A279,Table_ship_components[],COLUMN(U:U),0)</f>
        <v>0</v>
      </c>
      <c r="V279" cm="1">
        <f t="array" ref="V279">VLOOKUP($A279,Table_ship_components[],COLUMN(V:V),0)</f>
        <v>0</v>
      </c>
      <c r="W279" s="15" cm="1">
        <f t="array" ref="W279">VLOOKUP($A279,Table_ship_components[],COLUMN(W:W),0)</f>
        <v>0</v>
      </c>
      <c r="X279" cm="1">
        <f t="array" ref="X279">VLOOKUP($A279,Table_ship_components[],COLUMN(X:X),0)</f>
        <v>0</v>
      </c>
      <c r="Y279" cm="1">
        <f t="array" ref="Y279">VLOOKUP($A279,Table_ship_components[],COLUMN(Y:Y),0)</f>
        <v>0</v>
      </c>
      <c r="Z279" cm="1">
        <f t="array" ref="Z279">VLOOKUP($A279,Table_ship_components[],COLUMN(Z:Z),0)</f>
        <v>0</v>
      </c>
      <c r="AA279" cm="1">
        <f t="array" ref="AA279">VLOOKUP($A279,Table_ship_components[],COLUMN(AA:AA),0)*C279</f>
        <v>0</v>
      </c>
      <c r="AB279">
        <f t="shared" ref="AB279:AB286" si="10">IF(A279="CARGOSPACE_0-ALL_0-UNIVERSAL",C279,0)</f>
        <v>0</v>
      </c>
      <c r="AC279" cm="1">
        <f t="array" ref="AC279">VLOOKUP($A279,Table_ship_components[],COLUMN(AC:AC),0)*C279</f>
        <v>0</v>
      </c>
      <c r="AD279" cm="1">
        <f t="array" ref="AD279">VLOOKUP($A279,Table_ship_components[],COLUMN(AD:AD),0)</f>
        <v>0</v>
      </c>
      <c r="AE279" cm="1">
        <f t="array" ref="AE279">VLOOKUP($A279,Table_ship_components[],COLUMN(AE:AE),0)</f>
        <v>0</v>
      </c>
      <c r="AF279" cm="1">
        <f t="array" ref="AF279">VLOOKUP($A279,Table_ship_components[],COLUMN(AF:AF),0)</f>
        <v>0</v>
      </c>
      <c r="AG279" cm="1">
        <f t="array" ref="AG279">VLOOKUP($A279,Table_ship_components[],COLUMN(AG:AG),0)</f>
        <v>1</v>
      </c>
      <c r="AH279" cm="1">
        <f t="array" ref="AH279">VLOOKUP($A279,Table_ship_components[],COLUMN(AH:AH),0)</f>
        <v>0</v>
      </c>
      <c r="AI279" cm="1">
        <f t="array" ref="AI279">VLOOKUP($A279,Table_ship_components[],COLUMN(AI:AI),0)</f>
        <v>0</v>
      </c>
      <c r="AJ279" cm="1">
        <f t="array" ref="AJ279">VLOOKUP($A279,Table_ship_components[],COLUMN(AJ:AJ),0)</f>
        <v>0</v>
      </c>
      <c r="AK279" cm="1">
        <f t="array" ref="AK279">VLOOKUP($A279,Table_ship_components[],COLUMN(AK:AK),0)</f>
        <v>0</v>
      </c>
      <c r="AL279" cm="1">
        <f t="array" ref="AL279">VLOOKUP($A279,Table_ship_components[],COLUMN(AL:AL),0)</f>
        <v>0</v>
      </c>
      <c r="AM279" cm="1">
        <f t="array" ref="AM279">VLOOKUP($A279,Table_ship_components[],COLUMN(AM:AM),0)</f>
        <v>0</v>
      </c>
      <c r="AN279" cm="1">
        <f t="array" ref="AN279">VLOOKUP($A279,Table_ship_components[],COLUMN(AN:AN),0)</f>
        <v>0</v>
      </c>
      <c r="AO279" cm="1">
        <f t="array" ref="AO279">VLOOKUP($A279,Table_ship_components[],COLUMN(AO:AO),0)</f>
        <v>0</v>
      </c>
      <c r="AP279" cm="1">
        <f t="array" ref="AP279">VLOOKUP($A279,Table_ship_components[],COLUMN(AP:AP),0)</f>
        <v>0</v>
      </c>
      <c r="AQ279" cm="1">
        <f t="array" ref="AQ279">VLOOKUP($A279,Table_ship_components[],COLUMN(AQ:AQ),0)</f>
        <v>0</v>
      </c>
      <c r="AR279" cm="1">
        <f t="array" ref="AR279">VLOOKUP($A279,Table_ship_components[],COLUMN(AR:AR),0)</f>
        <v>0</v>
      </c>
      <c r="AS279" cm="1">
        <f t="array" ref="AS279">VLOOKUP($A279,Table_ship_components[],COLUMN(AS:AS),0)</f>
        <v>0</v>
      </c>
      <c r="AT279" cm="1">
        <f t="array" ref="AT279">VLOOKUP($A279,Table_ship_components[],COLUMN(AT:AT),0)</f>
        <v>0</v>
      </c>
      <c r="AU279" s="2" cm="1">
        <f t="array" ref="AU279">VLOOKUP($A279,Table_ship_components[],COLUMN(AU:AU),0)</f>
        <v>0</v>
      </c>
      <c r="AV279" s="2" cm="1">
        <f t="array" ref="AV279">VLOOKUP($A279,Table_ship_components[],COLUMN(AV:AV),0)</f>
        <v>0</v>
      </c>
      <c r="AW279" s="2" cm="1">
        <f t="array" ref="AW279">VLOOKUP($A279,Table_ship_components[],COLUMN(AW:AW),0)</f>
        <v>0</v>
      </c>
      <c r="AX279" s="2" cm="1">
        <f t="array" ref="AX279">VLOOKUP($A279,Table_ship_components[],COLUMN(AX:AX),0)</f>
        <v>0</v>
      </c>
      <c r="AY279" s="2" cm="1">
        <f t="array" ref="AY279">VLOOKUP($A279,Table_ship_components[],COLUMN(AY:AY),0)</f>
        <v>0</v>
      </c>
      <c r="AZ279" s="2" t="str" cm="1">
        <f t="array" ref="AZ279">VLOOKUP($A279,Table_ship_components[],COLUMN(AZ:AZ),0)</f>
        <v>C</v>
      </c>
      <c r="BA279" s="14" cm="1">
        <f t="array" ref="BA279">VLOOKUP($A279,Table_ship_components[],COLUMN(BA:BA),0)</f>
        <v>1000000</v>
      </c>
      <c r="BB279" s="14" cm="1">
        <f t="array" ref="BB279">(VLOOKUP($A279,Table_ship_components[],COLUMN(BA:BA),0)+(W279*C279))</f>
        <v>1000000</v>
      </c>
      <c r="BC279" s="2" cm="1">
        <f t="array" ref="BC279">VLOOKUP($A279,Table_ship_components[],COLUMN(BC:BC),0)</f>
        <v>0</v>
      </c>
      <c r="BD279" s="2" cm="1">
        <f t="array" ref="BD279">VLOOKUP($A279,Table_ship_components[],COLUMN(BD:BD),0)</f>
        <v>0</v>
      </c>
    </row>
    <row r="280" spans="1:56" outlineLevel="1" x14ac:dyDescent="0.35">
      <c r="A280" t="s">
        <v>324</v>
      </c>
      <c r="B280" t="str" cm="1">
        <f t="array" ref="B280">VLOOKUP($A280,Table_ship_components[],COLUMN(B:B),0)</f>
        <v>huge fixed weapon mount</v>
      </c>
      <c r="D280" cm="1">
        <f t="array" ref="D280">VLOOKUP($A280,Table_ship_components[],COLUMN(D:D),0)</f>
        <v>5</v>
      </c>
      <c r="E280" cm="1">
        <f t="array" ref="E280">ROUND(VLOOKUP($A280,Table_ship_components[],COLUMN(D:D),0)+(V280*C280),0)</f>
        <v>5</v>
      </c>
      <c r="F280" cm="1">
        <f t="array" ref="F280">VLOOKUP($A280,Table_ship_components[],COLUMN(F:F),0)</f>
        <v>0</v>
      </c>
      <c r="G280" cm="1">
        <f t="array" ref="G280">ROUND(VLOOKUP($A280,Table_ship_components[],COLUMN(G:G),0)+(X280*C280),0)</f>
        <v>0</v>
      </c>
      <c r="H280" cm="1">
        <f t="array" ref="H280">VLOOKUP($A280,Table_ship_components[],COLUMN(H:H),0)</f>
        <v>0</v>
      </c>
      <c r="I280" cm="1">
        <f t="array" ref="I280">VLOOKUP($A280,Table_ship_components[],COLUMN(I:I),0)</f>
        <v>0</v>
      </c>
      <c r="J280" cm="1">
        <f t="array" ref="J280">VLOOKUP($A280,Table_ship_components[],COLUMN(J:J),0)</f>
        <v>0</v>
      </c>
      <c r="K280" cm="1">
        <f t="array" ref="K280">VLOOKUP($A280,Table_ship_components[],COLUMN(K:K),0)</f>
        <v>0</v>
      </c>
      <c r="L280" cm="1">
        <f t="array" ref="L280">VLOOKUP($A280,Table_ship_components[],COLUMN(L:L),0)</f>
        <v>0</v>
      </c>
      <c r="M280" cm="1">
        <f t="array" ref="M280">VLOOKUP($A280,Table_ship_components[],COLUMN(M:M),0)</f>
        <v>0</v>
      </c>
      <c r="N280" cm="1">
        <f t="array" ref="N280">VLOOKUP($A280,Table_ship_components[],COLUMN(N:N),0)</f>
        <v>1</v>
      </c>
      <c r="O280" cm="1">
        <f t="array" ref="O280">VLOOKUP($A280,Table_ship_components[],COLUMN(O:O),0)</f>
        <v>1</v>
      </c>
      <c r="P280" cm="1">
        <f t="array" ref="P280">VLOOKUP($A280,Table_ship_components[],COLUMN(P:P),0)</f>
        <v>1</v>
      </c>
      <c r="Q280" cm="1">
        <f t="array" ref="Q280">VLOOKUP($A280,Table_ship_components[],COLUMN(Q:Q),0)</f>
        <v>1</v>
      </c>
      <c r="R280" cm="1">
        <f t="array" ref="R280">VLOOKUP($A280,Table_ship_components[],COLUMN(R:R),0)</f>
        <v>1</v>
      </c>
      <c r="S280" cm="1">
        <f t="array" ref="S280">VLOOKUP($A280,Table_ship_components[],COLUMN(S:S),0)</f>
        <v>1</v>
      </c>
      <c r="T280" cm="1">
        <f t="array" ref="T280">VLOOKUP($A280,Table_ship_components[],COLUMN(T:T),0)</f>
        <v>1</v>
      </c>
      <c r="U280" cm="1">
        <f t="array" ref="U280">VLOOKUP($A280,Table_ship_components[],COLUMN(U:U),0)</f>
        <v>0</v>
      </c>
      <c r="V280" cm="1">
        <f t="array" ref="V280">VLOOKUP($A280,Table_ship_components[],COLUMN(V:V),0)</f>
        <v>0</v>
      </c>
      <c r="W280" s="15" cm="1">
        <f t="array" ref="W280">VLOOKUP($A280,Table_ship_components[],COLUMN(W:W),0)</f>
        <v>0</v>
      </c>
      <c r="X280" cm="1">
        <f t="array" ref="X280">VLOOKUP($A280,Table_ship_components[],COLUMN(X:X),0)</f>
        <v>0</v>
      </c>
      <c r="Y280" cm="1">
        <f t="array" ref="Y280">VLOOKUP($A280,Table_ship_components[],COLUMN(Y:Y),0)</f>
        <v>0</v>
      </c>
      <c r="Z280" cm="1">
        <f t="array" ref="Z280">VLOOKUP($A280,Table_ship_components[],COLUMN(Z:Z),0)</f>
        <v>0</v>
      </c>
      <c r="AA280" cm="1">
        <f t="array" ref="AA280">VLOOKUP($A280,Table_ship_components[],COLUMN(AA:AA),0)*C280</f>
        <v>0</v>
      </c>
      <c r="AB280">
        <f t="shared" si="10"/>
        <v>0</v>
      </c>
      <c r="AC280" cm="1">
        <f t="array" ref="AC280">VLOOKUP($A280,Table_ship_components[],COLUMN(AC:AC),0)*C280</f>
        <v>0</v>
      </c>
      <c r="AD280" cm="1">
        <f t="array" ref="AD280">VLOOKUP($A280,Table_ship_components[],COLUMN(AD:AD),0)</f>
        <v>0</v>
      </c>
      <c r="AE280" cm="1">
        <f t="array" ref="AE280">VLOOKUP($A280,Table_ship_components[],COLUMN(AE:AE),0)</f>
        <v>0</v>
      </c>
      <c r="AF280" cm="1">
        <f t="array" ref="AF280">VLOOKUP($A280,Table_ship_components[],COLUMN(AF:AF),0)</f>
        <v>0</v>
      </c>
      <c r="AG280" cm="1">
        <f t="array" ref="AG280">VLOOKUP($A280,Table_ship_components[],COLUMN(AG:AG),0)</f>
        <v>0</v>
      </c>
      <c r="AH280" cm="1">
        <f t="array" ref="AH280">VLOOKUP($A280,Table_ship_components[],COLUMN(AH:AH),0)</f>
        <v>0</v>
      </c>
      <c r="AI280" cm="1">
        <f t="array" ref="AI280">VLOOKUP($A280,Table_ship_components[],COLUMN(AI:AI),0)</f>
        <v>0</v>
      </c>
      <c r="AJ280" cm="1">
        <f t="array" ref="AJ280">VLOOKUP($A280,Table_ship_components[],COLUMN(AJ:AJ),0)</f>
        <v>0</v>
      </c>
      <c r="AK280" cm="1">
        <f t="array" ref="AK280">VLOOKUP($A280,Table_ship_components[],COLUMN(AK:AK),0)</f>
        <v>0</v>
      </c>
      <c r="AL280" cm="1">
        <f t="array" ref="AL280">VLOOKUP($A280,Table_ship_components[],COLUMN(AL:AL),0)</f>
        <v>0</v>
      </c>
      <c r="AM280" cm="1">
        <f t="array" ref="AM280">VLOOKUP($A280,Table_ship_components[],COLUMN(AM:AM),0)</f>
        <v>0</v>
      </c>
      <c r="AN280" cm="1">
        <f t="array" ref="AN280">VLOOKUP($A280,Table_ship_components[],COLUMN(AN:AN),0)</f>
        <v>0</v>
      </c>
      <c r="AO280" cm="1">
        <f t="array" ref="AO280">VLOOKUP($A280,Table_ship_components[],COLUMN(AO:AO),0)</f>
        <v>0</v>
      </c>
      <c r="AP280" cm="1">
        <f t="array" ref="AP280">VLOOKUP($A280,Table_ship_components[],COLUMN(AP:AP),0)</f>
        <v>0</v>
      </c>
      <c r="AQ280" cm="1">
        <f t="array" ref="AQ280">VLOOKUP($A280,Table_ship_components[],COLUMN(AQ:AQ),0)</f>
        <v>0</v>
      </c>
      <c r="AR280" cm="1">
        <f t="array" ref="AR280">VLOOKUP($A280,Table_ship_components[],COLUMN(AR:AR),0)</f>
        <v>0</v>
      </c>
      <c r="AS280" cm="1">
        <f t="array" ref="AS280">VLOOKUP($A280,Table_ship_components[],COLUMN(AS:AS),0)</f>
        <v>0</v>
      </c>
      <c r="AT280" cm="1">
        <f t="array" ref="AT280">VLOOKUP($A280,Table_ship_components[],COLUMN(AT:AT),0)</f>
        <v>0</v>
      </c>
      <c r="AU280" s="2" cm="1">
        <f t="array" ref="AU280">VLOOKUP($A280,Table_ship_components[],COLUMN(AU:AU),0)</f>
        <v>0</v>
      </c>
      <c r="AV280" s="2" cm="1">
        <f t="array" ref="AV280">VLOOKUP($A280,Table_ship_components[],COLUMN(AV:AV),0)</f>
        <v>0</v>
      </c>
      <c r="AW280" s="2" cm="1">
        <f t="array" ref="AW280">VLOOKUP($A280,Table_ship_components[],COLUMN(AW:AW),0)</f>
        <v>0</v>
      </c>
      <c r="AX280" s="2" cm="1">
        <f t="array" ref="AX280">VLOOKUP($A280,Table_ship_components[],COLUMN(AX:AX),0)</f>
        <v>0</v>
      </c>
      <c r="AY280" s="2" cm="1">
        <f t="array" ref="AY280">VLOOKUP($A280,Table_ship_components[],COLUMN(AY:AY),0)</f>
        <v>0</v>
      </c>
      <c r="AZ280" s="2" t="str" cm="1">
        <f t="array" ref="AZ280">VLOOKUP($A280,Table_ship_components[],COLUMN(AZ:AZ),0)</f>
        <v>C</v>
      </c>
      <c r="BA280" s="14" cm="1">
        <f t="array" ref="BA280">VLOOKUP($A280,Table_ship_components[],COLUMN(BA:BA),0)</f>
        <v>200000</v>
      </c>
      <c r="BB280" s="14" cm="1">
        <f t="array" ref="BB280">(VLOOKUP($A280,Table_ship_components[],COLUMN(BA:BA),0)+(W280*C280))</f>
        <v>200000</v>
      </c>
      <c r="BC280" s="2" cm="1">
        <f t="array" ref="BC280">VLOOKUP($A280,Table_ship_components[],COLUMN(BC:BC),0)</f>
        <v>0</v>
      </c>
      <c r="BD280" s="2" cm="1">
        <f t="array" ref="BD280">VLOOKUP($A280,Table_ship_components[],COLUMN(BD:BD),0)</f>
        <v>0</v>
      </c>
    </row>
    <row r="281" spans="1:56" outlineLevel="1" x14ac:dyDescent="0.35">
      <c r="A281" t="s">
        <v>315</v>
      </c>
      <c r="B281" t="str" cm="1">
        <f t="array" ref="B281">VLOOKUP($A281,Table_ship_components[],COLUMN(B:B),0)</f>
        <v>cargo space (1 HUGE item per unit)</v>
      </c>
      <c r="C281" s="2">
        <v>5</v>
      </c>
      <c r="D281" cm="1">
        <f t="array" ref="D281">VLOOKUP($A281,Table_ship_components[],COLUMN(D:D),0)</f>
        <v>0</v>
      </c>
      <c r="E281" cm="1">
        <f t="array" ref="E281">ROUND(VLOOKUP($A281,Table_ship_components[],COLUMN(D:D),0)+(V281*C281),0)</f>
        <v>5</v>
      </c>
      <c r="F281" cm="1">
        <f t="array" ref="F281">VLOOKUP($A281,Table_ship_components[],COLUMN(F:F),0)</f>
        <v>0</v>
      </c>
      <c r="G281" cm="1">
        <f t="array" ref="G281">ROUND(VLOOKUP($A281,Table_ship_components[],COLUMN(G:G),0)+(X281*C281),0)</f>
        <v>0</v>
      </c>
      <c r="H281" cm="1">
        <f t="array" ref="H281">VLOOKUP($A281,Table_ship_components[],COLUMN(H:H),0)</f>
        <v>0</v>
      </c>
      <c r="I281" cm="1">
        <f t="array" ref="I281">VLOOKUP($A281,Table_ship_components[],COLUMN(I:I),0)</f>
        <v>0</v>
      </c>
      <c r="J281" cm="1">
        <f t="array" ref="J281">VLOOKUP($A281,Table_ship_components[],COLUMN(J:J),0)</f>
        <v>0</v>
      </c>
      <c r="K281" cm="1">
        <f t="array" ref="K281">VLOOKUP($A281,Table_ship_components[],COLUMN(K:K),0)</f>
        <v>0</v>
      </c>
      <c r="L281" cm="1">
        <f t="array" ref="L281">VLOOKUP($A281,Table_ship_components[],COLUMN(L:L),0)</f>
        <v>0</v>
      </c>
      <c r="M281" cm="1">
        <f t="array" ref="M281">VLOOKUP($A281,Table_ship_components[],COLUMN(M:M),0)</f>
        <v>0</v>
      </c>
      <c r="N281" cm="1">
        <f t="array" ref="N281">VLOOKUP($A281,Table_ship_components[],COLUMN(N:N),0)</f>
        <v>1</v>
      </c>
      <c r="O281" cm="1">
        <f t="array" ref="O281">VLOOKUP($A281,Table_ship_components[],COLUMN(O:O),0)</f>
        <v>1</v>
      </c>
      <c r="P281" cm="1">
        <f t="array" ref="P281">VLOOKUP($A281,Table_ship_components[],COLUMN(P:P),0)</f>
        <v>1</v>
      </c>
      <c r="Q281" cm="1">
        <f t="array" ref="Q281">VLOOKUP($A281,Table_ship_components[],COLUMN(Q:Q),0)</f>
        <v>1</v>
      </c>
      <c r="R281" cm="1">
        <f t="array" ref="R281">VLOOKUP($A281,Table_ship_components[],COLUMN(R:R),0)</f>
        <v>1</v>
      </c>
      <c r="S281" cm="1">
        <f t="array" ref="S281">VLOOKUP($A281,Table_ship_components[],COLUMN(S:S),0)</f>
        <v>1</v>
      </c>
      <c r="T281" cm="1">
        <f t="array" ref="T281">VLOOKUP($A281,Table_ship_components[],COLUMN(T:T),0)</f>
        <v>1</v>
      </c>
      <c r="U281" cm="1">
        <f t="array" ref="U281">VLOOKUP($A281,Table_ship_components[],COLUMN(U:U),0)</f>
        <v>1</v>
      </c>
      <c r="V281" cm="1">
        <f t="array" ref="V281">VLOOKUP($A281,Table_ship_components[],COLUMN(V:V),0)</f>
        <v>1</v>
      </c>
      <c r="W281" s="15" cm="1">
        <f t="array" ref="W281">VLOOKUP($A281,Table_ship_components[],COLUMN(W:W),0)</f>
        <v>5000</v>
      </c>
      <c r="X281" cm="1">
        <f t="array" ref="X281">VLOOKUP($A281,Table_ship_components[],COLUMN(X:X),0)</f>
        <v>0</v>
      </c>
      <c r="Y281" cm="1">
        <f t="array" ref="Y281">VLOOKUP($A281,Table_ship_components[],COLUMN(Y:Y),0)</f>
        <v>0</v>
      </c>
      <c r="Z281" cm="1">
        <f t="array" ref="Z281">VLOOKUP($A281,Table_ship_components[],COLUMN(Z:Z),0)</f>
        <v>0</v>
      </c>
      <c r="AA281" cm="1">
        <f t="array" ref="AA281">VLOOKUP($A281,Table_ship_components[],COLUMN(AA:AA),0)*C281</f>
        <v>0</v>
      </c>
      <c r="AB281">
        <f t="shared" si="10"/>
        <v>5</v>
      </c>
      <c r="AC281" cm="1">
        <f t="array" ref="AC281">VLOOKUP($A281,Table_ship_components[],COLUMN(AC:AC),0)*C281</f>
        <v>0</v>
      </c>
      <c r="AD281" cm="1">
        <f t="array" ref="AD281">VLOOKUP($A281,Table_ship_components[],COLUMN(AD:AD),0)</f>
        <v>0</v>
      </c>
      <c r="AE281" cm="1">
        <f t="array" ref="AE281">VLOOKUP($A281,Table_ship_components[],COLUMN(AE:AE),0)</f>
        <v>0</v>
      </c>
      <c r="AF281" cm="1">
        <f t="array" ref="AF281">VLOOKUP($A281,Table_ship_components[],COLUMN(AF:AF),0)</f>
        <v>0</v>
      </c>
      <c r="AG281" cm="1">
        <f t="array" ref="AG281">VLOOKUP($A281,Table_ship_components[],COLUMN(AG:AG),0)</f>
        <v>0</v>
      </c>
      <c r="AH281" cm="1">
        <f t="array" ref="AH281">VLOOKUP($A281,Table_ship_components[],COLUMN(AH:AH),0)</f>
        <v>0</v>
      </c>
      <c r="AI281" cm="1">
        <f t="array" ref="AI281">VLOOKUP($A281,Table_ship_components[],COLUMN(AI:AI),0)</f>
        <v>0</v>
      </c>
      <c r="AJ281" cm="1">
        <f t="array" ref="AJ281">VLOOKUP($A281,Table_ship_components[],COLUMN(AJ:AJ),0)</f>
        <v>0</v>
      </c>
      <c r="AK281" cm="1">
        <f t="array" ref="AK281">VLOOKUP($A281,Table_ship_components[],COLUMN(AK:AK),0)</f>
        <v>0</v>
      </c>
      <c r="AL281" cm="1">
        <f t="array" ref="AL281">VLOOKUP($A281,Table_ship_components[],COLUMN(AL:AL),0)</f>
        <v>0</v>
      </c>
      <c r="AM281" cm="1">
        <f t="array" ref="AM281">VLOOKUP($A281,Table_ship_components[],COLUMN(AM:AM),0)</f>
        <v>0</v>
      </c>
      <c r="AN281" cm="1">
        <f t="array" ref="AN281">VLOOKUP($A281,Table_ship_components[],COLUMN(AN:AN),0)</f>
        <v>0</v>
      </c>
      <c r="AO281" cm="1">
        <f t="array" ref="AO281">VLOOKUP($A281,Table_ship_components[],COLUMN(AO:AO),0)</f>
        <v>0</v>
      </c>
      <c r="AP281" cm="1">
        <f t="array" ref="AP281">VLOOKUP($A281,Table_ship_components[],COLUMN(AP:AP),0)</f>
        <v>0</v>
      </c>
      <c r="AQ281" cm="1">
        <f t="array" ref="AQ281">VLOOKUP($A281,Table_ship_components[],COLUMN(AQ:AQ),0)</f>
        <v>0</v>
      </c>
      <c r="AR281" cm="1">
        <f t="array" ref="AR281">VLOOKUP($A281,Table_ship_components[],COLUMN(AR:AR),0)</f>
        <v>0</v>
      </c>
      <c r="AS281" cm="1">
        <f t="array" ref="AS281">VLOOKUP($A281,Table_ship_components[],COLUMN(AS:AS),0)</f>
        <v>0</v>
      </c>
      <c r="AT281" cm="1">
        <f t="array" ref="AT281">VLOOKUP($A281,Table_ship_components[],COLUMN(AT:AT),0)</f>
        <v>0</v>
      </c>
      <c r="AU281" s="2" cm="1">
        <f t="array" ref="AU281">VLOOKUP($A281,Table_ship_components[],COLUMN(AU:AU),0)</f>
        <v>0</v>
      </c>
      <c r="AV281" s="2" cm="1">
        <f t="array" ref="AV281">VLOOKUP($A281,Table_ship_components[],COLUMN(AV:AV),0)</f>
        <v>0</v>
      </c>
      <c r="AW281" s="2" cm="1">
        <f t="array" ref="AW281">VLOOKUP($A281,Table_ship_components[],COLUMN(AW:AW),0)</f>
        <v>0</v>
      </c>
      <c r="AX281" s="2" cm="1">
        <f t="array" ref="AX281">VLOOKUP($A281,Table_ship_components[],COLUMN(AX:AX),0)</f>
        <v>0</v>
      </c>
      <c r="AY281" s="2" cm="1">
        <f t="array" ref="AY281">VLOOKUP($A281,Table_ship_components[],COLUMN(AY:AY),0)</f>
        <v>0</v>
      </c>
      <c r="AZ281" s="2" t="str" cm="1">
        <f t="array" ref="AZ281">VLOOKUP($A281,Table_ship_components[],COLUMN(AZ:AZ),0)</f>
        <v>C</v>
      </c>
      <c r="BA281" s="14" cm="1">
        <f t="array" ref="BA281">VLOOKUP($A281,Table_ship_components[],COLUMN(BA:BA),0)</f>
        <v>5000</v>
      </c>
      <c r="BB281" s="14" cm="1">
        <f t="array" ref="BB281">(VLOOKUP($A281,Table_ship_components[],COLUMN(BA:BA),0)+(W281*C281))</f>
        <v>30000</v>
      </c>
      <c r="BC281" s="2" cm="1">
        <f t="array" ref="BC281">VLOOKUP($A281,Table_ship_components[],COLUMN(BC:BC),0)</f>
        <v>0</v>
      </c>
      <c r="BD281" s="2" cm="1">
        <f t="array" ref="BD281">VLOOKUP($A281,Table_ship_components[],COLUMN(BD:BD),0)</f>
        <v>0</v>
      </c>
    </row>
    <row r="282" spans="1:56" outlineLevel="1" x14ac:dyDescent="0.35">
      <c r="A282" t="s">
        <v>288</v>
      </c>
      <c r="B282" t="str" cm="1">
        <f t="array" ref="B282">VLOOKUP($A282,Table_ship_components[],COLUMN(B:B),0)</f>
        <v>PICK A COMPONENT</v>
      </c>
      <c r="D282" cm="1">
        <f t="array" ref="D282">VLOOKUP($A282,Table_ship_components[],COLUMN(D:D),0)</f>
        <v>0</v>
      </c>
      <c r="E282" cm="1">
        <f t="array" ref="E282">ROUND(VLOOKUP($A282,Table_ship_components[],COLUMN(D:D),0)+(V282*C282),0)</f>
        <v>0</v>
      </c>
      <c r="F282" cm="1">
        <f t="array" ref="F282">VLOOKUP($A282,Table_ship_components[],COLUMN(F:F),0)</f>
        <v>0</v>
      </c>
      <c r="G282" cm="1">
        <f t="array" ref="G282">ROUND(VLOOKUP($A282,Table_ship_components[],COLUMN(G:G),0)+(X282*C282),0)</f>
        <v>0</v>
      </c>
      <c r="H282" cm="1">
        <f t="array" ref="H282">VLOOKUP($A282,Table_ship_components[],COLUMN(H:H),0)</f>
        <v>0</v>
      </c>
      <c r="I282" cm="1">
        <f t="array" ref="I282">VLOOKUP($A282,Table_ship_components[],COLUMN(I:I),0)</f>
        <v>0</v>
      </c>
      <c r="J282" cm="1">
        <f t="array" ref="J282">VLOOKUP($A282,Table_ship_components[],COLUMN(J:J),0)</f>
        <v>0</v>
      </c>
      <c r="K282" cm="1">
        <f t="array" ref="K282">VLOOKUP($A282,Table_ship_components[],COLUMN(K:K),0)</f>
        <v>0</v>
      </c>
      <c r="L282" cm="1">
        <f t="array" ref="L282">VLOOKUP($A282,Table_ship_components[],COLUMN(L:L),0)</f>
        <v>0</v>
      </c>
      <c r="M282" cm="1">
        <f t="array" ref="M282">VLOOKUP($A282,Table_ship_components[],COLUMN(M:M),0)</f>
        <v>0</v>
      </c>
      <c r="N282" cm="1">
        <f t="array" ref="N282">VLOOKUP($A282,Table_ship_components[],COLUMN(N:N),0)</f>
        <v>0</v>
      </c>
      <c r="O282" cm="1">
        <f t="array" ref="O282">VLOOKUP($A282,Table_ship_components[],COLUMN(O:O),0)</f>
        <v>0</v>
      </c>
      <c r="P282" cm="1">
        <f t="array" ref="P282">VLOOKUP($A282,Table_ship_components[],COLUMN(P:P),0)</f>
        <v>0</v>
      </c>
      <c r="Q282" cm="1">
        <f t="array" ref="Q282">VLOOKUP($A282,Table_ship_components[],COLUMN(Q:Q),0)</f>
        <v>0</v>
      </c>
      <c r="R282" cm="1">
        <f t="array" ref="R282">VLOOKUP($A282,Table_ship_components[],COLUMN(R:R),0)</f>
        <v>0</v>
      </c>
      <c r="S282" cm="1">
        <f t="array" ref="S282">VLOOKUP($A282,Table_ship_components[],COLUMN(S:S),0)</f>
        <v>0</v>
      </c>
      <c r="T282" cm="1">
        <f t="array" ref="T282">VLOOKUP($A282,Table_ship_components[],COLUMN(T:T),0)</f>
        <v>0</v>
      </c>
      <c r="U282" cm="1">
        <f t="array" ref="U282">VLOOKUP($A282,Table_ship_components[],COLUMN(U:U),0)</f>
        <v>0</v>
      </c>
      <c r="V282" cm="1">
        <f t="array" ref="V282">VLOOKUP($A282,Table_ship_components[],COLUMN(V:V),0)</f>
        <v>0</v>
      </c>
      <c r="W282" s="15" cm="1">
        <f t="array" ref="W282">VLOOKUP($A282,Table_ship_components[],COLUMN(W:W),0)</f>
        <v>0</v>
      </c>
      <c r="X282" cm="1">
        <f t="array" ref="X282">VLOOKUP($A282,Table_ship_components[],COLUMN(X:X),0)</f>
        <v>0</v>
      </c>
      <c r="Y282" cm="1">
        <f t="array" ref="Y282">VLOOKUP($A282,Table_ship_components[],COLUMN(Y:Y),0)</f>
        <v>0</v>
      </c>
      <c r="Z282" cm="1">
        <f t="array" ref="Z282">VLOOKUP($A282,Table_ship_components[],COLUMN(Z:Z),0)</f>
        <v>0</v>
      </c>
      <c r="AA282" cm="1">
        <f t="array" ref="AA282">VLOOKUP($A282,Table_ship_components[],COLUMN(AA:AA),0)*C282</f>
        <v>0</v>
      </c>
      <c r="AB282">
        <f t="shared" si="10"/>
        <v>0</v>
      </c>
      <c r="AC282" cm="1">
        <f t="array" ref="AC282">VLOOKUP($A282,Table_ship_components[],COLUMN(AC:AC),0)*C282</f>
        <v>0</v>
      </c>
      <c r="AD282" cm="1">
        <f t="array" ref="AD282">VLOOKUP($A282,Table_ship_components[],COLUMN(AD:AD),0)</f>
        <v>0</v>
      </c>
      <c r="AE282" cm="1">
        <f t="array" ref="AE282">VLOOKUP($A282,Table_ship_components[],COLUMN(AE:AE),0)</f>
        <v>0</v>
      </c>
      <c r="AF282" cm="1">
        <f t="array" ref="AF282">VLOOKUP($A282,Table_ship_components[],COLUMN(AF:AF),0)</f>
        <v>0</v>
      </c>
      <c r="AG282" cm="1">
        <f t="array" ref="AG282">VLOOKUP($A282,Table_ship_components[],COLUMN(AG:AG),0)</f>
        <v>0</v>
      </c>
      <c r="AH282" cm="1">
        <f t="array" ref="AH282">VLOOKUP($A282,Table_ship_components[],COLUMN(AH:AH),0)</f>
        <v>0</v>
      </c>
      <c r="AI282" cm="1">
        <f t="array" ref="AI282">VLOOKUP($A282,Table_ship_components[],COLUMN(AI:AI),0)</f>
        <v>0</v>
      </c>
      <c r="AJ282" cm="1">
        <f t="array" ref="AJ282">VLOOKUP($A282,Table_ship_components[],COLUMN(AJ:AJ),0)</f>
        <v>0</v>
      </c>
      <c r="AK282" cm="1">
        <f t="array" ref="AK282">VLOOKUP($A282,Table_ship_components[],COLUMN(AK:AK),0)</f>
        <v>0</v>
      </c>
      <c r="AL282" cm="1">
        <f t="array" ref="AL282">VLOOKUP($A282,Table_ship_components[],COLUMN(AL:AL),0)</f>
        <v>0</v>
      </c>
      <c r="AM282" cm="1">
        <f t="array" ref="AM282">VLOOKUP($A282,Table_ship_components[],COLUMN(AM:AM),0)</f>
        <v>0</v>
      </c>
      <c r="AN282" cm="1">
        <f t="array" ref="AN282">VLOOKUP($A282,Table_ship_components[],COLUMN(AN:AN),0)</f>
        <v>0</v>
      </c>
      <c r="AO282" cm="1">
        <f t="array" ref="AO282">VLOOKUP($A282,Table_ship_components[],COLUMN(AO:AO),0)</f>
        <v>0</v>
      </c>
      <c r="AP282" cm="1">
        <f t="array" ref="AP282">VLOOKUP($A282,Table_ship_components[],COLUMN(AP:AP),0)</f>
        <v>0</v>
      </c>
      <c r="AQ282" cm="1">
        <f t="array" ref="AQ282">VLOOKUP($A282,Table_ship_components[],COLUMN(AQ:AQ),0)</f>
        <v>0</v>
      </c>
      <c r="AR282" cm="1">
        <f t="array" ref="AR282">VLOOKUP($A282,Table_ship_components[],COLUMN(AR:AR),0)</f>
        <v>0</v>
      </c>
      <c r="AS282" cm="1">
        <f t="array" ref="AS282">VLOOKUP($A282,Table_ship_components[],COLUMN(AS:AS),0)</f>
        <v>0</v>
      </c>
      <c r="AT282" cm="1">
        <f t="array" ref="AT282">VLOOKUP($A282,Table_ship_components[],COLUMN(AT:AT),0)</f>
        <v>0</v>
      </c>
      <c r="AU282" s="2" cm="1">
        <f t="array" ref="AU282">VLOOKUP($A282,Table_ship_components[],COLUMN(AU:AU),0)</f>
        <v>0</v>
      </c>
      <c r="AV282" s="2" cm="1">
        <f t="array" ref="AV282">VLOOKUP($A282,Table_ship_components[],COLUMN(AV:AV),0)</f>
        <v>0</v>
      </c>
      <c r="AW282" s="2" cm="1">
        <f t="array" ref="AW282">VLOOKUP($A282,Table_ship_components[],COLUMN(AW:AW),0)</f>
        <v>0</v>
      </c>
      <c r="AX282" s="2" cm="1">
        <f t="array" ref="AX282">VLOOKUP($A282,Table_ship_components[],COLUMN(AX:AX),0)</f>
        <v>0</v>
      </c>
      <c r="AY282" s="2" cm="1">
        <f t="array" ref="AY282">VLOOKUP($A282,Table_ship_components[],COLUMN(AY:AY),0)</f>
        <v>0</v>
      </c>
      <c r="AZ282" s="2" t="str" cm="1">
        <f t="array" ref="AZ282">VLOOKUP($A282,Table_ship_components[],COLUMN(AZ:AZ),0)</f>
        <v>C</v>
      </c>
      <c r="BA282" s="14" cm="1">
        <f t="array" ref="BA282">VLOOKUP($A282,Table_ship_components[],COLUMN(BA:BA),0)</f>
        <v>0</v>
      </c>
      <c r="BB282" s="14" cm="1">
        <f t="array" ref="BB282">(VLOOKUP($A282,Table_ship_components[],COLUMN(BA:BA),0)+(W282*C282))</f>
        <v>0</v>
      </c>
      <c r="BC282" s="2" cm="1">
        <f t="array" ref="BC282">VLOOKUP($A282,Table_ship_components[],COLUMN(BC:BC),0)</f>
        <v>0</v>
      </c>
      <c r="BD282" s="2" cm="1">
        <f t="array" ref="BD282">VLOOKUP($A282,Table_ship_components[],COLUMN(BD:BD),0)</f>
        <v>0</v>
      </c>
    </row>
    <row r="283" spans="1:56" outlineLevel="1" x14ac:dyDescent="0.35">
      <c r="A283" t="s">
        <v>288</v>
      </c>
      <c r="B283" t="str" cm="1">
        <f t="array" ref="B283">VLOOKUP($A283,Table_ship_components[],COLUMN(B:B),0)</f>
        <v>PICK A COMPONENT</v>
      </c>
      <c r="D283" cm="1">
        <f t="array" ref="D283">VLOOKUP($A283,Table_ship_components[],COLUMN(D:D),0)</f>
        <v>0</v>
      </c>
      <c r="E283" cm="1">
        <f t="array" ref="E283">ROUND(VLOOKUP($A283,Table_ship_components[],COLUMN(D:D),0)+(V283*C283),0)</f>
        <v>0</v>
      </c>
      <c r="F283" cm="1">
        <f t="array" ref="F283">VLOOKUP($A283,Table_ship_components[],COLUMN(F:F),0)</f>
        <v>0</v>
      </c>
      <c r="G283" cm="1">
        <f t="array" ref="G283">ROUND(VLOOKUP($A283,Table_ship_components[],COLUMN(G:G),0)+(X283*C283),0)</f>
        <v>0</v>
      </c>
      <c r="H283" cm="1">
        <f t="array" ref="H283">VLOOKUP($A283,Table_ship_components[],COLUMN(H:H),0)</f>
        <v>0</v>
      </c>
      <c r="I283" cm="1">
        <f t="array" ref="I283">VLOOKUP($A283,Table_ship_components[],COLUMN(I:I),0)</f>
        <v>0</v>
      </c>
      <c r="J283" cm="1">
        <f t="array" ref="J283">VLOOKUP($A283,Table_ship_components[],COLUMN(J:J),0)</f>
        <v>0</v>
      </c>
      <c r="K283" cm="1">
        <f t="array" ref="K283">VLOOKUP($A283,Table_ship_components[],COLUMN(K:K),0)</f>
        <v>0</v>
      </c>
      <c r="L283" cm="1">
        <f t="array" ref="L283">VLOOKUP($A283,Table_ship_components[],COLUMN(L:L),0)</f>
        <v>0</v>
      </c>
      <c r="M283" cm="1">
        <f t="array" ref="M283">VLOOKUP($A283,Table_ship_components[],COLUMN(M:M),0)</f>
        <v>0</v>
      </c>
      <c r="N283" cm="1">
        <f t="array" ref="N283">VLOOKUP($A283,Table_ship_components[],COLUMN(N:N),0)</f>
        <v>0</v>
      </c>
      <c r="O283" cm="1">
        <f t="array" ref="O283">VLOOKUP($A283,Table_ship_components[],COLUMN(O:O),0)</f>
        <v>0</v>
      </c>
      <c r="P283" cm="1">
        <f t="array" ref="P283">VLOOKUP($A283,Table_ship_components[],COLUMN(P:P),0)</f>
        <v>0</v>
      </c>
      <c r="Q283" cm="1">
        <f t="array" ref="Q283">VLOOKUP($A283,Table_ship_components[],COLUMN(Q:Q),0)</f>
        <v>0</v>
      </c>
      <c r="R283" cm="1">
        <f t="array" ref="R283">VLOOKUP($A283,Table_ship_components[],COLUMN(R:R),0)</f>
        <v>0</v>
      </c>
      <c r="S283" cm="1">
        <f t="array" ref="S283">VLOOKUP($A283,Table_ship_components[],COLUMN(S:S),0)</f>
        <v>0</v>
      </c>
      <c r="T283" cm="1">
        <f t="array" ref="T283">VLOOKUP($A283,Table_ship_components[],COLUMN(T:T),0)</f>
        <v>0</v>
      </c>
      <c r="U283" cm="1">
        <f t="array" ref="U283">VLOOKUP($A283,Table_ship_components[],COLUMN(U:U),0)</f>
        <v>0</v>
      </c>
      <c r="V283" cm="1">
        <f t="array" ref="V283">VLOOKUP($A283,Table_ship_components[],COLUMN(V:V),0)</f>
        <v>0</v>
      </c>
      <c r="W283" s="15" cm="1">
        <f t="array" ref="W283">VLOOKUP($A283,Table_ship_components[],COLUMN(W:W),0)</f>
        <v>0</v>
      </c>
      <c r="X283" cm="1">
        <f t="array" ref="X283">VLOOKUP($A283,Table_ship_components[],COLUMN(X:X),0)</f>
        <v>0</v>
      </c>
      <c r="Y283" cm="1">
        <f t="array" ref="Y283">VLOOKUP($A283,Table_ship_components[],COLUMN(Y:Y),0)</f>
        <v>0</v>
      </c>
      <c r="Z283" cm="1">
        <f t="array" ref="Z283">VLOOKUP($A283,Table_ship_components[],COLUMN(Z:Z),0)</f>
        <v>0</v>
      </c>
      <c r="AA283" cm="1">
        <f t="array" ref="AA283">VLOOKUP($A283,Table_ship_components[],COLUMN(AA:AA),0)*C283</f>
        <v>0</v>
      </c>
      <c r="AB283">
        <f t="shared" si="10"/>
        <v>0</v>
      </c>
      <c r="AC283" cm="1">
        <f t="array" ref="AC283">VLOOKUP($A283,Table_ship_components[],COLUMN(AC:AC),0)*C283</f>
        <v>0</v>
      </c>
      <c r="AD283" cm="1">
        <f t="array" ref="AD283">VLOOKUP($A283,Table_ship_components[],COLUMN(AD:AD),0)</f>
        <v>0</v>
      </c>
      <c r="AE283" cm="1">
        <f t="array" ref="AE283">VLOOKUP($A283,Table_ship_components[],COLUMN(AE:AE),0)</f>
        <v>0</v>
      </c>
      <c r="AF283" cm="1">
        <f t="array" ref="AF283">VLOOKUP($A283,Table_ship_components[],COLUMN(AF:AF),0)</f>
        <v>0</v>
      </c>
      <c r="AG283" cm="1">
        <f t="array" ref="AG283">VLOOKUP($A283,Table_ship_components[],COLUMN(AG:AG),0)</f>
        <v>0</v>
      </c>
      <c r="AH283" cm="1">
        <f t="array" ref="AH283">VLOOKUP($A283,Table_ship_components[],COLUMN(AH:AH),0)</f>
        <v>0</v>
      </c>
      <c r="AI283" cm="1">
        <f t="array" ref="AI283">VLOOKUP($A283,Table_ship_components[],COLUMN(AI:AI),0)</f>
        <v>0</v>
      </c>
      <c r="AJ283" cm="1">
        <f t="array" ref="AJ283">VLOOKUP($A283,Table_ship_components[],COLUMN(AJ:AJ),0)</f>
        <v>0</v>
      </c>
      <c r="AK283" cm="1">
        <f t="array" ref="AK283">VLOOKUP($A283,Table_ship_components[],COLUMN(AK:AK),0)</f>
        <v>0</v>
      </c>
      <c r="AL283" cm="1">
        <f t="array" ref="AL283">VLOOKUP($A283,Table_ship_components[],COLUMN(AL:AL),0)</f>
        <v>0</v>
      </c>
      <c r="AM283" cm="1">
        <f t="array" ref="AM283">VLOOKUP($A283,Table_ship_components[],COLUMN(AM:AM),0)</f>
        <v>0</v>
      </c>
      <c r="AN283" cm="1">
        <f t="array" ref="AN283">VLOOKUP($A283,Table_ship_components[],COLUMN(AN:AN),0)</f>
        <v>0</v>
      </c>
      <c r="AO283" cm="1">
        <f t="array" ref="AO283">VLOOKUP($A283,Table_ship_components[],COLUMN(AO:AO),0)</f>
        <v>0</v>
      </c>
      <c r="AP283" cm="1">
        <f t="array" ref="AP283">VLOOKUP($A283,Table_ship_components[],COLUMN(AP:AP),0)</f>
        <v>0</v>
      </c>
      <c r="AQ283" cm="1">
        <f t="array" ref="AQ283">VLOOKUP($A283,Table_ship_components[],COLUMN(AQ:AQ),0)</f>
        <v>0</v>
      </c>
      <c r="AR283" cm="1">
        <f t="array" ref="AR283">VLOOKUP($A283,Table_ship_components[],COLUMN(AR:AR),0)</f>
        <v>0</v>
      </c>
      <c r="AS283" cm="1">
        <f t="array" ref="AS283">VLOOKUP($A283,Table_ship_components[],COLUMN(AS:AS),0)</f>
        <v>0</v>
      </c>
      <c r="AT283" cm="1">
        <f t="array" ref="AT283">VLOOKUP($A283,Table_ship_components[],COLUMN(AT:AT),0)</f>
        <v>0</v>
      </c>
      <c r="AU283" s="2" cm="1">
        <f t="array" ref="AU283">VLOOKUP($A283,Table_ship_components[],COLUMN(AU:AU),0)</f>
        <v>0</v>
      </c>
      <c r="AV283" s="2" cm="1">
        <f t="array" ref="AV283">VLOOKUP($A283,Table_ship_components[],COLUMN(AV:AV),0)</f>
        <v>0</v>
      </c>
      <c r="AW283" s="2" cm="1">
        <f t="array" ref="AW283">VLOOKUP($A283,Table_ship_components[],COLUMN(AW:AW),0)</f>
        <v>0</v>
      </c>
      <c r="AX283" s="2" cm="1">
        <f t="array" ref="AX283">VLOOKUP($A283,Table_ship_components[],COLUMN(AX:AX),0)</f>
        <v>0</v>
      </c>
      <c r="AY283" s="2" cm="1">
        <f t="array" ref="AY283">VLOOKUP($A283,Table_ship_components[],COLUMN(AY:AY),0)</f>
        <v>0</v>
      </c>
      <c r="AZ283" s="2" t="str" cm="1">
        <f t="array" ref="AZ283">VLOOKUP($A283,Table_ship_components[],COLUMN(AZ:AZ),0)</f>
        <v>C</v>
      </c>
      <c r="BA283" s="14" cm="1">
        <f t="array" ref="BA283">VLOOKUP($A283,Table_ship_components[],COLUMN(BA:BA),0)</f>
        <v>0</v>
      </c>
      <c r="BB283" s="14" cm="1">
        <f t="array" ref="BB283">(VLOOKUP($A283,Table_ship_components[],COLUMN(BA:BA),0)+(W283*C283))</f>
        <v>0</v>
      </c>
      <c r="BC283" s="2" cm="1">
        <f t="array" ref="BC283">VLOOKUP($A283,Table_ship_components[],COLUMN(BC:BC),0)</f>
        <v>0</v>
      </c>
      <c r="BD283" s="2" cm="1">
        <f t="array" ref="BD283">VLOOKUP($A283,Table_ship_components[],COLUMN(BD:BD),0)</f>
        <v>0</v>
      </c>
    </row>
    <row r="284" spans="1:56" outlineLevel="1" x14ac:dyDescent="0.35">
      <c r="A284" t="s">
        <v>288</v>
      </c>
      <c r="B284" t="str" cm="1">
        <f t="array" ref="B284">VLOOKUP($A284,Table_ship_components[],COLUMN(B:B),0)</f>
        <v>PICK A COMPONENT</v>
      </c>
      <c r="D284" cm="1">
        <f t="array" ref="D284">VLOOKUP($A284,Table_ship_components[],COLUMN(D:D),0)</f>
        <v>0</v>
      </c>
      <c r="E284" cm="1">
        <f t="array" ref="E284">ROUND(VLOOKUP($A284,Table_ship_components[],COLUMN(D:D),0)+(V284*C284),0)</f>
        <v>0</v>
      </c>
      <c r="F284" cm="1">
        <f t="array" ref="F284">VLOOKUP($A284,Table_ship_components[],COLUMN(F:F),0)</f>
        <v>0</v>
      </c>
      <c r="G284" cm="1">
        <f t="array" ref="G284">ROUND(VLOOKUP($A284,Table_ship_components[],COLUMN(G:G),0)+(X284*C284),0)</f>
        <v>0</v>
      </c>
      <c r="H284" cm="1">
        <f t="array" ref="H284">VLOOKUP($A284,Table_ship_components[],COLUMN(H:H),0)</f>
        <v>0</v>
      </c>
      <c r="I284" cm="1">
        <f t="array" ref="I284">VLOOKUP($A284,Table_ship_components[],COLUMN(I:I),0)</f>
        <v>0</v>
      </c>
      <c r="J284" cm="1">
        <f t="array" ref="J284">VLOOKUP($A284,Table_ship_components[],COLUMN(J:J),0)</f>
        <v>0</v>
      </c>
      <c r="K284" cm="1">
        <f t="array" ref="K284">VLOOKUP($A284,Table_ship_components[],COLUMN(K:K),0)</f>
        <v>0</v>
      </c>
      <c r="L284" cm="1">
        <f t="array" ref="L284">VLOOKUP($A284,Table_ship_components[],COLUMN(L:L),0)</f>
        <v>0</v>
      </c>
      <c r="M284" cm="1">
        <f t="array" ref="M284">VLOOKUP($A284,Table_ship_components[],COLUMN(M:M),0)</f>
        <v>0</v>
      </c>
      <c r="N284" cm="1">
        <f t="array" ref="N284">VLOOKUP($A284,Table_ship_components[],COLUMN(N:N),0)</f>
        <v>0</v>
      </c>
      <c r="O284" cm="1">
        <f t="array" ref="O284">VLOOKUP($A284,Table_ship_components[],COLUMN(O:O),0)</f>
        <v>0</v>
      </c>
      <c r="P284" cm="1">
        <f t="array" ref="P284">VLOOKUP($A284,Table_ship_components[],COLUMN(P:P),0)</f>
        <v>0</v>
      </c>
      <c r="Q284" cm="1">
        <f t="array" ref="Q284">VLOOKUP($A284,Table_ship_components[],COLUMN(Q:Q),0)</f>
        <v>0</v>
      </c>
      <c r="R284" cm="1">
        <f t="array" ref="R284">VLOOKUP($A284,Table_ship_components[],COLUMN(R:R),0)</f>
        <v>0</v>
      </c>
      <c r="S284" cm="1">
        <f t="array" ref="S284">VLOOKUP($A284,Table_ship_components[],COLUMN(S:S),0)</f>
        <v>0</v>
      </c>
      <c r="T284" cm="1">
        <f t="array" ref="T284">VLOOKUP($A284,Table_ship_components[],COLUMN(T:T),0)</f>
        <v>0</v>
      </c>
      <c r="U284" cm="1">
        <f t="array" ref="U284">VLOOKUP($A284,Table_ship_components[],COLUMN(U:U),0)</f>
        <v>0</v>
      </c>
      <c r="V284" cm="1">
        <f t="array" ref="V284">VLOOKUP($A284,Table_ship_components[],COLUMN(V:V),0)</f>
        <v>0</v>
      </c>
      <c r="W284" s="15" cm="1">
        <f t="array" ref="W284">VLOOKUP($A284,Table_ship_components[],COLUMN(W:W),0)</f>
        <v>0</v>
      </c>
      <c r="X284" cm="1">
        <f t="array" ref="X284">VLOOKUP($A284,Table_ship_components[],COLUMN(X:X),0)</f>
        <v>0</v>
      </c>
      <c r="Y284" cm="1">
        <f t="array" ref="Y284">VLOOKUP($A284,Table_ship_components[],COLUMN(Y:Y),0)</f>
        <v>0</v>
      </c>
      <c r="Z284" cm="1">
        <f t="array" ref="Z284">VLOOKUP($A284,Table_ship_components[],COLUMN(Z:Z),0)</f>
        <v>0</v>
      </c>
      <c r="AA284" cm="1">
        <f t="array" ref="AA284">VLOOKUP($A284,Table_ship_components[],COLUMN(AA:AA),0)*C284</f>
        <v>0</v>
      </c>
      <c r="AB284">
        <f t="shared" si="10"/>
        <v>0</v>
      </c>
      <c r="AC284" cm="1">
        <f t="array" ref="AC284">VLOOKUP($A284,Table_ship_components[],COLUMN(AC:AC),0)*C284</f>
        <v>0</v>
      </c>
      <c r="AD284" cm="1">
        <f t="array" ref="AD284">VLOOKUP($A284,Table_ship_components[],COLUMN(AD:AD),0)</f>
        <v>0</v>
      </c>
      <c r="AE284" cm="1">
        <f t="array" ref="AE284">VLOOKUP($A284,Table_ship_components[],COLUMN(AE:AE),0)</f>
        <v>0</v>
      </c>
      <c r="AF284" cm="1">
        <f t="array" ref="AF284">VLOOKUP($A284,Table_ship_components[],COLUMN(AF:AF),0)</f>
        <v>0</v>
      </c>
      <c r="AG284" cm="1">
        <f t="array" ref="AG284">VLOOKUP($A284,Table_ship_components[],COLUMN(AG:AG),0)</f>
        <v>0</v>
      </c>
      <c r="AH284" cm="1">
        <f t="array" ref="AH284">VLOOKUP($A284,Table_ship_components[],COLUMN(AH:AH),0)</f>
        <v>0</v>
      </c>
      <c r="AI284" cm="1">
        <f t="array" ref="AI284">VLOOKUP($A284,Table_ship_components[],COLUMN(AI:AI),0)</f>
        <v>0</v>
      </c>
      <c r="AJ284" cm="1">
        <f t="array" ref="AJ284">VLOOKUP($A284,Table_ship_components[],COLUMN(AJ:AJ),0)</f>
        <v>0</v>
      </c>
      <c r="AK284" cm="1">
        <f t="array" ref="AK284">VLOOKUP($A284,Table_ship_components[],COLUMN(AK:AK),0)</f>
        <v>0</v>
      </c>
      <c r="AL284" cm="1">
        <f t="array" ref="AL284">VLOOKUP($A284,Table_ship_components[],COLUMN(AL:AL),0)</f>
        <v>0</v>
      </c>
      <c r="AM284" cm="1">
        <f t="array" ref="AM284">VLOOKUP($A284,Table_ship_components[],COLUMN(AM:AM),0)</f>
        <v>0</v>
      </c>
      <c r="AN284" cm="1">
        <f t="array" ref="AN284">VLOOKUP($A284,Table_ship_components[],COLUMN(AN:AN),0)</f>
        <v>0</v>
      </c>
      <c r="AO284" cm="1">
        <f t="array" ref="AO284">VLOOKUP($A284,Table_ship_components[],COLUMN(AO:AO),0)</f>
        <v>0</v>
      </c>
      <c r="AP284" cm="1">
        <f t="array" ref="AP284">VLOOKUP($A284,Table_ship_components[],COLUMN(AP:AP),0)</f>
        <v>0</v>
      </c>
      <c r="AQ284" cm="1">
        <f t="array" ref="AQ284">VLOOKUP($A284,Table_ship_components[],COLUMN(AQ:AQ),0)</f>
        <v>0</v>
      </c>
      <c r="AR284" cm="1">
        <f t="array" ref="AR284">VLOOKUP($A284,Table_ship_components[],COLUMN(AR:AR),0)</f>
        <v>0</v>
      </c>
      <c r="AS284" cm="1">
        <f t="array" ref="AS284">VLOOKUP($A284,Table_ship_components[],COLUMN(AS:AS),0)</f>
        <v>0</v>
      </c>
      <c r="AT284" cm="1">
        <f t="array" ref="AT284">VLOOKUP($A284,Table_ship_components[],COLUMN(AT:AT),0)</f>
        <v>0</v>
      </c>
      <c r="AU284" s="2" cm="1">
        <f t="array" ref="AU284">VLOOKUP($A284,Table_ship_components[],COLUMN(AU:AU),0)</f>
        <v>0</v>
      </c>
      <c r="AV284" s="2" cm="1">
        <f t="array" ref="AV284">VLOOKUP($A284,Table_ship_components[],COLUMN(AV:AV),0)</f>
        <v>0</v>
      </c>
      <c r="AW284" s="2" cm="1">
        <f t="array" ref="AW284">VLOOKUP($A284,Table_ship_components[],COLUMN(AW:AW),0)</f>
        <v>0</v>
      </c>
      <c r="AX284" s="2" cm="1">
        <f t="array" ref="AX284">VLOOKUP($A284,Table_ship_components[],COLUMN(AX:AX),0)</f>
        <v>0</v>
      </c>
      <c r="AY284" s="2" cm="1">
        <f t="array" ref="AY284">VLOOKUP($A284,Table_ship_components[],COLUMN(AY:AY),0)</f>
        <v>0</v>
      </c>
      <c r="AZ284" s="2" t="str" cm="1">
        <f t="array" ref="AZ284">VLOOKUP($A284,Table_ship_components[],COLUMN(AZ:AZ),0)</f>
        <v>C</v>
      </c>
      <c r="BA284" s="14" cm="1">
        <f t="array" ref="BA284">VLOOKUP($A284,Table_ship_components[],COLUMN(BA:BA),0)</f>
        <v>0</v>
      </c>
      <c r="BB284" s="14" cm="1">
        <f t="array" ref="BB284">(VLOOKUP($A284,Table_ship_components[],COLUMN(BA:BA),0)+(W284*C284))</f>
        <v>0</v>
      </c>
      <c r="BC284" s="2" cm="1">
        <f t="array" ref="BC284">VLOOKUP($A284,Table_ship_components[],COLUMN(BC:BC),0)</f>
        <v>0</v>
      </c>
      <c r="BD284" s="2" cm="1">
        <f t="array" ref="BD284">VLOOKUP($A284,Table_ship_components[],COLUMN(BD:BD),0)</f>
        <v>0</v>
      </c>
    </row>
    <row r="285" spans="1:56" outlineLevel="1" x14ac:dyDescent="0.35">
      <c r="A285" t="s">
        <v>288</v>
      </c>
      <c r="B285" t="str" cm="1">
        <f t="array" ref="B285">VLOOKUP($A285,Table_ship_components[],COLUMN(B:B),0)</f>
        <v>PICK A COMPONENT</v>
      </c>
      <c r="D285" cm="1">
        <f t="array" ref="D285">VLOOKUP($A285,Table_ship_components[],COLUMN(D:D),0)</f>
        <v>0</v>
      </c>
      <c r="E285" cm="1">
        <f t="array" ref="E285">ROUND(VLOOKUP($A285,Table_ship_components[],COLUMN(D:D),0)+(V285*C285),0)</f>
        <v>0</v>
      </c>
      <c r="F285" cm="1">
        <f t="array" ref="F285">VLOOKUP($A285,Table_ship_components[],COLUMN(F:F),0)</f>
        <v>0</v>
      </c>
      <c r="G285" cm="1">
        <f t="array" ref="G285">ROUND(VLOOKUP($A285,Table_ship_components[],COLUMN(G:G),0)+(X285*C285),0)</f>
        <v>0</v>
      </c>
      <c r="H285" cm="1">
        <f t="array" ref="H285">VLOOKUP($A285,Table_ship_components[],COLUMN(H:H),0)</f>
        <v>0</v>
      </c>
      <c r="I285" cm="1">
        <f t="array" ref="I285">VLOOKUP($A285,Table_ship_components[],COLUMN(I:I),0)</f>
        <v>0</v>
      </c>
      <c r="J285" cm="1">
        <f t="array" ref="J285">VLOOKUP($A285,Table_ship_components[],COLUMN(J:J),0)</f>
        <v>0</v>
      </c>
      <c r="K285" cm="1">
        <f t="array" ref="K285">VLOOKUP($A285,Table_ship_components[],COLUMN(K:K),0)</f>
        <v>0</v>
      </c>
      <c r="L285" cm="1">
        <f t="array" ref="L285">VLOOKUP($A285,Table_ship_components[],COLUMN(L:L),0)</f>
        <v>0</v>
      </c>
      <c r="M285" cm="1">
        <f t="array" ref="M285">VLOOKUP($A285,Table_ship_components[],COLUMN(M:M),0)</f>
        <v>0</v>
      </c>
      <c r="N285" cm="1">
        <f t="array" ref="N285">VLOOKUP($A285,Table_ship_components[],COLUMN(N:N),0)</f>
        <v>0</v>
      </c>
      <c r="O285" cm="1">
        <f t="array" ref="O285">VLOOKUP($A285,Table_ship_components[],COLUMN(O:O),0)</f>
        <v>0</v>
      </c>
      <c r="P285" cm="1">
        <f t="array" ref="P285">VLOOKUP($A285,Table_ship_components[],COLUMN(P:P),0)</f>
        <v>0</v>
      </c>
      <c r="Q285" cm="1">
        <f t="array" ref="Q285">VLOOKUP($A285,Table_ship_components[],COLUMN(Q:Q),0)</f>
        <v>0</v>
      </c>
      <c r="R285" cm="1">
        <f t="array" ref="R285">VLOOKUP($A285,Table_ship_components[],COLUMN(R:R),0)</f>
        <v>0</v>
      </c>
      <c r="S285" cm="1">
        <f t="array" ref="S285">VLOOKUP($A285,Table_ship_components[],COLUMN(S:S),0)</f>
        <v>0</v>
      </c>
      <c r="T285" cm="1">
        <f t="array" ref="T285">VLOOKUP($A285,Table_ship_components[],COLUMN(T:T),0)</f>
        <v>0</v>
      </c>
      <c r="U285" cm="1">
        <f t="array" ref="U285">VLOOKUP($A285,Table_ship_components[],COLUMN(U:U),0)</f>
        <v>0</v>
      </c>
      <c r="V285" cm="1">
        <f t="array" ref="V285">VLOOKUP($A285,Table_ship_components[],COLUMN(V:V),0)</f>
        <v>0</v>
      </c>
      <c r="W285" s="15" cm="1">
        <f t="array" ref="W285">VLOOKUP($A285,Table_ship_components[],COLUMN(W:W),0)</f>
        <v>0</v>
      </c>
      <c r="X285" cm="1">
        <f t="array" ref="X285">VLOOKUP($A285,Table_ship_components[],COLUMN(X:X),0)</f>
        <v>0</v>
      </c>
      <c r="Y285" cm="1">
        <f t="array" ref="Y285">VLOOKUP($A285,Table_ship_components[],COLUMN(Y:Y),0)</f>
        <v>0</v>
      </c>
      <c r="Z285" cm="1">
        <f t="array" ref="Z285">VLOOKUP($A285,Table_ship_components[],COLUMN(Z:Z),0)</f>
        <v>0</v>
      </c>
      <c r="AA285" cm="1">
        <f t="array" ref="AA285">VLOOKUP($A285,Table_ship_components[],COLUMN(AA:AA),0)*C285</f>
        <v>0</v>
      </c>
      <c r="AB285">
        <f t="shared" si="10"/>
        <v>0</v>
      </c>
      <c r="AC285" cm="1">
        <f t="array" ref="AC285">VLOOKUP($A285,Table_ship_components[],COLUMN(AC:AC),0)*C285</f>
        <v>0</v>
      </c>
      <c r="AD285" cm="1">
        <f t="array" ref="AD285">VLOOKUP($A285,Table_ship_components[],COLUMN(AD:AD),0)</f>
        <v>0</v>
      </c>
      <c r="AE285" cm="1">
        <f t="array" ref="AE285">VLOOKUP($A285,Table_ship_components[],COLUMN(AE:AE),0)</f>
        <v>0</v>
      </c>
      <c r="AF285" cm="1">
        <f t="array" ref="AF285">VLOOKUP($A285,Table_ship_components[],COLUMN(AF:AF),0)</f>
        <v>0</v>
      </c>
      <c r="AG285" cm="1">
        <f t="array" ref="AG285">VLOOKUP($A285,Table_ship_components[],COLUMN(AG:AG),0)</f>
        <v>0</v>
      </c>
      <c r="AH285" cm="1">
        <f t="array" ref="AH285">VLOOKUP($A285,Table_ship_components[],COLUMN(AH:AH),0)</f>
        <v>0</v>
      </c>
      <c r="AI285" cm="1">
        <f t="array" ref="AI285">VLOOKUP($A285,Table_ship_components[],COLUMN(AI:AI),0)</f>
        <v>0</v>
      </c>
      <c r="AJ285" cm="1">
        <f t="array" ref="AJ285">VLOOKUP($A285,Table_ship_components[],COLUMN(AJ:AJ),0)</f>
        <v>0</v>
      </c>
      <c r="AK285" cm="1">
        <f t="array" ref="AK285">VLOOKUP($A285,Table_ship_components[],COLUMN(AK:AK),0)</f>
        <v>0</v>
      </c>
      <c r="AL285" cm="1">
        <f t="array" ref="AL285">VLOOKUP($A285,Table_ship_components[],COLUMN(AL:AL),0)</f>
        <v>0</v>
      </c>
      <c r="AM285" cm="1">
        <f t="array" ref="AM285">VLOOKUP($A285,Table_ship_components[],COLUMN(AM:AM),0)</f>
        <v>0</v>
      </c>
      <c r="AN285" cm="1">
        <f t="array" ref="AN285">VLOOKUP($A285,Table_ship_components[],COLUMN(AN:AN),0)</f>
        <v>0</v>
      </c>
      <c r="AO285" cm="1">
        <f t="array" ref="AO285">VLOOKUP($A285,Table_ship_components[],COLUMN(AO:AO),0)</f>
        <v>0</v>
      </c>
      <c r="AP285" cm="1">
        <f t="array" ref="AP285">VLOOKUP($A285,Table_ship_components[],COLUMN(AP:AP),0)</f>
        <v>0</v>
      </c>
      <c r="AQ285" cm="1">
        <f t="array" ref="AQ285">VLOOKUP($A285,Table_ship_components[],COLUMN(AQ:AQ),0)</f>
        <v>0</v>
      </c>
      <c r="AR285" cm="1">
        <f t="array" ref="AR285">VLOOKUP($A285,Table_ship_components[],COLUMN(AR:AR),0)</f>
        <v>0</v>
      </c>
      <c r="AS285" cm="1">
        <f t="array" ref="AS285">VLOOKUP($A285,Table_ship_components[],COLUMN(AS:AS),0)</f>
        <v>0</v>
      </c>
      <c r="AT285" cm="1">
        <f t="array" ref="AT285">VLOOKUP($A285,Table_ship_components[],COLUMN(AT:AT),0)</f>
        <v>0</v>
      </c>
      <c r="AU285" s="2" cm="1">
        <f t="array" ref="AU285">VLOOKUP($A285,Table_ship_components[],COLUMN(AU:AU),0)</f>
        <v>0</v>
      </c>
      <c r="AV285" s="2" cm="1">
        <f t="array" ref="AV285">VLOOKUP($A285,Table_ship_components[],COLUMN(AV:AV),0)</f>
        <v>0</v>
      </c>
      <c r="AW285" s="2" cm="1">
        <f t="array" ref="AW285">VLOOKUP($A285,Table_ship_components[],COLUMN(AW:AW),0)</f>
        <v>0</v>
      </c>
      <c r="AX285" s="2" cm="1">
        <f t="array" ref="AX285">VLOOKUP($A285,Table_ship_components[],COLUMN(AX:AX),0)</f>
        <v>0</v>
      </c>
      <c r="AY285" s="2" cm="1">
        <f t="array" ref="AY285">VLOOKUP($A285,Table_ship_components[],COLUMN(AY:AY),0)</f>
        <v>0</v>
      </c>
      <c r="AZ285" s="2" t="str" cm="1">
        <f t="array" ref="AZ285">VLOOKUP($A285,Table_ship_components[],COLUMN(AZ:AZ),0)</f>
        <v>C</v>
      </c>
      <c r="BA285" s="14" cm="1">
        <f t="array" ref="BA285">VLOOKUP($A285,Table_ship_components[],COLUMN(BA:BA),0)</f>
        <v>0</v>
      </c>
      <c r="BB285" s="14" cm="1">
        <f t="array" ref="BB285">(VLOOKUP($A285,Table_ship_components[],COLUMN(BA:BA),0)+(W285*C285))</f>
        <v>0</v>
      </c>
      <c r="BC285" s="2" cm="1">
        <f t="array" ref="BC285">VLOOKUP($A285,Table_ship_components[],COLUMN(BC:BC),0)</f>
        <v>0</v>
      </c>
      <c r="BD285" s="2" cm="1">
        <f t="array" ref="BD285">VLOOKUP($A285,Table_ship_components[],COLUMN(BD:BD),0)</f>
        <v>0</v>
      </c>
    </row>
    <row r="286" spans="1:56" outlineLevel="1" x14ac:dyDescent="0.35">
      <c r="A286" t="s">
        <v>288</v>
      </c>
      <c r="B286" t="str" cm="1">
        <f t="array" ref="B286">VLOOKUP($A286,Table_ship_components[],COLUMN(B:B),0)</f>
        <v>PICK A COMPONENT</v>
      </c>
      <c r="D286" cm="1">
        <f t="array" ref="D286">VLOOKUP($A286,Table_ship_components[],COLUMN(D:D),0)</f>
        <v>0</v>
      </c>
      <c r="E286" cm="1">
        <f t="array" ref="E286">ROUND(VLOOKUP($A286,Table_ship_components[],COLUMN(D:D),0)+(V286*C286),0)</f>
        <v>0</v>
      </c>
      <c r="F286" cm="1">
        <f t="array" ref="F286">VLOOKUP($A286,Table_ship_components[],COLUMN(F:F),0)</f>
        <v>0</v>
      </c>
      <c r="G286" cm="1">
        <f t="array" ref="G286">ROUND(VLOOKUP($A286,Table_ship_components[],COLUMN(G:G),0)+(X286*C286),0)</f>
        <v>0</v>
      </c>
      <c r="H286" cm="1">
        <f t="array" ref="H286">VLOOKUP($A286,Table_ship_components[],COLUMN(H:H),0)</f>
        <v>0</v>
      </c>
      <c r="I286" cm="1">
        <f t="array" ref="I286">VLOOKUP($A286,Table_ship_components[],COLUMN(I:I),0)</f>
        <v>0</v>
      </c>
      <c r="J286" cm="1">
        <f t="array" ref="J286">VLOOKUP($A286,Table_ship_components[],COLUMN(J:J),0)</f>
        <v>0</v>
      </c>
      <c r="K286" cm="1">
        <f t="array" ref="K286">VLOOKUP($A286,Table_ship_components[],COLUMN(K:K),0)</f>
        <v>0</v>
      </c>
      <c r="L286" cm="1">
        <f t="array" ref="L286">VLOOKUP($A286,Table_ship_components[],COLUMN(L:L),0)</f>
        <v>0</v>
      </c>
      <c r="M286" cm="1">
        <f t="array" ref="M286">VLOOKUP($A286,Table_ship_components[],COLUMN(M:M),0)</f>
        <v>0</v>
      </c>
      <c r="N286" cm="1">
        <f t="array" ref="N286">VLOOKUP($A286,Table_ship_components[],COLUMN(N:N),0)</f>
        <v>0</v>
      </c>
      <c r="O286" cm="1">
        <f t="array" ref="O286">VLOOKUP($A286,Table_ship_components[],COLUMN(O:O),0)</f>
        <v>0</v>
      </c>
      <c r="P286" cm="1">
        <f t="array" ref="P286">VLOOKUP($A286,Table_ship_components[],COLUMN(P:P),0)</f>
        <v>0</v>
      </c>
      <c r="Q286" cm="1">
        <f t="array" ref="Q286">VLOOKUP($A286,Table_ship_components[],COLUMN(Q:Q),0)</f>
        <v>0</v>
      </c>
      <c r="R286" cm="1">
        <f t="array" ref="R286">VLOOKUP($A286,Table_ship_components[],COLUMN(R:R),0)</f>
        <v>0</v>
      </c>
      <c r="S286" cm="1">
        <f t="array" ref="S286">VLOOKUP($A286,Table_ship_components[],COLUMN(S:S),0)</f>
        <v>0</v>
      </c>
      <c r="T286" cm="1">
        <f t="array" ref="T286">VLOOKUP($A286,Table_ship_components[],COLUMN(T:T),0)</f>
        <v>0</v>
      </c>
      <c r="U286" cm="1">
        <f t="array" ref="U286">VLOOKUP($A286,Table_ship_components[],COLUMN(U:U),0)</f>
        <v>0</v>
      </c>
      <c r="V286" cm="1">
        <f t="array" ref="V286">VLOOKUP($A286,Table_ship_components[],COLUMN(V:V),0)</f>
        <v>0</v>
      </c>
      <c r="W286" s="15" cm="1">
        <f t="array" ref="W286">VLOOKUP($A286,Table_ship_components[],COLUMN(W:W),0)</f>
        <v>0</v>
      </c>
      <c r="X286" cm="1">
        <f t="array" ref="X286">VLOOKUP($A286,Table_ship_components[],COLUMN(X:X),0)</f>
        <v>0</v>
      </c>
      <c r="Y286" cm="1">
        <f t="array" ref="Y286">VLOOKUP($A286,Table_ship_components[],COLUMN(Y:Y),0)</f>
        <v>0</v>
      </c>
      <c r="Z286" cm="1">
        <f t="array" ref="Z286">VLOOKUP($A286,Table_ship_components[],COLUMN(Z:Z),0)</f>
        <v>0</v>
      </c>
      <c r="AA286" cm="1">
        <f t="array" ref="AA286">VLOOKUP($A286,Table_ship_components[],COLUMN(AA:AA),0)*C286</f>
        <v>0</v>
      </c>
      <c r="AB286">
        <f t="shared" si="10"/>
        <v>0</v>
      </c>
      <c r="AC286" cm="1">
        <f t="array" ref="AC286">VLOOKUP($A286,Table_ship_components[],COLUMN(AC:AC),0)*C286</f>
        <v>0</v>
      </c>
      <c r="AD286" cm="1">
        <f t="array" ref="AD286">VLOOKUP($A286,Table_ship_components[],COLUMN(AD:AD),0)</f>
        <v>0</v>
      </c>
      <c r="AE286" cm="1">
        <f t="array" ref="AE286">VLOOKUP($A286,Table_ship_components[],COLUMN(AE:AE),0)</f>
        <v>0</v>
      </c>
      <c r="AF286" cm="1">
        <f t="array" ref="AF286">VLOOKUP($A286,Table_ship_components[],COLUMN(AF:AF),0)</f>
        <v>0</v>
      </c>
      <c r="AG286" cm="1">
        <f t="array" ref="AG286">VLOOKUP($A286,Table_ship_components[],COLUMN(AG:AG),0)</f>
        <v>0</v>
      </c>
      <c r="AH286" cm="1">
        <f t="array" ref="AH286">VLOOKUP($A286,Table_ship_components[],COLUMN(AH:AH),0)</f>
        <v>0</v>
      </c>
      <c r="AI286" cm="1">
        <f t="array" ref="AI286">VLOOKUP($A286,Table_ship_components[],COLUMN(AI:AI),0)</f>
        <v>0</v>
      </c>
      <c r="AJ286" cm="1">
        <f t="array" ref="AJ286">VLOOKUP($A286,Table_ship_components[],COLUMN(AJ:AJ),0)</f>
        <v>0</v>
      </c>
      <c r="AK286" cm="1">
        <f t="array" ref="AK286">VLOOKUP($A286,Table_ship_components[],COLUMN(AK:AK),0)</f>
        <v>0</v>
      </c>
      <c r="AL286" cm="1">
        <f t="array" ref="AL286">VLOOKUP($A286,Table_ship_components[],COLUMN(AL:AL),0)</f>
        <v>0</v>
      </c>
      <c r="AM286" cm="1">
        <f t="array" ref="AM286">VLOOKUP($A286,Table_ship_components[],COLUMN(AM:AM),0)</f>
        <v>0</v>
      </c>
      <c r="AN286" cm="1">
        <f t="array" ref="AN286">VLOOKUP($A286,Table_ship_components[],COLUMN(AN:AN),0)</f>
        <v>0</v>
      </c>
      <c r="AO286" cm="1">
        <f t="array" ref="AO286">VLOOKUP($A286,Table_ship_components[],COLUMN(AO:AO),0)</f>
        <v>0</v>
      </c>
      <c r="AP286" cm="1">
        <f t="array" ref="AP286">VLOOKUP($A286,Table_ship_components[],COLUMN(AP:AP),0)</f>
        <v>0</v>
      </c>
      <c r="AQ286" cm="1">
        <f t="array" ref="AQ286">VLOOKUP($A286,Table_ship_components[],COLUMN(AQ:AQ),0)</f>
        <v>0</v>
      </c>
      <c r="AR286" cm="1">
        <f t="array" ref="AR286">VLOOKUP($A286,Table_ship_components[],COLUMN(AR:AR),0)</f>
        <v>0</v>
      </c>
      <c r="AS286" cm="1">
        <f t="array" ref="AS286">VLOOKUP($A286,Table_ship_components[],COLUMN(AS:AS),0)</f>
        <v>0</v>
      </c>
      <c r="AT286" cm="1">
        <f t="array" ref="AT286">VLOOKUP($A286,Table_ship_components[],COLUMN(AT:AT),0)</f>
        <v>0</v>
      </c>
      <c r="AU286" s="2" cm="1">
        <f t="array" ref="AU286">VLOOKUP($A286,Table_ship_components[],COLUMN(AU:AU),0)</f>
        <v>0</v>
      </c>
      <c r="AV286" s="2" cm="1">
        <f t="array" ref="AV286">VLOOKUP($A286,Table_ship_components[],COLUMN(AV:AV),0)</f>
        <v>0</v>
      </c>
      <c r="AW286" s="2" cm="1">
        <f t="array" ref="AW286">VLOOKUP($A286,Table_ship_components[],COLUMN(AW:AW),0)</f>
        <v>0</v>
      </c>
      <c r="AX286" s="2" cm="1">
        <f t="array" ref="AX286">VLOOKUP($A286,Table_ship_components[],COLUMN(AX:AX),0)</f>
        <v>0</v>
      </c>
      <c r="AY286" s="2" cm="1">
        <f t="array" ref="AY286">VLOOKUP($A286,Table_ship_components[],COLUMN(AY:AY),0)</f>
        <v>0</v>
      </c>
      <c r="AZ286" s="2" t="str" cm="1">
        <f t="array" ref="AZ286">VLOOKUP($A286,Table_ship_components[],COLUMN(AZ:AZ),0)</f>
        <v>C</v>
      </c>
      <c r="BA286" s="14" cm="1">
        <f t="array" ref="BA286">VLOOKUP($A286,Table_ship_components[],COLUMN(BA:BA),0)</f>
        <v>0</v>
      </c>
      <c r="BB286" s="14" cm="1">
        <f t="array" ref="BB286">(VLOOKUP($A286,Table_ship_components[],COLUMN(BA:BA),0)+(W286*C286))</f>
        <v>0</v>
      </c>
      <c r="BC286" s="2" cm="1">
        <f t="array" ref="BC286">VLOOKUP($A286,Table_ship_components[],COLUMN(BC:BC),0)</f>
        <v>0</v>
      </c>
      <c r="BD286" s="2" cm="1">
        <f t="array" ref="BD286">VLOOKUP($A286,Table_ship_components[],COLUMN(BD:BD),0)</f>
        <v>0</v>
      </c>
    </row>
    <row r="287" spans="1:56" ht="15" outlineLevel="1" thickBot="1" x14ac:dyDescent="0.4">
      <c r="D287" s="32"/>
      <c r="E287" s="32">
        <f>SUM(E259:E286)</f>
        <v>119</v>
      </c>
      <c r="F287" s="32"/>
      <c r="G287" s="32">
        <f t="shared" ref="G287:L287" si="11">SUM(G259:G286)</f>
        <v>69</v>
      </c>
      <c r="H287" s="32">
        <f t="shared" si="11"/>
        <v>4</v>
      </c>
      <c r="I287" s="32">
        <f t="shared" si="11"/>
        <v>75</v>
      </c>
      <c r="J287" s="32">
        <f t="shared" si="11"/>
        <v>10</v>
      </c>
      <c r="K287" s="32">
        <f t="shared" si="11"/>
        <v>35</v>
      </c>
      <c r="L287" s="32">
        <f t="shared" si="11"/>
        <v>3</v>
      </c>
      <c r="M287" s="32"/>
      <c r="N287" s="32"/>
      <c r="O287" s="32"/>
      <c r="P287" s="32"/>
      <c r="Q287" s="32"/>
      <c r="R287" s="32"/>
      <c r="S287" s="32"/>
      <c r="T287" s="32"/>
      <c r="U287" s="32"/>
      <c r="V287" s="32"/>
      <c r="W287" s="32"/>
      <c r="X287" s="32"/>
      <c r="Y287" s="32">
        <f t="shared" ref="Y287:AY287" si="12">SUM(Y259:Y286)</f>
        <v>2</v>
      </c>
      <c r="Z287" s="32">
        <f t="shared" si="12"/>
        <v>5</v>
      </c>
      <c r="AA287" s="32">
        <f t="shared" si="12"/>
        <v>10</v>
      </c>
      <c r="AB287" s="32">
        <f t="shared" si="12"/>
        <v>10</v>
      </c>
      <c r="AC287" s="32">
        <f t="shared" si="12"/>
        <v>15</v>
      </c>
      <c r="AD287" s="32">
        <f t="shared" si="12"/>
        <v>50</v>
      </c>
      <c r="AE287" s="32">
        <f t="shared" si="12"/>
        <v>0</v>
      </c>
      <c r="AF287" s="32">
        <f t="shared" si="12"/>
        <v>0</v>
      </c>
      <c r="AG287" s="32">
        <f t="shared" si="12"/>
        <v>1</v>
      </c>
      <c r="AH287" s="32">
        <f t="shared" si="12"/>
        <v>100</v>
      </c>
      <c r="AI287" s="32">
        <f t="shared" si="12"/>
        <v>1000</v>
      </c>
      <c r="AJ287" s="32">
        <f t="shared" si="12"/>
        <v>10000</v>
      </c>
      <c r="AK287" s="32">
        <f t="shared" si="12"/>
        <v>0</v>
      </c>
      <c r="AL287" s="32">
        <f t="shared" si="12"/>
        <v>2</v>
      </c>
      <c r="AM287" s="32">
        <f t="shared" si="12"/>
        <v>3</v>
      </c>
      <c r="AN287" s="32">
        <f t="shared" si="12"/>
        <v>5</v>
      </c>
      <c r="AO287" s="32">
        <f t="shared" si="12"/>
        <v>3</v>
      </c>
      <c r="AP287" s="32">
        <f t="shared" si="12"/>
        <v>10</v>
      </c>
      <c r="AQ287" s="32">
        <f t="shared" si="12"/>
        <v>1</v>
      </c>
      <c r="AR287" s="32">
        <f t="shared" si="12"/>
        <v>5</v>
      </c>
      <c r="AS287" s="32">
        <f t="shared" si="12"/>
        <v>2</v>
      </c>
      <c r="AT287" s="32">
        <f t="shared" si="12"/>
        <v>2</v>
      </c>
      <c r="AU287" s="32">
        <f t="shared" si="12"/>
        <v>1</v>
      </c>
      <c r="AV287" s="32">
        <f t="shared" si="12"/>
        <v>125</v>
      </c>
      <c r="AW287" s="32">
        <f t="shared" si="12"/>
        <v>20</v>
      </c>
      <c r="AX287" s="32">
        <f t="shared" si="12"/>
        <v>85</v>
      </c>
      <c r="AY287" s="32">
        <f t="shared" si="12"/>
        <v>20</v>
      </c>
      <c r="AZ287" s="32"/>
      <c r="BA287" s="33">
        <f>SUM(BA259:BA286)</f>
        <v>7915000</v>
      </c>
      <c r="BB287" s="33">
        <f>SUM(BB259:BB286)</f>
        <v>8665000</v>
      </c>
      <c r="BC287" s="32"/>
      <c r="BD287" s="32"/>
    </row>
    <row r="288" spans="1:56" ht="19" outlineLevel="1" thickTop="1" x14ac:dyDescent="0.45">
      <c r="A288" s="35" t="s">
        <v>691</v>
      </c>
      <c r="B288" s="34">
        <f>BB287</f>
        <v>8665000</v>
      </c>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7"/>
      <c r="BB288" s="37"/>
      <c r="BC288" s="36"/>
      <c r="BD288" s="36"/>
    </row>
    <row r="289" spans="1:56" ht="21" x14ac:dyDescent="0.5">
      <c r="A289" s="38" t="s">
        <v>692</v>
      </c>
      <c r="B289" s="38" t="s">
        <v>701</v>
      </c>
    </row>
    <row r="290" spans="1:56" outlineLevel="1" x14ac:dyDescent="0.35">
      <c r="A290" t="s">
        <v>699</v>
      </c>
      <c r="B290" t="str" cm="1">
        <f t="array" ref="B290">VLOOKUP($A290,Table_ship_components[],COLUMN(B:B),0)</f>
        <v>boarding corvette template</v>
      </c>
      <c r="D290" cm="1">
        <f t="array" ref="D290">VLOOKUP($A290,Table_ship_components[],COLUMN(D:D),0)</f>
        <v>0</v>
      </c>
      <c r="E290" cm="1">
        <f t="array" ref="E290">(VLOOKUP($A290,Table_ship_components[],COLUMN(D:D),0)+(V290*C290))</f>
        <v>0</v>
      </c>
      <c r="F290" cm="1">
        <f t="array" ref="F290">VLOOKUP($A290,Table_ship_components[],COLUMN(F:F),0)</f>
        <v>0</v>
      </c>
      <c r="G290" cm="1">
        <f t="array" ref="G290">(VLOOKUP($A290,Table_ship_components[],COLUMN(G:G),0)+(X290*C290))</f>
        <v>0</v>
      </c>
      <c r="H290" cm="1">
        <f t="array" ref="H290">VLOOKUP($A290,Table_ship_components[],COLUMN(H:H),0)</f>
        <v>0</v>
      </c>
      <c r="I290" cm="1">
        <f t="array" ref="I290">VLOOKUP($A290,Table_ship_components[],COLUMN(I:I),0)</f>
        <v>0</v>
      </c>
      <c r="J290" cm="1">
        <f t="array" ref="J290">VLOOKUP($A290,Table_ship_components[],COLUMN(J:J),0)</f>
        <v>0</v>
      </c>
      <c r="K290" cm="1">
        <f t="array" ref="K290">VLOOKUP($A290,Table_ship_components[],COLUMN(K:K),0)</f>
        <v>0</v>
      </c>
      <c r="L290" cm="1">
        <f t="array" ref="L290">VLOOKUP($A290,Table_ship_components[],COLUMN(L:L),0)</f>
        <v>0</v>
      </c>
      <c r="M290" cm="1">
        <f t="array" ref="M290">VLOOKUP($A290,Table_ship_components[],COLUMN(M:M),0)</f>
        <v>0</v>
      </c>
      <c r="N290" cm="1">
        <f t="array" ref="N290">VLOOKUP($A290,Table_ship_components[],COLUMN(N:N),0)</f>
        <v>0</v>
      </c>
      <c r="O290" cm="1">
        <f t="array" ref="O290">VLOOKUP($A290,Table_ship_components[],COLUMN(O:O),0)</f>
        <v>0</v>
      </c>
      <c r="P290" cm="1">
        <f t="array" ref="P290">VLOOKUP($A290,Table_ship_components[],COLUMN(P:P),0)</f>
        <v>0</v>
      </c>
      <c r="Q290" cm="1">
        <f t="array" ref="Q290">VLOOKUP($A290,Table_ship_components[],COLUMN(Q:Q),0)</f>
        <v>0</v>
      </c>
      <c r="R290" cm="1">
        <f t="array" ref="R290">VLOOKUP($A290,Table_ship_components[],COLUMN(R:R),0)</f>
        <v>0</v>
      </c>
      <c r="S290" cm="1">
        <f t="array" ref="S290">VLOOKUP($A290,Table_ship_components[],COLUMN(S:S),0)</f>
        <v>0</v>
      </c>
      <c r="T290" cm="1">
        <f t="array" ref="T290">VLOOKUP($A290,Table_ship_components[],COLUMN(T:T),0)</f>
        <v>0</v>
      </c>
      <c r="U290" cm="1">
        <f t="array" ref="U290">VLOOKUP($A290,Table_ship_components[],COLUMN(U:U),0)</f>
        <v>0</v>
      </c>
      <c r="V290" cm="1">
        <f t="array" ref="V290">VLOOKUP($A290,Table_ship_components[],COLUMN(V:V),0)</f>
        <v>0</v>
      </c>
      <c r="W290" s="15" cm="1">
        <f t="array" ref="W290">VLOOKUP($A290,Table_ship_components[],COLUMN(W:W),0)</f>
        <v>0</v>
      </c>
      <c r="X290" cm="1">
        <f t="array" ref="X290">VLOOKUP($A290,Table_ship_components[],COLUMN(X:X),0)</f>
        <v>0</v>
      </c>
      <c r="Y290" cm="1">
        <f t="array" ref="Y290">VLOOKUP($A290,Table_ship_components[],COLUMN(Y:Y),0)</f>
        <v>0</v>
      </c>
      <c r="Z290" cm="1">
        <f t="array" ref="Z290">VLOOKUP($A290,Table_ship_components[],COLUMN(Z:Z),0)</f>
        <v>0</v>
      </c>
      <c r="AA290" cm="1">
        <f t="array" ref="AA290">VLOOKUP($A290,Table_ship_components[],COLUMN(AA:AA),0)</f>
        <v>0</v>
      </c>
      <c r="AB290" cm="1">
        <f t="array" ref="AB290">VLOOKUP($A290,Table_ship_components[],COLUMN(AB:AB),0)</f>
        <v>0</v>
      </c>
      <c r="AC290" cm="1">
        <f t="array" ref="AC290">VLOOKUP($A290,Table_ship_components[],COLUMN(AC:AC),0)</f>
        <v>0</v>
      </c>
      <c r="AD290" cm="1">
        <f t="array" ref="AD290">VLOOKUP($A290,Table_ship_components[],COLUMN(AD:AD),0)</f>
        <v>0</v>
      </c>
      <c r="AE290" cm="1">
        <f t="array" ref="AE290">VLOOKUP($A290,Table_ship_components[],COLUMN(AE:AE),0)</f>
        <v>0</v>
      </c>
      <c r="AF290" cm="1">
        <f t="array" ref="AF290">VLOOKUP($A290,Table_ship_components[],COLUMN(AF:AF),0)</f>
        <v>0</v>
      </c>
      <c r="AG290" cm="1">
        <f t="array" ref="AG290">VLOOKUP($A290,Table_ship_components[],COLUMN(AG:AG),0)</f>
        <v>0</v>
      </c>
      <c r="AH290" cm="1">
        <f t="array" ref="AH290">VLOOKUP($A290,Table_ship_components[],COLUMN(AH:AH),0)</f>
        <v>0</v>
      </c>
      <c r="AI290" cm="1">
        <f t="array" ref="AI290">VLOOKUP($A290,Table_ship_components[],COLUMN(AI:AI),0)</f>
        <v>0</v>
      </c>
      <c r="AJ290" cm="1">
        <f t="array" ref="AJ290">VLOOKUP($A290,Table_ship_components[],COLUMN(AJ:AJ),0)</f>
        <v>0</v>
      </c>
      <c r="AK290" cm="1">
        <f t="array" ref="AK290">VLOOKUP($A290,Table_ship_components[],COLUMN(AK:AK),0)</f>
        <v>0</v>
      </c>
      <c r="AL290" cm="1">
        <f t="array" ref="AL290">VLOOKUP($A290,Table_ship_components[],COLUMN(AL:AL),0)</f>
        <v>0</v>
      </c>
      <c r="AM290" cm="1">
        <f t="array" ref="AM290">VLOOKUP($A290,Table_ship_components[],COLUMN(AM:AM),0)</f>
        <v>3</v>
      </c>
      <c r="AN290" cm="1">
        <f t="array" ref="AN290">VLOOKUP($A290,Table_ship_components[],COLUMN(AN:AN),0)</f>
        <v>10</v>
      </c>
      <c r="AO290" cm="1">
        <f t="array" ref="AO290">VLOOKUP($A290,Table_ship_components[],COLUMN(AO:AO),0)</f>
        <v>3</v>
      </c>
      <c r="AP290" cm="1">
        <f t="array" ref="AP290">VLOOKUP($A290,Table_ship_components[],COLUMN(AP:AP),0)</f>
        <v>10</v>
      </c>
      <c r="AQ290" cm="1">
        <f t="array" ref="AQ290">VLOOKUP($A290,Table_ship_components[],COLUMN(AQ:AQ),0)</f>
        <v>2</v>
      </c>
      <c r="AR290" cm="1">
        <f t="array" ref="AR290">VLOOKUP($A290,Table_ship_components[],COLUMN(AR:AR),0)</f>
        <v>2</v>
      </c>
      <c r="AS290" cm="1">
        <f t="array" ref="AS290">VLOOKUP($A290,Table_ship_components[],COLUMN(AS:AS),0)</f>
        <v>2</v>
      </c>
      <c r="AT290" cm="1">
        <f t="array" ref="AT290">VLOOKUP($A290,Table_ship_components[],COLUMN(AT:AT),0)</f>
        <v>2</v>
      </c>
      <c r="AU290" s="2" cm="1">
        <f t="array" ref="AU290">VLOOKUP($A290,Table_ship_components[],COLUMN(AU:AU),0)</f>
        <v>2</v>
      </c>
      <c r="AV290" s="2" cm="1">
        <f t="array" ref="AV290">VLOOKUP($A290,Table_ship_components[],COLUMN(AV:AV),0)</f>
        <v>125</v>
      </c>
      <c r="AW290" s="2" cm="1">
        <f t="array" ref="AW290">VLOOKUP($A290,Table_ship_components[],COLUMN(AW:AW),0)</f>
        <v>30</v>
      </c>
      <c r="AX290" s="2" cm="1">
        <f t="array" ref="AX290">VLOOKUP($A290,Table_ship_components[],COLUMN(AX:AX),0)</f>
        <v>70</v>
      </c>
      <c r="AY290" s="2" cm="1">
        <f t="array" ref="AY290">VLOOKUP($A290,Table_ship_components[],COLUMN(AY:AY),0)</f>
        <v>25</v>
      </c>
      <c r="AZ290" s="2" t="str" cm="1">
        <f t="array" ref="AZ290">VLOOKUP($A290,Table_ship_components[],COLUMN(AZ:AZ),0)</f>
        <v>C</v>
      </c>
      <c r="BA290" s="14" cm="1">
        <f t="array" ref="BA290">VLOOKUP($A290,Table_ship_components[],COLUMN(BA:BA),0)</f>
        <v>1862500</v>
      </c>
      <c r="BB290" s="14" cm="1">
        <f t="array" ref="BB290">(VLOOKUP($A290,Table_ship_components[],COLUMN(BA:BA),0)+(W290*C290))</f>
        <v>1862500</v>
      </c>
      <c r="BC290" s="2" cm="1">
        <f t="array" ref="BC290">VLOOKUP($A290,Table_ship_components[],COLUMN(BC:BC),0)</f>
        <v>0</v>
      </c>
      <c r="BD290" s="2" cm="1">
        <f t="array" ref="BD290">VLOOKUP($A290,Table_ship_components[],COLUMN(BD:BD),0)</f>
        <v>0</v>
      </c>
    </row>
    <row r="291" spans="1:56" outlineLevel="1" x14ac:dyDescent="0.35"/>
    <row r="292" spans="1:56" outlineLevel="1" x14ac:dyDescent="0.35">
      <c r="A292" s="40" t="str">
        <f>CONCATENATE("LIFE SUPPORT VALID : ",IF((SUM(Z320:AA320)&lt;=AC320),"YES","NO"))</f>
        <v>LIFE SUPPORT VALID : YES</v>
      </c>
      <c r="B292" s="39" t="str">
        <f>CONCATENATE("TOTAL SIZE ",(SUM(E294:E319))," TOTAL POWER ",(SUM(G294:G319))," / ",(SUM(I294:I319)))</f>
        <v>TOTAL SIZE 110 TOTAL POWER 69 / 75</v>
      </c>
    </row>
    <row r="293" spans="1:56" outlineLevel="1" x14ac:dyDescent="0.35">
      <c r="A293" s="18" t="s">
        <v>423</v>
      </c>
      <c r="B293" s="19" t="str">
        <f>CONCATENATE("SIZE ",(SUM(E294:E298)),"/", AW290,"  POWER ",(SUM(G294:G298)),)</f>
        <v>SIZE 30/30  POWER 18</v>
      </c>
      <c r="C293" s="31" t="s">
        <v>521</v>
      </c>
    </row>
    <row r="294" spans="1:56" outlineLevel="1" x14ac:dyDescent="0.35">
      <c r="A294" t="s">
        <v>370</v>
      </c>
      <c r="B294" t="str" cm="1">
        <f t="array" ref="B294">VLOOKUP($A294,Table_ship_components[],COLUMN(B:B),0)</f>
        <v>avg corvette power plant</v>
      </c>
      <c r="D294" cm="1">
        <f t="array" ref="D294">VLOOKUP($A294,Table_ship_components[],COLUMN(D:D),0)</f>
        <v>14</v>
      </c>
      <c r="E294" cm="1">
        <f t="array" ref="E294">ROUND(VLOOKUP($A294,Table_ship_components[],COLUMN(D:D),0)+(V294*C294),0)</f>
        <v>14</v>
      </c>
      <c r="F294" cm="1">
        <f t="array" ref="F294">VLOOKUP($A294,Table_ship_components[],COLUMN(F:F),0)</f>
        <v>0</v>
      </c>
      <c r="G294" cm="1">
        <f t="array" ref="G294">ROUND(VLOOKUP($A294,Table_ship_components[],COLUMN(G:G),0)+(X294*C294),0)</f>
        <v>0</v>
      </c>
      <c r="H294" cm="1">
        <f t="array" ref="H294">VLOOKUP($A294,Table_ship_components[],COLUMN(H:H),0)</f>
        <v>0</v>
      </c>
      <c r="I294" cm="1">
        <f t="array" ref="I294">VLOOKUP($A294,Table_ship_components[],COLUMN(I:I),0)</f>
        <v>75</v>
      </c>
      <c r="J294" cm="1">
        <f t="array" ref="J294">VLOOKUP($A294,Table_ship_components[],COLUMN(J:J),0)</f>
        <v>0</v>
      </c>
      <c r="K294" cm="1">
        <f t="array" ref="K294">VLOOKUP($A294,Table_ship_components[],COLUMN(K:K),0)</f>
        <v>0</v>
      </c>
      <c r="L294" cm="1">
        <f t="array" ref="L294">VLOOKUP($A294,Table_ship_components[],COLUMN(L:L),0)</f>
        <v>0</v>
      </c>
      <c r="M294" cm="1">
        <f t="array" ref="M294">VLOOKUP($A294,Table_ship_components[],COLUMN(M:M),0)</f>
        <v>0</v>
      </c>
      <c r="N294" cm="1">
        <f t="array" ref="N294">VLOOKUP($A294,Table_ship_components[],COLUMN(N:N),0)</f>
        <v>0</v>
      </c>
      <c r="O294" cm="1">
        <f t="array" ref="O294">VLOOKUP($A294,Table_ship_components[],COLUMN(O:O),0)</f>
        <v>1</v>
      </c>
      <c r="P294" cm="1">
        <f t="array" ref="P294">VLOOKUP($A294,Table_ship_components[],COLUMN(P:P),0)</f>
        <v>1</v>
      </c>
      <c r="Q294" cm="1">
        <f t="array" ref="Q294">VLOOKUP($A294,Table_ship_components[],COLUMN(Q:Q),0)</f>
        <v>1</v>
      </c>
      <c r="R294" cm="1">
        <f t="array" ref="R294">VLOOKUP($A294,Table_ship_components[],COLUMN(R:R),0)</f>
        <v>1</v>
      </c>
      <c r="S294" cm="1">
        <f t="array" ref="S294">VLOOKUP($A294,Table_ship_components[],COLUMN(S:S),0)</f>
        <v>1</v>
      </c>
      <c r="T294" cm="1">
        <f t="array" ref="T294">VLOOKUP($A294,Table_ship_components[],COLUMN(T:T),0)</f>
        <v>1</v>
      </c>
      <c r="U294" cm="1">
        <f t="array" ref="U294">VLOOKUP($A294,Table_ship_components[],COLUMN(U:U),0)</f>
        <v>0</v>
      </c>
      <c r="V294" cm="1">
        <f t="array" ref="V294">VLOOKUP($A294,Table_ship_components[],COLUMN(V:V),0)</f>
        <v>0</v>
      </c>
      <c r="W294" s="15" cm="1">
        <f t="array" ref="W294">VLOOKUP($A294,Table_ship_components[],COLUMN(W:W),0)</f>
        <v>0</v>
      </c>
      <c r="X294" cm="1">
        <f t="array" ref="X294">VLOOKUP($A294,Table_ship_components[],COLUMN(X:X),0)</f>
        <v>0</v>
      </c>
      <c r="Y294" cm="1">
        <f t="array" ref="Y294">VLOOKUP($A294,Table_ship_components[],COLUMN(Y:Y),0)</f>
        <v>0</v>
      </c>
      <c r="Z294" cm="1">
        <f t="array" ref="Z294">VLOOKUP($A294,Table_ship_components[],COLUMN(Z:Z),0)</f>
        <v>0</v>
      </c>
      <c r="AA294" cm="1">
        <f t="array" ref="AA294">VLOOKUP($A294,Table_ship_components[],COLUMN(AA:AA),0)*C294</f>
        <v>0</v>
      </c>
      <c r="AB294">
        <f>IF(A294="CARGOSPACE_0-ALL_0-UNIVERSAL",C294,0)</f>
        <v>0</v>
      </c>
      <c r="AC294" cm="1">
        <f t="array" ref="AC294">VLOOKUP($A294,Table_ship_components[],COLUMN(AC:AC),0)*C294</f>
        <v>0</v>
      </c>
      <c r="AD294" cm="1">
        <f t="array" ref="AD294">VLOOKUP($A294,Table_ship_components[],COLUMN(AD:AD),0)</f>
        <v>0</v>
      </c>
      <c r="AE294" cm="1">
        <f t="array" ref="AE294">VLOOKUP($A294,Table_ship_components[],COLUMN(AE:AE),0)</f>
        <v>0</v>
      </c>
      <c r="AF294" cm="1">
        <f t="array" ref="AF294">VLOOKUP($A294,Table_ship_components[],COLUMN(AF:AF),0)</f>
        <v>0</v>
      </c>
      <c r="AG294" cm="1">
        <f t="array" ref="AG294">VLOOKUP($A294,Table_ship_components[],COLUMN(AG:AG),0)</f>
        <v>0</v>
      </c>
      <c r="AH294" cm="1">
        <f t="array" ref="AH294">VLOOKUP($A294,Table_ship_components[],COLUMN(AH:AH),0)</f>
        <v>0</v>
      </c>
      <c r="AI294" cm="1">
        <f t="array" ref="AI294">VLOOKUP($A294,Table_ship_components[],COLUMN(AI:AI),0)</f>
        <v>0</v>
      </c>
      <c r="AJ294" cm="1">
        <f t="array" ref="AJ294">VLOOKUP($A294,Table_ship_components[],COLUMN(AJ:AJ),0)</f>
        <v>0</v>
      </c>
      <c r="AK294" cm="1">
        <f t="array" ref="AK294">VLOOKUP($A294,Table_ship_components[],COLUMN(AK:AK),0)</f>
        <v>0</v>
      </c>
      <c r="AL294" cm="1">
        <f t="array" ref="AL294">VLOOKUP($A294,Table_ship_components[],COLUMN(AL:AL),0)</f>
        <v>0</v>
      </c>
      <c r="AM294" cm="1">
        <f t="array" ref="AM294">VLOOKUP($A294,Table_ship_components[],COLUMN(AM:AM),0)</f>
        <v>0</v>
      </c>
      <c r="AN294" cm="1">
        <f t="array" ref="AN294">VLOOKUP($A294,Table_ship_components[],COLUMN(AN:AN),0)</f>
        <v>0</v>
      </c>
      <c r="AO294" cm="1">
        <f t="array" ref="AO294">VLOOKUP($A294,Table_ship_components[],COLUMN(AO:AO),0)</f>
        <v>0</v>
      </c>
      <c r="AP294" cm="1">
        <f t="array" ref="AP294">VLOOKUP($A294,Table_ship_components[],COLUMN(AP:AP),0)</f>
        <v>0</v>
      </c>
      <c r="AQ294" cm="1">
        <f t="array" ref="AQ294">VLOOKUP($A294,Table_ship_components[],COLUMN(AQ:AQ),0)</f>
        <v>0</v>
      </c>
      <c r="AR294" cm="1">
        <f t="array" ref="AR294">VLOOKUP($A294,Table_ship_components[],COLUMN(AR:AR),0)</f>
        <v>0</v>
      </c>
      <c r="AS294" cm="1">
        <f t="array" ref="AS294">VLOOKUP($A294,Table_ship_components[],COLUMN(AS:AS),0)</f>
        <v>0</v>
      </c>
      <c r="AT294" cm="1">
        <f t="array" ref="AT294">VLOOKUP($A294,Table_ship_components[],COLUMN(AT:AT),0)</f>
        <v>0</v>
      </c>
      <c r="AU294" s="2" cm="1">
        <f t="array" ref="AU294">VLOOKUP($A294,Table_ship_components[],COLUMN(AU:AU),0)</f>
        <v>0</v>
      </c>
      <c r="AV294" s="2" cm="1">
        <f t="array" ref="AV294">VLOOKUP($A294,Table_ship_components[],COLUMN(AV:AV),0)</f>
        <v>0</v>
      </c>
      <c r="AW294" s="2" cm="1">
        <f t="array" ref="AW294">VLOOKUP($A294,Table_ship_components[],COLUMN(AW:AW),0)</f>
        <v>0</v>
      </c>
      <c r="AX294" s="2" cm="1">
        <f t="array" ref="AX294">VLOOKUP($A294,Table_ship_components[],COLUMN(AX:AX),0)</f>
        <v>0</v>
      </c>
      <c r="AY294" s="2" cm="1">
        <f t="array" ref="AY294">VLOOKUP($A294,Table_ship_components[],COLUMN(AY:AY),0)</f>
        <v>0</v>
      </c>
      <c r="AZ294" s="2" t="str" cm="1">
        <f t="array" ref="AZ294">VLOOKUP($A294,Table_ship_components[],COLUMN(AZ:AZ),0)</f>
        <v>C</v>
      </c>
      <c r="BA294" s="14" cm="1">
        <f t="array" ref="BA294">VLOOKUP($A294,Table_ship_components[],COLUMN(BA:BA),0)</f>
        <v>500000</v>
      </c>
      <c r="BB294" s="14" cm="1">
        <f t="array" ref="BB294">(VLOOKUP($A294,Table_ship_components[],COLUMN(BA:BA),0)+(W294*C294))</f>
        <v>500000</v>
      </c>
      <c r="BC294" s="2" cm="1">
        <f t="array" ref="BC294">VLOOKUP($A294,Table_ship_components[],COLUMN(BC:BC),0)</f>
        <v>0</v>
      </c>
      <c r="BD294" s="2" cm="1">
        <f t="array" ref="BD294">VLOOKUP($A294,Table_ship_components[],COLUMN(BD:BD),0)</f>
        <v>0</v>
      </c>
    </row>
    <row r="295" spans="1:56" outlineLevel="1" x14ac:dyDescent="0.35">
      <c r="A295" t="s">
        <v>637</v>
      </c>
      <c r="B295" t="str" cm="1">
        <f t="array" ref="B295">VLOOKUP($A295,Table_ship_components[],COLUMN(B:B),0)</f>
        <v>med speed corvette balanced engine</v>
      </c>
      <c r="D295" cm="1">
        <f t="array" ref="D295">VLOOKUP($A295,Table_ship_components[],COLUMN(D:D),0)</f>
        <v>10</v>
      </c>
      <c r="E295" cm="1">
        <f t="array" ref="E295">ROUND(VLOOKUP($A295,Table_ship_components[],COLUMN(D:D),0)+(V295*C295),0)</f>
        <v>10</v>
      </c>
      <c r="F295" cm="1">
        <f t="array" ref="F295">VLOOKUP($A295,Table_ship_components[],COLUMN(F:F),0)</f>
        <v>11</v>
      </c>
      <c r="G295" cm="1">
        <f t="array" ref="G295">ROUND(VLOOKUP($A295,Table_ship_components[],COLUMN(G:G),0)+(X295*C295),0)</f>
        <v>11</v>
      </c>
      <c r="H295" cm="1">
        <f t="array" ref="H295">VLOOKUP($A295,Table_ship_components[],COLUMN(H:H),0)</f>
        <v>0</v>
      </c>
      <c r="I295" cm="1">
        <f t="array" ref="I295">VLOOKUP($A295,Table_ship_components[],COLUMN(I:I),0)</f>
        <v>0</v>
      </c>
      <c r="J295" cm="1">
        <f t="array" ref="J295">VLOOKUP($A295,Table_ship_components[],COLUMN(J:J),0)</f>
        <v>0</v>
      </c>
      <c r="K295" cm="1">
        <f t="array" ref="K295">VLOOKUP($A295,Table_ship_components[],COLUMN(K:K),0)</f>
        <v>0</v>
      </c>
      <c r="L295" cm="1">
        <f t="array" ref="L295">VLOOKUP($A295,Table_ship_components[],COLUMN(L:L),0)</f>
        <v>0</v>
      </c>
      <c r="M295" cm="1">
        <f t="array" ref="M295">VLOOKUP($A295,Table_ship_components[],COLUMN(M:M),0)</f>
        <v>0</v>
      </c>
      <c r="N295" cm="1">
        <f t="array" ref="N295">VLOOKUP($A295,Table_ship_components[],COLUMN(N:N),0)</f>
        <v>0</v>
      </c>
      <c r="O295" cm="1">
        <f t="array" ref="O295">VLOOKUP($A295,Table_ship_components[],COLUMN(O:O),0)</f>
        <v>1</v>
      </c>
      <c r="P295" cm="1">
        <f t="array" ref="P295">VLOOKUP($A295,Table_ship_components[],COLUMN(P:P),0)</f>
        <v>0</v>
      </c>
      <c r="Q295" cm="1">
        <f t="array" ref="Q295">VLOOKUP($A295,Table_ship_components[],COLUMN(Q:Q),0)</f>
        <v>0</v>
      </c>
      <c r="R295" cm="1">
        <f t="array" ref="R295">VLOOKUP($A295,Table_ship_components[],COLUMN(R:R),0)</f>
        <v>0</v>
      </c>
      <c r="S295" cm="1">
        <f t="array" ref="S295">VLOOKUP($A295,Table_ship_components[],COLUMN(S:S),0)</f>
        <v>0</v>
      </c>
      <c r="T295" cm="1">
        <f t="array" ref="T295">VLOOKUP($A295,Table_ship_components[],COLUMN(T:T),0)</f>
        <v>0</v>
      </c>
      <c r="U295" cm="1">
        <f t="array" ref="U295">VLOOKUP($A295,Table_ship_components[],COLUMN(U:U),0)</f>
        <v>0</v>
      </c>
      <c r="V295" cm="1">
        <f t="array" ref="V295">VLOOKUP($A295,Table_ship_components[],COLUMN(V:V),0)</f>
        <v>0</v>
      </c>
      <c r="W295" s="15" cm="1">
        <f t="array" ref="W295">VLOOKUP($A295,Table_ship_components[],COLUMN(W:W),0)</f>
        <v>0</v>
      </c>
      <c r="X295" cm="1">
        <f t="array" ref="X295">VLOOKUP($A295,Table_ship_components[],COLUMN(X:X),0)</f>
        <v>0</v>
      </c>
      <c r="Y295" cm="1">
        <f t="array" ref="Y295">VLOOKUP($A295,Table_ship_components[],COLUMN(Y:Y),0)</f>
        <v>0</v>
      </c>
      <c r="Z295" cm="1">
        <f t="array" ref="Z295">VLOOKUP($A295,Table_ship_components[],COLUMN(Z:Z),0)</f>
        <v>0</v>
      </c>
      <c r="AA295" cm="1">
        <f t="array" ref="AA295">VLOOKUP($A295,Table_ship_components[],COLUMN(AA:AA),0)*C295</f>
        <v>0</v>
      </c>
      <c r="AB295">
        <f t="shared" ref="AB295:AB296" si="13">IF(A295="CARGOSPACE_0-ALL_0-UNIVERSAL",C295,0)</f>
        <v>0</v>
      </c>
      <c r="AC295" cm="1">
        <f t="array" ref="AC295">VLOOKUP($A295,Table_ship_components[],COLUMN(AC:AC),0)*C295</f>
        <v>0</v>
      </c>
      <c r="AD295" cm="1">
        <f t="array" ref="AD295">VLOOKUP($A295,Table_ship_components[],COLUMN(AD:AD),0)</f>
        <v>0</v>
      </c>
      <c r="AE295" cm="1">
        <f t="array" ref="AE295">VLOOKUP($A295,Table_ship_components[],COLUMN(AE:AE),0)</f>
        <v>0</v>
      </c>
      <c r="AF295" cm="1">
        <f t="array" ref="AF295">VLOOKUP($A295,Table_ship_components[],COLUMN(AF:AF),0)</f>
        <v>0</v>
      </c>
      <c r="AG295" cm="1">
        <f t="array" ref="AG295">VLOOKUP($A295,Table_ship_components[],COLUMN(AG:AG),0)</f>
        <v>0</v>
      </c>
      <c r="AH295" cm="1">
        <f t="array" ref="AH295">VLOOKUP($A295,Table_ship_components[],COLUMN(AH:AH),0)</f>
        <v>0</v>
      </c>
      <c r="AI295" cm="1">
        <f t="array" ref="AI295">VLOOKUP($A295,Table_ship_components[],COLUMN(AI:AI),0)</f>
        <v>0</v>
      </c>
      <c r="AJ295" cm="1">
        <f t="array" ref="AJ295">VLOOKUP($A295,Table_ship_components[],COLUMN(AJ:AJ),0)</f>
        <v>0</v>
      </c>
      <c r="AK295" cm="1">
        <f t="array" ref="AK295">VLOOKUP($A295,Table_ship_components[],COLUMN(AK:AK),0)</f>
        <v>0</v>
      </c>
      <c r="AL295" cm="1">
        <f t="array" ref="AL295">VLOOKUP($A295,Table_ship_components[],COLUMN(AL:AL),0)</f>
        <v>2</v>
      </c>
      <c r="AM295" cm="1">
        <f t="array" ref="AM295">VLOOKUP($A295,Table_ship_components[],COLUMN(AM:AM),0)</f>
        <v>0</v>
      </c>
      <c r="AN295" cm="1">
        <f t="array" ref="AN295">VLOOKUP($A295,Table_ship_components[],COLUMN(AN:AN),0)</f>
        <v>0</v>
      </c>
      <c r="AO295" cm="1">
        <f t="array" ref="AO295">VLOOKUP($A295,Table_ship_components[],COLUMN(AO:AO),0)</f>
        <v>0</v>
      </c>
      <c r="AP295" cm="1">
        <f t="array" ref="AP295">VLOOKUP($A295,Table_ship_components[],COLUMN(AP:AP),0)</f>
        <v>0</v>
      </c>
      <c r="AQ295" cm="1">
        <f t="array" ref="AQ295">VLOOKUP($A295,Table_ship_components[],COLUMN(AQ:AQ),0)</f>
        <v>0</v>
      </c>
      <c r="AR295" cm="1">
        <f t="array" ref="AR295">VLOOKUP($A295,Table_ship_components[],COLUMN(AR:AR),0)</f>
        <v>1</v>
      </c>
      <c r="AS295" cm="1">
        <f t="array" ref="AS295">VLOOKUP($A295,Table_ship_components[],COLUMN(AS:AS),0)</f>
        <v>0</v>
      </c>
      <c r="AT295" cm="1">
        <f t="array" ref="AT295">VLOOKUP($A295,Table_ship_components[],COLUMN(AT:AT),0)</f>
        <v>0</v>
      </c>
      <c r="AU295" s="2" cm="1">
        <f t="array" ref="AU295">VLOOKUP($A295,Table_ship_components[],COLUMN(AU:AU),0)</f>
        <v>1</v>
      </c>
      <c r="AV295" s="2" cm="1">
        <f t="array" ref="AV295">VLOOKUP($A295,Table_ship_components[],COLUMN(AV:AV),0)</f>
        <v>0</v>
      </c>
      <c r="AW295" s="2" cm="1">
        <f t="array" ref="AW295">VLOOKUP($A295,Table_ship_components[],COLUMN(AW:AW),0)</f>
        <v>0</v>
      </c>
      <c r="AX295" s="2" cm="1">
        <f t="array" ref="AX295">VLOOKUP($A295,Table_ship_components[],COLUMN(AX:AX),0)</f>
        <v>0</v>
      </c>
      <c r="AY295" s="2" cm="1">
        <f t="array" ref="AY295">VLOOKUP($A295,Table_ship_components[],COLUMN(AY:AY),0)</f>
        <v>0</v>
      </c>
      <c r="AZ295" s="2" t="str" cm="1">
        <f t="array" ref="AZ295">VLOOKUP($A295,Table_ship_components[],COLUMN(AZ:AZ),0)</f>
        <v>C</v>
      </c>
      <c r="BA295" s="14" cm="1">
        <f t="array" ref="BA295">VLOOKUP($A295,Table_ship_components[],COLUMN(BA:BA),0)</f>
        <v>900000</v>
      </c>
      <c r="BB295" s="14" cm="1">
        <f t="array" ref="BB295">(VLOOKUP($A295,Table_ship_components[],COLUMN(BA:BA),0)+(W295*C295))</f>
        <v>900000</v>
      </c>
      <c r="BC295" s="2" cm="1">
        <f t="array" ref="BC295">VLOOKUP($A295,Table_ship_components[],COLUMN(BC:BC),0)</f>
        <v>0</v>
      </c>
      <c r="BD295" s="2" cm="1">
        <f t="array" ref="BD295">VLOOKUP($A295,Table_ship_components[],COLUMN(BD:BD),0)</f>
        <v>0</v>
      </c>
    </row>
    <row r="296" spans="1:56" outlineLevel="1" x14ac:dyDescent="0.35">
      <c r="A296" t="s">
        <v>350</v>
      </c>
      <c r="B296" t="str" cm="1">
        <f t="array" ref="B296">VLOOKUP($A296,Table_ship_components[],COLUMN(B:B),0)</f>
        <v>good automation of crew functions</v>
      </c>
      <c r="D296" cm="1">
        <f t="array" ref="D296">VLOOKUP($A296,Table_ship_components[],COLUMN(D:D),0)</f>
        <v>6</v>
      </c>
      <c r="E296" cm="1">
        <f t="array" ref="E296">ROUND(VLOOKUP($A296,Table_ship_components[],COLUMN(D:D),0)+(V296*C296),0)</f>
        <v>6</v>
      </c>
      <c r="F296" cm="1">
        <f t="array" ref="F296">VLOOKUP($A296,Table_ship_components[],COLUMN(F:F),0)</f>
        <v>7</v>
      </c>
      <c r="G296" cm="1">
        <f t="array" ref="G296">ROUND(VLOOKUP($A296,Table_ship_components[],COLUMN(G:G),0)+(X296*C296),0)</f>
        <v>7</v>
      </c>
      <c r="H296" cm="1">
        <f t="array" ref="H296">VLOOKUP($A296,Table_ship_components[],COLUMN(H:H),0)</f>
        <v>0</v>
      </c>
      <c r="I296" cm="1">
        <f t="array" ref="I296">VLOOKUP($A296,Table_ship_components[],COLUMN(I:I),0)</f>
        <v>0</v>
      </c>
      <c r="J296" cm="1">
        <f t="array" ref="J296">VLOOKUP($A296,Table_ship_components[],COLUMN(J:J),0)</f>
        <v>0</v>
      </c>
      <c r="K296" cm="1">
        <f t="array" ref="K296">VLOOKUP($A296,Table_ship_components[],COLUMN(K:K),0)</f>
        <v>0</v>
      </c>
      <c r="L296" cm="1">
        <f t="array" ref="L296">VLOOKUP($A296,Table_ship_components[],COLUMN(L:L),0)</f>
        <v>0</v>
      </c>
      <c r="M296" cm="1">
        <f t="array" ref="M296">VLOOKUP($A296,Table_ship_components[],COLUMN(M:M),0)</f>
        <v>0</v>
      </c>
      <c r="N296" cm="1">
        <f t="array" ref="N296">VLOOKUP($A296,Table_ship_components[],COLUMN(N:N),0)</f>
        <v>0</v>
      </c>
      <c r="O296" cm="1">
        <f t="array" ref="O296">VLOOKUP($A296,Table_ship_components[],COLUMN(O:O),0)</f>
        <v>1</v>
      </c>
      <c r="P296" cm="1">
        <f t="array" ref="P296">VLOOKUP($A296,Table_ship_components[],COLUMN(P:P),0)</f>
        <v>0</v>
      </c>
      <c r="Q296" cm="1">
        <f t="array" ref="Q296">VLOOKUP($A296,Table_ship_components[],COLUMN(Q:Q),0)</f>
        <v>0</v>
      </c>
      <c r="R296" cm="1">
        <f t="array" ref="R296">VLOOKUP($A296,Table_ship_components[],COLUMN(R:R),0)</f>
        <v>0</v>
      </c>
      <c r="S296" cm="1">
        <f t="array" ref="S296">VLOOKUP($A296,Table_ship_components[],COLUMN(S:S),0)</f>
        <v>0</v>
      </c>
      <c r="T296" cm="1">
        <f t="array" ref="T296">VLOOKUP($A296,Table_ship_components[],COLUMN(T:T),0)</f>
        <v>0</v>
      </c>
      <c r="U296" cm="1">
        <f t="array" ref="U296">VLOOKUP($A296,Table_ship_components[],COLUMN(U:U),0)</f>
        <v>0</v>
      </c>
      <c r="V296" cm="1">
        <f t="array" ref="V296">VLOOKUP($A296,Table_ship_components[],COLUMN(V:V),0)</f>
        <v>0</v>
      </c>
      <c r="W296" s="15" cm="1">
        <f t="array" ref="W296">VLOOKUP($A296,Table_ship_components[],COLUMN(W:W),0)</f>
        <v>0</v>
      </c>
      <c r="X296" cm="1">
        <f t="array" ref="X296">VLOOKUP($A296,Table_ship_components[],COLUMN(X:X),0)</f>
        <v>0</v>
      </c>
      <c r="Y296" cm="1">
        <f t="array" ref="Y296">VLOOKUP($A296,Table_ship_components[],COLUMN(Y:Y),0)</f>
        <v>1</v>
      </c>
      <c r="Z296" cm="1">
        <f t="array" ref="Z296">VLOOKUP($A296,Table_ship_components[],COLUMN(Z:Z),0)</f>
        <v>2</v>
      </c>
      <c r="AA296" cm="1">
        <f t="array" ref="AA296">VLOOKUP($A296,Table_ship_components[],COLUMN(AA:AA),0)*C296</f>
        <v>0</v>
      </c>
      <c r="AB296">
        <f t="shared" si="13"/>
        <v>0</v>
      </c>
      <c r="AC296" cm="1">
        <f t="array" ref="AC296">VLOOKUP($A296,Table_ship_components[],COLUMN(AC:AC),0)*C296</f>
        <v>0</v>
      </c>
      <c r="AD296" cm="1">
        <f t="array" ref="AD296">VLOOKUP($A296,Table_ship_components[],COLUMN(AD:AD),0)</f>
        <v>0</v>
      </c>
      <c r="AE296" cm="1">
        <f t="array" ref="AE296">VLOOKUP($A296,Table_ship_components[],COLUMN(AE:AE),0)</f>
        <v>0</v>
      </c>
      <c r="AF296" cm="1">
        <f t="array" ref="AF296">VLOOKUP($A296,Table_ship_components[],COLUMN(AF:AF),0)</f>
        <v>0</v>
      </c>
      <c r="AG296" cm="1">
        <f t="array" ref="AG296">VLOOKUP($A296,Table_ship_components[],COLUMN(AG:AG),0)</f>
        <v>0</v>
      </c>
      <c r="AH296" cm="1">
        <f t="array" ref="AH296">VLOOKUP($A296,Table_ship_components[],COLUMN(AH:AH),0)</f>
        <v>0</v>
      </c>
      <c r="AI296" cm="1">
        <f t="array" ref="AI296">VLOOKUP($A296,Table_ship_components[],COLUMN(AI:AI),0)</f>
        <v>0</v>
      </c>
      <c r="AJ296" cm="1">
        <f t="array" ref="AJ296">VLOOKUP($A296,Table_ship_components[],COLUMN(AJ:AJ),0)</f>
        <v>0</v>
      </c>
      <c r="AK296" cm="1">
        <f t="array" ref="AK296">VLOOKUP($A296,Table_ship_components[],COLUMN(AK:AK),0)</f>
        <v>0</v>
      </c>
      <c r="AL296" cm="1">
        <f t="array" ref="AL296">VLOOKUP($A296,Table_ship_components[],COLUMN(AL:AL),0)</f>
        <v>0</v>
      </c>
      <c r="AM296" cm="1">
        <f t="array" ref="AM296">VLOOKUP($A296,Table_ship_components[],COLUMN(AM:AM),0)</f>
        <v>0</v>
      </c>
      <c r="AN296" cm="1">
        <f t="array" ref="AN296">VLOOKUP($A296,Table_ship_components[],COLUMN(AN:AN),0)</f>
        <v>0</v>
      </c>
      <c r="AO296" cm="1">
        <f t="array" ref="AO296">VLOOKUP($A296,Table_ship_components[],COLUMN(AO:AO),0)</f>
        <v>0</v>
      </c>
      <c r="AP296" cm="1">
        <f t="array" ref="AP296">VLOOKUP($A296,Table_ship_components[],COLUMN(AP:AP),0)</f>
        <v>0</v>
      </c>
      <c r="AQ296" cm="1">
        <f t="array" ref="AQ296">VLOOKUP($A296,Table_ship_components[],COLUMN(AQ:AQ),0)</f>
        <v>0</v>
      </c>
      <c r="AR296" cm="1">
        <f t="array" ref="AR296">VLOOKUP($A296,Table_ship_components[],COLUMN(AR:AR),0)</f>
        <v>0</v>
      </c>
      <c r="AS296" cm="1">
        <f t="array" ref="AS296">VLOOKUP($A296,Table_ship_components[],COLUMN(AS:AS),0)</f>
        <v>0</v>
      </c>
      <c r="AT296" cm="1">
        <f t="array" ref="AT296">VLOOKUP($A296,Table_ship_components[],COLUMN(AT:AT),0)</f>
        <v>0</v>
      </c>
      <c r="AU296" s="2" cm="1">
        <f t="array" ref="AU296">VLOOKUP($A296,Table_ship_components[],COLUMN(AU:AU),0)</f>
        <v>0</v>
      </c>
      <c r="AV296" s="2" cm="1">
        <f t="array" ref="AV296">VLOOKUP($A296,Table_ship_components[],COLUMN(AV:AV),0)</f>
        <v>0</v>
      </c>
      <c r="AW296" s="2" cm="1">
        <f t="array" ref="AW296">VLOOKUP($A296,Table_ship_components[],COLUMN(AW:AW),0)</f>
        <v>0</v>
      </c>
      <c r="AX296" s="2" cm="1">
        <f t="array" ref="AX296">VLOOKUP($A296,Table_ship_components[],COLUMN(AX:AX),0)</f>
        <v>0</v>
      </c>
      <c r="AY296" s="2" cm="1">
        <f t="array" ref="AY296">VLOOKUP($A296,Table_ship_components[],COLUMN(AY:AY),0)</f>
        <v>0</v>
      </c>
      <c r="AZ296" s="2" t="str" cm="1">
        <f t="array" ref="AZ296">VLOOKUP($A296,Table_ship_components[],COLUMN(AZ:AZ),0)</f>
        <v>C</v>
      </c>
      <c r="BA296" s="14" cm="1">
        <f t="array" ref="BA296">VLOOKUP($A296,Table_ship_components[],COLUMN(BA:BA),0)</f>
        <v>1000000</v>
      </c>
      <c r="BB296" s="14" cm="1">
        <f t="array" ref="BB296">(VLOOKUP($A296,Table_ship_components[],COLUMN(BA:BA),0)+(W296*C296))</f>
        <v>1000000</v>
      </c>
      <c r="BC296" s="2" cm="1">
        <f t="array" ref="BC296">VLOOKUP($A296,Table_ship_components[],COLUMN(BC:BC),0)</f>
        <v>0</v>
      </c>
      <c r="BD296" s="2" cm="1">
        <f t="array" ref="BD296">VLOOKUP($A296,Table_ship_components[],COLUMN(BD:BD),0)</f>
        <v>0</v>
      </c>
    </row>
    <row r="297" spans="1:56" outlineLevel="1" x14ac:dyDescent="0.35">
      <c r="A297" t="s">
        <v>288</v>
      </c>
      <c r="B297" t="str" cm="1">
        <f t="array" ref="B297">VLOOKUP($A297,Table_ship_components[],COLUMN(B:B),0)</f>
        <v>PICK A COMPONENT</v>
      </c>
      <c r="D297" cm="1">
        <f t="array" ref="D297">VLOOKUP($A297,Table_ship_components[],COLUMN(D:D),0)</f>
        <v>0</v>
      </c>
      <c r="E297" cm="1">
        <f t="array" ref="E297">ROUND(VLOOKUP($A297,Table_ship_components[],COLUMN(D:D),0)+(V297*C297),0)</f>
        <v>0</v>
      </c>
      <c r="F297" cm="1">
        <f t="array" ref="F297">VLOOKUP($A297,Table_ship_components[],COLUMN(F:F),0)</f>
        <v>0</v>
      </c>
      <c r="G297" cm="1">
        <f t="array" ref="G297">ROUND(VLOOKUP($A297,Table_ship_components[],COLUMN(G:G),0)+(X297*C297),0)</f>
        <v>0</v>
      </c>
      <c r="H297" cm="1">
        <f t="array" ref="H297">VLOOKUP($A297,Table_ship_components[],COLUMN(H:H),0)</f>
        <v>0</v>
      </c>
      <c r="I297" cm="1">
        <f t="array" ref="I297">VLOOKUP($A297,Table_ship_components[],COLUMN(I:I),0)</f>
        <v>0</v>
      </c>
      <c r="J297" cm="1">
        <f t="array" ref="J297">VLOOKUP($A297,Table_ship_components[],COLUMN(J:J),0)</f>
        <v>0</v>
      </c>
      <c r="K297" cm="1">
        <f t="array" ref="K297">VLOOKUP($A297,Table_ship_components[],COLUMN(K:K),0)</f>
        <v>0</v>
      </c>
      <c r="L297" cm="1">
        <f t="array" ref="L297">VLOOKUP($A297,Table_ship_components[],COLUMN(L:L),0)</f>
        <v>0</v>
      </c>
      <c r="M297" cm="1">
        <f t="array" ref="M297">VLOOKUP($A297,Table_ship_components[],COLUMN(M:M),0)</f>
        <v>0</v>
      </c>
      <c r="N297" cm="1">
        <f t="array" ref="N297">VLOOKUP($A297,Table_ship_components[],COLUMN(N:N),0)</f>
        <v>0</v>
      </c>
      <c r="O297" cm="1">
        <f t="array" ref="O297">VLOOKUP($A297,Table_ship_components[],COLUMN(O:O),0)</f>
        <v>0</v>
      </c>
      <c r="P297" cm="1">
        <f t="array" ref="P297">VLOOKUP($A297,Table_ship_components[],COLUMN(P:P),0)</f>
        <v>0</v>
      </c>
      <c r="Q297" cm="1">
        <f t="array" ref="Q297">VLOOKUP($A297,Table_ship_components[],COLUMN(Q:Q),0)</f>
        <v>0</v>
      </c>
      <c r="R297" cm="1">
        <f t="array" ref="R297">VLOOKUP($A297,Table_ship_components[],COLUMN(R:R),0)</f>
        <v>0</v>
      </c>
      <c r="S297" cm="1">
        <f t="array" ref="S297">VLOOKUP($A297,Table_ship_components[],COLUMN(S:S),0)</f>
        <v>0</v>
      </c>
      <c r="T297" cm="1">
        <f t="array" ref="T297">VLOOKUP($A297,Table_ship_components[],COLUMN(T:T),0)</f>
        <v>0</v>
      </c>
      <c r="U297" cm="1">
        <f t="array" ref="U297">VLOOKUP($A297,Table_ship_components[],COLUMN(U:U),0)</f>
        <v>0</v>
      </c>
      <c r="V297" cm="1">
        <f t="array" ref="V297">VLOOKUP($A297,Table_ship_components[],COLUMN(V:V),0)</f>
        <v>0</v>
      </c>
      <c r="W297" s="15" cm="1">
        <f t="array" ref="W297">VLOOKUP($A297,Table_ship_components[],COLUMN(W:W),0)</f>
        <v>0</v>
      </c>
      <c r="X297" cm="1">
        <f t="array" ref="X297">VLOOKUP($A297,Table_ship_components[],COLUMN(X:X),0)</f>
        <v>0</v>
      </c>
      <c r="Y297" cm="1">
        <f t="array" ref="Y297">VLOOKUP($A297,Table_ship_components[],COLUMN(Y:Y),0)</f>
        <v>0</v>
      </c>
      <c r="Z297" cm="1">
        <f t="array" ref="Z297">VLOOKUP($A297,Table_ship_components[],COLUMN(Z:Z),0)</f>
        <v>0</v>
      </c>
      <c r="AA297" cm="1">
        <f t="array" ref="AA297">VLOOKUP($A297,Table_ship_components[],COLUMN(AA:AA),0)*C297</f>
        <v>0</v>
      </c>
      <c r="AB297">
        <f t="shared" ref="AB297:AB298" si="14">IF(A297="CARGOSPACE_0-ALL_0-UNIVERSAL",C297,0)</f>
        <v>0</v>
      </c>
      <c r="AC297" cm="1">
        <f t="array" ref="AC297">VLOOKUP($A297,Table_ship_components[],COLUMN(AC:AC),0)*C297</f>
        <v>0</v>
      </c>
      <c r="AD297" cm="1">
        <f t="array" ref="AD297">VLOOKUP($A297,Table_ship_components[],COLUMN(AD:AD),0)</f>
        <v>0</v>
      </c>
      <c r="AE297" cm="1">
        <f t="array" ref="AE297">VLOOKUP($A297,Table_ship_components[],COLUMN(AE:AE),0)</f>
        <v>0</v>
      </c>
      <c r="AF297" cm="1">
        <f t="array" ref="AF297">VLOOKUP($A297,Table_ship_components[],COLUMN(AF:AF),0)</f>
        <v>0</v>
      </c>
      <c r="AG297" cm="1">
        <f t="array" ref="AG297">VLOOKUP($A297,Table_ship_components[],COLUMN(AG:AG),0)</f>
        <v>0</v>
      </c>
      <c r="AH297" cm="1">
        <f t="array" ref="AH297">VLOOKUP($A297,Table_ship_components[],COLUMN(AH:AH),0)</f>
        <v>0</v>
      </c>
      <c r="AI297" cm="1">
        <f t="array" ref="AI297">VLOOKUP($A297,Table_ship_components[],COLUMN(AI:AI),0)</f>
        <v>0</v>
      </c>
      <c r="AJ297" cm="1">
        <f t="array" ref="AJ297">VLOOKUP($A297,Table_ship_components[],COLUMN(AJ:AJ),0)</f>
        <v>0</v>
      </c>
      <c r="AK297" cm="1">
        <f t="array" ref="AK297">VLOOKUP($A297,Table_ship_components[],COLUMN(AK:AK),0)</f>
        <v>0</v>
      </c>
      <c r="AL297" cm="1">
        <f t="array" ref="AL297">VLOOKUP($A297,Table_ship_components[],COLUMN(AL:AL),0)</f>
        <v>0</v>
      </c>
      <c r="AM297" cm="1">
        <f t="array" ref="AM297">VLOOKUP($A297,Table_ship_components[],COLUMN(AM:AM),0)</f>
        <v>0</v>
      </c>
      <c r="AN297" cm="1">
        <f t="array" ref="AN297">VLOOKUP($A297,Table_ship_components[],COLUMN(AN:AN),0)</f>
        <v>0</v>
      </c>
      <c r="AO297" cm="1">
        <f t="array" ref="AO297">VLOOKUP($A297,Table_ship_components[],COLUMN(AO:AO),0)</f>
        <v>0</v>
      </c>
      <c r="AP297" cm="1">
        <f t="array" ref="AP297">VLOOKUP($A297,Table_ship_components[],COLUMN(AP:AP),0)</f>
        <v>0</v>
      </c>
      <c r="AQ297" cm="1">
        <f t="array" ref="AQ297">VLOOKUP($A297,Table_ship_components[],COLUMN(AQ:AQ),0)</f>
        <v>0</v>
      </c>
      <c r="AR297" cm="1">
        <f t="array" ref="AR297">VLOOKUP($A297,Table_ship_components[],COLUMN(AR:AR),0)</f>
        <v>0</v>
      </c>
      <c r="AS297" cm="1">
        <f t="array" ref="AS297">VLOOKUP($A297,Table_ship_components[],COLUMN(AS:AS),0)</f>
        <v>0</v>
      </c>
      <c r="AT297" cm="1">
        <f t="array" ref="AT297">VLOOKUP($A297,Table_ship_components[],COLUMN(AT:AT),0)</f>
        <v>0</v>
      </c>
      <c r="AU297" s="2" cm="1">
        <f t="array" ref="AU297">VLOOKUP($A297,Table_ship_components[],COLUMN(AU:AU),0)</f>
        <v>0</v>
      </c>
      <c r="AV297" s="2" cm="1">
        <f t="array" ref="AV297">VLOOKUP($A297,Table_ship_components[],COLUMN(AV:AV),0)</f>
        <v>0</v>
      </c>
      <c r="AW297" s="2" cm="1">
        <f t="array" ref="AW297">VLOOKUP($A297,Table_ship_components[],COLUMN(AW:AW),0)</f>
        <v>0</v>
      </c>
      <c r="AX297" s="2" cm="1">
        <f t="array" ref="AX297">VLOOKUP($A297,Table_ship_components[],COLUMN(AX:AX),0)</f>
        <v>0</v>
      </c>
      <c r="AY297" s="2" cm="1">
        <f t="array" ref="AY297">VLOOKUP($A297,Table_ship_components[],COLUMN(AY:AY),0)</f>
        <v>0</v>
      </c>
      <c r="AZ297" s="2" t="str" cm="1">
        <f t="array" ref="AZ297">VLOOKUP($A297,Table_ship_components[],COLUMN(AZ:AZ),0)</f>
        <v>C</v>
      </c>
      <c r="BA297" s="14" cm="1">
        <f t="array" ref="BA297">VLOOKUP($A297,Table_ship_components[],COLUMN(BA:BA),0)</f>
        <v>0</v>
      </c>
      <c r="BB297" s="14" cm="1">
        <f t="array" ref="BB297">(VLOOKUP($A297,Table_ship_components[],COLUMN(BA:BA),0)+(W297*C297))</f>
        <v>0</v>
      </c>
      <c r="BC297" s="2" cm="1">
        <f t="array" ref="BC297">VLOOKUP($A297,Table_ship_components[],COLUMN(BC:BC),0)</f>
        <v>0</v>
      </c>
      <c r="BD297" s="2" cm="1">
        <f t="array" ref="BD297">VLOOKUP($A297,Table_ship_components[],COLUMN(BD:BD),0)</f>
        <v>0</v>
      </c>
    </row>
    <row r="298" spans="1:56" outlineLevel="1" x14ac:dyDescent="0.35">
      <c r="A298" t="s">
        <v>288</v>
      </c>
      <c r="B298" t="str" cm="1">
        <f t="array" ref="B298">VLOOKUP($A298,Table_ship_components[],COLUMN(B:B),0)</f>
        <v>PICK A COMPONENT</v>
      </c>
      <c r="D298" cm="1">
        <f t="array" ref="D298">VLOOKUP($A298,Table_ship_components[],COLUMN(D:D),0)</f>
        <v>0</v>
      </c>
      <c r="E298" cm="1">
        <f t="array" ref="E298">ROUND(VLOOKUP($A298,Table_ship_components[],COLUMN(D:D),0)+(V298*C298),0)</f>
        <v>0</v>
      </c>
      <c r="F298" cm="1">
        <f t="array" ref="F298">VLOOKUP($A298,Table_ship_components[],COLUMN(F:F),0)</f>
        <v>0</v>
      </c>
      <c r="G298" cm="1">
        <f t="array" ref="G298">ROUND(VLOOKUP($A298,Table_ship_components[],COLUMN(G:G),0)+(X298*C298),0)</f>
        <v>0</v>
      </c>
      <c r="H298" cm="1">
        <f t="array" ref="H298">VLOOKUP($A298,Table_ship_components[],COLUMN(H:H),0)</f>
        <v>0</v>
      </c>
      <c r="I298" cm="1">
        <f t="array" ref="I298">VLOOKUP($A298,Table_ship_components[],COLUMN(I:I),0)</f>
        <v>0</v>
      </c>
      <c r="J298" cm="1">
        <f t="array" ref="J298">VLOOKUP($A298,Table_ship_components[],COLUMN(J:J),0)</f>
        <v>0</v>
      </c>
      <c r="K298" cm="1">
        <f t="array" ref="K298">VLOOKUP($A298,Table_ship_components[],COLUMN(K:K),0)</f>
        <v>0</v>
      </c>
      <c r="L298" cm="1">
        <f t="array" ref="L298">VLOOKUP($A298,Table_ship_components[],COLUMN(L:L),0)</f>
        <v>0</v>
      </c>
      <c r="M298" cm="1">
        <f t="array" ref="M298">VLOOKUP($A298,Table_ship_components[],COLUMN(M:M),0)</f>
        <v>0</v>
      </c>
      <c r="N298" cm="1">
        <f t="array" ref="N298">VLOOKUP($A298,Table_ship_components[],COLUMN(N:N),0)</f>
        <v>0</v>
      </c>
      <c r="O298" cm="1">
        <f t="array" ref="O298">VLOOKUP($A298,Table_ship_components[],COLUMN(O:O),0)</f>
        <v>0</v>
      </c>
      <c r="P298" cm="1">
        <f t="array" ref="P298">VLOOKUP($A298,Table_ship_components[],COLUMN(P:P),0)</f>
        <v>0</v>
      </c>
      <c r="Q298" cm="1">
        <f t="array" ref="Q298">VLOOKUP($A298,Table_ship_components[],COLUMN(Q:Q),0)</f>
        <v>0</v>
      </c>
      <c r="R298" cm="1">
        <f t="array" ref="R298">VLOOKUP($A298,Table_ship_components[],COLUMN(R:R),0)</f>
        <v>0</v>
      </c>
      <c r="S298" cm="1">
        <f t="array" ref="S298">VLOOKUP($A298,Table_ship_components[],COLUMN(S:S),0)</f>
        <v>0</v>
      </c>
      <c r="T298" cm="1">
        <f t="array" ref="T298">VLOOKUP($A298,Table_ship_components[],COLUMN(T:T),0)</f>
        <v>0</v>
      </c>
      <c r="U298" cm="1">
        <f t="array" ref="U298">VLOOKUP($A298,Table_ship_components[],COLUMN(U:U),0)</f>
        <v>0</v>
      </c>
      <c r="V298" cm="1">
        <f t="array" ref="V298">VLOOKUP($A298,Table_ship_components[],COLUMN(V:V),0)</f>
        <v>0</v>
      </c>
      <c r="W298" s="15" cm="1">
        <f t="array" ref="W298">VLOOKUP($A298,Table_ship_components[],COLUMN(W:W),0)</f>
        <v>0</v>
      </c>
      <c r="X298" cm="1">
        <f t="array" ref="X298">VLOOKUP($A298,Table_ship_components[],COLUMN(X:X),0)</f>
        <v>0</v>
      </c>
      <c r="Y298" cm="1">
        <f t="array" ref="Y298">VLOOKUP($A298,Table_ship_components[],COLUMN(Y:Y),0)</f>
        <v>0</v>
      </c>
      <c r="Z298" cm="1">
        <f t="array" ref="Z298">VLOOKUP($A298,Table_ship_components[],COLUMN(Z:Z),0)</f>
        <v>0</v>
      </c>
      <c r="AA298" cm="1">
        <f t="array" ref="AA298">VLOOKUP($A298,Table_ship_components[],COLUMN(AA:AA),0)*C298</f>
        <v>0</v>
      </c>
      <c r="AB298">
        <f t="shared" si="14"/>
        <v>0</v>
      </c>
      <c r="AC298" cm="1">
        <f t="array" ref="AC298">VLOOKUP($A298,Table_ship_components[],COLUMN(AC:AC),0)*C298</f>
        <v>0</v>
      </c>
      <c r="AD298" cm="1">
        <f t="array" ref="AD298">VLOOKUP($A298,Table_ship_components[],COLUMN(AD:AD),0)</f>
        <v>0</v>
      </c>
      <c r="AE298" cm="1">
        <f t="array" ref="AE298">VLOOKUP($A298,Table_ship_components[],COLUMN(AE:AE),0)</f>
        <v>0</v>
      </c>
      <c r="AF298" cm="1">
        <f t="array" ref="AF298">VLOOKUP($A298,Table_ship_components[],COLUMN(AF:AF),0)</f>
        <v>0</v>
      </c>
      <c r="AG298" cm="1">
        <f t="array" ref="AG298">VLOOKUP($A298,Table_ship_components[],COLUMN(AG:AG),0)</f>
        <v>0</v>
      </c>
      <c r="AH298" cm="1">
        <f t="array" ref="AH298">VLOOKUP($A298,Table_ship_components[],COLUMN(AH:AH),0)</f>
        <v>0</v>
      </c>
      <c r="AI298" cm="1">
        <f t="array" ref="AI298">VLOOKUP($A298,Table_ship_components[],COLUMN(AI:AI),0)</f>
        <v>0</v>
      </c>
      <c r="AJ298" cm="1">
        <f t="array" ref="AJ298">VLOOKUP($A298,Table_ship_components[],COLUMN(AJ:AJ),0)</f>
        <v>0</v>
      </c>
      <c r="AK298" cm="1">
        <f t="array" ref="AK298">VLOOKUP($A298,Table_ship_components[],COLUMN(AK:AK),0)</f>
        <v>0</v>
      </c>
      <c r="AL298" cm="1">
        <f t="array" ref="AL298">VLOOKUP($A298,Table_ship_components[],COLUMN(AL:AL),0)</f>
        <v>0</v>
      </c>
      <c r="AM298" cm="1">
        <f t="array" ref="AM298">VLOOKUP($A298,Table_ship_components[],COLUMN(AM:AM),0)</f>
        <v>0</v>
      </c>
      <c r="AN298" cm="1">
        <f t="array" ref="AN298">VLOOKUP($A298,Table_ship_components[],COLUMN(AN:AN),0)</f>
        <v>0</v>
      </c>
      <c r="AO298" cm="1">
        <f t="array" ref="AO298">VLOOKUP($A298,Table_ship_components[],COLUMN(AO:AO),0)</f>
        <v>0</v>
      </c>
      <c r="AP298" cm="1">
        <f t="array" ref="AP298">VLOOKUP($A298,Table_ship_components[],COLUMN(AP:AP),0)</f>
        <v>0</v>
      </c>
      <c r="AQ298" cm="1">
        <f t="array" ref="AQ298">VLOOKUP($A298,Table_ship_components[],COLUMN(AQ:AQ),0)</f>
        <v>0</v>
      </c>
      <c r="AR298" cm="1">
        <f t="array" ref="AR298">VLOOKUP($A298,Table_ship_components[],COLUMN(AR:AR),0)</f>
        <v>0</v>
      </c>
      <c r="AS298" cm="1">
        <f t="array" ref="AS298">VLOOKUP($A298,Table_ship_components[],COLUMN(AS:AS),0)</f>
        <v>0</v>
      </c>
      <c r="AT298" cm="1">
        <f t="array" ref="AT298">VLOOKUP($A298,Table_ship_components[],COLUMN(AT:AT),0)</f>
        <v>0</v>
      </c>
      <c r="AU298" s="2" cm="1">
        <f t="array" ref="AU298">VLOOKUP($A298,Table_ship_components[],COLUMN(AU:AU),0)</f>
        <v>0</v>
      </c>
      <c r="AV298" s="2" cm="1">
        <f t="array" ref="AV298">VLOOKUP($A298,Table_ship_components[],COLUMN(AV:AV),0)</f>
        <v>0</v>
      </c>
      <c r="AW298" s="2" cm="1">
        <f t="array" ref="AW298">VLOOKUP($A298,Table_ship_components[],COLUMN(AW:AW),0)</f>
        <v>0</v>
      </c>
      <c r="AX298" s="2" cm="1">
        <f t="array" ref="AX298">VLOOKUP($A298,Table_ship_components[],COLUMN(AX:AX),0)</f>
        <v>0</v>
      </c>
      <c r="AY298" s="2" cm="1">
        <f t="array" ref="AY298">VLOOKUP($A298,Table_ship_components[],COLUMN(AY:AY),0)</f>
        <v>0</v>
      </c>
      <c r="AZ298" s="2" t="str" cm="1">
        <f t="array" ref="AZ298">VLOOKUP($A298,Table_ship_components[],COLUMN(AZ:AZ),0)</f>
        <v>C</v>
      </c>
      <c r="BA298" s="14" cm="1">
        <f t="array" ref="BA298">VLOOKUP($A298,Table_ship_components[],COLUMN(BA:BA),0)</f>
        <v>0</v>
      </c>
      <c r="BB298" s="14" cm="1">
        <f t="array" ref="BB298">(VLOOKUP($A298,Table_ship_components[],COLUMN(BA:BA),0)+(W298*C298))</f>
        <v>0</v>
      </c>
      <c r="BC298" s="2" cm="1">
        <f t="array" ref="BC298">VLOOKUP($A298,Table_ship_components[],COLUMN(BC:BC),0)</f>
        <v>0</v>
      </c>
      <c r="BD298" s="2" cm="1">
        <f t="array" ref="BD298">VLOOKUP($A298,Table_ship_components[],COLUMN(BD:BD),0)</f>
        <v>0</v>
      </c>
    </row>
    <row r="299" spans="1:56" outlineLevel="1" x14ac:dyDescent="0.35">
      <c r="A299" s="18" t="s">
        <v>424</v>
      </c>
      <c r="B299" s="19" t="str">
        <f>CONCATENATE("SIZE ",(SUM(E300:E310)),"/",AX290,"  POWER ",(SUM(G300:G310)))</f>
        <v>SIZE 55/70  POWER 36</v>
      </c>
      <c r="AU299" s="2"/>
      <c r="AV299" s="2"/>
      <c r="AW299" s="2"/>
      <c r="AX299" s="2"/>
      <c r="AY299" s="2"/>
      <c r="AZ299" s="2"/>
      <c r="BA299" s="14"/>
      <c r="BB299" s="14"/>
      <c r="BC299" s="2"/>
      <c r="BD299" s="2"/>
    </row>
    <row r="300" spans="1:56" outlineLevel="1" x14ac:dyDescent="0.35">
      <c r="A300" t="s">
        <v>288</v>
      </c>
      <c r="B300" t="str" cm="1">
        <f t="array" ref="B300">VLOOKUP($A300,Table_ship_components[],COLUMN(B:B),0)</f>
        <v>PICK A COMPONENT</v>
      </c>
      <c r="D300" cm="1">
        <f t="array" ref="D300">VLOOKUP($A300,Table_ship_components[],COLUMN(D:D),0)</f>
        <v>0</v>
      </c>
      <c r="E300" cm="1">
        <f t="array" ref="E300">ROUND(VLOOKUP($A300,Table_ship_components[],COLUMN(D:D),0)+(V300*C300),0)</f>
        <v>0</v>
      </c>
      <c r="F300" cm="1">
        <f t="array" ref="F300">VLOOKUP($A300,Table_ship_components[],COLUMN(F:F),0)</f>
        <v>0</v>
      </c>
      <c r="G300" cm="1">
        <f t="array" ref="G300">ROUND(VLOOKUP($A300,Table_ship_components[],COLUMN(G:G),0)+(X300*C300),0)</f>
        <v>0</v>
      </c>
      <c r="H300" cm="1">
        <f t="array" ref="H300">VLOOKUP($A300,Table_ship_components[],COLUMN(H:H),0)</f>
        <v>0</v>
      </c>
      <c r="I300" cm="1">
        <f t="array" ref="I300">VLOOKUP($A300,Table_ship_components[],COLUMN(I:I),0)</f>
        <v>0</v>
      </c>
      <c r="J300" cm="1">
        <f t="array" ref="J300">VLOOKUP($A300,Table_ship_components[],COLUMN(J:J),0)</f>
        <v>0</v>
      </c>
      <c r="K300" cm="1">
        <f t="array" ref="K300">VLOOKUP($A300,Table_ship_components[],COLUMN(K:K),0)</f>
        <v>0</v>
      </c>
      <c r="L300" cm="1">
        <f t="array" ref="L300">VLOOKUP($A300,Table_ship_components[],COLUMN(L:L),0)</f>
        <v>0</v>
      </c>
      <c r="M300" cm="1">
        <f t="array" ref="M300">VLOOKUP($A300,Table_ship_components[],COLUMN(M:M),0)</f>
        <v>0</v>
      </c>
      <c r="N300" cm="1">
        <f t="array" ref="N300">VLOOKUP($A300,Table_ship_components[],COLUMN(N:N),0)</f>
        <v>0</v>
      </c>
      <c r="O300" cm="1">
        <f t="array" ref="O300">VLOOKUP($A300,Table_ship_components[],COLUMN(O:O),0)</f>
        <v>0</v>
      </c>
      <c r="P300" cm="1">
        <f t="array" ref="P300">VLOOKUP($A300,Table_ship_components[],COLUMN(P:P),0)</f>
        <v>0</v>
      </c>
      <c r="Q300" cm="1">
        <f t="array" ref="Q300">VLOOKUP($A300,Table_ship_components[],COLUMN(Q:Q),0)</f>
        <v>0</v>
      </c>
      <c r="R300" cm="1">
        <f t="array" ref="R300">VLOOKUP($A300,Table_ship_components[],COLUMN(R:R),0)</f>
        <v>0</v>
      </c>
      <c r="S300" cm="1">
        <f t="array" ref="S300">VLOOKUP($A300,Table_ship_components[],COLUMN(S:S),0)</f>
        <v>0</v>
      </c>
      <c r="T300" cm="1">
        <f t="array" ref="T300">VLOOKUP($A300,Table_ship_components[],COLUMN(T:T),0)</f>
        <v>0</v>
      </c>
      <c r="U300" cm="1">
        <f t="array" ref="U300">VLOOKUP($A300,Table_ship_components[],COLUMN(U:U),0)</f>
        <v>0</v>
      </c>
      <c r="V300" cm="1">
        <f t="array" ref="V300">VLOOKUP($A300,Table_ship_components[],COLUMN(V:V),0)</f>
        <v>0</v>
      </c>
      <c r="W300" s="15" cm="1">
        <f t="array" ref="W300">VLOOKUP($A300,Table_ship_components[],COLUMN(W:W),0)</f>
        <v>0</v>
      </c>
      <c r="X300" cm="1">
        <f t="array" ref="X300">VLOOKUP($A300,Table_ship_components[],COLUMN(X:X),0)</f>
        <v>0</v>
      </c>
      <c r="Y300" cm="1">
        <f t="array" ref="Y300">VLOOKUP($A300,Table_ship_components[],COLUMN(Y:Y),0)</f>
        <v>0</v>
      </c>
      <c r="Z300" cm="1">
        <f t="array" ref="Z300">VLOOKUP($A300,Table_ship_components[],COLUMN(Z:Z),0)</f>
        <v>0</v>
      </c>
      <c r="AA300" cm="1">
        <f t="array" ref="AA300">VLOOKUP($A300,Table_ship_components[],COLUMN(AA:AA),0)*C300</f>
        <v>0</v>
      </c>
      <c r="AB300">
        <f t="shared" ref="AB300:AB309" si="15">IF(A300="CARGOSPACE_0-ALL_0-UNIVERSAL",C300,0)</f>
        <v>0</v>
      </c>
      <c r="AC300" cm="1">
        <f t="array" ref="AC300">VLOOKUP($A300,Table_ship_components[],COLUMN(AC:AC),0)*C300</f>
        <v>0</v>
      </c>
      <c r="AD300" cm="1">
        <f t="array" ref="AD300">VLOOKUP($A300,Table_ship_components[],COLUMN(AD:AD),0)</f>
        <v>0</v>
      </c>
      <c r="AE300" cm="1">
        <f t="array" ref="AE300">VLOOKUP($A300,Table_ship_components[],COLUMN(AE:AE),0)</f>
        <v>0</v>
      </c>
      <c r="AF300" cm="1">
        <f t="array" ref="AF300">VLOOKUP($A300,Table_ship_components[],COLUMN(AF:AF),0)</f>
        <v>0</v>
      </c>
      <c r="AG300" cm="1">
        <f t="array" ref="AG300">VLOOKUP($A300,Table_ship_components[],COLUMN(AG:AG),0)</f>
        <v>0</v>
      </c>
      <c r="AH300" cm="1">
        <f t="array" ref="AH300">VLOOKUP($A300,Table_ship_components[],COLUMN(AH:AH),0)</f>
        <v>0</v>
      </c>
      <c r="AI300" cm="1">
        <f t="array" ref="AI300">VLOOKUP($A300,Table_ship_components[],COLUMN(AI:AI),0)</f>
        <v>0</v>
      </c>
      <c r="AJ300" cm="1">
        <f t="array" ref="AJ300">VLOOKUP($A300,Table_ship_components[],COLUMN(AJ:AJ),0)</f>
        <v>0</v>
      </c>
      <c r="AK300" cm="1">
        <f t="array" ref="AK300">VLOOKUP($A300,Table_ship_components[],COLUMN(AK:AK),0)</f>
        <v>0</v>
      </c>
      <c r="AL300" cm="1">
        <f t="array" ref="AL300">VLOOKUP($A300,Table_ship_components[],COLUMN(AL:AL),0)</f>
        <v>0</v>
      </c>
      <c r="AM300" cm="1">
        <f t="array" ref="AM300">VLOOKUP($A300,Table_ship_components[],COLUMN(AM:AM),0)</f>
        <v>0</v>
      </c>
      <c r="AN300" cm="1">
        <f t="array" ref="AN300">VLOOKUP($A300,Table_ship_components[],COLUMN(AN:AN),0)</f>
        <v>0</v>
      </c>
      <c r="AO300" cm="1">
        <f t="array" ref="AO300">VLOOKUP($A300,Table_ship_components[],COLUMN(AO:AO),0)</f>
        <v>0</v>
      </c>
      <c r="AP300" cm="1">
        <f t="array" ref="AP300">VLOOKUP($A300,Table_ship_components[],COLUMN(AP:AP),0)</f>
        <v>0</v>
      </c>
      <c r="AQ300" cm="1">
        <f t="array" ref="AQ300">VLOOKUP($A300,Table_ship_components[],COLUMN(AQ:AQ),0)</f>
        <v>0</v>
      </c>
      <c r="AR300" cm="1">
        <f t="array" ref="AR300">VLOOKUP($A300,Table_ship_components[],COLUMN(AR:AR),0)</f>
        <v>0</v>
      </c>
      <c r="AS300" cm="1">
        <f t="array" ref="AS300">VLOOKUP($A300,Table_ship_components[],COLUMN(AS:AS),0)</f>
        <v>0</v>
      </c>
      <c r="AT300" cm="1">
        <f t="array" ref="AT300">VLOOKUP($A300,Table_ship_components[],COLUMN(AT:AT),0)</f>
        <v>0</v>
      </c>
      <c r="AU300" s="2" cm="1">
        <f t="array" ref="AU300">VLOOKUP($A300,Table_ship_components[],COLUMN(AU:AU),0)</f>
        <v>0</v>
      </c>
      <c r="AV300" s="2" cm="1">
        <f t="array" ref="AV300">VLOOKUP($A300,Table_ship_components[],COLUMN(AV:AV),0)</f>
        <v>0</v>
      </c>
      <c r="AW300" s="2" cm="1">
        <f t="array" ref="AW300">VLOOKUP($A300,Table_ship_components[],COLUMN(AW:AW),0)</f>
        <v>0</v>
      </c>
      <c r="AX300" s="2" cm="1">
        <f t="array" ref="AX300">VLOOKUP($A300,Table_ship_components[],COLUMN(AX:AX),0)</f>
        <v>0</v>
      </c>
      <c r="AY300" s="2" cm="1">
        <f t="array" ref="AY300">VLOOKUP($A300,Table_ship_components[],COLUMN(AY:AY),0)</f>
        <v>0</v>
      </c>
      <c r="AZ300" s="2" t="str" cm="1">
        <f t="array" ref="AZ300">VLOOKUP($A300,Table_ship_components[],COLUMN(AZ:AZ),0)</f>
        <v>C</v>
      </c>
      <c r="BA300" s="14" cm="1">
        <f t="array" ref="BA300">VLOOKUP($A300,Table_ship_components[],COLUMN(BA:BA),0)</f>
        <v>0</v>
      </c>
      <c r="BB300" s="14" cm="1">
        <f t="array" ref="BB300">(VLOOKUP($A300,Table_ship_components[],COLUMN(BA:BA),0)+(W300*C300))</f>
        <v>0</v>
      </c>
      <c r="BC300" s="2" cm="1">
        <f t="array" ref="BC300">VLOOKUP($A300,Table_ship_components[],COLUMN(BC:BC),0)</f>
        <v>0</v>
      </c>
      <c r="BD300" s="2" cm="1">
        <f t="array" ref="BD300">VLOOKUP($A300,Table_ship_components[],COLUMN(BD:BD),0)</f>
        <v>0</v>
      </c>
    </row>
    <row r="301" spans="1:56" outlineLevel="1" x14ac:dyDescent="0.35">
      <c r="A301" t="s">
        <v>404</v>
      </c>
      <c r="B301" t="str" cm="1">
        <f t="array" ref="B301">VLOOKUP($A301,Table_ship_components[],COLUMN(B:B),0)</f>
        <v>basic crew quatrters and accomodations</v>
      </c>
      <c r="C301" s="2">
        <v>2</v>
      </c>
      <c r="D301" cm="1">
        <f t="array" ref="D301">VLOOKUP($A301,Table_ship_components[],COLUMN(D:D),0)</f>
        <v>5</v>
      </c>
      <c r="E301" cm="1">
        <f t="array" ref="E301">ROUND(VLOOKUP($A301,Table_ship_components[],COLUMN(D:D),0)+(V301*C301),0)</f>
        <v>11</v>
      </c>
      <c r="F301" cm="1">
        <f t="array" ref="F301">VLOOKUP($A301,Table_ship_components[],COLUMN(F:F),0)</f>
        <v>2</v>
      </c>
      <c r="G301" cm="1">
        <f t="array" ref="G301">ROUND(VLOOKUP($A301,Table_ship_components[],COLUMN(G:G),0)+(X301*C301),0)</f>
        <v>4</v>
      </c>
      <c r="H301" cm="1">
        <f t="array" ref="H301">VLOOKUP($A301,Table_ship_components[],COLUMN(H:H),0)</f>
        <v>0</v>
      </c>
      <c r="I301" cm="1">
        <f t="array" ref="I301">VLOOKUP($A301,Table_ship_components[],COLUMN(I:I),0)</f>
        <v>0</v>
      </c>
      <c r="J301" cm="1">
        <f t="array" ref="J301">VLOOKUP($A301,Table_ship_components[],COLUMN(J:J),0)</f>
        <v>0</v>
      </c>
      <c r="K301" cm="1">
        <f t="array" ref="K301">VLOOKUP($A301,Table_ship_components[],COLUMN(K:K),0)</f>
        <v>0</v>
      </c>
      <c r="L301" cm="1">
        <f t="array" ref="L301">VLOOKUP($A301,Table_ship_components[],COLUMN(L:L),0)</f>
        <v>0</v>
      </c>
      <c r="M301" cm="1">
        <f t="array" ref="M301">VLOOKUP($A301,Table_ship_components[],COLUMN(M:M),0)</f>
        <v>0</v>
      </c>
      <c r="N301" cm="1">
        <f t="array" ref="N301">VLOOKUP($A301,Table_ship_components[],COLUMN(N:N),0)</f>
        <v>0</v>
      </c>
      <c r="O301" cm="1">
        <f t="array" ref="O301">VLOOKUP($A301,Table_ship_components[],COLUMN(O:O),0)</f>
        <v>1</v>
      </c>
      <c r="P301" cm="1">
        <f t="array" ref="P301">VLOOKUP($A301,Table_ship_components[],COLUMN(P:P),0)</f>
        <v>1</v>
      </c>
      <c r="Q301" cm="1">
        <f t="array" ref="Q301">VLOOKUP($A301,Table_ship_components[],COLUMN(Q:Q),0)</f>
        <v>1</v>
      </c>
      <c r="R301" cm="1">
        <f t="array" ref="R301">VLOOKUP($A301,Table_ship_components[],COLUMN(R:R),0)</f>
        <v>1</v>
      </c>
      <c r="S301" cm="1">
        <f t="array" ref="S301">VLOOKUP($A301,Table_ship_components[],COLUMN(S:S),0)</f>
        <v>1</v>
      </c>
      <c r="T301" cm="1">
        <f t="array" ref="T301">VLOOKUP($A301,Table_ship_components[],COLUMN(T:T),0)</f>
        <v>1</v>
      </c>
      <c r="U301" cm="1">
        <f t="array" ref="U301">VLOOKUP($A301,Table_ship_components[],COLUMN(U:U),0)</f>
        <v>1</v>
      </c>
      <c r="V301" cm="1">
        <f t="array" ref="V301">VLOOKUP($A301,Table_ship_components[],COLUMN(V:V),0)</f>
        <v>3</v>
      </c>
      <c r="W301" s="15" cm="1">
        <f t="array" ref="W301">VLOOKUP($A301,Table_ship_components[],COLUMN(W:W),0)</f>
        <v>50000</v>
      </c>
      <c r="X301" cm="1">
        <f t="array" ref="X301">VLOOKUP($A301,Table_ship_components[],COLUMN(X:X),0)</f>
        <v>1</v>
      </c>
      <c r="Y301" cm="1">
        <f t="array" ref="Y301">VLOOKUP($A301,Table_ship_components[],COLUMN(Y:Y),0)</f>
        <v>0</v>
      </c>
      <c r="Z301" cm="1">
        <f t="array" ref="Z301">VLOOKUP($A301,Table_ship_components[],COLUMN(Z:Z),0)</f>
        <v>0</v>
      </c>
      <c r="AA301" cm="1">
        <f t="array" ref="AA301">VLOOKUP($A301,Table_ship_components[],COLUMN(AA:AA),0)*C301</f>
        <v>0</v>
      </c>
      <c r="AB301">
        <f t="shared" si="15"/>
        <v>0</v>
      </c>
      <c r="AC301" cm="1">
        <f t="array" ref="AC301">VLOOKUP($A301,Table_ship_components[],COLUMN(AC:AC),0)*C301</f>
        <v>0</v>
      </c>
      <c r="AD301" cm="1">
        <f t="array" ref="AD301">VLOOKUP($A301,Table_ship_components[],COLUMN(AD:AD),0)</f>
        <v>0</v>
      </c>
      <c r="AE301" cm="1">
        <f t="array" ref="AE301">VLOOKUP($A301,Table_ship_components[],COLUMN(AE:AE),0)</f>
        <v>0</v>
      </c>
      <c r="AF301" cm="1">
        <f t="array" ref="AF301">VLOOKUP($A301,Table_ship_components[],COLUMN(AF:AF),0)</f>
        <v>0</v>
      </c>
      <c r="AG301" cm="1">
        <f t="array" ref="AG301">VLOOKUP($A301,Table_ship_components[],COLUMN(AG:AG),0)</f>
        <v>0</v>
      </c>
      <c r="AH301" cm="1">
        <f t="array" ref="AH301">VLOOKUP($A301,Table_ship_components[],COLUMN(AH:AH),0)</f>
        <v>0</v>
      </c>
      <c r="AI301" cm="1">
        <f t="array" ref="AI301">VLOOKUP($A301,Table_ship_components[],COLUMN(AI:AI),0)</f>
        <v>0</v>
      </c>
      <c r="AJ301" cm="1">
        <f t="array" ref="AJ301">VLOOKUP($A301,Table_ship_components[],COLUMN(AJ:AJ),0)</f>
        <v>0</v>
      </c>
      <c r="AK301" cm="1">
        <f t="array" ref="AK301">VLOOKUP($A301,Table_ship_components[],COLUMN(AK:AK),0)</f>
        <v>0</v>
      </c>
      <c r="AL301" cm="1">
        <f t="array" ref="AL301">VLOOKUP($A301,Table_ship_components[],COLUMN(AL:AL),0)</f>
        <v>0</v>
      </c>
      <c r="AM301" cm="1">
        <f t="array" ref="AM301">VLOOKUP($A301,Table_ship_components[],COLUMN(AM:AM),0)</f>
        <v>0</v>
      </c>
      <c r="AN301" cm="1">
        <f t="array" ref="AN301">VLOOKUP($A301,Table_ship_components[],COLUMN(AN:AN),0)</f>
        <v>0</v>
      </c>
      <c r="AO301" cm="1">
        <f t="array" ref="AO301">VLOOKUP($A301,Table_ship_components[],COLUMN(AO:AO),0)</f>
        <v>0</v>
      </c>
      <c r="AP301" cm="1">
        <f t="array" ref="AP301">VLOOKUP($A301,Table_ship_components[],COLUMN(AP:AP),0)</f>
        <v>0</v>
      </c>
      <c r="AQ301" cm="1">
        <f t="array" ref="AQ301">VLOOKUP($A301,Table_ship_components[],COLUMN(AQ:AQ),0)</f>
        <v>0</v>
      </c>
      <c r="AR301" cm="1">
        <f t="array" ref="AR301">VLOOKUP($A301,Table_ship_components[],COLUMN(AR:AR),0)</f>
        <v>0</v>
      </c>
      <c r="AS301" cm="1">
        <f t="array" ref="AS301">VLOOKUP($A301,Table_ship_components[],COLUMN(AS:AS),0)</f>
        <v>0</v>
      </c>
      <c r="AT301" cm="1">
        <f t="array" ref="AT301">VLOOKUP($A301,Table_ship_components[],COLUMN(AT:AT),0)</f>
        <v>0</v>
      </c>
      <c r="AU301" s="2" cm="1">
        <f t="array" ref="AU301">VLOOKUP($A301,Table_ship_components[],COLUMN(AU:AU),0)</f>
        <v>0</v>
      </c>
      <c r="AV301" s="2" cm="1">
        <f t="array" ref="AV301">VLOOKUP($A301,Table_ship_components[],COLUMN(AV:AV),0)</f>
        <v>0</v>
      </c>
      <c r="AW301" s="2" cm="1">
        <f t="array" ref="AW301">VLOOKUP($A301,Table_ship_components[],COLUMN(AW:AW),0)</f>
        <v>0</v>
      </c>
      <c r="AX301" s="2" cm="1">
        <f t="array" ref="AX301">VLOOKUP($A301,Table_ship_components[],COLUMN(AX:AX),0)</f>
        <v>0</v>
      </c>
      <c r="AY301" s="2" cm="1">
        <f t="array" ref="AY301">VLOOKUP($A301,Table_ship_components[],COLUMN(AY:AY),0)</f>
        <v>0</v>
      </c>
      <c r="AZ301" s="2" t="str" cm="1">
        <f t="array" ref="AZ301">VLOOKUP($A301,Table_ship_components[],COLUMN(AZ:AZ),0)</f>
        <v>C</v>
      </c>
      <c r="BA301" s="14" cm="1">
        <f t="array" ref="BA301">VLOOKUP($A301,Table_ship_components[],COLUMN(BA:BA),0)</f>
        <v>80000</v>
      </c>
      <c r="BB301" s="14" cm="1">
        <f t="array" ref="BB301">(VLOOKUP($A301,Table_ship_components[],COLUMN(BA:BA),0)+(W301*C301))</f>
        <v>180000</v>
      </c>
      <c r="BC301" s="2" cm="1">
        <f t="array" ref="BC301">VLOOKUP($A301,Table_ship_components[],COLUMN(BC:BC),0)</f>
        <v>0</v>
      </c>
      <c r="BD301" s="2" cm="1">
        <f t="array" ref="BD301">VLOOKUP($A301,Table_ship_components[],COLUMN(BD:BD),0)</f>
        <v>0</v>
      </c>
    </row>
    <row r="302" spans="1:56" outlineLevel="1" x14ac:dyDescent="0.35">
      <c r="A302" t="s">
        <v>379</v>
      </c>
      <c r="B302" t="str" cm="1">
        <f t="array" ref="B302">VLOOKUP($A302,Table_ship_components[],COLUMN(B:B),0)</f>
        <v>average corvette structure reinforcement</v>
      </c>
      <c r="D302" cm="1">
        <f t="array" ref="D302">VLOOKUP($A302,Table_ship_components[],COLUMN(D:D),0)</f>
        <v>9</v>
      </c>
      <c r="E302" cm="1">
        <f t="array" ref="E302">ROUND(VLOOKUP($A302,Table_ship_components[],COLUMN(D:D),0)+(V302*C302),0)</f>
        <v>9</v>
      </c>
      <c r="F302" cm="1">
        <f t="array" ref="F302">VLOOKUP($A302,Table_ship_components[],COLUMN(F:F),0)</f>
        <v>0</v>
      </c>
      <c r="G302" cm="1">
        <f t="array" ref="G302">ROUND(VLOOKUP($A302,Table_ship_components[],COLUMN(G:G),0)+(X302*C302),0)</f>
        <v>0</v>
      </c>
      <c r="H302" cm="1">
        <f t="array" ref="H302">VLOOKUP($A302,Table_ship_components[],COLUMN(H:H),0)</f>
        <v>0</v>
      </c>
      <c r="I302" cm="1">
        <f t="array" ref="I302">VLOOKUP($A302,Table_ship_components[],COLUMN(I:I),0)</f>
        <v>0</v>
      </c>
      <c r="J302" cm="1">
        <f t="array" ref="J302">VLOOKUP($A302,Table_ship_components[],COLUMN(J:J),0)</f>
        <v>0</v>
      </c>
      <c r="K302" cm="1">
        <f t="array" ref="K302">VLOOKUP($A302,Table_ship_components[],COLUMN(K:K),0)</f>
        <v>0</v>
      </c>
      <c r="L302" cm="1">
        <f t="array" ref="L302">VLOOKUP($A302,Table_ship_components[],COLUMN(L:L),0)</f>
        <v>0</v>
      </c>
      <c r="M302" cm="1">
        <f t="array" ref="M302">VLOOKUP($A302,Table_ship_components[],COLUMN(M:M),0)</f>
        <v>0</v>
      </c>
      <c r="N302" cm="1">
        <f t="array" ref="N302">VLOOKUP($A302,Table_ship_components[],COLUMN(N:N),0)</f>
        <v>0</v>
      </c>
      <c r="O302" cm="1">
        <f t="array" ref="O302">VLOOKUP($A302,Table_ship_components[],COLUMN(O:O),0)</f>
        <v>1</v>
      </c>
      <c r="P302" cm="1">
        <f t="array" ref="P302">VLOOKUP($A302,Table_ship_components[],COLUMN(P:P),0)</f>
        <v>0</v>
      </c>
      <c r="Q302" cm="1">
        <f t="array" ref="Q302">VLOOKUP($A302,Table_ship_components[],COLUMN(Q:Q),0)</f>
        <v>0</v>
      </c>
      <c r="R302" cm="1">
        <f t="array" ref="R302">VLOOKUP($A302,Table_ship_components[],COLUMN(R:R),0)</f>
        <v>0</v>
      </c>
      <c r="S302" cm="1">
        <f t="array" ref="S302">VLOOKUP($A302,Table_ship_components[],COLUMN(S:S),0)</f>
        <v>0</v>
      </c>
      <c r="T302" cm="1">
        <f t="array" ref="T302">VLOOKUP($A302,Table_ship_components[],COLUMN(T:T),0)</f>
        <v>0</v>
      </c>
      <c r="U302" cm="1">
        <f t="array" ref="U302">VLOOKUP($A302,Table_ship_components[],COLUMN(U:U),0)</f>
        <v>0</v>
      </c>
      <c r="V302" cm="1">
        <f t="array" ref="V302">VLOOKUP($A302,Table_ship_components[],COLUMN(V:V),0)</f>
        <v>0</v>
      </c>
      <c r="W302" s="15" cm="1">
        <f t="array" ref="W302">VLOOKUP($A302,Table_ship_components[],COLUMN(W:W),0)</f>
        <v>0</v>
      </c>
      <c r="X302" cm="1">
        <f t="array" ref="X302">VLOOKUP($A302,Table_ship_components[],COLUMN(X:X),0)</f>
        <v>0</v>
      </c>
      <c r="Y302" cm="1">
        <f t="array" ref="Y302">VLOOKUP($A302,Table_ship_components[],COLUMN(Y:Y),0)</f>
        <v>0</v>
      </c>
      <c r="Z302" cm="1">
        <f t="array" ref="Z302">VLOOKUP($A302,Table_ship_components[],COLUMN(Z:Z),0)</f>
        <v>0</v>
      </c>
      <c r="AA302" cm="1">
        <f t="array" ref="AA302">VLOOKUP($A302,Table_ship_components[],COLUMN(AA:AA),0)*C302</f>
        <v>0</v>
      </c>
      <c r="AB302">
        <f t="shared" si="15"/>
        <v>0</v>
      </c>
      <c r="AC302" cm="1">
        <f t="array" ref="AC302">VLOOKUP($A302,Table_ship_components[],COLUMN(AC:AC),0)*C302</f>
        <v>0</v>
      </c>
      <c r="AD302" cm="1">
        <f t="array" ref="AD302">VLOOKUP($A302,Table_ship_components[],COLUMN(AD:AD),0)</f>
        <v>0</v>
      </c>
      <c r="AE302" cm="1">
        <f t="array" ref="AE302">VLOOKUP($A302,Table_ship_components[],COLUMN(AE:AE),0)</f>
        <v>0</v>
      </c>
      <c r="AF302" cm="1">
        <f t="array" ref="AF302">VLOOKUP($A302,Table_ship_components[],COLUMN(AF:AF),0)</f>
        <v>0</v>
      </c>
      <c r="AG302" cm="1">
        <f t="array" ref="AG302">VLOOKUP($A302,Table_ship_components[],COLUMN(AG:AG),0)</f>
        <v>0</v>
      </c>
      <c r="AH302" cm="1">
        <f t="array" ref="AH302">VLOOKUP($A302,Table_ship_components[],COLUMN(AH:AH),0)</f>
        <v>0</v>
      </c>
      <c r="AI302" cm="1">
        <f t="array" ref="AI302">VLOOKUP($A302,Table_ship_components[],COLUMN(AI:AI),0)</f>
        <v>0</v>
      </c>
      <c r="AJ302" cm="1">
        <f t="array" ref="AJ302">VLOOKUP($A302,Table_ship_components[],COLUMN(AJ:AJ),0)</f>
        <v>0</v>
      </c>
      <c r="AK302" cm="1">
        <f t="array" ref="AK302">VLOOKUP($A302,Table_ship_components[],COLUMN(AK:AK),0)</f>
        <v>0</v>
      </c>
      <c r="AL302" cm="1">
        <f t="array" ref="AL302">VLOOKUP($A302,Table_ship_components[],COLUMN(AL:AL),0)</f>
        <v>0</v>
      </c>
      <c r="AM302" cm="1">
        <f t="array" ref="AM302">VLOOKUP($A302,Table_ship_components[],COLUMN(AM:AM),0)</f>
        <v>2</v>
      </c>
      <c r="AN302" cm="1">
        <f t="array" ref="AN302">VLOOKUP($A302,Table_ship_components[],COLUMN(AN:AN),0)</f>
        <v>0</v>
      </c>
      <c r="AO302" cm="1">
        <f t="array" ref="AO302">VLOOKUP($A302,Table_ship_components[],COLUMN(AO:AO),0)</f>
        <v>0</v>
      </c>
      <c r="AP302" cm="1">
        <f t="array" ref="AP302">VLOOKUP($A302,Table_ship_components[],COLUMN(AP:AP),0)</f>
        <v>0</v>
      </c>
      <c r="AQ302" cm="1">
        <f t="array" ref="AQ302">VLOOKUP($A302,Table_ship_components[],COLUMN(AQ:AQ),0)</f>
        <v>0</v>
      </c>
      <c r="AR302" cm="1">
        <f t="array" ref="AR302">VLOOKUP($A302,Table_ship_components[],COLUMN(AR:AR),0)</f>
        <v>0</v>
      </c>
      <c r="AS302" cm="1">
        <f t="array" ref="AS302">VLOOKUP($A302,Table_ship_components[],COLUMN(AS:AS),0)</f>
        <v>0</v>
      </c>
      <c r="AT302" cm="1">
        <f t="array" ref="AT302">VLOOKUP($A302,Table_ship_components[],COLUMN(AT:AT),0)</f>
        <v>0</v>
      </c>
      <c r="AU302" s="2" cm="1">
        <f t="array" ref="AU302">VLOOKUP($A302,Table_ship_components[],COLUMN(AU:AU),0)</f>
        <v>0</v>
      </c>
      <c r="AV302" s="2" cm="1">
        <f t="array" ref="AV302">VLOOKUP($A302,Table_ship_components[],COLUMN(AV:AV),0)</f>
        <v>0</v>
      </c>
      <c r="AW302" s="2" cm="1">
        <f t="array" ref="AW302">VLOOKUP($A302,Table_ship_components[],COLUMN(AW:AW),0)</f>
        <v>0</v>
      </c>
      <c r="AX302" s="2" cm="1">
        <f t="array" ref="AX302">VLOOKUP($A302,Table_ship_components[],COLUMN(AX:AX),0)</f>
        <v>0</v>
      </c>
      <c r="AY302" s="2" cm="1">
        <f t="array" ref="AY302">VLOOKUP($A302,Table_ship_components[],COLUMN(AY:AY),0)</f>
        <v>0</v>
      </c>
      <c r="AZ302" s="2" t="str" cm="1">
        <f t="array" ref="AZ302">VLOOKUP($A302,Table_ship_components[],COLUMN(AZ:AZ),0)</f>
        <v>C</v>
      </c>
      <c r="BA302" s="14" cm="1">
        <f t="array" ref="BA302">VLOOKUP($A302,Table_ship_components[],COLUMN(BA:BA),0)</f>
        <v>700000</v>
      </c>
      <c r="BB302" s="14" cm="1">
        <f t="array" ref="BB302">(VLOOKUP($A302,Table_ship_components[],COLUMN(BA:BA),0)+(W302*C302))</f>
        <v>700000</v>
      </c>
      <c r="BC302" s="2" cm="1">
        <f t="array" ref="BC302">VLOOKUP($A302,Table_ship_components[],COLUMN(BC:BC),0)</f>
        <v>0</v>
      </c>
      <c r="BD302" s="2" cm="1">
        <f t="array" ref="BD302">VLOOKUP($A302,Table_ship_components[],COLUMN(BD:BD),0)</f>
        <v>0</v>
      </c>
    </row>
    <row r="303" spans="1:56" outlineLevel="1" x14ac:dyDescent="0.35">
      <c r="A303" t="s">
        <v>363</v>
      </c>
      <c r="B303" t="str" cm="1">
        <f t="array" ref="B303">VLOOKUP($A303,Table_ship_components[],COLUMN(B:B),0)</f>
        <v>basic life support for a corvette</v>
      </c>
      <c r="C303" s="2">
        <v>22</v>
      </c>
      <c r="D303" cm="1">
        <f t="array" ref="D303">VLOOKUP($A303,Table_ship_components[],COLUMN(D:D),0)</f>
        <v>6</v>
      </c>
      <c r="E303" cm="1">
        <f t="array" ref="E303">ROUND(VLOOKUP($A303,Table_ship_components[],COLUMN(D:D),0)+(V303*C303),0)</f>
        <v>8</v>
      </c>
      <c r="F303" cm="1">
        <f t="array" ref="F303">VLOOKUP($A303,Table_ship_components[],COLUMN(F:F),0)</f>
        <v>5</v>
      </c>
      <c r="G303" cm="1">
        <f t="array" ref="G303">ROUND(VLOOKUP($A303,Table_ship_components[],COLUMN(G:G),0)+(X303*C303),0)</f>
        <v>7</v>
      </c>
      <c r="H303" cm="1">
        <f t="array" ref="H303">VLOOKUP($A303,Table_ship_components[],COLUMN(H:H),0)</f>
        <v>0</v>
      </c>
      <c r="I303" cm="1">
        <f t="array" ref="I303">VLOOKUP($A303,Table_ship_components[],COLUMN(I:I),0)</f>
        <v>0</v>
      </c>
      <c r="J303" cm="1">
        <f t="array" ref="J303">VLOOKUP($A303,Table_ship_components[],COLUMN(J:J),0)</f>
        <v>0</v>
      </c>
      <c r="K303" cm="1">
        <f t="array" ref="K303">VLOOKUP($A303,Table_ship_components[],COLUMN(K:K),0)</f>
        <v>0</v>
      </c>
      <c r="L303" cm="1">
        <f t="array" ref="L303">VLOOKUP($A303,Table_ship_components[],COLUMN(L:L),0)</f>
        <v>0</v>
      </c>
      <c r="M303" cm="1">
        <f t="array" ref="M303">VLOOKUP($A303,Table_ship_components[],COLUMN(M:M),0)</f>
        <v>0</v>
      </c>
      <c r="N303" cm="1">
        <f t="array" ref="N303">VLOOKUP($A303,Table_ship_components[],COLUMN(N:N),0)</f>
        <v>0</v>
      </c>
      <c r="O303" cm="1">
        <f t="array" ref="O303">VLOOKUP($A303,Table_ship_components[],COLUMN(O:O),0)</f>
        <v>1</v>
      </c>
      <c r="P303" cm="1">
        <f t="array" ref="P303">VLOOKUP($A303,Table_ship_components[],COLUMN(P:P),0)</f>
        <v>0</v>
      </c>
      <c r="Q303" cm="1">
        <f t="array" ref="Q303">VLOOKUP($A303,Table_ship_components[],COLUMN(Q:Q),0)</f>
        <v>0</v>
      </c>
      <c r="R303" cm="1">
        <f t="array" ref="R303">VLOOKUP($A303,Table_ship_components[],COLUMN(R:R),0)</f>
        <v>0</v>
      </c>
      <c r="S303" cm="1">
        <f t="array" ref="S303">VLOOKUP($A303,Table_ship_components[],COLUMN(S:S),0)</f>
        <v>0</v>
      </c>
      <c r="T303" cm="1">
        <f t="array" ref="T303">VLOOKUP($A303,Table_ship_components[],COLUMN(T:T),0)</f>
        <v>0</v>
      </c>
      <c r="U303" cm="1">
        <f t="array" ref="U303">VLOOKUP($A303,Table_ship_components[],COLUMN(U:U),0)</f>
        <v>1</v>
      </c>
      <c r="V303" cm="1">
        <f t="array" ref="V303">VLOOKUP($A303,Table_ship_components[],COLUMN(V:V),0)</f>
        <v>0.1</v>
      </c>
      <c r="W303" s="15" cm="1">
        <f t="array" ref="W303">VLOOKUP($A303,Table_ship_components[],COLUMN(W:W),0)</f>
        <v>5000</v>
      </c>
      <c r="X303" cm="1">
        <f t="array" ref="X303">VLOOKUP($A303,Table_ship_components[],COLUMN(X:X),0)</f>
        <v>0.1</v>
      </c>
      <c r="Y303" cm="1">
        <f t="array" ref="Y303">VLOOKUP($A303,Table_ship_components[],COLUMN(Y:Y),0)</f>
        <v>0</v>
      </c>
      <c r="Z303" cm="1">
        <f t="array" ref="Z303">VLOOKUP($A303,Table_ship_components[],COLUMN(Z:Z),0)</f>
        <v>0</v>
      </c>
      <c r="AA303" cm="1">
        <f t="array" ref="AA303">VLOOKUP($A303,Table_ship_components[],COLUMN(AA:AA),0)*C303</f>
        <v>0</v>
      </c>
      <c r="AB303">
        <f t="shared" si="15"/>
        <v>0</v>
      </c>
      <c r="AC303" cm="1">
        <f t="array" ref="AC303">VLOOKUP($A303,Table_ship_components[],COLUMN(AC:AC),0)*C303</f>
        <v>22</v>
      </c>
      <c r="AD303" cm="1">
        <f t="array" ref="AD303">VLOOKUP($A303,Table_ship_components[],COLUMN(AD:AD),0)</f>
        <v>10</v>
      </c>
      <c r="AE303" cm="1">
        <f t="array" ref="AE303">VLOOKUP($A303,Table_ship_components[],COLUMN(AE:AE),0)</f>
        <v>0</v>
      </c>
      <c r="AF303" cm="1">
        <f t="array" ref="AF303">VLOOKUP($A303,Table_ship_components[],COLUMN(AF:AF),0)</f>
        <v>0</v>
      </c>
      <c r="AG303" cm="1">
        <f t="array" ref="AG303">VLOOKUP($A303,Table_ship_components[],COLUMN(AG:AG),0)</f>
        <v>0</v>
      </c>
      <c r="AH303" cm="1">
        <f t="array" ref="AH303">VLOOKUP($A303,Table_ship_components[],COLUMN(AH:AH),0)</f>
        <v>0</v>
      </c>
      <c r="AI303" cm="1">
        <f t="array" ref="AI303">VLOOKUP($A303,Table_ship_components[],COLUMN(AI:AI),0)</f>
        <v>0</v>
      </c>
      <c r="AJ303" cm="1">
        <f t="array" ref="AJ303">VLOOKUP($A303,Table_ship_components[],COLUMN(AJ:AJ),0)</f>
        <v>0</v>
      </c>
      <c r="AK303" cm="1">
        <f t="array" ref="AK303">VLOOKUP($A303,Table_ship_components[],COLUMN(AK:AK),0)</f>
        <v>0</v>
      </c>
      <c r="AL303" cm="1">
        <f t="array" ref="AL303">VLOOKUP($A303,Table_ship_components[],COLUMN(AL:AL),0)</f>
        <v>0</v>
      </c>
      <c r="AM303" cm="1">
        <f t="array" ref="AM303">VLOOKUP($A303,Table_ship_components[],COLUMN(AM:AM),0)</f>
        <v>0</v>
      </c>
      <c r="AN303" cm="1">
        <f t="array" ref="AN303">VLOOKUP($A303,Table_ship_components[],COLUMN(AN:AN),0)</f>
        <v>0</v>
      </c>
      <c r="AO303" cm="1">
        <f t="array" ref="AO303">VLOOKUP($A303,Table_ship_components[],COLUMN(AO:AO),0)</f>
        <v>0</v>
      </c>
      <c r="AP303" cm="1">
        <f t="array" ref="AP303">VLOOKUP($A303,Table_ship_components[],COLUMN(AP:AP),0)</f>
        <v>0</v>
      </c>
      <c r="AQ303" cm="1">
        <f t="array" ref="AQ303">VLOOKUP($A303,Table_ship_components[],COLUMN(AQ:AQ),0)</f>
        <v>0</v>
      </c>
      <c r="AR303" cm="1">
        <f t="array" ref="AR303">VLOOKUP($A303,Table_ship_components[],COLUMN(AR:AR),0)</f>
        <v>0</v>
      </c>
      <c r="AS303" cm="1">
        <f t="array" ref="AS303">VLOOKUP($A303,Table_ship_components[],COLUMN(AS:AS),0)</f>
        <v>0</v>
      </c>
      <c r="AT303" cm="1">
        <f t="array" ref="AT303">VLOOKUP($A303,Table_ship_components[],COLUMN(AT:AT),0)</f>
        <v>0</v>
      </c>
      <c r="AU303" s="2" cm="1">
        <f t="array" ref="AU303">VLOOKUP($A303,Table_ship_components[],COLUMN(AU:AU),0)</f>
        <v>0</v>
      </c>
      <c r="AV303" s="2" cm="1">
        <f t="array" ref="AV303">VLOOKUP($A303,Table_ship_components[],COLUMN(AV:AV),0)</f>
        <v>0</v>
      </c>
      <c r="AW303" s="2" cm="1">
        <f t="array" ref="AW303">VLOOKUP($A303,Table_ship_components[],COLUMN(AW:AW),0)</f>
        <v>0</v>
      </c>
      <c r="AX303" s="2" cm="1">
        <f t="array" ref="AX303">VLOOKUP($A303,Table_ship_components[],COLUMN(AX:AX),0)</f>
        <v>0</v>
      </c>
      <c r="AY303" s="2" cm="1">
        <f t="array" ref="AY303">VLOOKUP($A303,Table_ship_components[],COLUMN(AY:AY),0)</f>
        <v>0</v>
      </c>
      <c r="AZ303" s="2" t="str" cm="1">
        <f t="array" ref="AZ303">VLOOKUP($A303,Table_ship_components[],COLUMN(AZ:AZ),0)</f>
        <v>C</v>
      </c>
      <c r="BA303" s="14" cm="1">
        <f t="array" ref="BA303">VLOOKUP($A303,Table_ship_components[],COLUMN(BA:BA),0)</f>
        <v>50000</v>
      </c>
      <c r="BB303" s="14" cm="1">
        <f t="array" ref="BB303">(VLOOKUP($A303,Table_ship_components[],COLUMN(BA:BA),0)+(W303*C303))</f>
        <v>160000</v>
      </c>
      <c r="BC303" s="2" cm="1">
        <f t="array" ref="BC303">VLOOKUP($A303,Table_ship_components[],COLUMN(BC:BC),0)</f>
        <v>0</v>
      </c>
      <c r="BD303" s="2" cm="1">
        <f t="array" ref="BD303">VLOOKUP($A303,Table_ship_components[],COLUMN(BD:BD),0)</f>
        <v>0</v>
      </c>
    </row>
    <row r="304" spans="1:56" outlineLevel="1" x14ac:dyDescent="0.35">
      <c r="A304" t="s">
        <v>288</v>
      </c>
      <c r="B304" t="str" cm="1">
        <f t="array" ref="B304">VLOOKUP($A304,Table_ship_components[],COLUMN(B:B),0)</f>
        <v>PICK A COMPONENT</v>
      </c>
      <c r="D304" cm="1">
        <f t="array" ref="D304">VLOOKUP($A304,Table_ship_components[],COLUMN(D:D),0)</f>
        <v>0</v>
      </c>
      <c r="E304" cm="1">
        <f t="array" ref="E304">ROUND(VLOOKUP($A304,Table_ship_components[],COLUMN(D:D),0)+(V304*C304),0)</f>
        <v>0</v>
      </c>
      <c r="F304" cm="1">
        <f t="array" ref="F304">VLOOKUP($A304,Table_ship_components[],COLUMN(F:F),0)</f>
        <v>0</v>
      </c>
      <c r="G304" cm="1">
        <f t="array" ref="G304">ROUND(VLOOKUP($A304,Table_ship_components[],COLUMN(G:G),0)+(X304*C304),0)</f>
        <v>0</v>
      </c>
      <c r="H304" cm="1">
        <f t="array" ref="H304">VLOOKUP($A304,Table_ship_components[],COLUMN(H:H),0)</f>
        <v>0</v>
      </c>
      <c r="I304" cm="1">
        <f t="array" ref="I304">VLOOKUP($A304,Table_ship_components[],COLUMN(I:I),0)</f>
        <v>0</v>
      </c>
      <c r="J304" cm="1">
        <f t="array" ref="J304">VLOOKUP($A304,Table_ship_components[],COLUMN(J:J),0)</f>
        <v>0</v>
      </c>
      <c r="K304" cm="1">
        <f t="array" ref="K304">VLOOKUP($A304,Table_ship_components[],COLUMN(K:K),0)</f>
        <v>0</v>
      </c>
      <c r="L304" cm="1">
        <f t="array" ref="L304">VLOOKUP($A304,Table_ship_components[],COLUMN(L:L),0)</f>
        <v>0</v>
      </c>
      <c r="M304" cm="1">
        <f t="array" ref="M304">VLOOKUP($A304,Table_ship_components[],COLUMN(M:M),0)</f>
        <v>0</v>
      </c>
      <c r="N304" cm="1">
        <f t="array" ref="N304">VLOOKUP($A304,Table_ship_components[],COLUMN(N:N),0)</f>
        <v>0</v>
      </c>
      <c r="O304" cm="1">
        <f t="array" ref="O304">VLOOKUP($A304,Table_ship_components[],COLUMN(O:O),0)</f>
        <v>0</v>
      </c>
      <c r="P304" cm="1">
        <f t="array" ref="P304">VLOOKUP($A304,Table_ship_components[],COLUMN(P:P),0)</f>
        <v>0</v>
      </c>
      <c r="Q304" cm="1">
        <f t="array" ref="Q304">VLOOKUP($A304,Table_ship_components[],COLUMN(Q:Q),0)</f>
        <v>0</v>
      </c>
      <c r="R304" cm="1">
        <f t="array" ref="R304">VLOOKUP($A304,Table_ship_components[],COLUMN(R:R),0)</f>
        <v>0</v>
      </c>
      <c r="S304" cm="1">
        <f t="array" ref="S304">VLOOKUP($A304,Table_ship_components[],COLUMN(S:S),0)</f>
        <v>0</v>
      </c>
      <c r="T304" cm="1">
        <f t="array" ref="T304">VLOOKUP($A304,Table_ship_components[],COLUMN(T:T),0)</f>
        <v>0</v>
      </c>
      <c r="U304" cm="1">
        <f t="array" ref="U304">VLOOKUP($A304,Table_ship_components[],COLUMN(U:U),0)</f>
        <v>0</v>
      </c>
      <c r="V304" cm="1">
        <f t="array" ref="V304">VLOOKUP($A304,Table_ship_components[],COLUMN(V:V),0)</f>
        <v>0</v>
      </c>
      <c r="W304" s="15" cm="1">
        <f t="array" ref="W304">VLOOKUP($A304,Table_ship_components[],COLUMN(W:W),0)</f>
        <v>0</v>
      </c>
      <c r="X304" cm="1">
        <f t="array" ref="X304">VLOOKUP($A304,Table_ship_components[],COLUMN(X:X),0)</f>
        <v>0</v>
      </c>
      <c r="Y304" cm="1">
        <f t="array" ref="Y304">VLOOKUP($A304,Table_ship_components[],COLUMN(Y:Y),0)</f>
        <v>0</v>
      </c>
      <c r="Z304" cm="1">
        <f t="array" ref="Z304">VLOOKUP($A304,Table_ship_components[],COLUMN(Z:Z),0)</f>
        <v>0</v>
      </c>
      <c r="AA304" cm="1">
        <f t="array" ref="AA304">VLOOKUP($A304,Table_ship_components[],COLUMN(AA:AA),0)*C304</f>
        <v>0</v>
      </c>
      <c r="AB304">
        <f t="shared" si="15"/>
        <v>0</v>
      </c>
      <c r="AC304" cm="1">
        <f t="array" ref="AC304">VLOOKUP($A304,Table_ship_components[],COLUMN(AC:AC),0)*C304</f>
        <v>0</v>
      </c>
      <c r="AD304" cm="1">
        <f t="array" ref="AD304">VLOOKUP($A304,Table_ship_components[],COLUMN(AD:AD),0)</f>
        <v>0</v>
      </c>
      <c r="AE304" cm="1">
        <f t="array" ref="AE304">VLOOKUP($A304,Table_ship_components[],COLUMN(AE:AE),0)</f>
        <v>0</v>
      </c>
      <c r="AF304" cm="1">
        <f t="array" ref="AF304">VLOOKUP($A304,Table_ship_components[],COLUMN(AF:AF),0)</f>
        <v>0</v>
      </c>
      <c r="AG304" cm="1">
        <f t="array" ref="AG304">VLOOKUP($A304,Table_ship_components[],COLUMN(AG:AG),0)</f>
        <v>0</v>
      </c>
      <c r="AH304" cm="1">
        <f t="array" ref="AH304">VLOOKUP($A304,Table_ship_components[],COLUMN(AH:AH),0)</f>
        <v>0</v>
      </c>
      <c r="AI304" cm="1">
        <f t="array" ref="AI304">VLOOKUP($A304,Table_ship_components[],COLUMN(AI:AI),0)</f>
        <v>0</v>
      </c>
      <c r="AJ304" cm="1">
        <f t="array" ref="AJ304">VLOOKUP($A304,Table_ship_components[],COLUMN(AJ:AJ),0)</f>
        <v>0</v>
      </c>
      <c r="AK304" cm="1">
        <f t="array" ref="AK304">VLOOKUP($A304,Table_ship_components[],COLUMN(AK:AK),0)</f>
        <v>0</v>
      </c>
      <c r="AL304" cm="1">
        <f t="array" ref="AL304">VLOOKUP($A304,Table_ship_components[],COLUMN(AL:AL),0)</f>
        <v>0</v>
      </c>
      <c r="AM304" cm="1">
        <f t="array" ref="AM304">VLOOKUP($A304,Table_ship_components[],COLUMN(AM:AM),0)</f>
        <v>0</v>
      </c>
      <c r="AN304" cm="1">
        <f t="array" ref="AN304">VLOOKUP($A304,Table_ship_components[],COLUMN(AN:AN),0)</f>
        <v>0</v>
      </c>
      <c r="AO304" cm="1">
        <f t="array" ref="AO304">VLOOKUP($A304,Table_ship_components[],COLUMN(AO:AO),0)</f>
        <v>0</v>
      </c>
      <c r="AP304" cm="1">
        <f t="array" ref="AP304">VLOOKUP($A304,Table_ship_components[],COLUMN(AP:AP),0)</f>
        <v>0</v>
      </c>
      <c r="AQ304" cm="1">
        <f t="array" ref="AQ304">VLOOKUP($A304,Table_ship_components[],COLUMN(AQ:AQ),0)</f>
        <v>0</v>
      </c>
      <c r="AR304" cm="1">
        <f t="array" ref="AR304">VLOOKUP($A304,Table_ship_components[],COLUMN(AR:AR),0)</f>
        <v>0</v>
      </c>
      <c r="AS304" cm="1">
        <f t="array" ref="AS304">VLOOKUP($A304,Table_ship_components[],COLUMN(AS:AS),0)</f>
        <v>0</v>
      </c>
      <c r="AT304" cm="1">
        <f t="array" ref="AT304">VLOOKUP($A304,Table_ship_components[],COLUMN(AT:AT),0)</f>
        <v>0</v>
      </c>
      <c r="AU304" s="2" cm="1">
        <f t="array" ref="AU304">VLOOKUP($A304,Table_ship_components[],COLUMN(AU:AU),0)</f>
        <v>0</v>
      </c>
      <c r="AV304" s="2" cm="1">
        <f t="array" ref="AV304">VLOOKUP($A304,Table_ship_components[],COLUMN(AV:AV),0)</f>
        <v>0</v>
      </c>
      <c r="AW304" s="2" cm="1">
        <f t="array" ref="AW304">VLOOKUP($A304,Table_ship_components[],COLUMN(AW:AW),0)</f>
        <v>0</v>
      </c>
      <c r="AX304" s="2" cm="1">
        <f t="array" ref="AX304">VLOOKUP($A304,Table_ship_components[],COLUMN(AX:AX),0)</f>
        <v>0</v>
      </c>
      <c r="AY304" s="2" cm="1">
        <f t="array" ref="AY304">VLOOKUP($A304,Table_ship_components[],COLUMN(AY:AY),0)</f>
        <v>0</v>
      </c>
      <c r="AZ304" s="2" t="str" cm="1">
        <f t="array" ref="AZ304">VLOOKUP($A304,Table_ship_components[],COLUMN(AZ:AZ),0)</f>
        <v>C</v>
      </c>
      <c r="BA304" s="14" cm="1">
        <f t="array" ref="BA304">VLOOKUP($A304,Table_ship_components[],COLUMN(BA:BA),0)</f>
        <v>0</v>
      </c>
      <c r="BB304" s="14" cm="1">
        <f t="array" ref="BB304">(VLOOKUP($A304,Table_ship_components[],COLUMN(BA:BA),0)+(W304*C304))</f>
        <v>0</v>
      </c>
      <c r="BC304" s="2" cm="1">
        <f t="array" ref="BC304">VLOOKUP($A304,Table_ship_components[],COLUMN(BC:BC),0)</f>
        <v>0</v>
      </c>
      <c r="BD304" s="2" cm="1">
        <f t="array" ref="BD304">VLOOKUP($A304,Table_ship_components[],COLUMN(BD:BD),0)</f>
        <v>0</v>
      </c>
    </row>
    <row r="305" spans="1:56" outlineLevel="1" x14ac:dyDescent="0.35">
      <c r="A305" t="s">
        <v>288</v>
      </c>
      <c r="B305" t="str" cm="1">
        <f t="array" ref="B305">VLOOKUP($A305,Table_ship_components[],COLUMN(B:B),0)</f>
        <v>PICK A COMPONENT</v>
      </c>
      <c r="D305" cm="1">
        <f t="array" ref="D305">VLOOKUP($A305,Table_ship_components[],COLUMN(D:D),0)</f>
        <v>0</v>
      </c>
      <c r="E305" cm="1">
        <f t="array" ref="E305">ROUND(VLOOKUP($A305,Table_ship_components[],COLUMN(D:D),0)+(V305*C305),0)</f>
        <v>0</v>
      </c>
      <c r="F305" cm="1">
        <f t="array" ref="F305">VLOOKUP($A305,Table_ship_components[],COLUMN(F:F),0)</f>
        <v>0</v>
      </c>
      <c r="G305" cm="1">
        <f t="array" ref="G305">ROUND(VLOOKUP($A305,Table_ship_components[],COLUMN(G:G),0)+(X305*C305),0)</f>
        <v>0</v>
      </c>
      <c r="H305" cm="1">
        <f t="array" ref="H305">VLOOKUP($A305,Table_ship_components[],COLUMN(H:H),0)</f>
        <v>0</v>
      </c>
      <c r="I305" cm="1">
        <f t="array" ref="I305">VLOOKUP($A305,Table_ship_components[],COLUMN(I:I),0)</f>
        <v>0</v>
      </c>
      <c r="J305" cm="1">
        <f t="array" ref="J305">VLOOKUP($A305,Table_ship_components[],COLUMN(J:J),0)</f>
        <v>0</v>
      </c>
      <c r="K305" cm="1">
        <f t="array" ref="K305">VLOOKUP($A305,Table_ship_components[],COLUMN(K:K),0)</f>
        <v>0</v>
      </c>
      <c r="L305" cm="1">
        <f t="array" ref="L305">VLOOKUP($A305,Table_ship_components[],COLUMN(L:L),0)</f>
        <v>0</v>
      </c>
      <c r="M305" cm="1">
        <f t="array" ref="M305">VLOOKUP($A305,Table_ship_components[],COLUMN(M:M),0)</f>
        <v>0</v>
      </c>
      <c r="N305" cm="1">
        <f t="array" ref="N305">VLOOKUP($A305,Table_ship_components[],COLUMN(N:N),0)</f>
        <v>0</v>
      </c>
      <c r="O305" cm="1">
        <f t="array" ref="O305">VLOOKUP($A305,Table_ship_components[],COLUMN(O:O),0)</f>
        <v>0</v>
      </c>
      <c r="P305" cm="1">
        <f t="array" ref="P305">VLOOKUP($A305,Table_ship_components[],COLUMN(P:P),0)</f>
        <v>0</v>
      </c>
      <c r="Q305" cm="1">
        <f t="array" ref="Q305">VLOOKUP($A305,Table_ship_components[],COLUMN(Q:Q),0)</f>
        <v>0</v>
      </c>
      <c r="R305" cm="1">
        <f t="array" ref="R305">VLOOKUP($A305,Table_ship_components[],COLUMN(R:R),0)</f>
        <v>0</v>
      </c>
      <c r="S305" cm="1">
        <f t="array" ref="S305">VLOOKUP($A305,Table_ship_components[],COLUMN(S:S),0)</f>
        <v>0</v>
      </c>
      <c r="T305" cm="1">
        <f t="array" ref="T305">VLOOKUP($A305,Table_ship_components[],COLUMN(T:T),0)</f>
        <v>0</v>
      </c>
      <c r="U305" cm="1">
        <f t="array" ref="U305">VLOOKUP($A305,Table_ship_components[],COLUMN(U:U),0)</f>
        <v>0</v>
      </c>
      <c r="V305" cm="1">
        <f t="array" ref="V305">VLOOKUP($A305,Table_ship_components[],COLUMN(V:V),0)</f>
        <v>0</v>
      </c>
      <c r="W305" s="15" cm="1">
        <f t="array" ref="W305">VLOOKUP($A305,Table_ship_components[],COLUMN(W:W),0)</f>
        <v>0</v>
      </c>
      <c r="X305" cm="1">
        <f t="array" ref="X305">VLOOKUP($A305,Table_ship_components[],COLUMN(X:X),0)</f>
        <v>0</v>
      </c>
      <c r="Y305" cm="1">
        <f t="array" ref="Y305">VLOOKUP($A305,Table_ship_components[],COLUMN(Y:Y),0)</f>
        <v>0</v>
      </c>
      <c r="Z305" cm="1">
        <f t="array" ref="Z305">VLOOKUP($A305,Table_ship_components[],COLUMN(Z:Z),0)</f>
        <v>0</v>
      </c>
      <c r="AA305" cm="1">
        <f t="array" ref="AA305">VLOOKUP($A305,Table_ship_components[],COLUMN(AA:AA),0)*C305</f>
        <v>0</v>
      </c>
      <c r="AB305">
        <f t="shared" si="15"/>
        <v>0</v>
      </c>
      <c r="AC305" cm="1">
        <f t="array" ref="AC305">VLOOKUP($A305,Table_ship_components[],COLUMN(AC:AC),0)*C305</f>
        <v>0</v>
      </c>
      <c r="AD305" cm="1">
        <f t="array" ref="AD305">VLOOKUP($A305,Table_ship_components[],COLUMN(AD:AD),0)</f>
        <v>0</v>
      </c>
      <c r="AE305" cm="1">
        <f t="array" ref="AE305">VLOOKUP($A305,Table_ship_components[],COLUMN(AE:AE),0)</f>
        <v>0</v>
      </c>
      <c r="AF305" cm="1">
        <f t="array" ref="AF305">VLOOKUP($A305,Table_ship_components[],COLUMN(AF:AF),0)</f>
        <v>0</v>
      </c>
      <c r="AG305" cm="1">
        <f t="array" ref="AG305">VLOOKUP($A305,Table_ship_components[],COLUMN(AG:AG),0)</f>
        <v>0</v>
      </c>
      <c r="AH305" cm="1">
        <f t="array" ref="AH305">VLOOKUP($A305,Table_ship_components[],COLUMN(AH:AH),0)</f>
        <v>0</v>
      </c>
      <c r="AI305" cm="1">
        <f t="array" ref="AI305">VLOOKUP($A305,Table_ship_components[],COLUMN(AI:AI),0)</f>
        <v>0</v>
      </c>
      <c r="AJ305" cm="1">
        <f t="array" ref="AJ305">VLOOKUP($A305,Table_ship_components[],COLUMN(AJ:AJ),0)</f>
        <v>0</v>
      </c>
      <c r="AK305" cm="1">
        <f t="array" ref="AK305">VLOOKUP($A305,Table_ship_components[],COLUMN(AK:AK),0)</f>
        <v>0</v>
      </c>
      <c r="AL305" cm="1">
        <f t="array" ref="AL305">VLOOKUP($A305,Table_ship_components[],COLUMN(AL:AL),0)</f>
        <v>0</v>
      </c>
      <c r="AM305" cm="1">
        <f t="array" ref="AM305">VLOOKUP($A305,Table_ship_components[],COLUMN(AM:AM),0)</f>
        <v>0</v>
      </c>
      <c r="AN305" cm="1">
        <f t="array" ref="AN305">VLOOKUP($A305,Table_ship_components[],COLUMN(AN:AN),0)</f>
        <v>0</v>
      </c>
      <c r="AO305" cm="1">
        <f t="array" ref="AO305">VLOOKUP($A305,Table_ship_components[],COLUMN(AO:AO),0)</f>
        <v>0</v>
      </c>
      <c r="AP305" cm="1">
        <f t="array" ref="AP305">VLOOKUP($A305,Table_ship_components[],COLUMN(AP:AP),0)</f>
        <v>0</v>
      </c>
      <c r="AQ305" cm="1">
        <f t="array" ref="AQ305">VLOOKUP($A305,Table_ship_components[],COLUMN(AQ:AQ),0)</f>
        <v>0</v>
      </c>
      <c r="AR305" cm="1">
        <f t="array" ref="AR305">VLOOKUP($A305,Table_ship_components[],COLUMN(AR:AR),0)</f>
        <v>0</v>
      </c>
      <c r="AS305" cm="1">
        <f t="array" ref="AS305">VLOOKUP($A305,Table_ship_components[],COLUMN(AS:AS),0)</f>
        <v>0</v>
      </c>
      <c r="AT305" cm="1">
        <f t="array" ref="AT305">VLOOKUP($A305,Table_ship_components[],COLUMN(AT:AT),0)</f>
        <v>0</v>
      </c>
      <c r="AU305" s="2" cm="1">
        <f t="array" ref="AU305">VLOOKUP($A305,Table_ship_components[],COLUMN(AU:AU),0)</f>
        <v>0</v>
      </c>
      <c r="AV305" s="2" cm="1">
        <f t="array" ref="AV305">VLOOKUP($A305,Table_ship_components[],COLUMN(AV:AV),0)</f>
        <v>0</v>
      </c>
      <c r="AW305" s="2" cm="1">
        <f t="array" ref="AW305">VLOOKUP($A305,Table_ship_components[],COLUMN(AW:AW),0)</f>
        <v>0</v>
      </c>
      <c r="AX305" s="2" cm="1">
        <f t="array" ref="AX305">VLOOKUP($A305,Table_ship_components[],COLUMN(AX:AX),0)</f>
        <v>0</v>
      </c>
      <c r="AY305" s="2" cm="1">
        <f t="array" ref="AY305">VLOOKUP($A305,Table_ship_components[],COLUMN(AY:AY),0)</f>
        <v>0</v>
      </c>
      <c r="AZ305" s="2" t="str" cm="1">
        <f t="array" ref="AZ305">VLOOKUP($A305,Table_ship_components[],COLUMN(AZ:AZ),0)</f>
        <v>C</v>
      </c>
      <c r="BA305" s="14" cm="1">
        <f t="array" ref="BA305">VLOOKUP($A305,Table_ship_components[],COLUMN(BA:BA),0)</f>
        <v>0</v>
      </c>
      <c r="BB305" s="14" cm="1">
        <f t="array" ref="BB305">(VLOOKUP($A305,Table_ship_components[],COLUMN(BA:BA),0)+(W305*C305))</f>
        <v>0</v>
      </c>
      <c r="BC305" s="2" cm="1">
        <f t="array" ref="BC305">VLOOKUP($A305,Table_ship_components[],COLUMN(BC:BC),0)</f>
        <v>0</v>
      </c>
      <c r="BD305" s="2" cm="1">
        <f t="array" ref="BD305">VLOOKUP($A305,Table_ship_components[],COLUMN(BD:BD),0)</f>
        <v>0</v>
      </c>
    </row>
    <row r="306" spans="1:56" outlineLevel="1" x14ac:dyDescent="0.35">
      <c r="A306" t="s">
        <v>288</v>
      </c>
      <c r="B306" t="str" cm="1">
        <f t="array" ref="B306">VLOOKUP($A306,Table_ship_components[],COLUMN(B:B),0)</f>
        <v>PICK A COMPONENT</v>
      </c>
      <c r="D306" cm="1">
        <f t="array" ref="D306">VLOOKUP($A306,Table_ship_components[],COLUMN(D:D),0)</f>
        <v>0</v>
      </c>
      <c r="E306" cm="1">
        <f t="array" ref="E306">ROUND(VLOOKUP($A306,Table_ship_components[],COLUMN(D:D),0)+(V306*C306),0)</f>
        <v>0</v>
      </c>
      <c r="F306" cm="1">
        <f t="array" ref="F306">VLOOKUP($A306,Table_ship_components[],COLUMN(F:F),0)</f>
        <v>0</v>
      </c>
      <c r="G306" cm="1">
        <f t="array" ref="G306">ROUND(VLOOKUP($A306,Table_ship_components[],COLUMN(G:G),0)+(X306*C306),0)</f>
        <v>0</v>
      </c>
      <c r="H306" cm="1">
        <f t="array" ref="H306">VLOOKUP($A306,Table_ship_components[],COLUMN(H:H),0)</f>
        <v>0</v>
      </c>
      <c r="I306" cm="1">
        <f t="array" ref="I306">VLOOKUP($A306,Table_ship_components[],COLUMN(I:I),0)</f>
        <v>0</v>
      </c>
      <c r="J306" cm="1">
        <f t="array" ref="J306">VLOOKUP($A306,Table_ship_components[],COLUMN(J:J),0)</f>
        <v>0</v>
      </c>
      <c r="K306" cm="1">
        <f t="array" ref="K306">VLOOKUP($A306,Table_ship_components[],COLUMN(K:K),0)</f>
        <v>0</v>
      </c>
      <c r="L306" cm="1">
        <f t="array" ref="L306">VLOOKUP($A306,Table_ship_components[],COLUMN(L:L),0)</f>
        <v>0</v>
      </c>
      <c r="M306" cm="1">
        <f t="array" ref="M306">VLOOKUP($A306,Table_ship_components[],COLUMN(M:M),0)</f>
        <v>0</v>
      </c>
      <c r="N306" cm="1">
        <f t="array" ref="N306">VLOOKUP($A306,Table_ship_components[],COLUMN(N:N),0)</f>
        <v>0</v>
      </c>
      <c r="O306" cm="1">
        <f t="array" ref="O306">VLOOKUP($A306,Table_ship_components[],COLUMN(O:O),0)</f>
        <v>0</v>
      </c>
      <c r="P306" cm="1">
        <f t="array" ref="P306">VLOOKUP($A306,Table_ship_components[],COLUMN(P:P),0)</f>
        <v>0</v>
      </c>
      <c r="Q306" cm="1">
        <f t="array" ref="Q306">VLOOKUP($A306,Table_ship_components[],COLUMN(Q:Q),0)</f>
        <v>0</v>
      </c>
      <c r="R306" cm="1">
        <f t="array" ref="R306">VLOOKUP($A306,Table_ship_components[],COLUMN(R:R),0)</f>
        <v>0</v>
      </c>
      <c r="S306" cm="1">
        <f t="array" ref="S306">VLOOKUP($A306,Table_ship_components[],COLUMN(S:S),0)</f>
        <v>0</v>
      </c>
      <c r="T306" cm="1">
        <f t="array" ref="T306">VLOOKUP($A306,Table_ship_components[],COLUMN(T:T),0)</f>
        <v>0</v>
      </c>
      <c r="U306" cm="1">
        <f t="array" ref="U306">VLOOKUP($A306,Table_ship_components[],COLUMN(U:U),0)</f>
        <v>0</v>
      </c>
      <c r="V306" cm="1">
        <f t="array" ref="V306">VLOOKUP($A306,Table_ship_components[],COLUMN(V:V),0)</f>
        <v>0</v>
      </c>
      <c r="W306" s="15" cm="1">
        <f t="array" ref="W306">VLOOKUP($A306,Table_ship_components[],COLUMN(W:W),0)</f>
        <v>0</v>
      </c>
      <c r="X306" cm="1">
        <f t="array" ref="X306">VLOOKUP($A306,Table_ship_components[],COLUMN(X:X),0)</f>
        <v>0</v>
      </c>
      <c r="Y306" cm="1">
        <f t="array" ref="Y306">VLOOKUP($A306,Table_ship_components[],COLUMN(Y:Y),0)</f>
        <v>0</v>
      </c>
      <c r="Z306" cm="1">
        <f t="array" ref="Z306">VLOOKUP($A306,Table_ship_components[],COLUMN(Z:Z),0)</f>
        <v>0</v>
      </c>
      <c r="AA306" cm="1">
        <f t="array" ref="AA306">VLOOKUP($A306,Table_ship_components[],COLUMN(AA:AA),0)*C306</f>
        <v>0</v>
      </c>
      <c r="AB306">
        <f t="shared" si="15"/>
        <v>0</v>
      </c>
      <c r="AC306" cm="1">
        <f t="array" ref="AC306">VLOOKUP($A306,Table_ship_components[],COLUMN(AC:AC),0)*C306</f>
        <v>0</v>
      </c>
      <c r="AD306" cm="1">
        <f t="array" ref="AD306">VLOOKUP($A306,Table_ship_components[],COLUMN(AD:AD),0)</f>
        <v>0</v>
      </c>
      <c r="AE306" cm="1">
        <f t="array" ref="AE306">VLOOKUP($A306,Table_ship_components[],COLUMN(AE:AE),0)</f>
        <v>0</v>
      </c>
      <c r="AF306" cm="1">
        <f t="array" ref="AF306">VLOOKUP($A306,Table_ship_components[],COLUMN(AF:AF),0)</f>
        <v>0</v>
      </c>
      <c r="AG306" cm="1">
        <f t="array" ref="AG306">VLOOKUP($A306,Table_ship_components[],COLUMN(AG:AG),0)</f>
        <v>0</v>
      </c>
      <c r="AH306" cm="1">
        <f t="array" ref="AH306">VLOOKUP($A306,Table_ship_components[],COLUMN(AH:AH),0)</f>
        <v>0</v>
      </c>
      <c r="AI306" cm="1">
        <f t="array" ref="AI306">VLOOKUP($A306,Table_ship_components[],COLUMN(AI:AI),0)</f>
        <v>0</v>
      </c>
      <c r="AJ306" cm="1">
        <f t="array" ref="AJ306">VLOOKUP($A306,Table_ship_components[],COLUMN(AJ:AJ),0)</f>
        <v>0</v>
      </c>
      <c r="AK306" cm="1">
        <f t="array" ref="AK306">VLOOKUP($A306,Table_ship_components[],COLUMN(AK:AK),0)</f>
        <v>0</v>
      </c>
      <c r="AL306" cm="1">
        <f t="array" ref="AL306">VLOOKUP($A306,Table_ship_components[],COLUMN(AL:AL),0)</f>
        <v>0</v>
      </c>
      <c r="AM306" cm="1">
        <f t="array" ref="AM306">VLOOKUP($A306,Table_ship_components[],COLUMN(AM:AM),0)</f>
        <v>0</v>
      </c>
      <c r="AN306" cm="1">
        <f t="array" ref="AN306">VLOOKUP($A306,Table_ship_components[],COLUMN(AN:AN),0)</f>
        <v>0</v>
      </c>
      <c r="AO306" cm="1">
        <f t="array" ref="AO306">VLOOKUP($A306,Table_ship_components[],COLUMN(AO:AO),0)</f>
        <v>0</v>
      </c>
      <c r="AP306" cm="1">
        <f t="array" ref="AP306">VLOOKUP($A306,Table_ship_components[],COLUMN(AP:AP),0)</f>
        <v>0</v>
      </c>
      <c r="AQ306" cm="1">
        <f t="array" ref="AQ306">VLOOKUP($A306,Table_ship_components[],COLUMN(AQ:AQ),0)</f>
        <v>0</v>
      </c>
      <c r="AR306" cm="1">
        <f t="array" ref="AR306">VLOOKUP($A306,Table_ship_components[],COLUMN(AR:AR),0)</f>
        <v>0</v>
      </c>
      <c r="AS306" cm="1">
        <f t="array" ref="AS306">VLOOKUP($A306,Table_ship_components[],COLUMN(AS:AS),0)</f>
        <v>0</v>
      </c>
      <c r="AT306" cm="1">
        <f t="array" ref="AT306">VLOOKUP($A306,Table_ship_components[],COLUMN(AT:AT),0)</f>
        <v>0</v>
      </c>
      <c r="AU306" s="2" cm="1">
        <f t="array" ref="AU306">VLOOKUP($A306,Table_ship_components[],COLUMN(AU:AU),0)</f>
        <v>0</v>
      </c>
      <c r="AV306" s="2" cm="1">
        <f t="array" ref="AV306">VLOOKUP($A306,Table_ship_components[],COLUMN(AV:AV),0)</f>
        <v>0</v>
      </c>
      <c r="AW306" s="2" cm="1">
        <f t="array" ref="AW306">VLOOKUP($A306,Table_ship_components[],COLUMN(AW:AW),0)</f>
        <v>0</v>
      </c>
      <c r="AX306" s="2" cm="1">
        <f t="array" ref="AX306">VLOOKUP($A306,Table_ship_components[],COLUMN(AX:AX),0)</f>
        <v>0</v>
      </c>
      <c r="AY306" s="2" cm="1">
        <f t="array" ref="AY306">VLOOKUP($A306,Table_ship_components[],COLUMN(AY:AY),0)</f>
        <v>0</v>
      </c>
      <c r="AZ306" s="2" t="str" cm="1">
        <f t="array" ref="AZ306">VLOOKUP($A306,Table_ship_components[],COLUMN(AZ:AZ),0)</f>
        <v>C</v>
      </c>
      <c r="BA306" s="14" cm="1">
        <f t="array" ref="BA306">VLOOKUP($A306,Table_ship_components[],COLUMN(BA:BA),0)</f>
        <v>0</v>
      </c>
      <c r="BB306" s="14" cm="1">
        <f t="array" ref="BB306">(VLOOKUP($A306,Table_ship_components[],COLUMN(BA:BA),0)+(W306*C306))</f>
        <v>0</v>
      </c>
      <c r="BC306" s="2" cm="1">
        <f t="array" ref="BC306">VLOOKUP($A306,Table_ship_components[],COLUMN(BC:BC),0)</f>
        <v>0</v>
      </c>
      <c r="BD306" s="2" cm="1">
        <f t="array" ref="BD306">VLOOKUP($A306,Table_ship_components[],COLUMN(BD:BD),0)</f>
        <v>0</v>
      </c>
    </row>
    <row r="307" spans="1:56" outlineLevel="1" x14ac:dyDescent="0.35">
      <c r="A307" t="s">
        <v>288</v>
      </c>
      <c r="B307" t="str" cm="1">
        <f t="array" ref="B307">VLOOKUP($A307,Table_ship_components[],COLUMN(B:B),0)</f>
        <v>PICK A COMPONENT</v>
      </c>
      <c r="D307" cm="1">
        <f t="array" ref="D307">VLOOKUP($A307,Table_ship_components[],COLUMN(D:D),0)</f>
        <v>0</v>
      </c>
      <c r="E307" cm="1">
        <f t="array" ref="E307">ROUND(VLOOKUP($A307,Table_ship_components[],COLUMN(D:D),0)+(V307*C307),0)</f>
        <v>0</v>
      </c>
      <c r="F307" cm="1">
        <f t="array" ref="F307">VLOOKUP($A307,Table_ship_components[],COLUMN(F:F),0)</f>
        <v>0</v>
      </c>
      <c r="G307" cm="1">
        <f t="array" ref="G307">ROUND(VLOOKUP($A307,Table_ship_components[],COLUMN(G:G),0)+(X307*C307),0)</f>
        <v>0</v>
      </c>
      <c r="H307" cm="1">
        <f t="array" ref="H307">VLOOKUP($A307,Table_ship_components[],COLUMN(H:H),0)</f>
        <v>0</v>
      </c>
      <c r="I307" cm="1">
        <f t="array" ref="I307">VLOOKUP($A307,Table_ship_components[],COLUMN(I:I),0)</f>
        <v>0</v>
      </c>
      <c r="J307" cm="1">
        <f t="array" ref="J307">VLOOKUP($A307,Table_ship_components[],COLUMN(J:J),0)</f>
        <v>0</v>
      </c>
      <c r="K307" cm="1">
        <f t="array" ref="K307">VLOOKUP($A307,Table_ship_components[],COLUMN(K:K),0)</f>
        <v>0</v>
      </c>
      <c r="L307" cm="1">
        <f t="array" ref="L307">VLOOKUP($A307,Table_ship_components[],COLUMN(L:L),0)</f>
        <v>0</v>
      </c>
      <c r="M307" cm="1">
        <f t="array" ref="M307">VLOOKUP($A307,Table_ship_components[],COLUMN(M:M),0)</f>
        <v>0</v>
      </c>
      <c r="N307" cm="1">
        <f t="array" ref="N307">VLOOKUP($A307,Table_ship_components[],COLUMN(N:N),0)</f>
        <v>0</v>
      </c>
      <c r="O307" cm="1">
        <f t="array" ref="O307">VLOOKUP($A307,Table_ship_components[],COLUMN(O:O),0)</f>
        <v>0</v>
      </c>
      <c r="P307" cm="1">
        <f t="array" ref="P307">VLOOKUP($A307,Table_ship_components[],COLUMN(P:P),0)</f>
        <v>0</v>
      </c>
      <c r="Q307" cm="1">
        <f t="array" ref="Q307">VLOOKUP($A307,Table_ship_components[],COLUMN(Q:Q),0)</f>
        <v>0</v>
      </c>
      <c r="R307" cm="1">
        <f t="array" ref="R307">VLOOKUP($A307,Table_ship_components[],COLUMN(R:R),0)</f>
        <v>0</v>
      </c>
      <c r="S307" cm="1">
        <f t="array" ref="S307">VLOOKUP($A307,Table_ship_components[],COLUMN(S:S),0)</f>
        <v>0</v>
      </c>
      <c r="T307" cm="1">
        <f t="array" ref="T307">VLOOKUP($A307,Table_ship_components[],COLUMN(T:T),0)</f>
        <v>0</v>
      </c>
      <c r="U307" cm="1">
        <f t="array" ref="U307">VLOOKUP($A307,Table_ship_components[],COLUMN(U:U),0)</f>
        <v>0</v>
      </c>
      <c r="V307" cm="1">
        <f t="array" ref="V307">VLOOKUP($A307,Table_ship_components[],COLUMN(V:V),0)</f>
        <v>0</v>
      </c>
      <c r="W307" s="15" cm="1">
        <f t="array" ref="W307">VLOOKUP($A307,Table_ship_components[],COLUMN(W:W),0)</f>
        <v>0</v>
      </c>
      <c r="X307" cm="1">
        <f t="array" ref="X307">VLOOKUP($A307,Table_ship_components[],COLUMN(X:X),0)</f>
        <v>0</v>
      </c>
      <c r="Y307" cm="1">
        <f t="array" ref="Y307">VLOOKUP($A307,Table_ship_components[],COLUMN(Y:Y),0)</f>
        <v>0</v>
      </c>
      <c r="Z307" cm="1">
        <f t="array" ref="Z307">VLOOKUP($A307,Table_ship_components[],COLUMN(Z:Z),0)</f>
        <v>0</v>
      </c>
      <c r="AA307" cm="1">
        <f t="array" ref="AA307">VLOOKUP($A307,Table_ship_components[],COLUMN(AA:AA),0)*C307</f>
        <v>0</v>
      </c>
      <c r="AB307">
        <f t="shared" si="15"/>
        <v>0</v>
      </c>
      <c r="AC307" cm="1">
        <f t="array" ref="AC307">VLOOKUP($A307,Table_ship_components[],COLUMN(AC:AC),0)*C307</f>
        <v>0</v>
      </c>
      <c r="AD307" cm="1">
        <f t="array" ref="AD307">VLOOKUP($A307,Table_ship_components[],COLUMN(AD:AD),0)</f>
        <v>0</v>
      </c>
      <c r="AE307" cm="1">
        <f t="array" ref="AE307">VLOOKUP($A307,Table_ship_components[],COLUMN(AE:AE),0)</f>
        <v>0</v>
      </c>
      <c r="AF307" cm="1">
        <f t="array" ref="AF307">VLOOKUP($A307,Table_ship_components[],COLUMN(AF:AF),0)</f>
        <v>0</v>
      </c>
      <c r="AG307" cm="1">
        <f t="array" ref="AG307">VLOOKUP($A307,Table_ship_components[],COLUMN(AG:AG),0)</f>
        <v>0</v>
      </c>
      <c r="AH307" cm="1">
        <f t="array" ref="AH307">VLOOKUP($A307,Table_ship_components[],COLUMN(AH:AH),0)</f>
        <v>0</v>
      </c>
      <c r="AI307" cm="1">
        <f t="array" ref="AI307">VLOOKUP($A307,Table_ship_components[],COLUMN(AI:AI),0)</f>
        <v>0</v>
      </c>
      <c r="AJ307" cm="1">
        <f t="array" ref="AJ307">VLOOKUP($A307,Table_ship_components[],COLUMN(AJ:AJ),0)</f>
        <v>0</v>
      </c>
      <c r="AK307" cm="1">
        <f t="array" ref="AK307">VLOOKUP($A307,Table_ship_components[],COLUMN(AK:AK),0)</f>
        <v>0</v>
      </c>
      <c r="AL307" cm="1">
        <f t="array" ref="AL307">VLOOKUP($A307,Table_ship_components[],COLUMN(AL:AL),0)</f>
        <v>0</v>
      </c>
      <c r="AM307" cm="1">
        <f t="array" ref="AM307">VLOOKUP($A307,Table_ship_components[],COLUMN(AM:AM),0)</f>
        <v>0</v>
      </c>
      <c r="AN307" cm="1">
        <f t="array" ref="AN307">VLOOKUP($A307,Table_ship_components[],COLUMN(AN:AN),0)</f>
        <v>0</v>
      </c>
      <c r="AO307" cm="1">
        <f t="array" ref="AO307">VLOOKUP($A307,Table_ship_components[],COLUMN(AO:AO),0)</f>
        <v>0</v>
      </c>
      <c r="AP307" cm="1">
        <f t="array" ref="AP307">VLOOKUP($A307,Table_ship_components[],COLUMN(AP:AP),0)</f>
        <v>0</v>
      </c>
      <c r="AQ307" cm="1">
        <f t="array" ref="AQ307">VLOOKUP($A307,Table_ship_components[],COLUMN(AQ:AQ),0)</f>
        <v>0</v>
      </c>
      <c r="AR307" cm="1">
        <f t="array" ref="AR307">VLOOKUP($A307,Table_ship_components[],COLUMN(AR:AR),0)</f>
        <v>0</v>
      </c>
      <c r="AS307" cm="1">
        <f t="array" ref="AS307">VLOOKUP($A307,Table_ship_components[],COLUMN(AS:AS),0)</f>
        <v>0</v>
      </c>
      <c r="AT307" cm="1">
        <f t="array" ref="AT307">VLOOKUP($A307,Table_ship_components[],COLUMN(AT:AT),0)</f>
        <v>0</v>
      </c>
      <c r="AU307" s="2" cm="1">
        <f t="array" ref="AU307">VLOOKUP($A307,Table_ship_components[],COLUMN(AU:AU),0)</f>
        <v>0</v>
      </c>
      <c r="AV307" s="2" cm="1">
        <f t="array" ref="AV307">VLOOKUP($A307,Table_ship_components[],COLUMN(AV:AV),0)</f>
        <v>0</v>
      </c>
      <c r="AW307" s="2" cm="1">
        <f t="array" ref="AW307">VLOOKUP($A307,Table_ship_components[],COLUMN(AW:AW),0)</f>
        <v>0</v>
      </c>
      <c r="AX307" s="2" cm="1">
        <f t="array" ref="AX307">VLOOKUP($A307,Table_ship_components[],COLUMN(AX:AX),0)</f>
        <v>0</v>
      </c>
      <c r="AY307" s="2" cm="1">
        <f t="array" ref="AY307">VLOOKUP($A307,Table_ship_components[],COLUMN(AY:AY),0)</f>
        <v>0</v>
      </c>
      <c r="AZ307" s="2" t="str" cm="1">
        <f t="array" ref="AZ307">VLOOKUP($A307,Table_ship_components[],COLUMN(AZ:AZ),0)</f>
        <v>C</v>
      </c>
      <c r="BA307" s="14" cm="1">
        <f t="array" ref="BA307">VLOOKUP($A307,Table_ship_components[],COLUMN(BA:BA),0)</f>
        <v>0</v>
      </c>
      <c r="BB307" s="14" cm="1">
        <f t="array" ref="BB307">(VLOOKUP($A307,Table_ship_components[],COLUMN(BA:BA),0)+(W307*C307))</f>
        <v>0</v>
      </c>
      <c r="BC307" s="2" cm="1">
        <f t="array" ref="BC307">VLOOKUP($A307,Table_ship_components[],COLUMN(BC:BC),0)</f>
        <v>0</v>
      </c>
      <c r="BD307" s="2" cm="1">
        <f t="array" ref="BD307">VLOOKUP($A307,Table_ship_components[],COLUMN(BD:BD),0)</f>
        <v>0</v>
      </c>
    </row>
    <row r="308" spans="1:56" outlineLevel="1" x14ac:dyDescent="0.35">
      <c r="A308" t="s">
        <v>288</v>
      </c>
      <c r="B308" t="str" cm="1">
        <f t="array" ref="B308">VLOOKUP($A308,Table_ship_components[],COLUMN(B:B),0)</f>
        <v>PICK A COMPONENT</v>
      </c>
      <c r="D308" cm="1">
        <f t="array" ref="D308">VLOOKUP($A308,Table_ship_components[],COLUMN(D:D),0)</f>
        <v>0</v>
      </c>
      <c r="E308" cm="1">
        <f t="array" ref="E308">ROUND(VLOOKUP($A308,Table_ship_components[],COLUMN(D:D),0)+(V308*C308),0)</f>
        <v>0</v>
      </c>
      <c r="F308" cm="1">
        <f t="array" ref="F308">VLOOKUP($A308,Table_ship_components[],COLUMN(F:F),0)</f>
        <v>0</v>
      </c>
      <c r="G308" cm="1">
        <f t="array" ref="G308">ROUND(VLOOKUP($A308,Table_ship_components[],COLUMN(G:G),0)+(X308*C308),0)</f>
        <v>0</v>
      </c>
      <c r="H308" cm="1">
        <f t="array" ref="H308">VLOOKUP($A308,Table_ship_components[],COLUMN(H:H),0)</f>
        <v>0</v>
      </c>
      <c r="I308" cm="1">
        <f t="array" ref="I308">VLOOKUP($A308,Table_ship_components[],COLUMN(I:I),0)</f>
        <v>0</v>
      </c>
      <c r="J308" cm="1">
        <f t="array" ref="J308">VLOOKUP($A308,Table_ship_components[],COLUMN(J:J),0)</f>
        <v>0</v>
      </c>
      <c r="K308" cm="1">
        <f t="array" ref="K308">VLOOKUP($A308,Table_ship_components[],COLUMN(K:K),0)</f>
        <v>0</v>
      </c>
      <c r="L308" cm="1">
        <f t="array" ref="L308">VLOOKUP($A308,Table_ship_components[],COLUMN(L:L),0)</f>
        <v>0</v>
      </c>
      <c r="M308" cm="1">
        <f t="array" ref="M308">VLOOKUP($A308,Table_ship_components[],COLUMN(M:M),0)</f>
        <v>0</v>
      </c>
      <c r="N308" cm="1">
        <f t="array" ref="N308">VLOOKUP($A308,Table_ship_components[],COLUMN(N:N),0)</f>
        <v>0</v>
      </c>
      <c r="O308" cm="1">
        <f t="array" ref="O308">VLOOKUP($A308,Table_ship_components[],COLUMN(O:O),0)</f>
        <v>0</v>
      </c>
      <c r="P308" cm="1">
        <f t="array" ref="P308">VLOOKUP($A308,Table_ship_components[],COLUMN(P:P),0)</f>
        <v>0</v>
      </c>
      <c r="Q308" cm="1">
        <f t="array" ref="Q308">VLOOKUP($A308,Table_ship_components[],COLUMN(Q:Q),0)</f>
        <v>0</v>
      </c>
      <c r="R308" cm="1">
        <f t="array" ref="R308">VLOOKUP($A308,Table_ship_components[],COLUMN(R:R),0)</f>
        <v>0</v>
      </c>
      <c r="S308" cm="1">
        <f t="array" ref="S308">VLOOKUP($A308,Table_ship_components[],COLUMN(S:S),0)</f>
        <v>0</v>
      </c>
      <c r="T308" cm="1">
        <f t="array" ref="T308">VLOOKUP($A308,Table_ship_components[],COLUMN(T:T),0)</f>
        <v>0</v>
      </c>
      <c r="U308" cm="1">
        <f t="array" ref="U308">VLOOKUP($A308,Table_ship_components[],COLUMN(U:U),0)</f>
        <v>0</v>
      </c>
      <c r="V308" cm="1">
        <f t="array" ref="V308">VLOOKUP($A308,Table_ship_components[],COLUMN(V:V),0)</f>
        <v>0</v>
      </c>
      <c r="W308" s="15" cm="1">
        <f t="array" ref="W308">VLOOKUP($A308,Table_ship_components[],COLUMN(W:W),0)</f>
        <v>0</v>
      </c>
      <c r="X308" cm="1">
        <f t="array" ref="X308">VLOOKUP($A308,Table_ship_components[],COLUMN(X:X),0)</f>
        <v>0</v>
      </c>
      <c r="Y308" cm="1">
        <f t="array" ref="Y308">VLOOKUP($A308,Table_ship_components[],COLUMN(Y:Y),0)</f>
        <v>0</v>
      </c>
      <c r="Z308" cm="1">
        <f t="array" ref="Z308">VLOOKUP($A308,Table_ship_components[],COLUMN(Z:Z),0)</f>
        <v>0</v>
      </c>
      <c r="AA308" cm="1">
        <f t="array" ref="AA308">VLOOKUP($A308,Table_ship_components[],COLUMN(AA:AA),0)*C308</f>
        <v>0</v>
      </c>
      <c r="AB308">
        <f t="shared" si="15"/>
        <v>0</v>
      </c>
      <c r="AC308" cm="1">
        <f t="array" ref="AC308">VLOOKUP($A308,Table_ship_components[],COLUMN(AC:AC),0)*C308</f>
        <v>0</v>
      </c>
      <c r="AD308" cm="1">
        <f t="array" ref="AD308">VLOOKUP($A308,Table_ship_components[],COLUMN(AD:AD),0)</f>
        <v>0</v>
      </c>
      <c r="AE308" cm="1">
        <f t="array" ref="AE308">VLOOKUP($A308,Table_ship_components[],COLUMN(AE:AE),0)</f>
        <v>0</v>
      </c>
      <c r="AF308" cm="1">
        <f t="array" ref="AF308">VLOOKUP($A308,Table_ship_components[],COLUMN(AF:AF),0)</f>
        <v>0</v>
      </c>
      <c r="AG308" cm="1">
        <f t="array" ref="AG308">VLOOKUP($A308,Table_ship_components[],COLUMN(AG:AG),0)</f>
        <v>0</v>
      </c>
      <c r="AH308" cm="1">
        <f t="array" ref="AH308">VLOOKUP($A308,Table_ship_components[],COLUMN(AH:AH),0)</f>
        <v>0</v>
      </c>
      <c r="AI308" cm="1">
        <f t="array" ref="AI308">VLOOKUP($A308,Table_ship_components[],COLUMN(AI:AI),0)</f>
        <v>0</v>
      </c>
      <c r="AJ308" cm="1">
        <f t="array" ref="AJ308">VLOOKUP($A308,Table_ship_components[],COLUMN(AJ:AJ),0)</f>
        <v>0</v>
      </c>
      <c r="AK308" cm="1">
        <f t="array" ref="AK308">VLOOKUP($A308,Table_ship_components[],COLUMN(AK:AK),0)</f>
        <v>0</v>
      </c>
      <c r="AL308" cm="1">
        <f t="array" ref="AL308">VLOOKUP($A308,Table_ship_components[],COLUMN(AL:AL),0)</f>
        <v>0</v>
      </c>
      <c r="AM308" cm="1">
        <f t="array" ref="AM308">VLOOKUP($A308,Table_ship_components[],COLUMN(AM:AM),0)</f>
        <v>0</v>
      </c>
      <c r="AN308" cm="1">
        <f t="array" ref="AN308">VLOOKUP($A308,Table_ship_components[],COLUMN(AN:AN),0)</f>
        <v>0</v>
      </c>
      <c r="AO308" cm="1">
        <f t="array" ref="AO308">VLOOKUP($A308,Table_ship_components[],COLUMN(AO:AO),0)</f>
        <v>0</v>
      </c>
      <c r="AP308" cm="1">
        <f t="array" ref="AP308">VLOOKUP($A308,Table_ship_components[],COLUMN(AP:AP),0)</f>
        <v>0</v>
      </c>
      <c r="AQ308" cm="1">
        <f t="array" ref="AQ308">VLOOKUP($A308,Table_ship_components[],COLUMN(AQ:AQ),0)</f>
        <v>0</v>
      </c>
      <c r="AR308" cm="1">
        <f t="array" ref="AR308">VLOOKUP($A308,Table_ship_components[],COLUMN(AR:AR),0)</f>
        <v>0</v>
      </c>
      <c r="AS308" cm="1">
        <f t="array" ref="AS308">VLOOKUP($A308,Table_ship_components[],COLUMN(AS:AS),0)</f>
        <v>0</v>
      </c>
      <c r="AT308" cm="1">
        <f t="array" ref="AT308">VLOOKUP($A308,Table_ship_components[],COLUMN(AT:AT),0)</f>
        <v>0</v>
      </c>
      <c r="AU308" s="2" cm="1">
        <f t="array" ref="AU308">VLOOKUP($A308,Table_ship_components[],COLUMN(AU:AU),0)</f>
        <v>0</v>
      </c>
      <c r="AV308" s="2" cm="1">
        <f t="array" ref="AV308">VLOOKUP($A308,Table_ship_components[],COLUMN(AV:AV),0)</f>
        <v>0</v>
      </c>
      <c r="AW308" s="2" cm="1">
        <f t="array" ref="AW308">VLOOKUP($A308,Table_ship_components[],COLUMN(AW:AW),0)</f>
        <v>0</v>
      </c>
      <c r="AX308" s="2" cm="1">
        <f t="array" ref="AX308">VLOOKUP($A308,Table_ship_components[],COLUMN(AX:AX),0)</f>
        <v>0</v>
      </c>
      <c r="AY308" s="2" cm="1">
        <f t="array" ref="AY308">VLOOKUP($A308,Table_ship_components[],COLUMN(AY:AY),0)</f>
        <v>0</v>
      </c>
      <c r="AZ308" s="2" t="str" cm="1">
        <f t="array" ref="AZ308">VLOOKUP($A308,Table_ship_components[],COLUMN(AZ:AZ),0)</f>
        <v>C</v>
      </c>
      <c r="BA308" s="14" cm="1">
        <f t="array" ref="BA308">VLOOKUP($A308,Table_ship_components[],COLUMN(BA:BA),0)</f>
        <v>0</v>
      </c>
      <c r="BB308" s="14" cm="1">
        <f t="array" ref="BB308">(VLOOKUP($A308,Table_ship_components[],COLUMN(BA:BA),0)+(W308*C308))</f>
        <v>0</v>
      </c>
      <c r="BC308" s="2" cm="1">
        <f t="array" ref="BC308">VLOOKUP($A308,Table_ship_components[],COLUMN(BC:BC),0)</f>
        <v>0</v>
      </c>
      <c r="BD308" s="2" cm="1">
        <f t="array" ref="BD308">VLOOKUP($A308,Table_ship_components[],COLUMN(BD:BD),0)</f>
        <v>0</v>
      </c>
    </row>
    <row r="309" spans="1:56" outlineLevel="1" x14ac:dyDescent="0.35">
      <c r="A309" t="s">
        <v>345</v>
      </c>
      <c r="B309" t="str" cm="1">
        <f t="array" ref="B309">VLOOKUP($A309,Table_ship_components[],COLUMN(B:B),0)</f>
        <v>barebones command bridge</v>
      </c>
      <c r="D309" cm="1">
        <f t="array" ref="D309">VLOOKUP($A309,Table_ship_components[],COLUMN(D:D),0)</f>
        <v>4</v>
      </c>
      <c r="E309" cm="1">
        <f t="array" ref="E309">ROUND(VLOOKUP($A309,Table_ship_components[],COLUMN(D:D),0)+(V309*C309),0)</f>
        <v>4</v>
      </c>
      <c r="F309" cm="1">
        <f t="array" ref="F309">VLOOKUP($A309,Table_ship_components[],COLUMN(F:F),0)</f>
        <v>4</v>
      </c>
      <c r="G309" cm="1">
        <f t="array" ref="G309">ROUND(VLOOKUP($A309,Table_ship_components[],COLUMN(G:G),0)+(X309*C309),0)</f>
        <v>4</v>
      </c>
      <c r="H309" cm="1">
        <f t="array" ref="H309">VLOOKUP($A309,Table_ship_components[],COLUMN(H:H),0)</f>
        <v>0</v>
      </c>
      <c r="I309" cm="1">
        <f t="array" ref="I309">VLOOKUP($A309,Table_ship_components[],COLUMN(I:I),0)</f>
        <v>0</v>
      </c>
      <c r="J309" cm="1">
        <f t="array" ref="J309">VLOOKUP($A309,Table_ship_components[],COLUMN(J:J),0)</f>
        <v>0</v>
      </c>
      <c r="K309" cm="1">
        <f t="array" ref="K309">VLOOKUP($A309,Table_ship_components[],COLUMN(K:K),0)</f>
        <v>0</v>
      </c>
      <c r="L309" cm="1">
        <f t="array" ref="L309">VLOOKUP($A309,Table_ship_components[],COLUMN(L:L),0)</f>
        <v>0</v>
      </c>
      <c r="M309" cm="1">
        <f t="array" ref="M309">VLOOKUP($A309,Table_ship_components[],COLUMN(M:M),0)</f>
        <v>0</v>
      </c>
      <c r="N309" cm="1">
        <f t="array" ref="N309">VLOOKUP($A309,Table_ship_components[],COLUMN(N:N),0)</f>
        <v>0</v>
      </c>
      <c r="O309" cm="1">
        <f t="array" ref="O309">VLOOKUP($A309,Table_ship_components[],COLUMN(O:O),0)</f>
        <v>1</v>
      </c>
      <c r="P309" cm="1">
        <f t="array" ref="P309">VLOOKUP($A309,Table_ship_components[],COLUMN(P:P),0)</f>
        <v>0</v>
      </c>
      <c r="Q309" cm="1">
        <f t="array" ref="Q309">VLOOKUP($A309,Table_ship_components[],COLUMN(Q:Q),0)</f>
        <v>0</v>
      </c>
      <c r="R309" cm="1">
        <f t="array" ref="R309">VLOOKUP($A309,Table_ship_components[],COLUMN(R:R),0)</f>
        <v>0</v>
      </c>
      <c r="S309" cm="1">
        <f t="array" ref="S309">VLOOKUP($A309,Table_ship_components[],COLUMN(S:S),0)</f>
        <v>0</v>
      </c>
      <c r="T309" cm="1">
        <f t="array" ref="T309">VLOOKUP($A309,Table_ship_components[],COLUMN(T:T),0)</f>
        <v>0</v>
      </c>
      <c r="U309" cm="1">
        <f t="array" ref="U309">VLOOKUP($A309,Table_ship_components[],COLUMN(U:U),0)</f>
        <v>0</v>
      </c>
      <c r="V309" cm="1">
        <f t="array" ref="V309">VLOOKUP($A309,Table_ship_components[],COLUMN(V:V),0)</f>
        <v>0</v>
      </c>
      <c r="W309" s="15" cm="1">
        <f t="array" ref="W309">VLOOKUP($A309,Table_ship_components[],COLUMN(W:W),0)</f>
        <v>0</v>
      </c>
      <c r="X309" cm="1">
        <f t="array" ref="X309">VLOOKUP($A309,Table_ship_components[],COLUMN(X:X),0)</f>
        <v>0</v>
      </c>
      <c r="Y309" cm="1">
        <f t="array" ref="Y309">VLOOKUP($A309,Table_ship_components[],COLUMN(Y:Y),0)</f>
        <v>0</v>
      </c>
      <c r="Z309" cm="1">
        <f t="array" ref="Z309">VLOOKUP($A309,Table_ship_components[],COLUMN(Z:Z),0)</f>
        <v>0</v>
      </c>
      <c r="AA309" cm="1">
        <f t="array" ref="AA309">VLOOKUP($A309,Table_ship_components[],COLUMN(AA:AA),0)*C309</f>
        <v>0</v>
      </c>
      <c r="AB309">
        <f t="shared" si="15"/>
        <v>0</v>
      </c>
      <c r="AC309" cm="1">
        <f t="array" ref="AC309">VLOOKUP($A309,Table_ship_components[],COLUMN(AC:AC),0)*C309</f>
        <v>0</v>
      </c>
      <c r="AD309" cm="1">
        <f t="array" ref="AD309">VLOOKUP($A309,Table_ship_components[],COLUMN(AD:AD),0)</f>
        <v>0</v>
      </c>
      <c r="AE309" cm="1">
        <f t="array" ref="AE309">VLOOKUP($A309,Table_ship_components[],COLUMN(AE:AE),0)</f>
        <v>0</v>
      </c>
      <c r="AF309" cm="1">
        <f t="array" ref="AF309">VLOOKUP($A309,Table_ship_components[],COLUMN(AF:AF),0)</f>
        <v>0</v>
      </c>
      <c r="AG309" cm="1">
        <f t="array" ref="AG309">VLOOKUP($A309,Table_ship_components[],COLUMN(AG:AG),0)</f>
        <v>0</v>
      </c>
      <c r="AH309" cm="1">
        <f t="array" ref="AH309">VLOOKUP($A309,Table_ship_components[],COLUMN(AH:AH),0)</f>
        <v>0</v>
      </c>
      <c r="AI309" cm="1">
        <f t="array" ref="AI309">VLOOKUP($A309,Table_ship_components[],COLUMN(AI:AI),0)</f>
        <v>0</v>
      </c>
      <c r="AJ309" cm="1">
        <f t="array" ref="AJ309">VLOOKUP($A309,Table_ship_components[],COLUMN(AJ:AJ),0)</f>
        <v>0</v>
      </c>
      <c r="AK309" cm="1">
        <f t="array" ref="AK309">VLOOKUP($A309,Table_ship_components[],COLUMN(AK:AK),0)</f>
        <v>0</v>
      </c>
      <c r="AL309" cm="1">
        <f t="array" ref="AL309">VLOOKUP($A309,Table_ship_components[],COLUMN(AL:AL),0)</f>
        <v>0</v>
      </c>
      <c r="AM309" cm="1">
        <f t="array" ref="AM309">VLOOKUP($A309,Table_ship_components[],COLUMN(AM:AM),0)</f>
        <v>0</v>
      </c>
      <c r="AN309" cm="1">
        <f t="array" ref="AN309">VLOOKUP($A309,Table_ship_components[],COLUMN(AN:AN),0)</f>
        <v>0</v>
      </c>
      <c r="AO309" cm="1">
        <f t="array" ref="AO309">VLOOKUP($A309,Table_ship_components[],COLUMN(AO:AO),0)</f>
        <v>0</v>
      </c>
      <c r="AP309" cm="1">
        <f t="array" ref="AP309">VLOOKUP($A309,Table_ship_components[],COLUMN(AP:AP),0)</f>
        <v>0</v>
      </c>
      <c r="AQ309" cm="1">
        <f t="array" ref="AQ309">VLOOKUP($A309,Table_ship_components[],COLUMN(AQ:AQ),0)</f>
        <v>-1</v>
      </c>
      <c r="AR309" cm="1">
        <f t="array" ref="AR309">VLOOKUP($A309,Table_ship_components[],COLUMN(AR:AR),0)</f>
        <v>0</v>
      </c>
      <c r="AS309" cm="1">
        <f t="array" ref="AS309">VLOOKUP($A309,Table_ship_components[],COLUMN(AS:AS),0)</f>
        <v>0</v>
      </c>
      <c r="AT309" cm="1">
        <f t="array" ref="AT309">VLOOKUP($A309,Table_ship_components[],COLUMN(AT:AT),0)</f>
        <v>0</v>
      </c>
      <c r="AU309" s="2" cm="1">
        <f t="array" ref="AU309">VLOOKUP($A309,Table_ship_components[],COLUMN(AU:AU),0)</f>
        <v>0</v>
      </c>
      <c r="AV309" s="2" cm="1">
        <f t="array" ref="AV309">VLOOKUP($A309,Table_ship_components[],COLUMN(AV:AV),0)</f>
        <v>0</v>
      </c>
      <c r="AW309" s="2" cm="1">
        <f t="array" ref="AW309">VLOOKUP($A309,Table_ship_components[],COLUMN(AW:AW),0)</f>
        <v>0</v>
      </c>
      <c r="AX309" s="2" cm="1">
        <f t="array" ref="AX309">VLOOKUP($A309,Table_ship_components[],COLUMN(AX:AX),0)</f>
        <v>0</v>
      </c>
      <c r="AY309" s="2" cm="1">
        <f t="array" ref="AY309">VLOOKUP($A309,Table_ship_components[],COLUMN(AY:AY),0)</f>
        <v>0</v>
      </c>
      <c r="AZ309" s="2" t="str" cm="1">
        <f t="array" ref="AZ309">VLOOKUP($A309,Table_ship_components[],COLUMN(AZ:AZ),0)</f>
        <v>C</v>
      </c>
      <c r="BA309" s="14" cm="1">
        <f t="array" ref="BA309">VLOOKUP($A309,Table_ship_components[],COLUMN(BA:BA),0)</f>
        <v>125000</v>
      </c>
      <c r="BB309" s="14" cm="1">
        <f t="array" ref="BB309">(VLOOKUP($A309,Table_ship_components[],COLUMN(BA:BA),0)+(W309*C309))</f>
        <v>125000</v>
      </c>
      <c r="BC309" s="2" cm="1">
        <f t="array" ref="BC309">VLOOKUP($A309,Table_ship_components[],COLUMN(BC:BC),0)</f>
        <v>0</v>
      </c>
      <c r="BD309" s="2" cm="1">
        <f t="array" ref="BD309">VLOOKUP($A309,Table_ship_components[],COLUMN(BD:BD),0)</f>
        <v>0</v>
      </c>
    </row>
    <row r="310" spans="1:56" outlineLevel="1" x14ac:dyDescent="0.35">
      <c r="A310" t="s">
        <v>320</v>
      </c>
      <c r="B310" t="str" cm="1">
        <f t="array" ref="B310">VLOOKUP($A310,Table_ship_components[],COLUMN(B:B),0)</f>
        <v>basic accomodations and cryo for passengers</v>
      </c>
      <c r="C310" s="2">
        <v>20</v>
      </c>
      <c r="D310" cm="1">
        <f t="array" ref="D310">VLOOKUP($A310,Table_ship_components[],COLUMN(D:D),0)</f>
        <v>3</v>
      </c>
      <c r="E310" cm="1">
        <f t="array" ref="E310">ROUND(VLOOKUP($A310,Table_ship_components[],COLUMN(D:D),0)+(V310*C310),0)</f>
        <v>23</v>
      </c>
      <c r="F310" cm="1">
        <f t="array" ref="F310">VLOOKUP($A310,Table_ship_components[],COLUMN(F:F),0)</f>
        <v>1</v>
      </c>
      <c r="G310" cm="1">
        <f t="array" ref="G310">ROUND(VLOOKUP($A310,Table_ship_components[],COLUMN(G:G),0)+(X310*C310),0)</f>
        <v>21</v>
      </c>
      <c r="H310" cm="1">
        <f t="array" ref="H310">VLOOKUP($A310,Table_ship_components[],COLUMN(H:H),0)</f>
        <v>0</v>
      </c>
      <c r="I310" cm="1">
        <f t="array" ref="I310">VLOOKUP($A310,Table_ship_components[],COLUMN(I:I),0)</f>
        <v>0</v>
      </c>
      <c r="J310" cm="1">
        <f t="array" ref="J310">VLOOKUP($A310,Table_ship_components[],COLUMN(J:J),0)</f>
        <v>0</v>
      </c>
      <c r="K310" cm="1">
        <f t="array" ref="K310">VLOOKUP($A310,Table_ship_components[],COLUMN(K:K),0)</f>
        <v>0</v>
      </c>
      <c r="L310" cm="1">
        <f t="array" ref="L310">VLOOKUP($A310,Table_ship_components[],COLUMN(L:L),0)</f>
        <v>0</v>
      </c>
      <c r="M310" cm="1">
        <f t="array" ref="M310">VLOOKUP($A310,Table_ship_components[],COLUMN(M:M),0)</f>
        <v>0</v>
      </c>
      <c r="N310" cm="1">
        <f t="array" ref="N310">VLOOKUP($A310,Table_ship_components[],COLUMN(N:N),0)</f>
        <v>0</v>
      </c>
      <c r="O310" cm="1">
        <f t="array" ref="O310">VLOOKUP($A310,Table_ship_components[],COLUMN(O:O),0)</f>
        <v>1</v>
      </c>
      <c r="P310" cm="1">
        <f t="array" ref="P310">VLOOKUP($A310,Table_ship_components[],COLUMN(P:P),0)</f>
        <v>1</v>
      </c>
      <c r="Q310" cm="1">
        <f t="array" ref="Q310">VLOOKUP($A310,Table_ship_components[],COLUMN(Q:Q),0)</f>
        <v>1</v>
      </c>
      <c r="R310" cm="1">
        <f t="array" ref="R310">VLOOKUP($A310,Table_ship_components[],COLUMN(R:R),0)</f>
        <v>1</v>
      </c>
      <c r="S310" cm="1">
        <f t="array" ref="S310">VLOOKUP($A310,Table_ship_components[],COLUMN(S:S),0)</f>
        <v>1</v>
      </c>
      <c r="T310" cm="1">
        <f t="array" ref="T310">VLOOKUP($A310,Table_ship_components[],COLUMN(T:T),0)</f>
        <v>1</v>
      </c>
      <c r="U310" cm="1">
        <f t="array" ref="U310">VLOOKUP($A310,Table_ship_components[],COLUMN(U:U),0)</f>
        <v>1</v>
      </c>
      <c r="V310" cm="1">
        <f t="array" ref="V310">VLOOKUP($A310,Table_ship_components[],COLUMN(V:V),0)</f>
        <v>1</v>
      </c>
      <c r="W310" s="15" cm="1">
        <f t="array" ref="W310">VLOOKUP($A310,Table_ship_components[],COLUMN(W:W),0)</f>
        <v>7500</v>
      </c>
      <c r="X310" cm="1">
        <f t="array" ref="X310">VLOOKUP($A310,Table_ship_components[],COLUMN(X:X),0)</f>
        <v>1</v>
      </c>
      <c r="Y310" cm="1">
        <f t="array" ref="Y310">VLOOKUP($A310,Table_ship_components[],COLUMN(Y:Y),0)</f>
        <v>0</v>
      </c>
      <c r="Z310" cm="1">
        <f t="array" ref="Z310">VLOOKUP($A310,Table_ship_components[],COLUMN(Z:Z),0)</f>
        <v>0</v>
      </c>
      <c r="AA310" cm="1">
        <f t="array" ref="AA310">VLOOKUP($A310,Table_ship_components[],COLUMN(AA:AA),0)*C310</f>
        <v>20</v>
      </c>
      <c r="AB310">
        <f>IF(A310="CARGOSPACE_0-ALL_0-UNIVERSAL",C310,0)</f>
        <v>0</v>
      </c>
      <c r="AC310" cm="1">
        <f t="array" ref="AC310">VLOOKUP($A310,Table_ship_components[],COLUMN(AC:AC),0)*C310</f>
        <v>0</v>
      </c>
      <c r="AD310" cm="1">
        <f t="array" ref="AD310">VLOOKUP($A310,Table_ship_components[],COLUMN(AD:AD),0)</f>
        <v>0</v>
      </c>
      <c r="AE310" cm="1">
        <f t="array" ref="AE310">VLOOKUP($A310,Table_ship_components[],COLUMN(AE:AE),0)</f>
        <v>0</v>
      </c>
      <c r="AF310" cm="1">
        <f t="array" ref="AF310">VLOOKUP($A310,Table_ship_components[],COLUMN(AF:AF),0)</f>
        <v>0</v>
      </c>
      <c r="AG310" cm="1">
        <f t="array" ref="AG310">VLOOKUP($A310,Table_ship_components[],COLUMN(AG:AG),0)</f>
        <v>0</v>
      </c>
      <c r="AH310" cm="1">
        <f t="array" ref="AH310">VLOOKUP($A310,Table_ship_components[],COLUMN(AH:AH),0)</f>
        <v>0</v>
      </c>
      <c r="AI310" cm="1">
        <f t="array" ref="AI310">VLOOKUP($A310,Table_ship_components[],COLUMN(AI:AI),0)</f>
        <v>0</v>
      </c>
      <c r="AJ310" cm="1">
        <f t="array" ref="AJ310">VLOOKUP($A310,Table_ship_components[],COLUMN(AJ:AJ),0)</f>
        <v>0</v>
      </c>
      <c r="AK310" cm="1">
        <f t="array" ref="AK310">VLOOKUP($A310,Table_ship_components[],COLUMN(AK:AK),0)</f>
        <v>0</v>
      </c>
      <c r="AL310" cm="1">
        <f t="array" ref="AL310">VLOOKUP($A310,Table_ship_components[],COLUMN(AL:AL),0)</f>
        <v>0</v>
      </c>
      <c r="AM310" cm="1">
        <f t="array" ref="AM310">VLOOKUP($A310,Table_ship_components[],COLUMN(AM:AM),0)</f>
        <v>0</v>
      </c>
      <c r="AN310" cm="1">
        <f t="array" ref="AN310">VLOOKUP($A310,Table_ship_components[],COLUMN(AN:AN),0)</f>
        <v>0</v>
      </c>
      <c r="AO310" cm="1">
        <f t="array" ref="AO310">VLOOKUP($A310,Table_ship_components[],COLUMN(AO:AO),0)</f>
        <v>0</v>
      </c>
      <c r="AP310" cm="1">
        <f t="array" ref="AP310">VLOOKUP($A310,Table_ship_components[],COLUMN(AP:AP),0)</f>
        <v>0</v>
      </c>
      <c r="AQ310" cm="1">
        <f t="array" ref="AQ310">VLOOKUP($A310,Table_ship_components[],COLUMN(AQ:AQ),0)</f>
        <v>0</v>
      </c>
      <c r="AR310" cm="1">
        <f t="array" ref="AR310">VLOOKUP($A310,Table_ship_components[],COLUMN(AR:AR),0)</f>
        <v>0</v>
      </c>
      <c r="AS310" cm="1">
        <f t="array" ref="AS310">VLOOKUP($A310,Table_ship_components[],COLUMN(AS:AS),0)</f>
        <v>0</v>
      </c>
      <c r="AT310" cm="1">
        <f t="array" ref="AT310">VLOOKUP($A310,Table_ship_components[],COLUMN(AT:AT),0)</f>
        <v>0</v>
      </c>
      <c r="AU310" s="2" cm="1">
        <f t="array" ref="AU310">VLOOKUP($A310,Table_ship_components[],COLUMN(AU:AU),0)</f>
        <v>0</v>
      </c>
      <c r="AV310" s="2" cm="1">
        <f t="array" ref="AV310">VLOOKUP($A310,Table_ship_components[],COLUMN(AV:AV),0)</f>
        <v>0</v>
      </c>
      <c r="AW310" s="2" cm="1">
        <f t="array" ref="AW310">VLOOKUP($A310,Table_ship_components[],COLUMN(AW:AW),0)</f>
        <v>0</v>
      </c>
      <c r="AX310" s="2" cm="1">
        <f t="array" ref="AX310">VLOOKUP($A310,Table_ship_components[],COLUMN(AX:AX),0)</f>
        <v>0</v>
      </c>
      <c r="AY310" s="2" cm="1">
        <f t="array" ref="AY310">VLOOKUP($A310,Table_ship_components[],COLUMN(AY:AY),0)</f>
        <v>0</v>
      </c>
      <c r="AZ310" s="2" t="str" cm="1">
        <f t="array" ref="AZ310">VLOOKUP($A310,Table_ship_components[],COLUMN(AZ:AZ),0)</f>
        <v>C</v>
      </c>
      <c r="BA310" s="14" cm="1">
        <f t="array" ref="BA310">VLOOKUP($A310,Table_ship_components[],COLUMN(BA:BA),0)</f>
        <v>75000</v>
      </c>
      <c r="BB310" s="14" cm="1">
        <f t="array" ref="BB310">(VLOOKUP($A310,Table_ship_components[],COLUMN(BA:BA),0)+(W310*C310))</f>
        <v>225000</v>
      </c>
      <c r="BC310" s="2" cm="1">
        <f t="array" ref="BC310">VLOOKUP($A310,Table_ship_components[],COLUMN(BC:BC),0)</f>
        <v>0</v>
      </c>
      <c r="BD310" s="2" cm="1">
        <f t="array" ref="BD310">VLOOKUP($A310,Table_ship_components[],COLUMN(BD:BD),0)</f>
        <v>0</v>
      </c>
    </row>
    <row r="311" spans="1:56" outlineLevel="1" x14ac:dyDescent="0.35">
      <c r="A311" s="18" t="s">
        <v>425</v>
      </c>
      <c r="B311" s="19" t="str">
        <f>CONCATENATE("SIZE ",(SUM(E312:E319)),"/",AY290,"  POWER ",(SUM(G312:G319)))</f>
        <v>SIZE 25/25  POWER 15</v>
      </c>
      <c r="AU311" s="2"/>
      <c r="AV311" s="2"/>
      <c r="AW311" s="2"/>
      <c r="AX311" s="2"/>
      <c r="AY311" s="2"/>
      <c r="AZ311" s="2"/>
      <c r="BA311" s="14"/>
      <c r="BB311" s="14"/>
      <c r="BC311" s="2"/>
      <c r="BD311" s="2"/>
    </row>
    <row r="312" spans="1:56" outlineLevel="1" x14ac:dyDescent="0.35">
      <c r="A312" t="s">
        <v>376</v>
      </c>
      <c r="B312" t="str" cm="1">
        <f t="array" ref="B312">VLOOKUP($A312,Table_ship_components[],COLUMN(B:B),0)</f>
        <v>average shield for a corvette</v>
      </c>
      <c r="D312" cm="1">
        <f t="array" ref="D312">VLOOKUP($A312,Table_ship_components[],COLUMN(D:D),0)</f>
        <v>10</v>
      </c>
      <c r="E312" cm="1">
        <f t="array" ref="E312">ROUND(VLOOKUP($A312,Table_ship_components[],COLUMN(D:D),0)+(V312*C312),0)</f>
        <v>10</v>
      </c>
      <c r="F312" cm="1">
        <f t="array" ref="F312">VLOOKUP($A312,Table_ship_components[],COLUMN(F:F),0)</f>
        <v>10</v>
      </c>
      <c r="G312" cm="1">
        <f t="array" ref="G312">ROUND(VLOOKUP($A312,Table_ship_components[],COLUMN(G:G),0)+(X312*C312),0)</f>
        <v>10</v>
      </c>
      <c r="H312" cm="1">
        <f t="array" ref="H312">VLOOKUP($A312,Table_ship_components[],COLUMN(H:H),0)</f>
        <v>0</v>
      </c>
      <c r="I312" cm="1">
        <f t="array" ref="I312">VLOOKUP($A312,Table_ship_components[],COLUMN(I:I),0)</f>
        <v>0</v>
      </c>
      <c r="J312" cm="1">
        <f t="array" ref="J312">VLOOKUP($A312,Table_ship_components[],COLUMN(J:J),0)</f>
        <v>0</v>
      </c>
      <c r="K312" cm="1">
        <f t="array" ref="K312">VLOOKUP($A312,Table_ship_components[],COLUMN(K:K),0)</f>
        <v>40</v>
      </c>
      <c r="L312" cm="1">
        <f t="array" ref="L312">VLOOKUP($A312,Table_ship_components[],COLUMN(L:L),0)</f>
        <v>5</v>
      </c>
      <c r="M312" cm="1">
        <f t="array" ref="M312">VLOOKUP($A312,Table_ship_components[],COLUMN(M:M),0)</f>
        <v>0</v>
      </c>
      <c r="N312" cm="1">
        <f t="array" ref="N312">VLOOKUP($A312,Table_ship_components[],COLUMN(N:N),0)</f>
        <v>0</v>
      </c>
      <c r="O312" cm="1">
        <f t="array" ref="O312">VLOOKUP($A312,Table_ship_components[],COLUMN(O:O),0)</f>
        <v>1</v>
      </c>
      <c r="P312" cm="1">
        <f t="array" ref="P312">VLOOKUP($A312,Table_ship_components[],COLUMN(P:P),0)</f>
        <v>0</v>
      </c>
      <c r="Q312" cm="1">
        <f t="array" ref="Q312">VLOOKUP($A312,Table_ship_components[],COLUMN(Q:Q),0)</f>
        <v>0</v>
      </c>
      <c r="R312" cm="1">
        <f t="array" ref="R312">VLOOKUP($A312,Table_ship_components[],COLUMN(R:R),0)</f>
        <v>0</v>
      </c>
      <c r="S312" cm="1">
        <f t="array" ref="S312">VLOOKUP($A312,Table_ship_components[],COLUMN(S:S),0)</f>
        <v>0</v>
      </c>
      <c r="T312" cm="1">
        <f t="array" ref="T312">VLOOKUP($A312,Table_ship_components[],COLUMN(T:T),0)</f>
        <v>0</v>
      </c>
      <c r="U312" cm="1">
        <f t="array" ref="U312">VLOOKUP($A312,Table_ship_components[],COLUMN(U:U),0)</f>
        <v>0</v>
      </c>
      <c r="V312" cm="1">
        <f t="array" ref="V312">VLOOKUP($A312,Table_ship_components[],COLUMN(V:V),0)</f>
        <v>0</v>
      </c>
      <c r="W312" s="15" cm="1">
        <f t="array" ref="W312">VLOOKUP($A312,Table_ship_components[],COLUMN(W:W),0)</f>
        <v>0</v>
      </c>
      <c r="X312" cm="1">
        <f t="array" ref="X312">VLOOKUP($A312,Table_ship_components[],COLUMN(X:X),0)</f>
        <v>0</v>
      </c>
      <c r="Y312" cm="1">
        <f t="array" ref="Y312">VLOOKUP($A312,Table_ship_components[],COLUMN(Y:Y),0)</f>
        <v>0</v>
      </c>
      <c r="Z312" cm="1">
        <f t="array" ref="Z312">VLOOKUP($A312,Table_ship_components[],COLUMN(Z:Z),0)</f>
        <v>0</v>
      </c>
      <c r="AA312" cm="1">
        <f t="array" ref="AA312">VLOOKUP($A312,Table_ship_components[],COLUMN(AA:AA),0)*C312</f>
        <v>0</v>
      </c>
      <c r="AB312">
        <f t="shared" ref="AB312:AB319" si="16">IF(A312="CARGOSPACE_0-ALL_0-UNIVERSAL",C312,0)</f>
        <v>0</v>
      </c>
      <c r="AC312" cm="1">
        <f t="array" ref="AC312">VLOOKUP($A312,Table_ship_components[],COLUMN(AC:AC),0)*C312</f>
        <v>0</v>
      </c>
      <c r="AD312" cm="1">
        <f t="array" ref="AD312">VLOOKUP($A312,Table_ship_components[],COLUMN(AD:AD),0)</f>
        <v>0</v>
      </c>
      <c r="AE312" cm="1">
        <f t="array" ref="AE312">VLOOKUP($A312,Table_ship_components[],COLUMN(AE:AE),0)</f>
        <v>0</v>
      </c>
      <c r="AF312" cm="1">
        <f t="array" ref="AF312">VLOOKUP($A312,Table_ship_components[],COLUMN(AF:AF),0)</f>
        <v>0</v>
      </c>
      <c r="AG312" cm="1">
        <f t="array" ref="AG312">VLOOKUP($A312,Table_ship_components[],COLUMN(AG:AG),0)</f>
        <v>0</v>
      </c>
      <c r="AH312" cm="1">
        <f t="array" ref="AH312">VLOOKUP($A312,Table_ship_components[],COLUMN(AH:AH),0)</f>
        <v>0</v>
      </c>
      <c r="AI312" cm="1">
        <f t="array" ref="AI312">VLOOKUP($A312,Table_ship_components[],COLUMN(AI:AI),0)</f>
        <v>0</v>
      </c>
      <c r="AJ312" cm="1">
        <f t="array" ref="AJ312">VLOOKUP($A312,Table_ship_components[],COLUMN(AJ:AJ),0)</f>
        <v>0</v>
      </c>
      <c r="AK312" cm="1">
        <f t="array" ref="AK312">VLOOKUP($A312,Table_ship_components[],COLUMN(AK:AK),0)</f>
        <v>0</v>
      </c>
      <c r="AL312" cm="1">
        <f t="array" ref="AL312">VLOOKUP($A312,Table_ship_components[],COLUMN(AL:AL),0)</f>
        <v>0</v>
      </c>
      <c r="AM312" cm="1">
        <f t="array" ref="AM312">VLOOKUP($A312,Table_ship_components[],COLUMN(AM:AM),0)</f>
        <v>0</v>
      </c>
      <c r="AN312" cm="1">
        <f t="array" ref="AN312">VLOOKUP($A312,Table_ship_components[],COLUMN(AN:AN),0)</f>
        <v>0</v>
      </c>
      <c r="AO312" cm="1">
        <f t="array" ref="AO312">VLOOKUP($A312,Table_ship_components[],COLUMN(AO:AO),0)</f>
        <v>0</v>
      </c>
      <c r="AP312" cm="1">
        <f t="array" ref="AP312">VLOOKUP($A312,Table_ship_components[],COLUMN(AP:AP),0)</f>
        <v>0</v>
      </c>
      <c r="AQ312" cm="1">
        <f t="array" ref="AQ312">VLOOKUP($A312,Table_ship_components[],COLUMN(AQ:AQ),0)</f>
        <v>0</v>
      </c>
      <c r="AR312" cm="1">
        <f t="array" ref="AR312">VLOOKUP($A312,Table_ship_components[],COLUMN(AR:AR),0)</f>
        <v>0</v>
      </c>
      <c r="AS312" cm="1">
        <f t="array" ref="AS312">VLOOKUP($A312,Table_ship_components[],COLUMN(AS:AS),0)</f>
        <v>0</v>
      </c>
      <c r="AT312" cm="1">
        <f t="array" ref="AT312">VLOOKUP($A312,Table_ship_components[],COLUMN(AT:AT),0)</f>
        <v>0</v>
      </c>
      <c r="AU312" s="2" cm="1">
        <f t="array" ref="AU312">VLOOKUP($A312,Table_ship_components[],COLUMN(AU:AU),0)</f>
        <v>0</v>
      </c>
      <c r="AV312" s="2" cm="1">
        <f t="array" ref="AV312">VLOOKUP($A312,Table_ship_components[],COLUMN(AV:AV),0)</f>
        <v>0</v>
      </c>
      <c r="AW312" s="2" cm="1">
        <f t="array" ref="AW312">VLOOKUP($A312,Table_ship_components[],COLUMN(AW:AW),0)</f>
        <v>0</v>
      </c>
      <c r="AX312" s="2" cm="1">
        <f t="array" ref="AX312">VLOOKUP($A312,Table_ship_components[],COLUMN(AX:AX),0)</f>
        <v>0</v>
      </c>
      <c r="AY312" s="2" cm="1">
        <f t="array" ref="AY312">VLOOKUP($A312,Table_ship_components[],COLUMN(AY:AY),0)</f>
        <v>0</v>
      </c>
      <c r="AZ312" s="2" t="str" cm="1">
        <f t="array" ref="AZ312">VLOOKUP($A312,Table_ship_components[],COLUMN(AZ:AZ),0)</f>
        <v>C</v>
      </c>
      <c r="BA312" s="14" cm="1">
        <f t="array" ref="BA312">VLOOKUP($A312,Table_ship_components[],COLUMN(BA:BA),0)</f>
        <v>1200000</v>
      </c>
      <c r="BB312" s="14" cm="1">
        <f t="array" ref="BB312">(VLOOKUP($A312,Table_ship_components[],COLUMN(BA:BA),0)+(W312*C312))</f>
        <v>1200000</v>
      </c>
      <c r="BC312" s="2" cm="1">
        <f t="array" ref="BC312">VLOOKUP($A312,Table_ship_components[],COLUMN(BC:BC),0)</f>
        <v>0</v>
      </c>
      <c r="BD312" s="2" cm="1">
        <f t="array" ref="BD312">VLOOKUP($A312,Table_ship_components[],COLUMN(BD:BD),0)</f>
        <v>0</v>
      </c>
    </row>
    <row r="313" spans="1:56" outlineLevel="1" x14ac:dyDescent="0.35">
      <c r="A313" t="s">
        <v>372</v>
      </c>
      <c r="B313" t="str" cm="1">
        <f t="array" ref="B313">VLOOKUP($A313,Table_ship_components[],COLUMN(B:B),0)</f>
        <v>basic corvette radar</v>
      </c>
      <c r="D313" cm="1">
        <f t="array" ref="D313">VLOOKUP($A313,Table_ship_components[],COLUMN(D:D),0)</f>
        <v>4</v>
      </c>
      <c r="E313" cm="1">
        <f t="array" ref="E313">ROUND(VLOOKUP($A313,Table_ship_components[],COLUMN(D:D),0)+(V313*C313),0)</f>
        <v>4</v>
      </c>
      <c r="F313" cm="1">
        <f t="array" ref="F313">VLOOKUP($A313,Table_ship_components[],COLUMN(F:F),0)</f>
        <v>5</v>
      </c>
      <c r="G313" cm="1">
        <f t="array" ref="G313">ROUND(VLOOKUP($A313,Table_ship_components[],COLUMN(G:G),0)+(X313*C313),0)</f>
        <v>5</v>
      </c>
      <c r="H313" cm="1">
        <f t="array" ref="H313">VLOOKUP($A313,Table_ship_components[],COLUMN(H:H),0)</f>
        <v>0</v>
      </c>
      <c r="I313" cm="1">
        <f t="array" ref="I313">VLOOKUP($A313,Table_ship_components[],COLUMN(I:I),0)</f>
        <v>0</v>
      </c>
      <c r="J313" cm="1">
        <f t="array" ref="J313">VLOOKUP($A313,Table_ship_components[],COLUMN(J:J),0)</f>
        <v>0</v>
      </c>
      <c r="K313" cm="1">
        <f t="array" ref="K313">VLOOKUP($A313,Table_ship_components[],COLUMN(K:K),0)</f>
        <v>0</v>
      </c>
      <c r="L313" cm="1">
        <f t="array" ref="L313">VLOOKUP($A313,Table_ship_components[],COLUMN(L:L),0)</f>
        <v>0</v>
      </c>
      <c r="M313" cm="1">
        <f t="array" ref="M313">VLOOKUP($A313,Table_ship_components[],COLUMN(M:M),0)</f>
        <v>0</v>
      </c>
      <c r="N313" cm="1">
        <f t="array" ref="N313">VLOOKUP($A313,Table_ship_components[],COLUMN(N:N),0)</f>
        <v>0</v>
      </c>
      <c r="O313" cm="1">
        <f t="array" ref="O313">VLOOKUP($A313,Table_ship_components[],COLUMN(O:O),0)</f>
        <v>1</v>
      </c>
      <c r="P313" cm="1">
        <f t="array" ref="P313">VLOOKUP($A313,Table_ship_components[],COLUMN(P:P),0)</f>
        <v>0</v>
      </c>
      <c r="Q313" cm="1">
        <f t="array" ref="Q313">VLOOKUP($A313,Table_ship_components[],COLUMN(Q:Q),0)</f>
        <v>0</v>
      </c>
      <c r="R313" cm="1">
        <f t="array" ref="R313">VLOOKUP($A313,Table_ship_components[],COLUMN(R:R),0)</f>
        <v>0</v>
      </c>
      <c r="S313" cm="1">
        <f t="array" ref="S313">VLOOKUP($A313,Table_ship_components[],COLUMN(S:S),0)</f>
        <v>0</v>
      </c>
      <c r="T313" cm="1">
        <f t="array" ref="T313">VLOOKUP($A313,Table_ship_components[],COLUMN(T:T),0)</f>
        <v>0</v>
      </c>
      <c r="U313" cm="1">
        <f t="array" ref="U313">VLOOKUP($A313,Table_ship_components[],COLUMN(U:U),0)</f>
        <v>0</v>
      </c>
      <c r="V313" cm="1">
        <f t="array" ref="V313">VLOOKUP($A313,Table_ship_components[],COLUMN(V:V),0)</f>
        <v>0</v>
      </c>
      <c r="W313" s="15" cm="1">
        <f t="array" ref="W313">VLOOKUP($A313,Table_ship_components[],COLUMN(W:W),0)</f>
        <v>0</v>
      </c>
      <c r="X313" cm="1">
        <f t="array" ref="X313">VLOOKUP($A313,Table_ship_components[],COLUMN(X:X),0)</f>
        <v>0</v>
      </c>
      <c r="Y313" cm="1">
        <f t="array" ref="Y313">VLOOKUP($A313,Table_ship_components[],COLUMN(Y:Y),0)</f>
        <v>0</v>
      </c>
      <c r="Z313" cm="1">
        <f t="array" ref="Z313">VLOOKUP($A313,Table_ship_components[],COLUMN(Z:Z),0)</f>
        <v>0</v>
      </c>
      <c r="AA313" cm="1">
        <f t="array" ref="AA313">VLOOKUP($A313,Table_ship_components[],COLUMN(AA:AA),0)*C313</f>
        <v>0</v>
      </c>
      <c r="AB313">
        <f t="shared" si="16"/>
        <v>0</v>
      </c>
      <c r="AC313" cm="1">
        <f t="array" ref="AC313">VLOOKUP($A313,Table_ship_components[],COLUMN(AC:AC),0)*C313</f>
        <v>0</v>
      </c>
      <c r="AD313" cm="1">
        <f t="array" ref="AD313">VLOOKUP($A313,Table_ship_components[],COLUMN(AD:AD),0)</f>
        <v>0</v>
      </c>
      <c r="AE313" cm="1">
        <f t="array" ref="AE313">VLOOKUP($A313,Table_ship_components[],COLUMN(AE:AE),0)</f>
        <v>0</v>
      </c>
      <c r="AF313" cm="1">
        <f t="array" ref="AF313">VLOOKUP($A313,Table_ship_components[],COLUMN(AF:AF),0)</f>
        <v>0</v>
      </c>
      <c r="AG313" cm="1">
        <f t="array" ref="AG313">VLOOKUP($A313,Table_ship_components[],COLUMN(AG:AG),0)</f>
        <v>0</v>
      </c>
      <c r="AH313" cm="1">
        <f t="array" ref="AH313">VLOOKUP($A313,Table_ship_components[],COLUMN(AH:AH),0)</f>
        <v>100</v>
      </c>
      <c r="AI313" cm="1">
        <f t="array" ref="AI313">VLOOKUP($A313,Table_ship_components[],COLUMN(AI:AI),0)</f>
        <v>1000</v>
      </c>
      <c r="AJ313" cm="1">
        <f t="array" ref="AJ313">VLOOKUP($A313,Table_ship_components[],COLUMN(AJ:AJ),0)</f>
        <v>10000</v>
      </c>
      <c r="AK313" cm="1">
        <f t="array" ref="AK313">VLOOKUP($A313,Table_ship_components[],COLUMN(AK:AK),0)</f>
        <v>0</v>
      </c>
      <c r="AL313" cm="1">
        <f t="array" ref="AL313">VLOOKUP($A313,Table_ship_components[],COLUMN(AL:AL),0)</f>
        <v>0</v>
      </c>
      <c r="AM313" cm="1">
        <f t="array" ref="AM313">VLOOKUP($A313,Table_ship_components[],COLUMN(AM:AM),0)</f>
        <v>0</v>
      </c>
      <c r="AN313" cm="1">
        <f t="array" ref="AN313">VLOOKUP($A313,Table_ship_components[],COLUMN(AN:AN),0)</f>
        <v>0</v>
      </c>
      <c r="AO313" cm="1">
        <f t="array" ref="AO313">VLOOKUP($A313,Table_ship_components[],COLUMN(AO:AO),0)</f>
        <v>0</v>
      </c>
      <c r="AP313" cm="1">
        <f t="array" ref="AP313">VLOOKUP($A313,Table_ship_components[],COLUMN(AP:AP),0)</f>
        <v>0</v>
      </c>
      <c r="AQ313" cm="1">
        <f t="array" ref="AQ313">VLOOKUP($A313,Table_ship_components[],COLUMN(AQ:AQ),0)</f>
        <v>0</v>
      </c>
      <c r="AR313" cm="1">
        <f t="array" ref="AR313">VLOOKUP($A313,Table_ship_components[],COLUMN(AR:AR),0)</f>
        <v>0</v>
      </c>
      <c r="AS313" cm="1">
        <f t="array" ref="AS313">VLOOKUP($A313,Table_ship_components[],COLUMN(AS:AS),0)</f>
        <v>-1</v>
      </c>
      <c r="AT313" cm="1">
        <f t="array" ref="AT313">VLOOKUP($A313,Table_ship_components[],COLUMN(AT:AT),0)</f>
        <v>0</v>
      </c>
      <c r="AU313" s="2" cm="1">
        <f t="array" ref="AU313">VLOOKUP($A313,Table_ship_components[],COLUMN(AU:AU),0)</f>
        <v>0</v>
      </c>
      <c r="AV313" s="2" cm="1">
        <f t="array" ref="AV313">VLOOKUP($A313,Table_ship_components[],COLUMN(AV:AV),0)</f>
        <v>0</v>
      </c>
      <c r="AW313" s="2" cm="1">
        <f t="array" ref="AW313">VLOOKUP($A313,Table_ship_components[],COLUMN(AW:AW),0)</f>
        <v>0</v>
      </c>
      <c r="AX313" s="2" cm="1">
        <f t="array" ref="AX313">VLOOKUP($A313,Table_ship_components[],COLUMN(AX:AX),0)</f>
        <v>0</v>
      </c>
      <c r="AY313" s="2" cm="1">
        <f t="array" ref="AY313">VLOOKUP($A313,Table_ship_components[],COLUMN(AY:AY),0)</f>
        <v>0</v>
      </c>
      <c r="AZ313" s="2" t="str" cm="1">
        <f t="array" ref="AZ313">VLOOKUP($A313,Table_ship_components[],COLUMN(AZ:AZ),0)</f>
        <v>C</v>
      </c>
      <c r="BA313" s="14" cm="1">
        <f t="array" ref="BA313">VLOOKUP($A313,Table_ship_components[],COLUMN(BA:BA),0)</f>
        <v>450000</v>
      </c>
      <c r="BB313" s="14" cm="1">
        <f t="array" ref="BB313">(VLOOKUP($A313,Table_ship_components[],COLUMN(BA:BA),0)+(W313*C313))</f>
        <v>450000</v>
      </c>
      <c r="BC313" s="2" cm="1">
        <f t="array" ref="BC313">VLOOKUP($A313,Table_ship_components[],COLUMN(BC:BC),0)</f>
        <v>0</v>
      </c>
      <c r="BD313" s="2" cm="1">
        <f t="array" ref="BD313">VLOOKUP($A313,Table_ship_components[],COLUMN(BD:BD),0)</f>
        <v>0</v>
      </c>
    </row>
    <row r="314" spans="1:56" outlineLevel="1" x14ac:dyDescent="0.35">
      <c r="A314" t="s">
        <v>315</v>
      </c>
      <c r="B314" t="str" cm="1">
        <f t="array" ref="B314">VLOOKUP($A314,Table_ship_components[],COLUMN(B:B),0)</f>
        <v>cargo space (1 HUGE item per unit)</v>
      </c>
      <c r="C314" s="2">
        <v>1</v>
      </c>
      <c r="D314" cm="1">
        <f t="array" ref="D314">VLOOKUP($A314,Table_ship_components[],COLUMN(D:D),0)</f>
        <v>0</v>
      </c>
      <c r="E314" cm="1">
        <f t="array" ref="E314">ROUND(VLOOKUP($A314,Table_ship_components[],COLUMN(D:D),0)+(V314*C314),0)</f>
        <v>1</v>
      </c>
      <c r="F314" cm="1">
        <f t="array" ref="F314">VLOOKUP($A314,Table_ship_components[],COLUMN(F:F),0)</f>
        <v>0</v>
      </c>
      <c r="G314" cm="1">
        <f t="array" ref="G314">ROUND(VLOOKUP($A314,Table_ship_components[],COLUMN(G:G),0)+(X314*C314),0)</f>
        <v>0</v>
      </c>
      <c r="H314" cm="1">
        <f t="array" ref="H314">VLOOKUP($A314,Table_ship_components[],COLUMN(H:H),0)</f>
        <v>0</v>
      </c>
      <c r="I314" cm="1">
        <f t="array" ref="I314">VLOOKUP($A314,Table_ship_components[],COLUMN(I:I),0)</f>
        <v>0</v>
      </c>
      <c r="J314" cm="1">
        <f t="array" ref="J314">VLOOKUP($A314,Table_ship_components[],COLUMN(J:J),0)</f>
        <v>0</v>
      </c>
      <c r="K314" cm="1">
        <f t="array" ref="K314">VLOOKUP($A314,Table_ship_components[],COLUMN(K:K),0)</f>
        <v>0</v>
      </c>
      <c r="L314" cm="1">
        <f t="array" ref="L314">VLOOKUP($A314,Table_ship_components[],COLUMN(L:L),0)</f>
        <v>0</v>
      </c>
      <c r="M314" cm="1">
        <f t="array" ref="M314">VLOOKUP($A314,Table_ship_components[],COLUMN(M:M),0)</f>
        <v>0</v>
      </c>
      <c r="N314" cm="1">
        <f t="array" ref="N314">VLOOKUP($A314,Table_ship_components[],COLUMN(N:N),0)</f>
        <v>1</v>
      </c>
      <c r="O314" cm="1">
        <f t="array" ref="O314">VLOOKUP($A314,Table_ship_components[],COLUMN(O:O),0)</f>
        <v>1</v>
      </c>
      <c r="P314" cm="1">
        <f t="array" ref="P314">VLOOKUP($A314,Table_ship_components[],COLUMN(P:P),0)</f>
        <v>1</v>
      </c>
      <c r="Q314" cm="1">
        <f t="array" ref="Q314">VLOOKUP($A314,Table_ship_components[],COLUMN(Q:Q),0)</f>
        <v>1</v>
      </c>
      <c r="R314" cm="1">
        <f t="array" ref="R314">VLOOKUP($A314,Table_ship_components[],COLUMN(R:R),0)</f>
        <v>1</v>
      </c>
      <c r="S314" cm="1">
        <f t="array" ref="S314">VLOOKUP($A314,Table_ship_components[],COLUMN(S:S),0)</f>
        <v>1</v>
      </c>
      <c r="T314" cm="1">
        <f t="array" ref="T314">VLOOKUP($A314,Table_ship_components[],COLUMN(T:T),0)</f>
        <v>1</v>
      </c>
      <c r="U314" cm="1">
        <f t="array" ref="U314">VLOOKUP($A314,Table_ship_components[],COLUMN(U:U),0)</f>
        <v>1</v>
      </c>
      <c r="V314" cm="1">
        <f t="array" ref="V314">VLOOKUP($A314,Table_ship_components[],COLUMN(V:V),0)</f>
        <v>1</v>
      </c>
      <c r="W314" s="15" cm="1">
        <f t="array" ref="W314">VLOOKUP($A314,Table_ship_components[],COLUMN(W:W),0)</f>
        <v>5000</v>
      </c>
      <c r="X314" cm="1">
        <f t="array" ref="X314">VLOOKUP($A314,Table_ship_components[],COLUMN(X:X),0)</f>
        <v>0</v>
      </c>
      <c r="Y314" cm="1">
        <f t="array" ref="Y314">VLOOKUP($A314,Table_ship_components[],COLUMN(Y:Y),0)</f>
        <v>0</v>
      </c>
      <c r="Z314" cm="1">
        <f t="array" ref="Z314">VLOOKUP($A314,Table_ship_components[],COLUMN(Z:Z),0)</f>
        <v>0</v>
      </c>
      <c r="AA314" cm="1">
        <f t="array" ref="AA314">VLOOKUP($A314,Table_ship_components[],COLUMN(AA:AA),0)*C314</f>
        <v>0</v>
      </c>
      <c r="AB314">
        <f t="shared" si="16"/>
        <v>1</v>
      </c>
      <c r="AC314" cm="1">
        <f t="array" ref="AC314">VLOOKUP($A314,Table_ship_components[],COLUMN(AC:AC),0)*C314</f>
        <v>0</v>
      </c>
      <c r="AD314" cm="1">
        <f t="array" ref="AD314">VLOOKUP($A314,Table_ship_components[],COLUMN(AD:AD),0)</f>
        <v>0</v>
      </c>
      <c r="AE314" cm="1">
        <f t="array" ref="AE314">VLOOKUP($A314,Table_ship_components[],COLUMN(AE:AE),0)</f>
        <v>0</v>
      </c>
      <c r="AF314" cm="1">
        <f t="array" ref="AF314">VLOOKUP($A314,Table_ship_components[],COLUMN(AF:AF),0)</f>
        <v>0</v>
      </c>
      <c r="AG314" cm="1">
        <f t="array" ref="AG314">VLOOKUP($A314,Table_ship_components[],COLUMN(AG:AG),0)</f>
        <v>0</v>
      </c>
      <c r="AH314" cm="1">
        <f t="array" ref="AH314">VLOOKUP($A314,Table_ship_components[],COLUMN(AH:AH),0)</f>
        <v>0</v>
      </c>
      <c r="AI314" cm="1">
        <f t="array" ref="AI314">VLOOKUP($A314,Table_ship_components[],COLUMN(AI:AI),0)</f>
        <v>0</v>
      </c>
      <c r="AJ314" cm="1">
        <f t="array" ref="AJ314">VLOOKUP($A314,Table_ship_components[],COLUMN(AJ:AJ),0)</f>
        <v>0</v>
      </c>
      <c r="AK314" cm="1">
        <f t="array" ref="AK314">VLOOKUP($A314,Table_ship_components[],COLUMN(AK:AK),0)</f>
        <v>0</v>
      </c>
      <c r="AL314" cm="1">
        <f t="array" ref="AL314">VLOOKUP($A314,Table_ship_components[],COLUMN(AL:AL),0)</f>
        <v>0</v>
      </c>
      <c r="AM314" cm="1">
        <f t="array" ref="AM314">VLOOKUP($A314,Table_ship_components[],COLUMN(AM:AM),0)</f>
        <v>0</v>
      </c>
      <c r="AN314" cm="1">
        <f t="array" ref="AN314">VLOOKUP($A314,Table_ship_components[],COLUMN(AN:AN),0)</f>
        <v>0</v>
      </c>
      <c r="AO314" cm="1">
        <f t="array" ref="AO314">VLOOKUP($A314,Table_ship_components[],COLUMN(AO:AO),0)</f>
        <v>0</v>
      </c>
      <c r="AP314" cm="1">
        <f t="array" ref="AP314">VLOOKUP($A314,Table_ship_components[],COLUMN(AP:AP),0)</f>
        <v>0</v>
      </c>
      <c r="AQ314" cm="1">
        <f t="array" ref="AQ314">VLOOKUP($A314,Table_ship_components[],COLUMN(AQ:AQ),0)</f>
        <v>0</v>
      </c>
      <c r="AR314" cm="1">
        <f t="array" ref="AR314">VLOOKUP($A314,Table_ship_components[],COLUMN(AR:AR),0)</f>
        <v>0</v>
      </c>
      <c r="AS314" cm="1">
        <f t="array" ref="AS314">VLOOKUP($A314,Table_ship_components[],COLUMN(AS:AS),0)</f>
        <v>0</v>
      </c>
      <c r="AT314" cm="1">
        <f t="array" ref="AT314">VLOOKUP($A314,Table_ship_components[],COLUMN(AT:AT),0)</f>
        <v>0</v>
      </c>
      <c r="AU314" s="2" cm="1">
        <f t="array" ref="AU314">VLOOKUP($A314,Table_ship_components[],COLUMN(AU:AU),0)</f>
        <v>0</v>
      </c>
      <c r="AV314" s="2" cm="1">
        <f t="array" ref="AV314">VLOOKUP($A314,Table_ship_components[],COLUMN(AV:AV),0)</f>
        <v>0</v>
      </c>
      <c r="AW314" s="2" cm="1">
        <f t="array" ref="AW314">VLOOKUP($A314,Table_ship_components[],COLUMN(AW:AW),0)</f>
        <v>0</v>
      </c>
      <c r="AX314" s="2" cm="1">
        <f t="array" ref="AX314">VLOOKUP($A314,Table_ship_components[],COLUMN(AX:AX),0)</f>
        <v>0</v>
      </c>
      <c r="AY314" s="2" cm="1">
        <f t="array" ref="AY314">VLOOKUP($A314,Table_ship_components[],COLUMN(AY:AY),0)</f>
        <v>0</v>
      </c>
      <c r="AZ314" s="2" t="str" cm="1">
        <f t="array" ref="AZ314">VLOOKUP($A314,Table_ship_components[],COLUMN(AZ:AZ),0)</f>
        <v>C</v>
      </c>
      <c r="BA314" s="14" cm="1">
        <f t="array" ref="BA314">VLOOKUP($A314,Table_ship_components[],COLUMN(BA:BA),0)</f>
        <v>5000</v>
      </c>
      <c r="BB314" s="14" cm="1">
        <f t="array" ref="BB314">(VLOOKUP($A314,Table_ship_components[],COLUMN(BA:BA),0)+(W314*C314))</f>
        <v>10000</v>
      </c>
      <c r="BC314" s="2" cm="1">
        <f t="array" ref="BC314">VLOOKUP($A314,Table_ship_components[],COLUMN(BC:BC),0)</f>
        <v>0</v>
      </c>
      <c r="BD314" s="2" cm="1">
        <f t="array" ref="BD314">VLOOKUP($A314,Table_ship_components[],COLUMN(BD:BD),0)</f>
        <v>0</v>
      </c>
    </row>
    <row r="315" spans="1:56" outlineLevel="1" x14ac:dyDescent="0.35">
      <c r="A315" t="s">
        <v>359</v>
      </c>
      <c r="B315" t="str" cm="1">
        <f t="array" ref="B315">VLOOKUP($A315,Table_ship_components[],COLUMN(B:B),0)</f>
        <v>good reinforced corvette hull</v>
      </c>
      <c r="D315" cm="1">
        <f t="array" ref="D315">VLOOKUP($A315,Table_ship_components[],COLUMN(D:D),0)</f>
        <v>10</v>
      </c>
      <c r="E315" cm="1">
        <f t="array" ref="E315">ROUND(VLOOKUP($A315,Table_ship_components[],COLUMN(D:D),0)+(V315*C315),0)</f>
        <v>10</v>
      </c>
      <c r="F315" cm="1">
        <f t="array" ref="F315">VLOOKUP($A315,Table_ship_components[],COLUMN(F:F),0)</f>
        <v>0</v>
      </c>
      <c r="G315" cm="1">
        <f t="array" ref="G315">ROUND(VLOOKUP($A315,Table_ship_components[],COLUMN(G:G),0)+(X315*C315),0)</f>
        <v>0</v>
      </c>
      <c r="H315" cm="1">
        <f t="array" ref="H315">VLOOKUP($A315,Table_ship_components[],COLUMN(H:H),0)</f>
        <v>0</v>
      </c>
      <c r="I315" cm="1">
        <f t="array" ref="I315">VLOOKUP($A315,Table_ship_components[],COLUMN(I:I),0)</f>
        <v>0</v>
      </c>
      <c r="J315" cm="1">
        <f t="array" ref="J315">VLOOKUP($A315,Table_ship_components[],COLUMN(J:J),0)</f>
        <v>0</v>
      </c>
      <c r="K315" cm="1">
        <f t="array" ref="K315">VLOOKUP($A315,Table_ship_components[],COLUMN(K:K),0)</f>
        <v>0</v>
      </c>
      <c r="L315" cm="1">
        <f t="array" ref="L315">VLOOKUP($A315,Table_ship_components[],COLUMN(L:L),0)</f>
        <v>0</v>
      </c>
      <c r="M315" cm="1">
        <f t="array" ref="M315">VLOOKUP($A315,Table_ship_components[],COLUMN(M:M),0)</f>
        <v>0</v>
      </c>
      <c r="N315" cm="1">
        <f t="array" ref="N315">VLOOKUP($A315,Table_ship_components[],COLUMN(N:N),0)</f>
        <v>0</v>
      </c>
      <c r="O315" cm="1">
        <f t="array" ref="O315">VLOOKUP($A315,Table_ship_components[],COLUMN(O:O),0)</f>
        <v>1</v>
      </c>
      <c r="P315" cm="1">
        <f t="array" ref="P315">VLOOKUP($A315,Table_ship_components[],COLUMN(P:P),0)</f>
        <v>0</v>
      </c>
      <c r="Q315" cm="1">
        <f t="array" ref="Q315">VLOOKUP($A315,Table_ship_components[],COLUMN(Q:Q),0)</f>
        <v>0</v>
      </c>
      <c r="R315" cm="1">
        <f t="array" ref="R315">VLOOKUP($A315,Table_ship_components[],COLUMN(R:R),0)</f>
        <v>0</v>
      </c>
      <c r="S315" cm="1">
        <f t="array" ref="S315">VLOOKUP($A315,Table_ship_components[],COLUMN(S:S),0)</f>
        <v>0</v>
      </c>
      <c r="T315" cm="1">
        <f t="array" ref="T315">VLOOKUP($A315,Table_ship_components[],COLUMN(T:T),0)</f>
        <v>0</v>
      </c>
      <c r="U315" cm="1">
        <f t="array" ref="U315">VLOOKUP($A315,Table_ship_components[],COLUMN(U:U),0)</f>
        <v>0</v>
      </c>
      <c r="V315" cm="1">
        <f t="array" ref="V315">VLOOKUP($A315,Table_ship_components[],COLUMN(V:V),0)</f>
        <v>0</v>
      </c>
      <c r="W315" s="15" cm="1">
        <f t="array" ref="W315">VLOOKUP($A315,Table_ship_components[],COLUMN(W:W),0)</f>
        <v>0</v>
      </c>
      <c r="X315" cm="1">
        <f t="array" ref="X315">VLOOKUP($A315,Table_ship_components[],COLUMN(X:X),0)</f>
        <v>0</v>
      </c>
      <c r="Y315" cm="1">
        <f t="array" ref="Y315">VLOOKUP($A315,Table_ship_components[],COLUMN(Y:Y),0)</f>
        <v>0</v>
      </c>
      <c r="Z315" cm="1">
        <f t="array" ref="Z315">VLOOKUP($A315,Table_ship_components[],COLUMN(Z:Z),0)</f>
        <v>0</v>
      </c>
      <c r="AA315" cm="1">
        <f t="array" ref="AA315">VLOOKUP($A315,Table_ship_components[],COLUMN(AA:AA),0)*C315</f>
        <v>0</v>
      </c>
      <c r="AB315">
        <f t="shared" si="16"/>
        <v>0</v>
      </c>
      <c r="AC315" cm="1">
        <f t="array" ref="AC315">VLOOKUP($A315,Table_ship_components[],COLUMN(AC:AC),0)*C315</f>
        <v>0</v>
      </c>
      <c r="AD315" cm="1">
        <f t="array" ref="AD315">VLOOKUP($A315,Table_ship_components[],COLUMN(AD:AD),0)</f>
        <v>0</v>
      </c>
      <c r="AE315" cm="1">
        <f t="array" ref="AE315">VLOOKUP($A315,Table_ship_components[],COLUMN(AE:AE),0)</f>
        <v>0</v>
      </c>
      <c r="AF315" cm="1">
        <f t="array" ref="AF315">VLOOKUP($A315,Table_ship_components[],COLUMN(AF:AF),0)</f>
        <v>0</v>
      </c>
      <c r="AG315" cm="1">
        <f t="array" ref="AG315">VLOOKUP($A315,Table_ship_components[],COLUMN(AG:AG),0)</f>
        <v>0</v>
      </c>
      <c r="AH315" cm="1">
        <f t="array" ref="AH315">VLOOKUP($A315,Table_ship_components[],COLUMN(AH:AH),0)</f>
        <v>0</v>
      </c>
      <c r="AI315" cm="1">
        <f t="array" ref="AI315">VLOOKUP($A315,Table_ship_components[],COLUMN(AI:AI),0)</f>
        <v>0</v>
      </c>
      <c r="AJ315" cm="1">
        <f t="array" ref="AJ315">VLOOKUP($A315,Table_ship_components[],COLUMN(AJ:AJ),0)</f>
        <v>0</v>
      </c>
      <c r="AK315" cm="1">
        <f t="array" ref="AK315">VLOOKUP($A315,Table_ship_components[],COLUMN(AK:AK),0)</f>
        <v>0</v>
      </c>
      <c r="AL315" cm="1">
        <f t="array" ref="AL315">VLOOKUP($A315,Table_ship_components[],COLUMN(AL:AL),0)</f>
        <v>0</v>
      </c>
      <c r="AM315" cm="1">
        <f t="array" ref="AM315">VLOOKUP($A315,Table_ship_components[],COLUMN(AM:AM),0)</f>
        <v>0</v>
      </c>
      <c r="AN315" cm="1">
        <f t="array" ref="AN315">VLOOKUP($A315,Table_ship_components[],COLUMN(AN:AN),0)</f>
        <v>5</v>
      </c>
      <c r="AO315" cm="1">
        <f t="array" ref="AO315">VLOOKUP($A315,Table_ship_components[],COLUMN(AO:AO),0)</f>
        <v>0</v>
      </c>
      <c r="AP315" cm="1">
        <f t="array" ref="AP315">VLOOKUP($A315,Table_ship_components[],COLUMN(AP:AP),0)</f>
        <v>0</v>
      </c>
      <c r="AQ315" cm="1">
        <f t="array" ref="AQ315">VLOOKUP($A315,Table_ship_components[],COLUMN(AQ:AQ),0)</f>
        <v>0</v>
      </c>
      <c r="AR315" cm="1">
        <f t="array" ref="AR315">VLOOKUP($A315,Table_ship_components[],COLUMN(AR:AR),0)</f>
        <v>-1</v>
      </c>
      <c r="AS315" cm="1">
        <f t="array" ref="AS315">VLOOKUP($A315,Table_ship_components[],COLUMN(AS:AS),0)</f>
        <v>0</v>
      </c>
      <c r="AT315" cm="1">
        <f t="array" ref="AT315">VLOOKUP($A315,Table_ship_components[],COLUMN(AT:AT),0)</f>
        <v>0</v>
      </c>
      <c r="AU315" s="2" cm="1">
        <f t="array" ref="AU315">VLOOKUP($A315,Table_ship_components[],COLUMN(AU:AU),0)</f>
        <v>0</v>
      </c>
      <c r="AV315" s="2" cm="1">
        <f t="array" ref="AV315">VLOOKUP($A315,Table_ship_components[],COLUMN(AV:AV),0)</f>
        <v>0</v>
      </c>
      <c r="AW315" s="2" cm="1">
        <f t="array" ref="AW315">VLOOKUP($A315,Table_ship_components[],COLUMN(AW:AW),0)</f>
        <v>0</v>
      </c>
      <c r="AX315" s="2" cm="1">
        <f t="array" ref="AX315">VLOOKUP($A315,Table_ship_components[],COLUMN(AX:AX),0)</f>
        <v>0</v>
      </c>
      <c r="AY315" s="2" cm="1">
        <f t="array" ref="AY315">VLOOKUP($A315,Table_ship_components[],COLUMN(AY:AY),0)</f>
        <v>0</v>
      </c>
      <c r="AZ315" s="2" t="str" cm="1">
        <f t="array" ref="AZ315">VLOOKUP($A315,Table_ship_components[],COLUMN(AZ:AZ),0)</f>
        <v>C</v>
      </c>
      <c r="BA315" s="14" cm="1">
        <f t="array" ref="BA315">VLOOKUP($A315,Table_ship_components[],COLUMN(BA:BA),0)</f>
        <v>1250000</v>
      </c>
      <c r="BB315" s="14" cm="1">
        <f t="array" ref="BB315">(VLOOKUP($A315,Table_ship_components[],COLUMN(BA:BA),0)+(W315*C315))</f>
        <v>1250000</v>
      </c>
      <c r="BC315" s="2" cm="1">
        <f t="array" ref="BC315">VLOOKUP($A315,Table_ship_components[],COLUMN(BC:BC),0)</f>
        <v>0</v>
      </c>
      <c r="BD315" s="2" cm="1">
        <f t="array" ref="BD315">VLOOKUP($A315,Table_ship_components[],COLUMN(BD:BD),0)</f>
        <v>0</v>
      </c>
    </row>
    <row r="316" spans="1:56" outlineLevel="1" x14ac:dyDescent="0.35">
      <c r="A316" t="s">
        <v>288</v>
      </c>
      <c r="B316" t="str" cm="1">
        <f t="array" ref="B316">VLOOKUP($A316,Table_ship_components[],COLUMN(B:B),0)</f>
        <v>PICK A COMPONENT</v>
      </c>
      <c r="D316" cm="1">
        <f t="array" ref="D316">VLOOKUP($A316,Table_ship_components[],COLUMN(D:D),0)</f>
        <v>0</v>
      </c>
      <c r="E316" cm="1">
        <f t="array" ref="E316">ROUND(VLOOKUP($A316,Table_ship_components[],COLUMN(D:D),0)+(V316*C316),0)</f>
        <v>0</v>
      </c>
      <c r="F316" cm="1">
        <f t="array" ref="F316">VLOOKUP($A316,Table_ship_components[],COLUMN(F:F),0)</f>
        <v>0</v>
      </c>
      <c r="G316" cm="1">
        <f t="array" ref="G316">ROUND(VLOOKUP($A316,Table_ship_components[],COLUMN(G:G),0)+(X316*C316),0)</f>
        <v>0</v>
      </c>
      <c r="H316" cm="1">
        <f t="array" ref="H316">VLOOKUP($A316,Table_ship_components[],COLUMN(H:H),0)</f>
        <v>0</v>
      </c>
      <c r="I316" cm="1">
        <f t="array" ref="I316">VLOOKUP($A316,Table_ship_components[],COLUMN(I:I),0)</f>
        <v>0</v>
      </c>
      <c r="J316" cm="1">
        <f t="array" ref="J316">VLOOKUP($A316,Table_ship_components[],COLUMN(J:J),0)</f>
        <v>0</v>
      </c>
      <c r="K316" cm="1">
        <f t="array" ref="K316">VLOOKUP($A316,Table_ship_components[],COLUMN(K:K),0)</f>
        <v>0</v>
      </c>
      <c r="L316" cm="1">
        <f t="array" ref="L316">VLOOKUP($A316,Table_ship_components[],COLUMN(L:L),0)</f>
        <v>0</v>
      </c>
      <c r="M316" cm="1">
        <f t="array" ref="M316">VLOOKUP($A316,Table_ship_components[],COLUMN(M:M),0)</f>
        <v>0</v>
      </c>
      <c r="N316" cm="1">
        <f t="array" ref="N316">VLOOKUP($A316,Table_ship_components[],COLUMN(N:N),0)</f>
        <v>0</v>
      </c>
      <c r="O316" cm="1">
        <f t="array" ref="O316">VLOOKUP($A316,Table_ship_components[],COLUMN(O:O),0)</f>
        <v>0</v>
      </c>
      <c r="P316" cm="1">
        <f t="array" ref="P316">VLOOKUP($A316,Table_ship_components[],COLUMN(P:P),0)</f>
        <v>0</v>
      </c>
      <c r="Q316" cm="1">
        <f t="array" ref="Q316">VLOOKUP($A316,Table_ship_components[],COLUMN(Q:Q),0)</f>
        <v>0</v>
      </c>
      <c r="R316" cm="1">
        <f t="array" ref="R316">VLOOKUP($A316,Table_ship_components[],COLUMN(R:R),0)</f>
        <v>0</v>
      </c>
      <c r="S316" cm="1">
        <f t="array" ref="S316">VLOOKUP($A316,Table_ship_components[],COLUMN(S:S),0)</f>
        <v>0</v>
      </c>
      <c r="T316" cm="1">
        <f t="array" ref="T316">VLOOKUP($A316,Table_ship_components[],COLUMN(T:T),0)</f>
        <v>0</v>
      </c>
      <c r="U316" cm="1">
        <f t="array" ref="U316">VLOOKUP($A316,Table_ship_components[],COLUMN(U:U),0)</f>
        <v>0</v>
      </c>
      <c r="V316" cm="1">
        <f t="array" ref="V316">VLOOKUP($A316,Table_ship_components[],COLUMN(V:V),0)</f>
        <v>0</v>
      </c>
      <c r="W316" s="15" cm="1">
        <f t="array" ref="W316">VLOOKUP($A316,Table_ship_components[],COLUMN(W:W),0)</f>
        <v>0</v>
      </c>
      <c r="X316" cm="1">
        <f t="array" ref="X316">VLOOKUP($A316,Table_ship_components[],COLUMN(X:X),0)</f>
        <v>0</v>
      </c>
      <c r="Y316" cm="1">
        <f t="array" ref="Y316">VLOOKUP($A316,Table_ship_components[],COLUMN(Y:Y),0)</f>
        <v>0</v>
      </c>
      <c r="Z316" cm="1">
        <f t="array" ref="Z316">VLOOKUP($A316,Table_ship_components[],COLUMN(Z:Z),0)</f>
        <v>0</v>
      </c>
      <c r="AA316" cm="1">
        <f t="array" ref="AA316">VLOOKUP($A316,Table_ship_components[],COLUMN(AA:AA),0)*C316</f>
        <v>0</v>
      </c>
      <c r="AB316">
        <f t="shared" si="16"/>
        <v>0</v>
      </c>
      <c r="AC316" cm="1">
        <f t="array" ref="AC316">VLOOKUP($A316,Table_ship_components[],COLUMN(AC:AC),0)*C316</f>
        <v>0</v>
      </c>
      <c r="AD316" cm="1">
        <f t="array" ref="AD316">VLOOKUP($A316,Table_ship_components[],COLUMN(AD:AD),0)</f>
        <v>0</v>
      </c>
      <c r="AE316" cm="1">
        <f t="array" ref="AE316">VLOOKUP($A316,Table_ship_components[],COLUMN(AE:AE),0)</f>
        <v>0</v>
      </c>
      <c r="AF316" cm="1">
        <f t="array" ref="AF316">VLOOKUP($A316,Table_ship_components[],COLUMN(AF:AF),0)</f>
        <v>0</v>
      </c>
      <c r="AG316" cm="1">
        <f t="array" ref="AG316">VLOOKUP($A316,Table_ship_components[],COLUMN(AG:AG),0)</f>
        <v>0</v>
      </c>
      <c r="AH316" cm="1">
        <f t="array" ref="AH316">VLOOKUP($A316,Table_ship_components[],COLUMN(AH:AH),0)</f>
        <v>0</v>
      </c>
      <c r="AI316" cm="1">
        <f t="array" ref="AI316">VLOOKUP($A316,Table_ship_components[],COLUMN(AI:AI),0)</f>
        <v>0</v>
      </c>
      <c r="AJ316" cm="1">
        <f t="array" ref="AJ316">VLOOKUP($A316,Table_ship_components[],COLUMN(AJ:AJ),0)</f>
        <v>0</v>
      </c>
      <c r="AK316" cm="1">
        <f t="array" ref="AK316">VLOOKUP($A316,Table_ship_components[],COLUMN(AK:AK),0)</f>
        <v>0</v>
      </c>
      <c r="AL316" cm="1">
        <f t="array" ref="AL316">VLOOKUP($A316,Table_ship_components[],COLUMN(AL:AL),0)</f>
        <v>0</v>
      </c>
      <c r="AM316" cm="1">
        <f t="array" ref="AM316">VLOOKUP($A316,Table_ship_components[],COLUMN(AM:AM),0)</f>
        <v>0</v>
      </c>
      <c r="AN316" cm="1">
        <f t="array" ref="AN316">VLOOKUP($A316,Table_ship_components[],COLUMN(AN:AN),0)</f>
        <v>0</v>
      </c>
      <c r="AO316" cm="1">
        <f t="array" ref="AO316">VLOOKUP($A316,Table_ship_components[],COLUMN(AO:AO),0)</f>
        <v>0</v>
      </c>
      <c r="AP316" cm="1">
        <f t="array" ref="AP316">VLOOKUP($A316,Table_ship_components[],COLUMN(AP:AP),0)</f>
        <v>0</v>
      </c>
      <c r="AQ316" cm="1">
        <f t="array" ref="AQ316">VLOOKUP($A316,Table_ship_components[],COLUMN(AQ:AQ),0)</f>
        <v>0</v>
      </c>
      <c r="AR316" cm="1">
        <f t="array" ref="AR316">VLOOKUP($A316,Table_ship_components[],COLUMN(AR:AR),0)</f>
        <v>0</v>
      </c>
      <c r="AS316" cm="1">
        <f t="array" ref="AS316">VLOOKUP($A316,Table_ship_components[],COLUMN(AS:AS),0)</f>
        <v>0</v>
      </c>
      <c r="AT316" cm="1">
        <f t="array" ref="AT316">VLOOKUP($A316,Table_ship_components[],COLUMN(AT:AT),0)</f>
        <v>0</v>
      </c>
      <c r="AU316" s="2" cm="1">
        <f t="array" ref="AU316">VLOOKUP($A316,Table_ship_components[],COLUMN(AU:AU),0)</f>
        <v>0</v>
      </c>
      <c r="AV316" s="2" cm="1">
        <f t="array" ref="AV316">VLOOKUP($A316,Table_ship_components[],COLUMN(AV:AV),0)</f>
        <v>0</v>
      </c>
      <c r="AW316" s="2" cm="1">
        <f t="array" ref="AW316">VLOOKUP($A316,Table_ship_components[],COLUMN(AW:AW),0)</f>
        <v>0</v>
      </c>
      <c r="AX316" s="2" cm="1">
        <f t="array" ref="AX316">VLOOKUP($A316,Table_ship_components[],COLUMN(AX:AX),0)</f>
        <v>0</v>
      </c>
      <c r="AY316" s="2" cm="1">
        <f t="array" ref="AY316">VLOOKUP($A316,Table_ship_components[],COLUMN(AY:AY),0)</f>
        <v>0</v>
      </c>
      <c r="AZ316" s="2" t="str" cm="1">
        <f t="array" ref="AZ316">VLOOKUP($A316,Table_ship_components[],COLUMN(AZ:AZ),0)</f>
        <v>C</v>
      </c>
      <c r="BA316" s="14" cm="1">
        <f t="array" ref="BA316">VLOOKUP($A316,Table_ship_components[],COLUMN(BA:BA),0)</f>
        <v>0</v>
      </c>
      <c r="BB316" s="14" cm="1">
        <f t="array" ref="BB316">(VLOOKUP($A316,Table_ship_components[],COLUMN(BA:BA),0)+(W316*C316))</f>
        <v>0</v>
      </c>
      <c r="BC316" s="2" cm="1">
        <f t="array" ref="BC316">VLOOKUP($A316,Table_ship_components[],COLUMN(BC:BC),0)</f>
        <v>0</v>
      </c>
      <c r="BD316" s="2" cm="1">
        <f t="array" ref="BD316">VLOOKUP($A316,Table_ship_components[],COLUMN(BD:BD),0)</f>
        <v>0</v>
      </c>
    </row>
    <row r="317" spans="1:56" outlineLevel="1" x14ac:dyDescent="0.35">
      <c r="A317" t="s">
        <v>288</v>
      </c>
      <c r="B317" t="str" cm="1">
        <f t="array" ref="B317">VLOOKUP($A317,Table_ship_components[],COLUMN(B:B),0)</f>
        <v>PICK A COMPONENT</v>
      </c>
      <c r="D317" cm="1">
        <f t="array" ref="D317">VLOOKUP($A317,Table_ship_components[],COLUMN(D:D),0)</f>
        <v>0</v>
      </c>
      <c r="E317" cm="1">
        <f t="array" ref="E317">ROUND(VLOOKUP($A317,Table_ship_components[],COLUMN(D:D),0)+(V317*C317),0)</f>
        <v>0</v>
      </c>
      <c r="F317" cm="1">
        <f t="array" ref="F317">VLOOKUP($A317,Table_ship_components[],COLUMN(F:F),0)</f>
        <v>0</v>
      </c>
      <c r="G317" cm="1">
        <f t="array" ref="G317">ROUND(VLOOKUP($A317,Table_ship_components[],COLUMN(G:G),0)+(X317*C317),0)</f>
        <v>0</v>
      </c>
      <c r="H317" cm="1">
        <f t="array" ref="H317">VLOOKUP($A317,Table_ship_components[],COLUMN(H:H),0)</f>
        <v>0</v>
      </c>
      <c r="I317" cm="1">
        <f t="array" ref="I317">VLOOKUP($A317,Table_ship_components[],COLUMN(I:I),0)</f>
        <v>0</v>
      </c>
      <c r="J317" cm="1">
        <f t="array" ref="J317">VLOOKUP($A317,Table_ship_components[],COLUMN(J:J),0)</f>
        <v>0</v>
      </c>
      <c r="K317" cm="1">
        <f t="array" ref="K317">VLOOKUP($A317,Table_ship_components[],COLUMN(K:K),0)</f>
        <v>0</v>
      </c>
      <c r="L317" cm="1">
        <f t="array" ref="L317">VLOOKUP($A317,Table_ship_components[],COLUMN(L:L),0)</f>
        <v>0</v>
      </c>
      <c r="M317" cm="1">
        <f t="array" ref="M317">VLOOKUP($A317,Table_ship_components[],COLUMN(M:M),0)</f>
        <v>0</v>
      </c>
      <c r="N317" cm="1">
        <f t="array" ref="N317">VLOOKUP($A317,Table_ship_components[],COLUMN(N:N),0)</f>
        <v>0</v>
      </c>
      <c r="O317" cm="1">
        <f t="array" ref="O317">VLOOKUP($A317,Table_ship_components[],COLUMN(O:O),0)</f>
        <v>0</v>
      </c>
      <c r="P317" cm="1">
        <f t="array" ref="P317">VLOOKUP($A317,Table_ship_components[],COLUMN(P:P),0)</f>
        <v>0</v>
      </c>
      <c r="Q317" cm="1">
        <f t="array" ref="Q317">VLOOKUP($A317,Table_ship_components[],COLUMN(Q:Q),0)</f>
        <v>0</v>
      </c>
      <c r="R317" cm="1">
        <f t="array" ref="R317">VLOOKUP($A317,Table_ship_components[],COLUMN(R:R),0)</f>
        <v>0</v>
      </c>
      <c r="S317" cm="1">
        <f t="array" ref="S317">VLOOKUP($A317,Table_ship_components[],COLUMN(S:S),0)</f>
        <v>0</v>
      </c>
      <c r="T317" cm="1">
        <f t="array" ref="T317">VLOOKUP($A317,Table_ship_components[],COLUMN(T:T),0)</f>
        <v>0</v>
      </c>
      <c r="U317" cm="1">
        <f t="array" ref="U317">VLOOKUP($A317,Table_ship_components[],COLUMN(U:U),0)</f>
        <v>0</v>
      </c>
      <c r="V317" cm="1">
        <f t="array" ref="V317">VLOOKUP($A317,Table_ship_components[],COLUMN(V:V),0)</f>
        <v>0</v>
      </c>
      <c r="W317" s="15" cm="1">
        <f t="array" ref="W317">VLOOKUP($A317,Table_ship_components[],COLUMN(W:W),0)</f>
        <v>0</v>
      </c>
      <c r="X317" cm="1">
        <f t="array" ref="X317">VLOOKUP($A317,Table_ship_components[],COLUMN(X:X),0)</f>
        <v>0</v>
      </c>
      <c r="Y317" cm="1">
        <f t="array" ref="Y317">VLOOKUP($A317,Table_ship_components[],COLUMN(Y:Y),0)</f>
        <v>0</v>
      </c>
      <c r="Z317" cm="1">
        <f t="array" ref="Z317">VLOOKUP($A317,Table_ship_components[],COLUMN(Z:Z),0)</f>
        <v>0</v>
      </c>
      <c r="AA317" cm="1">
        <f t="array" ref="AA317">VLOOKUP($A317,Table_ship_components[],COLUMN(AA:AA),0)*C317</f>
        <v>0</v>
      </c>
      <c r="AB317">
        <f t="shared" si="16"/>
        <v>0</v>
      </c>
      <c r="AC317" cm="1">
        <f t="array" ref="AC317">VLOOKUP($A317,Table_ship_components[],COLUMN(AC:AC),0)*C317</f>
        <v>0</v>
      </c>
      <c r="AD317" cm="1">
        <f t="array" ref="AD317">VLOOKUP($A317,Table_ship_components[],COLUMN(AD:AD),0)</f>
        <v>0</v>
      </c>
      <c r="AE317" cm="1">
        <f t="array" ref="AE317">VLOOKUP($A317,Table_ship_components[],COLUMN(AE:AE),0)</f>
        <v>0</v>
      </c>
      <c r="AF317" cm="1">
        <f t="array" ref="AF317">VLOOKUP($A317,Table_ship_components[],COLUMN(AF:AF),0)</f>
        <v>0</v>
      </c>
      <c r="AG317" cm="1">
        <f t="array" ref="AG317">VLOOKUP($A317,Table_ship_components[],COLUMN(AG:AG),0)</f>
        <v>0</v>
      </c>
      <c r="AH317" cm="1">
        <f t="array" ref="AH317">VLOOKUP($A317,Table_ship_components[],COLUMN(AH:AH),0)</f>
        <v>0</v>
      </c>
      <c r="AI317" cm="1">
        <f t="array" ref="AI317">VLOOKUP($A317,Table_ship_components[],COLUMN(AI:AI),0)</f>
        <v>0</v>
      </c>
      <c r="AJ317" cm="1">
        <f t="array" ref="AJ317">VLOOKUP($A317,Table_ship_components[],COLUMN(AJ:AJ),0)</f>
        <v>0</v>
      </c>
      <c r="AK317" cm="1">
        <f t="array" ref="AK317">VLOOKUP($A317,Table_ship_components[],COLUMN(AK:AK),0)</f>
        <v>0</v>
      </c>
      <c r="AL317" cm="1">
        <f t="array" ref="AL317">VLOOKUP($A317,Table_ship_components[],COLUMN(AL:AL),0)</f>
        <v>0</v>
      </c>
      <c r="AM317" cm="1">
        <f t="array" ref="AM317">VLOOKUP($A317,Table_ship_components[],COLUMN(AM:AM),0)</f>
        <v>0</v>
      </c>
      <c r="AN317" cm="1">
        <f t="array" ref="AN317">VLOOKUP($A317,Table_ship_components[],COLUMN(AN:AN),0)</f>
        <v>0</v>
      </c>
      <c r="AO317" cm="1">
        <f t="array" ref="AO317">VLOOKUP($A317,Table_ship_components[],COLUMN(AO:AO),0)</f>
        <v>0</v>
      </c>
      <c r="AP317" cm="1">
        <f t="array" ref="AP317">VLOOKUP($A317,Table_ship_components[],COLUMN(AP:AP),0)</f>
        <v>0</v>
      </c>
      <c r="AQ317" cm="1">
        <f t="array" ref="AQ317">VLOOKUP($A317,Table_ship_components[],COLUMN(AQ:AQ),0)</f>
        <v>0</v>
      </c>
      <c r="AR317" cm="1">
        <f t="array" ref="AR317">VLOOKUP($A317,Table_ship_components[],COLUMN(AR:AR),0)</f>
        <v>0</v>
      </c>
      <c r="AS317" cm="1">
        <f t="array" ref="AS317">VLOOKUP($A317,Table_ship_components[],COLUMN(AS:AS),0)</f>
        <v>0</v>
      </c>
      <c r="AT317" cm="1">
        <f t="array" ref="AT317">VLOOKUP($A317,Table_ship_components[],COLUMN(AT:AT),0)</f>
        <v>0</v>
      </c>
      <c r="AU317" s="2" cm="1">
        <f t="array" ref="AU317">VLOOKUP($A317,Table_ship_components[],COLUMN(AU:AU),0)</f>
        <v>0</v>
      </c>
      <c r="AV317" s="2" cm="1">
        <f t="array" ref="AV317">VLOOKUP($A317,Table_ship_components[],COLUMN(AV:AV),0)</f>
        <v>0</v>
      </c>
      <c r="AW317" s="2" cm="1">
        <f t="array" ref="AW317">VLOOKUP($A317,Table_ship_components[],COLUMN(AW:AW),0)</f>
        <v>0</v>
      </c>
      <c r="AX317" s="2" cm="1">
        <f t="array" ref="AX317">VLOOKUP($A317,Table_ship_components[],COLUMN(AX:AX),0)</f>
        <v>0</v>
      </c>
      <c r="AY317" s="2" cm="1">
        <f t="array" ref="AY317">VLOOKUP($A317,Table_ship_components[],COLUMN(AY:AY),0)</f>
        <v>0</v>
      </c>
      <c r="AZ317" s="2" t="str" cm="1">
        <f t="array" ref="AZ317">VLOOKUP($A317,Table_ship_components[],COLUMN(AZ:AZ),0)</f>
        <v>C</v>
      </c>
      <c r="BA317" s="14" cm="1">
        <f t="array" ref="BA317">VLOOKUP($A317,Table_ship_components[],COLUMN(BA:BA),0)</f>
        <v>0</v>
      </c>
      <c r="BB317" s="14" cm="1">
        <f t="array" ref="BB317">(VLOOKUP($A317,Table_ship_components[],COLUMN(BA:BA),0)+(W317*C317))</f>
        <v>0</v>
      </c>
      <c r="BC317" s="2" cm="1">
        <f t="array" ref="BC317">VLOOKUP($A317,Table_ship_components[],COLUMN(BC:BC),0)</f>
        <v>0</v>
      </c>
      <c r="BD317" s="2" cm="1">
        <f t="array" ref="BD317">VLOOKUP($A317,Table_ship_components[],COLUMN(BD:BD),0)</f>
        <v>0</v>
      </c>
    </row>
    <row r="318" spans="1:56" outlineLevel="1" x14ac:dyDescent="0.35">
      <c r="A318" t="s">
        <v>288</v>
      </c>
      <c r="B318" t="str" cm="1">
        <f t="array" ref="B318">VLOOKUP($A318,Table_ship_components[],COLUMN(B:B),0)</f>
        <v>PICK A COMPONENT</v>
      </c>
      <c r="D318" cm="1">
        <f t="array" ref="D318">VLOOKUP($A318,Table_ship_components[],COLUMN(D:D),0)</f>
        <v>0</v>
      </c>
      <c r="E318" cm="1">
        <f t="array" ref="E318">ROUND(VLOOKUP($A318,Table_ship_components[],COLUMN(D:D),0)+(V318*C318),0)</f>
        <v>0</v>
      </c>
      <c r="F318" cm="1">
        <f t="array" ref="F318">VLOOKUP($A318,Table_ship_components[],COLUMN(F:F),0)</f>
        <v>0</v>
      </c>
      <c r="G318" cm="1">
        <f t="array" ref="G318">ROUND(VLOOKUP($A318,Table_ship_components[],COLUMN(G:G),0)+(X318*C318),0)</f>
        <v>0</v>
      </c>
      <c r="H318" cm="1">
        <f t="array" ref="H318">VLOOKUP($A318,Table_ship_components[],COLUMN(H:H),0)</f>
        <v>0</v>
      </c>
      <c r="I318" cm="1">
        <f t="array" ref="I318">VLOOKUP($A318,Table_ship_components[],COLUMN(I:I),0)</f>
        <v>0</v>
      </c>
      <c r="J318" cm="1">
        <f t="array" ref="J318">VLOOKUP($A318,Table_ship_components[],COLUMN(J:J),0)</f>
        <v>0</v>
      </c>
      <c r="K318" cm="1">
        <f t="array" ref="K318">VLOOKUP($A318,Table_ship_components[],COLUMN(K:K),0)</f>
        <v>0</v>
      </c>
      <c r="L318" cm="1">
        <f t="array" ref="L318">VLOOKUP($A318,Table_ship_components[],COLUMN(L:L),0)</f>
        <v>0</v>
      </c>
      <c r="M318" cm="1">
        <f t="array" ref="M318">VLOOKUP($A318,Table_ship_components[],COLUMN(M:M),0)</f>
        <v>0</v>
      </c>
      <c r="N318" cm="1">
        <f t="array" ref="N318">VLOOKUP($A318,Table_ship_components[],COLUMN(N:N),0)</f>
        <v>0</v>
      </c>
      <c r="O318" cm="1">
        <f t="array" ref="O318">VLOOKUP($A318,Table_ship_components[],COLUMN(O:O),0)</f>
        <v>0</v>
      </c>
      <c r="P318" cm="1">
        <f t="array" ref="P318">VLOOKUP($A318,Table_ship_components[],COLUMN(P:P),0)</f>
        <v>0</v>
      </c>
      <c r="Q318" cm="1">
        <f t="array" ref="Q318">VLOOKUP($A318,Table_ship_components[],COLUMN(Q:Q),0)</f>
        <v>0</v>
      </c>
      <c r="R318" cm="1">
        <f t="array" ref="R318">VLOOKUP($A318,Table_ship_components[],COLUMN(R:R),0)</f>
        <v>0</v>
      </c>
      <c r="S318" cm="1">
        <f t="array" ref="S318">VLOOKUP($A318,Table_ship_components[],COLUMN(S:S),0)</f>
        <v>0</v>
      </c>
      <c r="T318" cm="1">
        <f t="array" ref="T318">VLOOKUP($A318,Table_ship_components[],COLUMN(T:T),0)</f>
        <v>0</v>
      </c>
      <c r="U318" cm="1">
        <f t="array" ref="U318">VLOOKUP($A318,Table_ship_components[],COLUMN(U:U),0)</f>
        <v>0</v>
      </c>
      <c r="V318" cm="1">
        <f t="array" ref="V318">VLOOKUP($A318,Table_ship_components[],COLUMN(V:V),0)</f>
        <v>0</v>
      </c>
      <c r="W318" s="15" cm="1">
        <f t="array" ref="W318">VLOOKUP($A318,Table_ship_components[],COLUMN(W:W),0)</f>
        <v>0</v>
      </c>
      <c r="X318" cm="1">
        <f t="array" ref="X318">VLOOKUP($A318,Table_ship_components[],COLUMN(X:X),0)</f>
        <v>0</v>
      </c>
      <c r="Y318" cm="1">
        <f t="array" ref="Y318">VLOOKUP($A318,Table_ship_components[],COLUMN(Y:Y),0)</f>
        <v>0</v>
      </c>
      <c r="Z318" cm="1">
        <f t="array" ref="Z318">VLOOKUP($A318,Table_ship_components[],COLUMN(Z:Z),0)</f>
        <v>0</v>
      </c>
      <c r="AA318" cm="1">
        <f t="array" ref="AA318">VLOOKUP($A318,Table_ship_components[],COLUMN(AA:AA),0)*C318</f>
        <v>0</v>
      </c>
      <c r="AB318">
        <f t="shared" si="16"/>
        <v>0</v>
      </c>
      <c r="AC318" cm="1">
        <f t="array" ref="AC318">VLOOKUP($A318,Table_ship_components[],COLUMN(AC:AC),0)*C318</f>
        <v>0</v>
      </c>
      <c r="AD318" cm="1">
        <f t="array" ref="AD318">VLOOKUP($A318,Table_ship_components[],COLUMN(AD:AD),0)</f>
        <v>0</v>
      </c>
      <c r="AE318" cm="1">
        <f t="array" ref="AE318">VLOOKUP($A318,Table_ship_components[],COLUMN(AE:AE),0)</f>
        <v>0</v>
      </c>
      <c r="AF318" cm="1">
        <f t="array" ref="AF318">VLOOKUP($A318,Table_ship_components[],COLUMN(AF:AF),0)</f>
        <v>0</v>
      </c>
      <c r="AG318" cm="1">
        <f t="array" ref="AG318">VLOOKUP($A318,Table_ship_components[],COLUMN(AG:AG),0)</f>
        <v>0</v>
      </c>
      <c r="AH318" cm="1">
        <f t="array" ref="AH318">VLOOKUP($A318,Table_ship_components[],COLUMN(AH:AH),0)</f>
        <v>0</v>
      </c>
      <c r="AI318" cm="1">
        <f t="array" ref="AI318">VLOOKUP($A318,Table_ship_components[],COLUMN(AI:AI),0)</f>
        <v>0</v>
      </c>
      <c r="AJ318" cm="1">
        <f t="array" ref="AJ318">VLOOKUP($A318,Table_ship_components[],COLUMN(AJ:AJ),0)</f>
        <v>0</v>
      </c>
      <c r="AK318" cm="1">
        <f t="array" ref="AK318">VLOOKUP($A318,Table_ship_components[],COLUMN(AK:AK),0)</f>
        <v>0</v>
      </c>
      <c r="AL318" cm="1">
        <f t="array" ref="AL318">VLOOKUP($A318,Table_ship_components[],COLUMN(AL:AL),0)</f>
        <v>0</v>
      </c>
      <c r="AM318" cm="1">
        <f t="array" ref="AM318">VLOOKUP($A318,Table_ship_components[],COLUMN(AM:AM),0)</f>
        <v>0</v>
      </c>
      <c r="AN318" cm="1">
        <f t="array" ref="AN318">VLOOKUP($A318,Table_ship_components[],COLUMN(AN:AN),0)</f>
        <v>0</v>
      </c>
      <c r="AO318" cm="1">
        <f t="array" ref="AO318">VLOOKUP($A318,Table_ship_components[],COLUMN(AO:AO),0)</f>
        <v>0</v>
      </c>
      <c r="AP318" cm="1">
        <f t="array" ref="AP318">VLOOKUP($A318,Table_ship_components[],COLUMN(AP:AP),0)</f>
        <v>0</v>
      </c>
      <c r="AQ318" cm="1">
        <f t="array" ref="AQ318">VLOOKUP($A318,Table_ship_components[],COLUMN(AQ:AQ),0)</f>
        <v>0</v>
      </c>
      <c r="AR318" cm="1">
        <f t="array" ref="AR318">VLOOKUP($A318,Table_ship_components[],COLUMN(AR:AR),0)</f>
        <v>0</v>
      </c>
      <c r="AS318" cm="1">
        <f t="array" ref="AS318">VLOOKUP($A318,Table_ship_components[],COLUMN(AS:AS),0)</f>
        <v>0</v>
      </c>
      <c r="AT318" cm="1">
        <f t="array" ref="AT318">VLOOKUP($A318,Table_ship_components[],COLUMN(AT:AT),0)</f>
        <v>0</v>
      </c>
      <c r="AU318" s="2" cm="1">
        <f t="array" ref="AU318">VLOOKUP($A318,Table_ship_components[],COLUMN(AU:AU),0)</f>
        <v>0</v>
      </c>
      <c r="AV318" s="2" cm="1">
        <f t="array" ref="AV318">VLOOKUP($A318,Table_ship_components[],COLUMN(AV:AV),0)</f>
        <v>0</v>
      </c>
      <c r="AW318" s="2" cm="1">
        <f t="array" ref="AW318">VLOOKUP($A318,Table_ship_components[],COLUMN(AW:AW),0)</f>
        <v>0</v>
      </c>
      <c r="AX318" s="2" cm="1">
        <f t="array" ref="AX318">VLOOKUP($A318,Table_ship_components[],COLUMN(AX:AX),0)</f>
        <v>0</v>
      </c>
      <c r="AY318" s="2" cm="1">
        <f t="array" ref="AY318">VLOOKUP($A318,Table_ship_components[],COLUMN(AY:AY),0)</f>
        <v>0</v>
      </c>
      <c r="AZ318" s="2" t="str" cm="1">
        <f t="array" ref="AZ318">VLOOKUP($A318,Table_ship_components[],COLUMN(AZ:AZ),0)</f>
        <v>C</v>
      </c>
      <c r="BA318" s="14" cm="1">
        <f t="array" ref="BA318">VLOOKUP($A318,Table_ship_components[],COLUMN(BA:BA),0)</f>
        <v>0</v>
      </c>
      <c r="BB318" s="14" cm="1">
        <f t="array" ref="BB318">(VLOOKUP($A318,Table_ship_components[],COLUMN(BA:BA),0)+(W318*C318))</f>
        <v>0</v>
      </c>
      <c r="BC318" s="2" cm="1">
        <f t="array" ref="BC318">VLOOKUP($A318,Table_ship_components[],COLUMN(BC:BC),0)</f>
        <v>0</v>
      </c>
      <c r="BD318" s="2" cm="1">
        <f t="array" ref="BD318">VLOOKUP($A318,Table_ship_components[],COLUMN(BD:BD),0)</f>
        <v>0</v>
      </c>
    </row>
    <row r="319" spans="1:56" outlineLevel="1" x14ac:dyDescent="0.35">
      <c r="A319" t="s">
        <v>288</v>
      </c>
      <c r="B319" t="str" cm="1">
        <f t="array" ref="B319">VLOOKUP($A319,Table_ship_components[],COLUMN(B:B),0)</f>
        <v>PICK A COMPONENT</v>
      </c>
      <c r="D319" cm="1">
        <f t="array" ref="D319">VLOOKUP($A319,Table_ship_components[],COLUMN(D:D),0)</f>
        <v>0</v>
      </c>
      <c r="E319" cm="1">
        <f t="array" ref="E319">ROUND(VLOOKUP($A319,Table_ship_components[],COLUMN(D:D),0)+(V319*C319),0)</f>
        <v>0</v>
      </c>
      <c r="F319" cm="1">
        <f t="array" ref="F319">VLOOKUP($A319,Table_ship_components[],COLUMN(F:F),0)</f>
        <v>0</v>
      </c>
      <c r="G319" cm="1">
        <f t="array" ref="G319">ROUND(VLOOKUP($A319,Table_ship_components[],COLUMN(G:G),0)+(X319*C319),0)</f>
        <v>0</v>
      </c>
      <c r="H319" cm="1">
        <f t="array" ref="H319">VLOOKUP($A319,Table_ship_components[],COLUMN(H:H),0)</f>
        <v>0</v>
      </c>
      <c r="I319" cm="1">
        <f t="array" ref="I319">VLOOKUP($A319,Table_ship_components[],COLUMN(I:I),0)</f>
        <v>0</v>
      </c>
      <c r="J319" cm="1">
        <f t="array" ref="J319">VLOOKUP($A319,Table_ship_components[],COLUMN(J:J),0)</f>
        <v>0</v>
      </c>
      <c r="K319" cm="1">
        <f t="array" ref="K319">VLOOKUP($A319,Table_ship_components[],COLUMN(K:K),0)</f>
        <v>0</v>
      </c>
      <c r="L319" cm="1">
        <f t="array" ref="L319">VLOOKUP($A319,Table_ship_components[],COLUMN(L:L),0)</f>
        <v>0</v>
      </c>
      <c r="M319" cm="1">
        <f t="array" ref="M319">VLOOKUP($A319,Table_ship_components[],COLUMN(M:M),0)</f>
        <v>0</v>
      </c>
      <c r="N319" cm="1">
        <f t="array" ref="N319">VLOOKUP($A319,Table_ship_components[],COLUMN(N:N),0)</f>
        <v>0</v>
      </c>
      <c r="O319" cm="1">
        <f t="array" ref="O319">VLOOKUP($A319,Table_ship_components[],COLUMN(O:O),0)</f>
        <v>0</v>
      </c>
      <c r="P319" cm="1">
        <f t="array" ref="P319">VLOOKUP($A319,Table_ship_components[],COLUMN(P:P),0)</f>
        <v>0</v>
      </c>
      <c r="Q319" cm="1">
        <f t="array" ref="Q319">VLOOKUP($A319,Table_ship_components[],COLUMN(Q:Q),0)</f>
        <v>0</v>
      </c>
      <c r="R319" cm="1">
        <f t="array" ref="R319">VLOOKUP($A319,Table_ship_components[],COLUMN(R:R),0)</f>
        <v>0</v>
      </c>
      <c r="S319" cm="1">
        <f t="array" ref="S319">VLOOKUP($A319,Table_ship_components[],COLUMN(S:S),0)</f>
        <v>0</v>
      </c>
      <c r="T319" cm="1">
        <f t="array" ref="T319">VLOOKUP($A319,Table_ship_components[],COLUMN(T:T),0)</f>
        <v>0</v>
      </c>
      <c r="U319" cm="1">
        <f t="array" ref="U319">VLOOKUP($A319,Table_ship_components[],COLUMN(U:U),0)</f>
        <v>0</v>
      </c>
      <c r="V319" cm="1">
        <f t="array" ref="V319">VLOOKUP($A319,Table_ship_components[],COLUMN(V:V),0)</f>
        <v>0</v>
      </c>
      <c r="W319" s="15" cm="1">
        <f t="array" ref="W319">VLOOKUP($A319,Table_ship_components[],COLUMN(W:W),0)</f>
        <v>0</v>
      </c>
      <c r="X319" cm="1">
        <f t="array" ref="X319">VLOOKUP($A319,Table_ship_components[],COLUMN(X:X),0)</f>
        <v>0</v>
      </c>
      <c r="Y319" cm="1">
        <f t="array" ref="Y319">VLOOKUP($A319,Table_ship_components[],COLUMN(Y:Y),0)</f>
        <v>0</v>
      </c>
      <c r="Z319" cm="1">
        <f t="array" ref="Z319">VLOOKUP($A319,Table_ship_components[],COLUMN(Z:Z),0)</f>
        <v>0</v>
      </c>
      <c r="AA319" cm="1">
        <f t="array" ref="AA319">VLOOKUP($A319,Table_ship_components[],COLUMN(AA:AA),0)*C319</f>
        <v>0</v>
      </c>
      <c r="AB319">
        <f t="shared" si="16"/>
        <v>0</v>
      </c>
      <c r="AC319" cm="1">
        <f t="array" ref="AC319">VLOOKUP($A319,Table_ship_components[],COLUMN(AC:AC),0)*C319</f>
        <v>0</v>
      </c>
      <c r="AD319" cm="1">
        <f t="array" ref="AD319">VLOOKUP($A319,Table_ship_components[],COLUMN(AD:AD),0)</f>
        <v>0</v>
      </c>
      <c r="AE319" cm="1">
        <f t="array" ref="AE319">VLOOKUP($A319,Table_ship_components[],COLUMN(AE:AE),0)</f>
        <v>0</v>
      </c>
      <c r="AF319" cm="1">
        <f t="array" ref="AF319">VLOOKUP($A319,Table_ship_components[],COLUMN(AF:AF),0)</f>
        <v>0</v>
      </c>
      <c r="AG319" cm="1">
        <f t="array" ref="AG319">VLOOKUP($A319,Table_ship_components[],COLUMN(AG:AG),0)</f>
        <v>0</v>
      </c>
      <c r="AH319" cm="1">
        <f t="array" ref="AH319">VLOOKUP($A319,Table_ship_components[],COLUMN(AH:AH),0)</f>
        <v>0</v>
      </c>
      <c r="AI319" cm="1">
        <f t="array" ref="AI319">VLOOKUP($A319,Table_ship_components[],COLUMN(AI:AI),0)</f>
        <v>0</v>
      </c>
      <c r="AJ319" cm="1">
        <f t="array" ref="AJ319">VLOOKUP($A319,Table_ship_components[],COLUMN(AJ:AJ),0)</f>
        <v>0</v>
      </c>
      <c r="AK319" cm="1">
        <f t="array" ref="AK319">VLOOKUP($A319,Table_ship_components[],COLUMN(AK:AK),0)</f>
        <v>0</v>
      </c>
      <c r="AL319" cm="1">
        <f t="array" ref="AL319">VLOOKUP($A319,Table_ship_components[],COLUMN(AL:AL),0)</f>
        <v>0</v>
      </c>
      <c r="AM319" cm="1">
        <f t="array" ref="AM319">VLOOKUP($A319,Table_ship_components[],COLUMN(AM:AM),0)</f>
        <v>0</v>
      </c>
      <c r="AN319" cm="1">
        <f t="array" ref="AN319">VLOOKUP($A319,Table_ship_components[],COLUMN(AN:AN),0)</f>
        <v>0</v>
      </c>
      <c r="AO319" cm="1">
        <f t="array" ref="AO319">VLOOKUP($A319,Table_ship_components[],COLUMN(AO:AO),0)</f>
        <v>0</v>
      </c>
      <c r="AP319" cm="1">
        <f t="array" ref="AP319">VLOOKUP($A319,Table_ship_components[],COLUMN(AP:AP),0)</f>
        <v>0</v>
      </c>
      <c r="AQ319" cm="1">
        <f t="array" ref="AQ319">VLOOKUP($A319,Table_ship_components[],COLUMN(AQ:AQ),0)</f>
        <v>0</v>
      </c>
      <c r="AR319" cm="1">
        <f t="array" ref="AR319">VLOOKUP($A319,Table_ship_components[],COLUMN(AR:AR),0)</f>
        <v>0</v>
      </c>
      <c r="AS319" cm="1">
        <f t="array" ref="AS319">VLOOKUP($A319,Table_ship_components[],COLUMN(AS:AS),0)</f>
        <v>0</v>
      </c>
      <c r="AT319" cm="1">
        <f t="array" ref="AT319">VLOOKUP($A319,Table_ship_components[],COLUMN(AT:AT),0)</f>
        <v>0</v>
      </c>
      <c r="AU319" s="2" cm="1">
        <f t="array" ref="AU319">VLOOKUP($A319,Table_ship_components[],COLUMN(AU:AU),0)</f>
        <v>0</v>
      </c>
      <c r="AV319" s="2" cm="1">
        <f t="array" ref="AV319">VLOOKUP($A319,Table_ship_components[],COLUMN(AV:AV),0)</f>
        <v>0</v>
      </c>
      <c r="AW319" s="2" cm="1">
        <f t="array" ref="AW319">VLOOKUP($A319,Table_ship_components[],COLUMN(AW:AW),0)</f>
        <v>0</v>
      </c>
      <c r="AX319" s="2" cm="1">
        <f t="array" ref="AX319">VLOOKUP($A319,Table_ship_components[],COLUMN(AX:AX),0)</f>
        <v>0</v>
      </c>
      <c r="AY319" s="2" cm="1">
        <f t="array" ref="AY319">VLOOKUP($A319,Table_ship_components[],COLUMN(AY:AY),0)</f>
        <v>0</v>
      </c>
      <c r="AZ319" s="2" t="str" cm="1">
        <f t="array" ref="AZ319">VLOOKUP($A319,Table_ship_components[],COLUMN(AZ:AZ),0)</f>
        <v>C</v>
      </c>
      <c r="BA319" s="14" cm="1">
        <f t="array" ref="BA319">VLOOKUP($A319,Table_ship_components[],COLUMN(BA:BA),0)</f>
        <v>0</v>
      </c>
      <c r="BB319" s="14" cm="1">
        <f t="array" ref="BB319">(VLOOKUP($A319,Table_ship_components[],COLUMN(BA:BA),0)+(W319*C319))</f>
        <v>0</v>
      </c>
      <c r="BC319" s="2" cm="1">
        <f t="array" ref="BC319">VLOOKUP($A319,Table_ship_components[],COLUMN(BC:BC),0)</f>
        <v>0</v>
      </c>
      <c r="BD319" s="2" cm="1">
        <f t="array" ref="BD319">VLOOKUP($A319,Table_ship_components[],COLUMN(BD:BD),0)</f>
        <v>0</v>
      </c>
    </row>
    <row r="320" spans="1:56" ht="15" outlineLevel="1" thickBot="1" x14ac:dyDescent="0.4">
      <c r="D320" s="32"/>
      <c r="E320" s="32">
        <f>SUM(E290:E319)</f>
        <v>110</v>
      </c>
      <c r="F320" s="32"/>
      <c r="G320" s="32">
        <f t="shared" ref="G320:L320" si="17">SUM(G290:G319)</f>
        <v>69</v>
      </c>
      <c r="H320" s="32">
        <f t="shared" si="17"/>
        <v>0</v>
      </c>
      <c r="I320" s="32">
        <f t="shared" si="17"/>
        <v>75</v>
      </c>
      <c r="J320" s="32">
        <f t="shared" si="17"/>
        <v>0</v>
      </c>
      <c r="K320" s="32">
        <f t="shared" si="17"/>
        <v>40</v>
      </c>
      <c r="L320" s="32">
        <f t="shared" si="17"/>
        <v>5</v>
      </c>
      <c r="M320" s="32"/>
      <c r="N320" s="32"/>
      <c r="O320" s="32"/>
      <c r="P320" s="32"/>
      <c r="Q320" s="32"/>
      <c r="R320" s="32"/>
      <c r="S320" s="32"/>
      <c r="T320" s="32"/>
      <c r="U320" s="32"/>
      <c r="V320" s="32"/>
      <c r="W320" s="32"/>
      <c r="X320" s="32"/>
      <c r="Y320" s="32">
        <f t="shared" ref="Y320:AY320" si="18">SUM(Y290:Y319)</f>
        <v>1</v>
      </c>
      <c r="Z320" s="32">
        <f t="shared" si="18"/>
        <v>2</v>
      </c>
      <c r="AA320" s="32">
        <f t="shared" si="18"/>
        <v>20</v>
      </c>
      <c r="AB320" s="32">
        <f t="shared" si="18"/>
        <v>1</v>
      </c>
      <c r="AC320" s="32">
        <f t="shared" si="18"/>
        <v>22</v>
      </c>
      <c r="AD320" s="32">
        <f t="shared" si="18"/>
        <v>10</v>
      </c>
      <c r="AE320" s="32">
        <f t="shared" si="18"/>
        <v>0</v>
      </c>
      <c r="AF320" s="32">
        <f t="shared" si="18"/>
        <v>0</v>
      </c>
      <c r="AG320" s="32">
        <f t="shared" si="18"/>
        <v>0</v>
      </c>
      <c r="AH320" s="32">
        <f t="shared" si="18"/>
        <v>100</v>
      </c>
      <c r="AI320" s="32">
        <f t="shared" si="18"/>
        <v>1000</v>
      </c>
      <c r="AJ320" s="32">
        <f t="shared" si="18"/>
        <v>10000</v>
      </c>
      <c r="AK320" s="32">
        <f t="shared" si="18"/>
        <v>0</v>
      </c>
      <c r="AL320" s="32">
        <f t="shared" si="18"/>
        <v>2</v>
      </c>
      <c r="AM320" s="32">
        <f t="shared" si="18"/>
        <v>5</v>
      </c>
      <c r="AN320" s="32">
        <f t="shared" si="18"/>
        <v>15</v>
      </c>
      <c r="AO320" s="32">
        <f t="shared" si="18"/>
        <v>3</v>
      </c>
      <c r="AP320" s="32">
        <f t="shared" si="18"/>
        <v>10</v>
      </c>
      <c r="AQ320" s="32">
        <f t="shared" si="18"/>
        <v>1</v>
      </c>
      <c r="AR320" s="32">
        <f t="shared" si="18"/>
        <v>2</v>
      </c>
      <c r="AS320" s="32">
        <f t="shared" si="18"/>
        <v>1</v>
      </c>
      <c r="AT320" s="32">
        <f t="shared" si="18"/>
        <v>2</v>
      </c>
      <c r="AU320" s="32">
        <f t="shared" si="18"/>
        <v>3</v>
      </c>
      <c r="AV320" s="32">
        <f t="shared" si="18"/>
        <v>125</v>
      </c>
      <c r="AW320" s="32">
        <f t="shared" si="18"/>
        <v>30</v>
      </c>
      <c r="AX320" s="32">
        <f t="shared" si="18"/>
        <v>70</v>
      </c>
      <c r="AY320" s="32">
        <f t="shared" si="18"/>
        <v>25</v>
      </c>
      <c r="AZ320" s="32"/>
      <c r="BA320" s="33">
        <f>SUM(BA290:BA319)</f>
        <v>8197500</v>
      </c>
      <c r="BB320" s="33">
        <f>SUM(BB290:BB319)</f>
        <v>8562500</v>
      </c>
      <c r="BC320" s="32"/>
      <c r="BD320" s="32"/>
    </row>
    <row r="321" spans="1:56" ht="19" outlineLevel="1" thickTop="1" x14ac:dyDescent="0.45">
      <c r="A321" s="35" t="s">
        <v>691</v>
      </c>
      <c r="B321" s="34">
        <f>BB320</f>
        <v>8562500</v>
      </c>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7"/>
      <c r="BB321" s="37"/>
      <c r="BC321" s="36"/>
      <c r="BD321" s="36"/>
    </row>
    <row r="322" spans="1:56" ht="21" x14ac:dyDescent="0.5">
      <c r="A322" s="38" t="s">
        <v>692</v>
      </c>
      <c r="B322" s="38" t="s">
        <v>702</v>
      </c>
    </row>
    <row r="323" spans="1:56" outlineLevel="1" x14ac:dyDescent="0.35">
      <c r="A323" t="s">
        <v>703</v>
      </c>
      <c r="B323" t="str" cm="1">
        <f t="array" ref="B323">VLOOKUP($A323,Table_ship_components[],COLUMN(B:B),0)</f>
        <v>dropship corvette template</v>
      </c>
      <c r="D323" cm="1">
        <f t="array" ref="D323">VLOOKUP($A323,Table_ship_components[],COLUMN(D:D),0)</f>
        <v>0</v>
      </c>
      <c r="E323" cm="1">
        <f t="array" ref="E323">(VLOOKUP($A323,Table_ship_components[],COLUMN(D:D),0)+(V323*C323))</f>
        <v>0</v>
      </c>
      <c r="F323" cm="1">
        <f t="array" ref="F323">VLOOKUP($A323,Table_ship_components[],COLUMN(F:F),0)</f>
        <v>0</v>
      </c>
      <c r="G323" cm="1">
        <f t="array" ref="G323">(VLOOKUP($A323,Table_ship_components[],COLUMN(G:G),0)+(X323*C323))</f>
        <v>0</v>
      </c>
      <c r="H323" cm="1">
        <f t="array" ref="H323">VLOOKUP($A323,Table_ship_components[],COLUMN(H:H),0)</f>
        <v>0</v>
      </c>
      <c r="I323" cm="1">
        <f t="array" ref="I323">VLOOKUP($A323,Table_ship_components[],COLUMN(I:I),0)</f>
        <v>0</v>
      </c>
      <c r="J323" cm="1">
        <f t="array" ref="J323">VLOOKUP($A323,Table_ship_components[],COLUMN(J:J),0)</f>
        <v>0</v>
      </c>
      <c r="K323" cm="1">
        <f t="array" ref="K323">VLOOKUP($A323,Table_ship_components[],COLUMN(K:K),0)</f>
        <v>0</v>
      </c>
      <c r="L323" cm="1">
        <f t="array" ref="L323">VLOOKUP($A323,Table_ship_components[],COLUMN(L:L),0)</f>
        <v>0</v>
      </c>
      <c r="M323" cm="1">
        <f t="array" ref="M323">VLOOKUP($A323,Table_ship_components[],COLUMN(M:M),0)</f>
        <v>0</v>
      </c>
      <c r="N323" cm="1">
        <f t="array" ref="N323">VLOOKUP($A323,Table_ship_components[],COLUMN(N:N),0)</f>
        <v>0</v>
      </c>
      <c r="O323" cm="1">
        <f t="array" ref="O323">VLOOKUP($A323,Table_ship_components[],COLUMN(O:O),0)</f>
        <v>0</v>
      </c>
      <c r="P323" cm="1">
        <f t="array" ref="P323">VLOOKUP($A323,Table_ship_components[],COLUMN(P:P),0)</f>
        <v>0</v>
      </c>
      <c r="Q323" cm="1">
        <f t="array" ref="Q323">VLOOKUP($A323,Table_ship_components[],COLUMN(Q:Q),0)</f>
        <v>0</v>
      </c>
      <c r="R323" cm="1">
        <f t="array" ref="R323">VLOOKUP($A323,Table_ship_components[],COLUMN(R:R),0)</f>
        <v>0</v>
      </c>
      <c r="S323" cm="1">
        <f t="array" ref="S323">VLOOKUP($A323,Table_ship_components[],COLUMN(S:S),0)</f>
        <v>0</v>
      </c>
      <c r="T323" cm="1">
        <f t="array" ref="T323">VLOOKUP($A323,Table_ship_components[],COLUMN(T:T),0)</f>
        <v>0</v>
      </c>
      <c r="U323" cm="1">
        <f t="array" ref="U323">VLOOKUP($A323,Table_ship_components[],COLUMN(U:U),0)</f>
        <v>0</v>
      </c>
      <c r="V323" cm="1">
        <f t="array" ref="V323">VLOOKUP($A323,Table_ship_components[],COLUMN(V:V),0)</f>
        <v>0</v>
      </c>
      <c r="W323" s="15" cm="1">
        <f t="array" ref="W323">VLOOKUP($A323,Table_ship_components[],COLUMN(W:W),0)</f>
        <v>0</v>
      </c>
      <c r="X323" cm="1">
        <f t="array" ref="X323">VLOOKUP($A323,Table_ship_components[],COLUMN(X:X),0)</f>
        <v>0</v>
      </c>
      <c r="Y323" cm="1">
        <f t="array" ref="Y323">VLOOKUP($A323,Table_ship_components[],COLUMN(Y:Y),0)</f>
        <v>0</v>
      </c>
      <c r="Z323" cm="1">
        <f t="array" ref="Z323">VLOOKUP($A323,Table_ship_components[],COLUMN(Z:Z),0)</f>
        <v>0</v>
      </c>
      <c r="AA323" cm="1">
        <f t="array" ref="AA323">VLOOKUP($A323,Table_ship_components[],COLUMN(AA:AA),0)</f>
        <v>0</v>
      </c>
      <c r="AB323" cm="1">
        <f t="array" ref="AB323">VLOOKUP($A323,Table_ship_components[],COLUMN(AB:AB),0)</f>
        <v>0</v>
      </c>
      <c r="AC323" cm="1">
        <f t="array" ref="AC323">VLOOKUP($A323,Table_ship_components[],COLUMN(AC:AC),0)</f>
        <v>0</v>
      </c>
      <c r="AD323" cm="1">
        <f t="array" ref="AD323">VLOOKUP($A323,Table_ship_components[],COLUMN(AD:AD),0)</f>
        <v>0</v>
      </c>
      <c r="AE323" cm="1">
        <f t="array" ref="AE323">VLOOKUP($A323,Table_ship_components[],COLUMN(AE:AE),0)</f>
        <v>0</v>
      </c>
      <c r="AF323" cm="1">
        <f t="array" ref="AF323">VLOOKUP($A323,Table_ship_components[],COLUMN(AF:AF),0)</f>
        <v>0</v>
      </c>
      <c r="AG323" cm="1">
        <f t="array" ref="AG323">VLOOKUP($A323,Table_ship_components[],COLUMN(AG:AG),0)</f>
        <v>0</v>
      </c>
      <c r="AH323" cm="1">
        <f t="array" ref="AH323">VLOOKUP($A323,Table_ship_components[],COLUMN(AH:AH),0)</f>
        <v>0</v>
      </c>
      <c r="AI323" cm="1">
        <f t="array" ref="AI323">VLOOKUP($A323,Table_ship_components[],COLUMN(AI:AI),0)</f>
        <v>0</v>
      </c>
      <c r="AJ323" cm="1">
        <f t="array" ref="AJ323">VLOOKUP($A323,Table_ship_components[],COLUMN(AJ:AJ),0)</f>
        <v>0</v>
      </c>
      <c r="AK323" cm="1">
        <f t="array" ref="AK323">VLOOKUP($A323,Table_ship_components[],COLUMN(AK:AK),0)</f>
        <v>0</v>
      </c>
      <c r="AL323" cm="1">
        <f t="array" ref="AL323">VLOOKUP($A323,Table_ship_components[],COLUMN(AL:AL),0)</f>
        <v>0</v>
      </c>
      <c r="AM323" cm="1">
        <f t="array" ref="AM323">VLOOKUP($A323,Table_ship_components[],COLUMN(AM:AM),0)</f>
        <v>3</v>
      </c>
      <c r="AN323" cm="1">
        <f t="array" ref="AN323">VLOOKUP($A323,Table_ship_components[],COLUMN(AN:AN),0)</f>
        <v>10</v>
      </c>
      <c r="AO323" cm="1">
        <f t="array" ref="AO323">VLOOKUP($A323,Table_ship_components[],COLUMN(AO:AO),0)</f>
        <v>3</v>
      </c>
      <c r="AP323" cm="1">
        <f t="array" ref="AP323">VLOOKUP($A323,Table_ship_components[],COLUMN(AP:AP),0)</f>
        <v>10</v>
      </c>
      <c r="AQ323" cm="1">
        <f t="array" ref="AQ323">VLOOKUP($A323,Table_ship_components[],COLUMN(AQ:AQ),0)</f>
        <v>2</v>
      </c>
      <c r="AR323" cm="1">
        <f t="array" ref="AR323">VLOOKUP($A323,Table_ship_components[],COLUMN(AR:AR),0)</f>
        <v>2</v>
      </c>
      <c r="AS323" cm="1">
        <f t="array" ref="AS323">VLOOKUP($A323,Table_ship_components[],COLUMN(AS:AS),0)</f>
        <v>2</v>
      </c>
      <c r="AT323" cm="1">
        <f t="array" ref="AT323">VLOOKUP($A323,Table_ship_components[],COLUMN(AT:AT),0)</f>
        <v>2</v>
      </c>
      <c r="AU323" s="2" cm="1">
        <f t="array" ref="AU323">VLOOKUP($A323,Table_ship_components[],COLUMN(AU:AU),0)</f>
        <v>2</v>
      </c>
      <c r="AV323" s="2" cm="1">
        <f t="array" ref="AV323">VLOOKUP($A323,Table_ship_components[],COLUMN(AV:AV),0)</f>
        <v>125</v>
      </c>
      <c r="AW323" s="2" cm="1">
        <f t="array" ref="AW323">VLOOKUP($A323,Table_ship_components[],COLUMN(AW:AW),0)</f>
        <v>30</v>
      </c>
      <c r="AX323" s="2" cm="1">
        <f t="array" ref="AX323">VLOOKUP($A323,Table_ship_components[],COLUMN(AX:AX),0)</f>
        <v>60</v>
      </c>
      <c r="AY323" s="2" cm="1">
        <f t="array" ref="AY323">VLOOKUP($A323,Table_ship_components[],COLUMN(AY:AY),0)</f>
        <v>35</v>
      </c>
      <c r="AZ323" s="2" t="str" cm="1">
        <f t="array" ref="AZ323">VLOOKUP($A323,Table_ship_components[],COLUMN(AZ:AZ),0)</f>
        <v>C</v>
      </c>
      <c r="BA323" s="14" cm="1">
        <f t="array" ref="BA323">VLOOKUP($A323,Table_ship_components[],COLUMN(BA:BA),0)</f>
        <v>1817500</v>
      </c>
      <c r="BB323" s="14" cm="1">
        <f t="array" ref="BB323">(VLOOKUP($A323,Table_ship_components[],COLUMN(BA:BA),0)+(W323*C323))</f>
        <v>1817500</v>
      </c>
      <c r="BC323" s="2" cm="1">
        <f t="array" ref="BC323">VLOOKUP($A323,Table_ship_components[],COLUMN(BC:BC),0)</f>
        <v>0</v>
      </c>
      <c r="BD323" s="2" cm="1">
        <f t="array" ref="BD323">VLOOKUP($A323,Table_ship_components[],COLUMN(BD:BD),0)</f>
        <v>0</v>
      </c>
    </row>
    <row r="324" spans="1:56" outlineLevel="1" x14ac:dyDescent="0.35"/>
    <row r="325" spans="1:56" outlineLevel="1" x14ac:dyDescent="0.35">
      <c r="A325" s="40" t="str">
        <f>CONCATENATE("LIFE SUPPORT VALID : ",IF((SUM(Z353:AA353)&lt;=AC353),"YES","NO"))</f>
        <v>LIFE SUPPORT VALID : YES</v>
      </c>
      <c r="B325" s="39" t="str">
        <f>CONCATENATE("TOTAL SIZE ",(SUM(E327:E352))," TOTAL POWER ",(SUM(G327:G352))," / ",(SUM(I327:I352)))</f>
        <v>TOTAL SIZE 111 TOTAL POWER 68 / 75</v>
      </c>
    </row>
    <row r="326" spans="1:56" outlineLevel="1" x14ac:dyDescent="0.35">
      <c r="A326" s="18" t="s">
        <v>423</v>
      </c>
      <c r="B326" s="19" t="str">
        <f>CONCATENATE("SIZE ",(SUM(E327:E331)),"/", AW323,"  POWER ",(SUM(G327:G331)),)</f>
        <v>SIZE 29/30  POWER 15</v>
      </c>
      <c r="C326" s="31" t="s">
        <v>521</v>
      </c>
    </row>
    <row r="327" spans="1:56" outlineLevel="1" x14ac:dyDescent="0.35">
      <c r="A327" t="s">
        <v>370</v>
      </c>
      <c r="B327" t="str" cm="1">
        <f t="array" ref="B327">VLOOKUP($A327,Table_ship_components[],COLUMN(B:B),0)</f>
        <v>avg corvette power plant</v>
      </c>
      <c r="D327" cm="1">
        <f t="array" ref="D327">VLOOKUP($A327,Table_ship_components[],COLUMN(D:D),0)</f>
        <v>14</v>
      </c>
      <c r="E327" cm="1">
        <f t="array" ref="E327">ROUND(VLOOKUP($A327,Table_ship_components[],COLUMN(D:D),0)+(V327*C327),0)</f>
        <v>14</v>
      </c>
      <c r="F327" cm="1">
        <f t="array" ref="F327">VLOOKUP($A327,Table_ship_components[],COLUMN(F:F),0)</f>
        <v>0</v>
      </c>
      <c r="G327" cm="1">
        <f t="array" ref="G327">ROUND(VLOOKUP($A327,Table_ship_components[],COLUMN(G:G),0)+(X327*C327),0)</f>
        <v>0</v>
      </c>
      <c r="H327" cm="1">
        <f t="array" ref="H327">VLOOKUP($A327,Table_ship_components[],COLUMN(H:H),0)</f>
        <v>0</v>
      </c>
      <c r="I327" cm="1">
        <f t="array" ref="I327">VLOOKUP($A327,Table_ship_components[],COLUMN(I:I),0)</f>
        <v>75</v>
      </c>
      <c r="J327" cm="1">
        <f t="array" ref="J327">VLOOKUP($A327,Table_ship_components[],COLUMN(J:J),0)</f>
        <v>0</v>
      </c>
      <c r="K327" cm="1">
        <f t="array" ref="K327">VLOOKUP($A327,Table_ship_components[],COLUMN(K:K),0)</f>
        <v>0</v>
      </c>
      <c r="L327" cm="1">
        <f t="array" ref="L327">VLOOKUP($A327,Table_ship_components[],COLUMN(L:L),0)</f>
        <v>0</v>
      </c>
      <c r="M327" cm="1">
        <f t="array" ref="M327">VLOOKUP($A327,Table_ship_components[],COLUMN(M:M),0)</f>
        <v>0</v>
      </c>
      <c r="N327" cm="1">
        <f t="array" ref="N327">VLOOKUP($A327,Table_ship_components[],COLUMN(N:N),0)</f>
        <v>0</v>
      </c>
      <c r="O327" cm="1">
        <f t="array" ref="O327">VLOOKUP($A327,Table_ship_components[],COLUMN(O:O),0)</f>
        <v>1</v>
      </c>
      <c r="P327" cm="1">
        <f t="array" ref="P327">VLOOKUP($A327,Table_ship_components[],COLUMN(P:P),0)</f>
        <v>1</v>
      </c>
      <c r="Q327" cm="1">
        <f t="array" ref="Q327">VLOOKUP($A327,Table_ship_components[],COLUMN(Q:Q),0)</f>
        <v>1</v>
      </c>
      <c r="R327" cm="1">
        <f t="array" ref="R327">VLOOKUP($A327,Table_ship_components[],COLUMN(R:R),0)</f>
        <v>1</v>
      </c>
      <c r="S327" cm="1">
        <f t="array" ref="S327">VLOOKUP($A327,Table_ship_components[],COLUMN(S:S),0)</f>
        <v>1</v>
      </c>
      <c r="T327" cm="1">
        <f t="array" ref="T327">VLOOKUP($A327,Table_ship_components[],COLUMN(T:T),0)</f>
        <v>1</v>
      </c>
      <c r="U327" cm="1">
        <f t="array" ref="U327">VLOOKUP($A327,Table_ship_components[],COLUMN(U:U),0)</f>
        <v>0</v>
      </c>
      <c r="V327" cm="1">
        <f t="array" ref="V327">VLOOKUP($A327,Table_ship_components[],COLUMN(V:V),0)</f>
        <v>0</v>
      </c>
      <c r="W327" s="15" cm="1">
        <f t="array" ref="W327">VLOOKUP($A327,Table_ship_components[],COLUMN(W:W),0)</f>
        <v>0</v>
      </c>
      <c r="X327" cm="1">
        <f t="array" ref="X327">VLOOKUP($A327,Table_ship_components[],COLUMN(X:X),0)</f>
        <v>0</v>
      </c>
      <c r="Y327" cm="1">
        <f t="array" ref="Y327">VLOOKUP($A327,Table_ship_components[],COLUMN(Y:Y),0)</f>
        <v>0</v>
      </c>
      <c r="Z327" cm="1">
        <f t="array" ref="Z327">VLOOKUP($A327,Table_ship_components[],COLUMN(Z:Z),0)</f>
        <v>0</v>
      </c>
      <c r="AA327" cm="1">
        <f t="array" ref="AA327">VLOOKUP($A327,Table_ship_components[],COLUMN(AA:AA),0)*C327</f>
        <v>0</v>
      </c>
      <c r="AB327">
        <f>IF(A327="CARGOSPACE_0-ALL_0-UNIVERSAL",C327,0)</f>
        <v>0</v>
      </c>
      <c r="AC327" cm="1">
        <f t="array" ref="AC327">VLOOKUP($A327,Table_ship_components[],COLUMN(AC:AC),0)*C327</f>
        <v>0</v>
      </c>
      <c r="AD327" cm="1">
        <f t="array" ref="AD327">VLOOKUP($A327,Table_ship_components[],COLUMN(AD:AD),0)</f>
        <v>0</v>
      </c>
      <c r="AE327" cm="1">
        <f t="array" ref="AE327">VLOOKUP($A327,Table_ship_components[],COLUMN(AE:AE),0)</f>
        <v>0</v>
      </c>
      <c r="AF327" cm="1">
        <f t="array" ref="AF327">VLOOKUP($A327,Table_ship_components[],COLUMN(AF:AF),0)</f>
        <v>0</v>
      </c>
      <c r="AG327" cm="1">
        <f t="array" ref="AG327">VLOOKUP($A327,Table_ship_components[],COLUMN(AG:AG),0)</f>
        <v>0</v>
      </c>
      <c r="AH327" cm="1">
        <f t="array" ref="AH327">VLOOKUP($A327,Table_ship_components[],COLUMN(AH:AH),0)</f>
        <v>0</v>
      </c>
      <c r="AI327" cm="1">
        <f t="array" ref="AI327">VLOOKUP($A327,Table_ship_components[],COLUMN(AI:AI),0)</f>
        <v>0</v>
      </c>
      <c r="AJ327" cm="1">
        <f t="array" ref="AJ327">VLOOKUP($A327,Table_ship_components[],COLUMN(AJ:AJ),0)</f>
        <v>0</v>
      </c>
      <c r="AK327" cm="1">
        <f t="array" ref="AK327">VLOOKUP($A327,Table_ship_components[],COLUMN(AK:AK),0)</f>
        <v>0</v>
      </c>
      <c r="AL327" cm="1">
        <f t="array" ref="AL327">VLOOKUP($A327,Table_ship_components[],COLUMN(AL:AL),0)</f>
        <v>0</v>
      </c>
      <c r="AM327" cm="1">
        <f t="array" ref="AM327">VLOOKUP($A327,Table_ship_components[],COLUMN(AM:AM),0)</f>
        <v>0</v>
      </c>
      <c r="AN327" cm="1">
        <f t="array" ref="AN327">VLOOKUP($A327,Table_ship_components[],COLUMN(AN:AN),0)</f>
        <v>0</v>
      </c>
      <c r="AO327" cm="1">
        <f t="array" ref="AO327">VLOOKUP($A327,Table_ship_components[],COLUMN(AO:AO),0)</f>
        <v>0</v>
      </c>
      <c r="AP327" cm="1">
        <f t="array" ref="AP327">VLOOKUP($A327,Table_ship_components[],COLUMN(AP:AP),0)</f>
        <v>0</v>
      </c>
      <c r="AQ327" cm="1">
        <f t="array" ref="AQ327">VLOOKUP($A327,Table_ship_components[],COLUMN(AQ:AQ),0)</f>
        <v>0</v>
      </c>
      <c r="AR327" cm="1">
        <f t="array" ref="AR327">VLOOKUP($A327,Table_ship_components[],COLUMN(AR:AR),0)</f>
        <v>0</v>
      </c>
      <c r="AS327" cm="1">
        <f t="array" ref="AS327">VLOOKUP($A327,Table_ship_components[],COLUMN(AS:AS),0)</f>
        <v>0</v>
      </c>
      <c r="AT327" cm="1">
        <f t="array" ref="AT327">VLOOKUP($A327,Table_ship_components[],COLUMN(AT:AT),0)</f>
        <v>0</v>
      </c>
      <c r="AU327" s="2" cm="1">
        <f t="array" ref="AU327">VLOOKUP($A327,Table_ship_components[],COLUMN(AU:AU),0)</f>
        <v>0</v>
      </c>
      <c r="AV327" s="2" cm="1">
        <f t="array" ref="AV327">VLOOKUP($A327,Table_ship_components[],COLUMN(AV:AV),0)</f>
        <v>0</v>
      </c>
      <c r="AW327" s="2" cm="1">
        <f t="array" ref="AW327">VLOOKUP($A327,Table_ship_components[],COLUMN(AW:AW),0)</f>
        <v>0</v>
      </c>
      <c r="AX327" s="2" cm="1">
        <f t="array" ref="AX327">VLOOKUP($A327,Table_ship_components[],COLUMN(AX:AX),0)</f>
        <v>0</v>
      </c>
      <c r="AY327" s="2" cm="1">
        <f t="array" ref="AY327">VLOOKUP($A327,Table_ship_components[],COLUMN(AY:AY),0)</f>
        <v>0</v>
      </c>
      <c r="AZ327" s="2" t="str" cm="1">
        <f t="array" ref="AZ327">VLOOKUP($A327,Table_ship_components[],COLUMN(AZ:AZ),0)</f>
        <v>C</v>
      </c>
      <c r="BA327" s="14" cm="1">
        <f t="array" ref="BA327">VLOOKUP($A327,Table_ship_components[],COLUMN(BA:BA),0)</f>
        <v>500000</v>
      </c>
      <c r="BB327" s="14" cm="1">
        <f t="array" ref="BB327">(VLOOKUP($A327,Table_ship_components[],COLUMN(BA:BA),0)+(W327*C327))</f>
        <v>500000</v>
      </c>
      <c r="BC327" s="2" cm="1">
        <f t="array" ref="BC327">VLOOKUP($A327,Table_ship_components[],COLUMN(BC:BC),0)</f>
        <v>0</v>
      </c>
      <c r="BD327" s="2" cm="1">
        <f t="array" ref="BD327">VLOOKUP($A327,Table_ship_components[],COLUMN(BD:BD),0)</f>
        <v>0</v>
      </c>
    </row>
    <row r="328" spans="1:56" outlineLevel="1" x14ac:dyDescent="0.35">
      <c r="A328" t="s">
        <v>637</v>
      </c>
      <c r="B328" t="str" cm="1">
        <f t="array" ref="B328">VLOOKUP($A328,Table_ship_components[],COLUMN(B:B),0)</f>
        <v>med speed corvette balanced engine</v>
      </c>
      <c r="D328" cm="1">
        <f t="array" ref="D328">VLOOKUP($A328,Table_ship_components[],COLUMN(D:D),0)</f>
        <v>10</v>
      </c>
      <c r="E328" cm="1">
        <f t="array" ref="E328">ROUND(VLOOKUP($A328,Table_ship_components[],COLUMN(D:D),0)+(V328*C328),0)</f>
        <v>10</v>
      </c>
      <c r="F328" cm="1">
        <f t="array" ref="F328">VLOOKUP($A328,Table_ship_components[],COLUMN(F:F),0)</f>
        <v>11</v>
      </c>
      <c r="G328" cm="1">
        <f t="array" ref="G328">ROUND(VLOOKUP($A328,Table_ship_components[],COLUMN(G:G),0)+(X328*C328),0)</f>
        <v>11</v>
      </c>
      <c r="H328" cm="1">
        <f t="array" ref="H328">VLOOKUP($A328,Table_ship_components[],COLUMN(H:H),0)</f>
        <v>0</v>
      </c>
      <c r="I328" cm="1">
        <f t="array" ref="I328">VLOOKUP($A328,Table_ship_components[],COLUMN(I:I),0)</f>
        <v>0</v>
      </c>
      <c r="J328" cm="1">
        <f t="array" ref="J328">VLOOKUP($A328,Table_ship_components[],COLUMN(J:J),0)</f>
        <v>0</v>
      </c>
      <c r="K328" cm="1">
        <f t="array" ref="K328">VLOOKUP($A328,Table_ship_components[],COLUMN(K:K),0)</f>
        <v>0</v>
      </c>
      <c r="L328" cm="1">
        <f t="array" ref="L328">VLOOKUP($A328,Table_ship_components[],COLUMN(L:L),0)</f>
        <v>0</v>
      </c>
      <c r="M328" cm="1">
        <f t="array" ref="M328">VLOOKUP($A328,Table_ship_components[],COLUMN(M:M),0)</f>
        <v>0</v>
      </c>
      <c r="N328" cm="1">
        <f t="array" ref="N328">VLOOKUP($A328,Table_ship_components[],COLUMN(N:N),0)</f>
        <v>0</v>
      </c>
      <c r="O328" cm="1">
        <f t="array" ref="O328">VLOOKUP($A328,Table_ship_components[],COLUMN(O:O),0)</f>
        <v>1</v>
      </c>
      <c r="P328" cm="1">
        <f t="array" ref="P328">VLOOKUP($A328,Table_ship_components[],COLUMN(P:P),0)</f>
        <v>0</v>
      </c>
      <c r="Q328" cm="1">
        <f t="array" ref="Q328">VLOOKUP($A328,Table_ship_components[],COLUMN(Q:Q),0)</f>
        <v>0</v>
      </c>
      <c r="R328" cm="1">
        <f t="array" ref="R328">VLOOKUP($A328,Table_ship_components[],COLUMN(R:R),0)</f>
        <v>0</v>
      </c>
      <c r="S328" cm="1">
        <f t="array" ref="S328">VLOOKUP($A328,Table_ship_components[],COLUMN(S:S),0)</f>
        <v>0</v>
      </c>
      <c r="T328" cm="1">
        <f t="array" ref="T328">VLOOKUP($A328,Table_ship_components[],COLUMN(T:T),0)</f>
        <v>0</v>
      </c>
      <c r="U328" cm="1">
        <f t="array" ref="U328">VLOOKUP($A328,Table_ship_components[],COLUMN(U:U),0)</f>
        <v>0</v>
      </c>
      <c r="V328" cm="1">
        <f t="array" ref="V328">VLOOKUP($A328,Table_ship_components[],COLUMN(V:V),0)</f>
        <v>0</v>
      </c>
      <c r="W328" s="15" cm="1">
        <f t="array" ref="W328">VLOOKUP($A328,Table_ship_components[],COLUMN(W:W),0)</f>
        <v>0</v>
      </c>
      <c r="X328" cm="1">
        <f t="array" ref="X328">VLOOKUP($A328,Table_ship_components[],COLUMN(X:X),0)</f>
        <v>0</v>
      </c>
      <c r="Y328" cm="1">
        <f t="array" ref="Y328">VLOOKUP($A328,Table_ship_components[],COLUMN(Y:Y),0)</f>
        <v>0</v>
      </c>
      <c r="Z328" cm="1">
        <f t="array" ref="Z328">VLOOKUP($A328,Table_ship_components[],COLUMN(Z:Z),0)</f>
        <v>0</v>
      </c>
      <c r="AA328" cm="1">
        <f t="array" ref="AA328">VLOOKUP($A328,Table_ship_components[],COLUMN(AA:AA),0)*C328</f>
        <v>0</v>
      </c>
      <c r="AB328">
        <f t="shared" ref="AB328:AB331" si="19">IF(A328="CARGOSPACE_0-ALL_0-UNIVERSAL",C328,0)</f>
        <v>0</v>
      </c>
      <c r="AC328" cm="1">
        <f t="array" ref="AC328">VLOOKUP($A328,Table_ship_components[],COLUMN(AC:AC),0)*C328</f>
        <v>0</v>
      </c>
      <c r="AD328" cm="1">
        <f t="array" ref="AD328">VLOOKUP($A328,Table_ship_components[],COLUMN(AD:AD),0)</f>
        <v>0</v>
      </c>
      <c r="AE328" cm="1">
        <f t="array" ref="AE328">VLOOKUP($A328,Table_ship_components[],COLUMN(AE:AE),0)</f>
        <v>0</v>
      </c>
      <c r="AF328" cm="1">
        <f t="array" ref="AF328">VLOOKUP($A328,Table_ship_components[],COLUMN(AF:AF),0)</f>
        <v>0</v>
      </c>
      <c r="AG328" cm="1">
        <f t="array" ref="AG328">VLOOKUP($A328,Table_ship_components[],COLUMN(AG:AG),0)</f>
        <v>0</v>
      </c>
      <c r="AH328" cm="1">
        <f t="array" ref="AH328">VLOOKUP($A328,Table_ship_components[],COLUMN(AH:AH),0)</f>
        <v>0</v>
      </c>
      <c r="AI328" cm="1">
        <f t="array" ref="AI328">VLOOKUP($A328,Table_ship_components[],COLUMN(AI:AI),0)</f>
        <v>0</v>
      </c>
      <c r="AJ328" cm="1">
        <f t="array" ref="AJ328">VLOOKUP($A328,Table_ship_components[],COLUMN(AJ:AJ),0)</f>
        <v>0</v>
      </c>
      <c r="AK328" cm="1">
        <f t="array" ref="AK328">VLOOKUP($A328,Table_ship_components[],COLUMN(AK:AK),0)</f>
        <v>0</v>
      </c>
      <c r="AL328" cm="1">
        <f t="array" ref="AL328">VLOOKUP($A328,Table_ship_components[],COLUMN(AL:AL),0)</f>
        <v>2</v>
      </c>
      <c r="AM328" cm="1">
        <f t="array" ref="AM328">VLOOKUP($A328,Table_ship_components[],COLUMN(AM:AM),0)</f>
        <v>0</v>
      </c>
      <c r="AN328" cm="1">
        <f t="array" ref="AN328">VLOOKUP($A328,Table_ship_components[],COLUMN(AN:AN),0)</f>
        <v>0</v>
      </c>
      <c r="AO328" cm="1">
        <f t="array" ref="AO328">VLOOKUP($A328,Table_ship_components[],COLUMN(AO:AO),0)</f>
        <v>0</v>
      </c>
      <c r="AP328" cm="1">
        <f t="array" ref="AP328">VLOOKUP($A328,Table_ship_components[],COLUMN(AP:AP),0)</f>
        <v>0</v>
      </c>
      <c r="AQ328" cm="1">
        <f t="array" ref="AQ328">VLOOKUP($A328,Table_ship_components[],COLUMN(AQ:AQ),0)</f>
        <v>0</v>
      </c>
      <c r="AR328" cm="1">
        <f t="array" ref="AR328">VLOOKUP($A328,Table_ship_components[],COLUMN(AR:AR),0)</f>
        <v>1</v>
      </c>
      <c r="AS328" cm="1">
        <f t="array" ref="AS328">VLOOKUP($A328,Table_ship_components[],COLUMN(AS:AS),0)</f>
        <v>0</v>
      </c>
      <c r="AT328" cm="1">
        <f t="array" ref="AT328">VLOOKUP($A328,Table_ship_components[],COLUMN(AT:AT),0)</f>
        <v>0</v>
      </c>
      <c r="AU328" s="2" cm="1">
        <f t="array" ref="AU328">VLOOKUP($A328,Table_ship_components[],COLUMN(AU:AU),0)</f>
        <v>1</v>
      </c>
      <c r="AV328" s="2" cm="1">
        <f t="array" ref="AV328">VLOOKUP($A328,Table_ship_components[],COLUMN(AV:AV),0)</f>
        <v>0</v>
      </c>
      <c r="AW328" s="2" cm="1">
        <f t="array" ref="AW328">VLOOKUP($A328,Table_ship_components[],COLUMN(AW:AW),0)</f>
        <v>0</v>
      </c>
      <c r="AX328" s="2" cm="1">
        <f t="array" ref="AX328">VLOOKUP($A328,Table_ship_components[],COLUMN(AX:AX),0)</f>
        <v>0</v>
      </c>
      <c r="AY328" s="2" cm="1">
        <f t="array" ref="AY328">VLOOKUP($A328,Table_ship_components[],COLUMN(AY:AY),0)</f>
        <v>0</v>
      </c>
      <c r="AZ328" s="2" t="str" cm="1">
        <f t="array" ref="AZ328">VLOOKUP($A328,Table_ship_components[],COLUMN(AZ:AZ),0)</f>
        <v>C</v>
      </c>
      <c r="BA328" s="14" cm="1">
        <f t="array" ref="BA328">VLOOKUP($A328,Table_ship_components[],COLUMN(BA:BA),0)</f>
        <v>900000</v>
      </c>
      <c r="BB328" s="14" cm="1">
        <f t="array" ref="BB328">(VLOOKUP($A328,Table_ship_components[],COLUMN(BA:BA),0)+(W328*C328))</f>
        <v>900000</v>
      </c>
      <c r="BC328" s="2" cm="1">
        <f t="array" ref="BC328">VLOOKUP($A328,Table_ship_components[],COLUMN(BC:BC),0)</f>
        <v>0</v>
      </c>
      <c r="BD328" s="2" cm="1">
        <f t="array" ref="BD328">VLOOKUP($A328,Table_ship_components[],COLUMN(BD:BD),0)</f>
        <v>0</v>
      </c>
    </row>
    <row r="329" spans="1:56" outlineLevel="1" x14ac:dyDescent="0.35">
      <c r="A329" t="s">
        <v>315</v>
      </c>
      <c r="B329" t="str" cm="1">
        <f t="array" ref="B329">VLOOKUP($A329,Table_ship_components[],COLUMN(B:B),0)</f>
        <v>cargo space (1 HUGE item per unit)</v>
      </c>
      <c r="C329" s="2">
        <v>1</v>
      </c>
      <c r="D329" cm="1">
        <f t="array" ref="D329">VLOOKUP($A329,Table_ship_components[],COLUMN(D:D),0)</f>
        <v>0</v>
      </c>
      <c r="E329" cm="1">
        <f t="array" ref="E329">ROUND(VLOOKUP($A329,Table_ship_components[],COLUMN(D:D),0)+(V329*C329),0)</f>
        <v>1</v>
      </c>
      <c r="F329" cm="1">
        <f t="array" ref="F329">VLOOKUP($A329,Table_ship_components[],COLUMN(F:F),0)</f>
        <v>0</v>
      </c>
      <c r="G329" cm="1">
        <f t="array" ref="G329">ROUND(VLOOKUP($A329,Table_ship_components[],COLUMN(G:G),0)+(X329*C329),0)</f>
        <v>0</v>
      </c>
      <c r="H329" cm="1">
        <f t="array" ref="H329">VLOOKUP($A329,Table_ship_components[],COLUMN(H:H),0)</f>
        <v>0</v>
      </c>
      <c r="I329" cm="1">
        <f t="array" ref="I329">VLOOKUP($A329,Table_ship_components[],COLUMN(I:I),0)</f>
        <v>0</v>
      </c>
      <c r="J329" cm="1">
        <f t="array" ref="J329">VLOOKUP($A329,Table_ship_components[],COLUMN(J:J),0)</f>
        <v>0</v>
      </c>
      <c r="K329" cm="1">
        <f t="array" ref="K329">VLOOKUP($A329,Table_ship_components[],COLUMN(K:K),0)</f>
        <v>0</v>
      </c>
      <c r="L329" cm="1">
        <f t="array" ref="L329">VLOOKUP($A329,Table_ship_components[],COLUMN(L:L),0)</f>
        <v>0</v>
      </c>
      <c r="M329" cm="1">
        <f t="array" ref="M329">VLOOKUP($A329,Table_ship_components[],COLUMN(M:M),0)</f>
        <v>0</v>
      </c>
      <c r="N329" cm="1">
        <f t="array" ref="N329">VLOOKUP($A329,Table_ship_components[],COLUMN(N:N),0)</f>
        <v>1</v>
      </c>
      <c r="O329" cm="1">
        <f t="array" ref="O329">VLOOKUP($A329,Table_ship_components[],COLUMN(O:O),0)</f>
        <v>1</v>
      </c>
      <c r="P329" cm="1">
        <f t="array" ref="P329">VLOOKUP($A329,Table_ship_components[],COLUMN(P:P),0)</f>
        <v>1</v>
      </c>
      <c r="Q329" cm="1">
        <f t="array" ref="Q329">VLOOKUP($A329,Table_ship_components[],COLUMN(Q:Q),0)</f>
        <v>1</v>
      </c>
      <c r="R329" cm="1">
        <f t="array" ref="R329">VLOOKUP($A329,Table_ship_components[],COLUMN(R:R),0)</f>
        <v>1</v>
      </c>
      <c r="S329" cm="1">
        <f t="array" ref="S329">VLOOKUP($A329,Table_ship_components[],COLUMN(S:S),0)</f>
        <v>1</v>
      </c>
      <c r="T329" cm="1">
        <f t="array" ref="T329">VLOOKUP($A329,Table_ship_components[],COLUMN(T:T),0)</f>
        <v>1</v>
      </c>
      <c r="U329" cm="1">
        <f t="array" ref="U329">VLOOKUP($A329,Table_ship_components[],COLUMN(U:U),0)</f>
        <v>1</v>
      </c>
      <c r="V329" cm="1">
        <f t="array" ref="V329">VLOOKUP($A329,Table_ship_components[],COLUMN(V:V),0)</f>
        <v>1</v>
      </c>
      <c r="W329" s="15" cm="1">
        <f t="array" ref="W329">VLOOKUP($A329,Table_ship_components[],COLUMN(W:W),0)</f>
        <v>5000</v>
      </c>
      <c r="X329" cm="1">
        <f t="array" ref="X329">VLOOKUP($A329,Table_ship_components[],COLUMN(X:X),0)</f>
        <v>0</v>
      </c>
      <c r="Y329" cm="1">
        <f t="array" ref="Y329">VLOOKUP($A329,Table_ship_components[],COLUMN(Y:Y),0)</f>
        <v>0</v>
      </c>
      <c r="Z329" cm="1">
        <f t="array" ref="Z329">VLOOKUP($A329,Table_ship_components[],COLUMN(Z:Z),0)</f>
        <v>0</v>
      </c>
      <c r="AA329" cm="1">
        <f t="array" ref="AA329">VLOOKUP($A329,Table_ship_components[],COLUMN(AA:AA),0)*C329</f>
        <v>0</v>
      </c>
      <c r="AB329">
        <f t="shared" si="19"/>
        <v>1</v>
      </c>
      <c r="AC329" cm="1">
        <f t="array" ref="AC329">VLOOKUP($A329,Table_ship_components[],COLUMN(AC:AC),0)*C329</f>
        <v>0</v>
      </c>
      <c r="AD329" cm="1">
        <f t="array" ref="AD329">VLOOKUP($A329,Table_ship_components[],COLUMN(AD:AD),0)</f>
        <v>0</v>
      </c>
      <c r="AE329" cm="1">
        <f t="array" ref="AE329">VLOOKUP($A329,Table_ship_components[],COLUMN(AE:AE),0)</f>
        <v>0</v>
      </c>
      <c r="AF329" cm="1">
        <f t="array" ref="AF329">VLOOKUP($A329,Table_ship_components[],COLUMN(AF:AF),0)</f>
        <v>0</v>
      </c>
      <c r="AG329" cm="1">
        <f t="array" ref="AG329">VLOOKUP($A329,Table_ship_components[],COLUMN(AG:AG),0)</f>
        <v>0</v>
      </c>
      <c r="AH329" cm="1">
        <f t="array" ref="AH329">VLOOKUP($A329,Table_ship_components[],COLUMN(AH:AH),0)</f>
        <v>0</v>
      </c>
      <c r="AI329" cm="1">
        <f t="array" ref="AI329">VLOOKUP($A329,Table_ship_components[],COLUMN(AI:AI),0)</f>
        <v>0</v>
      </c>
      <c r="AJ329" cm="1">
        <f t="array" ref="AJ329">VLOOKUP($A329,Table_ship_components[],COLUMN(AJ:AJ),0)</f>
        <v>0</v>
      </c>
      <c r="AK329" cm="1">
        <f t="array" ref="AK329">VLOOKUP($A329,Table_ship_components[],COLUMN(AK:AK),0)</f>
        <v>0</v>
      </c>
      <c r="AL329" cm="1">
        <f t="array" ref="AL329">VLOOKUP($A329,Table_ship_components[],COLUMN(AL:AL),0)</f>
        <v>0</v>
      </c>
      <c r="AM329" cm="1">
        <f t="array" ref="AM329">VLOOKUP($A329,Table_ship_components[],COLUMN(AM:AM),0)</f>
        <v>0</v>
      </c>
      <c r="AN329" cm="1">
        <f t="array" ref="AN329">VLOOKUP($A329,Table_ship_components[],COLUMN(AN:AN),0)</f>
        <v>0</v>
      </c>
      <c r="AO329" cm="1">
        <f t="array" ref="AO329">VLOOKUP($A329,Table_ship_components[],COLUMN(AO:AO),0)</f>
        <v>0</v>
      </c>
      <c r="AP329" cm="1">
        <f t="array" ref="AP329">VLOOKUP($A329,Table_ship_components[],COLUMN(AP:AP),0)</f>
        <v>0</v>
      </c>
      <c r="AQ329" cm="1">
        <f t="array" ref="AQ329">VLOOKUP($A329,Table_ship_components[],COLUMN(AQ:AQ),0)</f>
        <v>0</v>
      </c>
      <c r="AR329" cm="1">
        <f t="array" ref="AR329">VLOOKUP($A329,Table_ship_components[],COLUMN(AR:AR),0)</f>
        <v>0</v>
      </c>
      <c r="AS329" cm="1">
        <f t="array" ref="AS329">VLOOKUP($A329,Table_ship_components[],COLUMN(AS:AS),0)</f>
        <v>0</v>
      </c>
      <c r="AT329" cm="1">
        <f t="array" ref="AT329">VLOOKUP($A329,Table_ship_components[],COLUMN(AT:AT),0)</f>
        <v>0</v>
      </c>
      <c r="AU329" s="2" cm="1">
        <f t="array" ref="AU329">VLOOKUP($A329,Table_ship_components[],COLUMN(AU:AU),0)</f>
        <v>0</v>
      </c>
      <c r="AV329" s="2" cm="1">
        <f t="array" ref="AV329">VLOOKUP($A329,Table_ship_components[],COLUMN(AV:AV),0)</f>
        <v>0</v>
      </c>
      <c r="AW329" s="2" cm="1">
        <f t="array" ref="AW329">VLOOKUP($A329,Table_ship_components[],COLUMN(AW:AW),0)</f>
        <v>0</v>
      </c>
      <c r="AX329" s="2" cm="1">
        <f t="array" ref="AX329">VLOOKUP($A329,Table_ship_components[],COLUMN(AX:AX),0)</f>
        <v>0</v>
      </c>
      <c r="AY329" s="2" cm="1">
        <f t="array" ref="AY329">VLOOKUP($A329,Table_ship_components[],COLUMN(AY:AY),0)</f>
        <v>0</v>
      </c>
      <c r="AZ329" s="2" t="str" cm="1">
        <f t="array" ref="AZ329">VLOOKUP($A329,Table_ship_components[],COLUMN(AZ:AZ),0)</f>
        <v>C</v>
      </c>
      <c r="BA329" s="14" cm="1">
        <f t="array" ref="BA329">VLOOKUP($A329,Table_ship_components[],COLUMN(BA:BA),0)</f>
        <v>5000</v>
      </c>
      <c r="BB329" s="14" cm="1">
        <f t="array" ref="BB329">(VLOOKUP($A329,Table_ship_components[],COLUMN(BA:BA),0)+(W329*C329))</f>
        <v>10000</v>
      </c>
      <c r="BC329" s="2" cm="1">
        <f t="array" ref="BC329">VLOOKUP($A329,Table_ship_components[],COLUMN(BC:BC),0)</f>
        <v>0</v>
      </c>
      <c r="BD329" s="2" cm="1">
        <f t="array" ref="BD329">VLOOKUP($A329,Table_ship_components[],COLUMN(BD:BD),0)</f>
        <v>0</v>
      </c>
    </row>
    <row r="330" spans="1:56" outlineLevel="1" x14ac:dyDescent="0.35">
      <c r="A330" t="s">
        <v>345</v>
      </c>
      <c r="B330" t="str" cm="1">
        <f t="array" ref="B330">VLOOKUP($A330,Table_ship_components[],COLUMN(B:B),0)</f>
        <v>barebones command bridge</v>
      </c>
      <c r="D330" cm="1">
        <f t="array" ref="D330">VLOOKUP($A330,Table_ship_components[],COLUMN(D:D),0)</f>
        <v>4</v>
      </c>
      <c r="E330" cm="1">
        <f t="array" ref="E330">ROUND(VLOOKUP($A330,Table_ship_components[],COLUMN(D:D),0)+(V330*C330),0)</f>
        <v>4</v>
      </c>
      <c r="F330" cm="1">
        <f t="array" ref="F330">VLOOKUP($A330,Table_ship_components[],COLUMN(F:F),0)</f>
        <v>4</v>
      </c>
      <c r="G330" cm="1">
        <f t="array" ref="G330">ROUND(VLOOKUP($A330,Table_ship_components[],COLUMN(G:G),0)+(X330*C330),0)</f>
        <v>4</v>
      </c>
      <c r="H330" cm="1">
        <f t="array" ref="H330">VLOOKUP($A330,Table_ship_components[],COLUMN(H:H),0)</f>
        <v>0</v>
      </c>
      <c r="I330" cm="1">
        <f t="array" ref="I330">VLOOKUP($A330,Table_ship_components[],COLUMN(I:I),0)</f>
        <v>0</v>
      </c>
      <c r="J330" cm="1">
        <f t="array" ref="J330">VLOOKUP($A330,Table_ship_components[],COLUMN(J:J),0)</f>
        <v>0</v>
      </c>
      <c r="K330" cm="1">
        <f t="array" ref="K330">VLOOKUP($A330,Table_ship_components[],COLUMN(K:K),0)</f>
        <v>0</v>
      </c>
      <c r="L330" cm="1">
        <f t="array" ref="L330">VLOOKUP($A330,Table_ship_components[],COLUMN(L:L),0)</f>
        <v>0</v>
      </c>
      <c r="M330" cm="1">
        <f t="array" ref="M330">VLOOKUP($A330,Table_ship_components[],COLUMN(M:M),0)</f>
        <v>0</v>
      </c>
      <c r="N330" cm="1">
        <f t="array" ref="N330">VLOOKUP($A330,Table_ship_components[],COLUMN(N:N),0)</f>
        <v>0</v>
      </c>
      <c r="O330" cm="1">
        <f t="array" ref="O330">VLOOKUP($A330,Table_ship_components[],COLUMN(O:O),0)</f>
        <v>1</v>
      </c>
      <c r="P330" cm="1">
        <f t="array" ref="P330">VLOOKUP($A330,Table_ship_components[],COLUMN(P:P),0)</f>
        <v>0</v>
      </c>
      <c r="Q330" cm="1">
        <f t="array" ref="Q330">VLOOKUP($A330,Table_ship_components[],COLUMN(Q:Q),0)</f>
        <v>0</v>
      </c>
      <c r="R330" cm="1">
        <f t="array" ref="R330">VLOOKUP($A330,Table_ship_components[],COLUMN(R:R),0)</f>
        <v>0</v>
      </c>
      <c r="S330" cm="1">
        <f t="array" ref="S330">VLOOKUP($A330,Table_ship_components[],COLUMN(S:S),0)</f>
        <v>0</v>
      </c>
      <c r="T330" cm="1">
        <f t="array" ref="T330">VLOOKUP($A330,Table_ship_components[],COLUMN(T:T),0)</f>
        <v>0</v>
      </c>
      <c r="U330" cm="1">
        <f t="array" ref="U330">VLOOKUP($A330,Table_ship_components[],COLUMN(U:U),0)</f>
        <v>0</v>
      </c>
      <c r="V330" cm="1">
        <f t="array" ref="V330">VLOOKUP($A330,Table_ship_components[],COLUMN(V:V),0)</f>
        <v>0</v>
      </c>
      <c r="W330" s="15" cm="1">
        <f t="array" ref="W330">VLOOKUP($A330,Table_ship_components[],COLUMN(W:W),0)</f>
        <v>0</v>
      </c>
      <c r="X330" cm="1">
        <f t="array" ref="X330">VLOOKUP($A330,Table_ship_components[],COLUMN(X:X),0)</f>
        <v>0</v>
      </c>
      <c r="Y330" cm="1">
        <f t="array" ref="Y330">VLOOKUP($A330,Table_ship_components[],COLUMN(Y:Y),0)</f>
        <v>0</v>
      </c>
      <c r="Z330" cm="1">
        <f t="array" ref="Z330">VLOOKUP($A330,Table_ship_components[],COLUMN(Z:Z),0)</f>
        <v>0</v>
      </c>
      <c r="AA330" cm="1">
        <f t="array" ref="AA330">VLOOKUP($A330,Table_ship_components[],COLUMN(AA:AA),0)*C330</f>
        <v>0</v>
      </c>
      <c r="AB330">
        <f t="shared" si="19"/>
        <v>0</v>
      </c>
      <c r="AC330" cm="1">
        <f t="array" ref="AC330">VLOOKUP($A330,Table_ship_components[],COLUMN(AC:AC),0)*C330</f>
        <v>0</v>
      </c>
      <c r="AD330" cm="1">
        <f t="array" ref="AD330">VLOOKUP($A330,Table_ship_components[],COLUMN(AD:AD),0)</f>
        <v>0</v>
      </c>
      <c r="AE330" cm="1">
        <f t="array" ref="AE330">VLOOKUP($A330,Table_ship_components[],COLUMN(AE:AE),0)</f>
        <v>0</v>
      </c>
      <c r="AF330" cm="1">
        <f t="array" ref="AF330">VLOOKUP($A330,Table_ship_components[],COLUMN(AF:AF),0)</f>
        <v>0</v>
      </c>
      <c r="AG330" cm="1">
        <f t="array" ref="AG330">VLOOKUP($A330,Table_ship_components[],COLUMN(AG:AG),0)</f>
        <v>0</v>
      </c>
      <c r="AH330" cm="1">
        <f t="array" ref="AH330">VLOOKUP($A330,Table_ship_components[],COLUMN(AH:AH),0)</f>
        <v>0</v>
      </c>
      <c r="AI330" cm="1">
        <f t="array" ref="AI330">VLOOKUP($A330,Table_ship_components[],COLUMN(AI:AI),0)</f>
        <v>0</v>
      </c>
      <c r="AJ330" cm="1">
        <f t="array" ref="AJ330">VLOOKUP($A330,Table_ship_components[],COLUMN(AJ:AJ),0)</f>
        <v>0</v>
      </c>
      <c r="AK330" cm="1">
        <f t="array" ref="AK330">VLOOKUP($A330,Table_ship_components[],COLUMN(AK:AK),0)</f>
        <v>0</v>
      </c>
      <c r="AL330" cm="1">
        <f t="array" ref="AL330">VLOOKUP($A330,Table_ship_components[],COLUMN(AL:AL),0)</f>
        <v>0</v>
      </c>
      <c r="AM330" cm="1">
        <f t="array" ref="AM330">VLOOKUP($A330,Table_ship_components[],COLUMN(AM:AM),0)</f>
        <v>0</v>
      </c>
      <c r="AN330" cm="1">
        <f t="array" ref="AN330">VLOOKUP($A330,Table_ship_components[],COLUMN(AN:AN),0)</f>
        <v>0</v>
      </c>
      <c r="AO330" cm="1">
        <f t="array" ref="AO330">VLOOKUP($A330,Table_ship_components[],COLUMN(AO:AO),0)</f>
        <v>0</v>
      </c>
      <c r="AP330" cm="1">
        <f t="array" ref="AP330">VLOOKUP($A330,Table_ship_components[],COLUMN(AP:AP),0)</f>
        <v>0</v>
      </c>
      <c r="AQ330" cm="1">
        <f t="array" ref="AQ330">VLOOKUP($A330,Table_ship_components[],COLUMN(AQ:AQ),0)</f>
        <v>-1</v>
      </c>
      <c r="AR330" cm="1">
        <f t="array" ref="AR330">VLOOKUP($A330,Table_ship_components[],COLUMN(AR:AR),0)</f>
        <v>0</v>
      </c>
      <c r="AS330" cm="1">
        <f t="array" ref="AS330">VLOOKUP($A330,Table_ship_components[],COLUMN(AS:AS),0)</f>
        <v>0</v>
      </c>
      <c r="AT330" cm="1">
        <f t="array" ref="AT330">VLOOKUP($A330,Table_ship_components[],COLUMN(AT:AT),0)</f>
        <v>0</v>
      </c>
      <c r="AU330" s="2" cm="1">
        <f t="array" ref="AU330">VLOOKUP($A330,Table_ship_components[],COLUMN(AU:AU),0)</f>
        <v>0</v>
      </c>
      <c r="AV330" s="2" cm="1">
        <f t="array" ref="AV330">VLOOKUP($A330,Table_ship_components[],COLUMN(AV:AV),0)</f>
        <v>0</v>
      </c>
      <c r="AW330" s="2" cm="1">
        <f t="array" ref="AW330">VLOOKUP($A330,Table_ship_components[],COLUMN(AW:AW),0)</f>
        <v>0</v>
      </c>
      <c r="AX330" s="2" cm="1">
        <f t="array" ref="AX330">VLOOKUP($A330,Table_ship_components[],COLUMN(AX:AX),0)</f>
        <v>0</v>
      </c>
      <c r="AY330" s="2" cm="1">
        <f t="array" ref="AY330">VLOOKUP($A330,Table_ship_components[],COLUMN(AY:AY),0)</f>
        <v>0</v>
      </c>
      <c r="AZ330" s="2" t="str" cm="1">
        <f t="array" ref="AZ330">VLOOKUP($A330,Table_ship_components[],COLUMN(AZ:AZ),0)</f>
        <v>C</v>
      </c>
      <c r="BA330" s="14" cm="1">
        <f t="array" ref="BA330">VLOOKUP($A330,Table_ship_components[],COLUMN(BA:BA),0)</f>
        <v>125000</v>
      </c>
      <c r="BB330" s="14" cm="1">
        <f t="array" ref="BB330">(VLOOKUP($A330,Table_ship_components[],COLUMN(BA:BA),0)+(W330*C330))</f>
        <v>125000</v>
      </c>
      <c r="BC330" s="2" cm="1">
        <f t="array" ref="BC330">VLOOKUP($A330,Table_ship_components[],COLUMN(BC:BC),0)</f>
        <v>0</v>
      </c>
      <c r="BD330" s="2" cm="1">
        <f t="array" ref="BD330">VLOOKUP($A330,Table_ship_components[],COLUMN(BD:BD),0)</f>
        <v>0</v>
      </c>
    </row>
    <row r="331" spans="1:56" outlineLevel="1" x14ac:dyDescent="0.35">
      <c r="A331" t="s">
        <v>288</v>
      </c>
      <c r="B331" t="str" cm="1">
        <f t="array" ref="B331">VLOOKUP($A331,Table_ship_components[],COLUMN(B:B),0)</f>
        <v>PICK A COMPONENT</v>
      </c>
      <c r="D331" cm="1">
        <f t="array" ref="D331">VLOOKUP($A331,Table_ship_components[],COLUMN(D:D),0)</f>
        <v>0</v>
      </c>
      <c r="E331" cm="1">
        <f t="array" ref="E331">ROUND(VLOOKUP($A331,Table_ship_components[],COLUMN(D:D),0)+(V331*C331),0)</f>
        <v>0</v>
      </c>
      <c r="F331" cm="1">
        <f t="array" ref="F331">VLOOKUP($A331,Table_ship_components[],COLUMN(F:F),0)</f>
        <v>0</v>
      </c>
      <c r="G331" cm="1">
        <f t="array" ref="G331">ROUND(VLOOKUP($A331,Table_ship_components[],COLUMN(G:G),0)+(X331*C331),0)</f>
        <v>0</v>
      </c>
      <c r="H331" cm="1">
        <f t="array" ref="H331">VLOOKUP($A331,Table_ship_components[],COLUMN(H:H),0)</f>
        <v>0</v>
      </c>
      <c r="I331" cm="1">
        <f t="array" ref="I331">VLOOKUP($A331,Table_ship_components[],COLUMN(I:I),0)</f>
        <v>0</v>
      </c>
      <c r="J331" cm="1">
        <f t="array" ref="J331">VLOOKUP($A331,Table_ship_components[],COLUMN(J:J),0)</f>
        <v>0</v>
      </c>
      <c r="K331" cm="1">
        <f t="array" ref="K331">VLOOKUP($A331,Table_ship_components[],COLUMN(K:K),0)</f>
        <v>0</v>
      </c>
      <c r="L331" cm="1">
        <f t="array" ref="L331">VLOOKUP($A331,Table_ship_components[],COLUMN(L:L),0)</f>
        <v>0</v>
      </c>
      <c r="M331" cm="1">
        <f t="array" ref="M331">VLOOKUP($A331,Table_ship_components[],COLUMN(M:M),0)</f>
        <v>0</v>
      </c>
      <c r="N331" cm="1">
        <f t="array" ref="N331">VLOOKUP($A331,Table_ship_components[],COLUMN(N:N),0)</f>
        <v>0</v>
      </c>
      <c r="O331" cm="1">
        <f t="array" ref="O331">VLOOKUP($A331,Table_ship_components[],COLUMN(O:O),0)</f>
        <v>0</v>
      </c>
      <c r="P331" cm="1">
        <f t="array" ref="P331">VLOOKUP($A331,Table_ship_components[],COLUMN(P:P),0)</f>
        <v>0</v>
      </c>
      <c r="Q331" cm="1">
        <f t="array" ref="Q331">VLOOKUP($A331,Table_ship_components[],COLUMN(Q:Q),0)</f>
        <v>0</v>
      </c>
      <c r="R331" cm="1">
        <f t="array" ref="R331">VLOOKUP($A331,Table_ship_components[],COLUMN(R:R),0)</f>
        <v>0</v>
      </c>
      <c r="S331" cm="1">
        <f t="array" ref="S331">VLOOKUP($A331,Table_ship_components[],COLUMN(S:S),0)</f>
        <v>0</v>
      </c>
      <c r="T331" cm="1">
        <f t="array" ref="T331">VLOOKUP($A331,Table_ship_components[],COLUMN(T:T),0)</f>
        <v>0</v>
      </c>
      <c r="U331" cm="1">
        <f t="array" ref="U331">VLOOKUP($A331,Table_ship_components[],COLUMN(U:U),0)</f>
        <v>0</v>
      </c>
      <c r="V331" cm="1">
        <f t="array" ref="V331">VLOOKUP($A331,Table_ship_components[],COLUMN(V:V),0)</f>
        <v>0</v>
      </c>
      <c r="W331" s="15" cm="1">
        <f t="array" ref="W331">VLOOKUP($A331,Table_ship_components[],COLUMN(W:W),0)</f>
        <v>0</v>
      </c>
      <c r="X331" cm="1">
        <f t="array" ref="X331">VLOOKUP($A331,Table_ship_components[],COLUMN(X:X),0)</f>
        <v>0</v>
      </c>
      <c r="Y331" cm="1">
        <f t="array" ref="Y331">VLOOKUP($A331,Table_ship_components[],COLUMN(Y:Y),0)</f>
        <v>0</v>
      </c>
      <c r="Z331" cm="1">
        <f t="array" ref="Z331">VLOOKUP($A331,Table_ship_components[],COLUMN(Z:Z),0)</f>
        <v>0</v>
      </c>
      <c r="AA331" cm="1">
        <f t="array" ref="AA331">VLOOKUP($A331,Table_ship_components[],COLUMN(AA:AA),0)*C331</f>
        <v>0</v>
      </c>
      <c r="AB331">
        <f t="shared" si="19"/>
        <v>0</v>
      </c>
      <c r="AC331" cm="1">
        <f t="array" ref="AC331">VLOOKUP($A331,Table_ship_components[],COLUMN(AC:AC),0)*C331</f>
        <v>0</v>
      </c>
      <c r="AD331" cm="1">
        <f t="array" ref="AD331">VLOOKUP($A331,Table_ship_components[],COLUMN(AD:AD),0)</f>
        <v>0</v>
      </c>
      <c r="AE331" cm="1">
        <f t="array" ref="AE331">VLOOKUP($A331,Table_ship_components[],COLUMN(AE:AE),0)</f>
        <v>0</v>
      </c>
      <c r="AF331" cm="1">
        <f t="array" ref="AF331">VLOOKUP($A331,Table_ship_components[],COLUMN(AF:AF),0)</f>
        <v>0</v>
      </c>
      <c r="AG331" cm="1">
        <f t="array" ref="AG331">VLOOKUP($A331,Table_ship_components[],COLUMN(AG:AG),0)</f>
        <v>0</v>
      </c>
      <c r="AH331" cm="1">
        <f t="array" ref="AH331">VLOOKUP($A331,Table_ship_components[],COLUMN(AH:AH),0)</f>
        <v>0</v>
      </c>
      <c r="AI331" cm="1">
        <f t="array" ref="AI331">VLOOKUP($A331,Table_ship_components[],COLUMN(AI:AI),0)</f>
        <v>0</v>
      </c>
      <c r="AJ331" cm="1">
        <f t="array" ref="AJ331">VLOOKUP($A331,Table_ship_components[],COLUMN(AJ:AJ),0)</f>
        <v>0</v>
      </c>
      <c r="AK331" cm="1">
        <f t="array" ref="AK331">VLOOKUP($A331,Table_ship_components[],COLUMN(AK:AK),0)</f>
        <v>0</v>
      </c>
      <c r="AL331" cm="1">
        <f t="array" ref="AL331">VLOOKUP($A331,Table_ship_components[],COLUMN(AL:AL),0)</f>
        <v>0</v>
      </c>
      <c r="AM331" cm="1">
        <f t="array" ref="AM331">VLOOKUP($A331,Table_ship_components[],COLUMN(AM:AM),0)</f>
        <v>0</v>
      </c>
      <c r="AN331" cm="1">
        <f t="array" ref="AN331">VLOOKUP($A331,Table_ship_components[],COLUMN(AN:AN),0)</f>
        <v>0</v>
      </c>
      <c r="AO331" cm="1">
        <f t="array" ref="AO331">VLOOKUP($A331,Table_ship_components[],COLUMN(AO:AO),0)</f>
        <v>0</v>
      </c>
      <c r="AP331" cm="1">
        <f t="array" ref="AP331">VLOOKUP($A331,Table_ship_components[],COLUMN(AP:AP),0)</f>
        <v>0</v>
      </c>
      <c r="AQ331" cm="1">
        <f t="array" ref="AQ331">VLOOKUP($A331,Table_ship_components[],COLUMN(AQ:AQ),0)</f>
        <v>0</v>
      </c>
      <c r="AR331" cm="1">
        <f t="array" ref="AR331">VLOOKUP($A331,Table_ship_components[],COLUMN(AR:AR),0)</f>
        <v>0</v>
      </c>
      <c r="AS331" cm="1">
        <f t="array" ref="AS331">VLOOKUP($A331,Table_ship_components[],COLUMN(AS:AS),0)</f>
        <v>0</v>
      </c>
      <c r="AT331" cm="1">
        <f t="array" ref="AT331">VLOOKUP($A331,Table_ship_components[],COLUMN(AT:AT),0)</f>
        <v>0</v>
      </c>
      <c r="AU331" s="2" cm="1">
        <f t="array" ref="AU331">VLOOKUP($A331,Table_ship_components[],COLUMN(AU:AU),0)</f>
        <v>0</v>
      </c>
      <c r="AV331" s="2" cm="1">
        <f t="array" ref="AV331">VLOOKUP($A331,Table_ship_components[],COLUMN(AV:AV),0)</f>
        <v>0</v>
      </c>
      <c r="AW331" s="2" cm="1">
        <f t="array" ref="AW331">VLOOKUP($A331,Table_ship_components[],COLUMN(AW:AW),0)</f>
        <v>0</v>
      </c>
      <c r="AX331" s="2" cm="1">
        <f t="array" ref="AX331">VLOOKUP($A331,Table_ship_components[],COLUMN(AX:AX),0)</f>
        <v>0</v>
      </c>
      <c r="AY331" s="2" cm="1">
        <f t="array" ref="AY331">VLOOKUP($A331,Table_ship_components[],COLUMN(AY:AY),0)</f>
        <v>0</v>
      </c>
      <c r="AZ331" s="2" t="str" cm="1">
        <f t="array" ref="AZ331">VLOOKUP($A331,Table_ship_components[],COLUMN(AZ:AZ),0)</f>
        <v>C</v>
      </c>
      <c r="BA331" s="14" cm="1">
        <f t="array" ref="BA331">VLOOKUP($A331,Table_ship_components[],COLUMN(BA:BA),0)</f>
        <v>0</v>
      </c>
      <c r="BB331" s="14" cm="1">
        <f t="array" ref="BB331">(VLOOKUP($A331,Table_ship_components[],COLUMN(BA:BA),0)+(W331*C331))</f>
        <v>0</v>
      </c>
      <c r="BC331" s="2" cm="1">
        <f t="array" ref="BC331">VLOOKUP($A331,Table_ship_components[],COLUMN(BC:BC),0)</f>
        <v>0</v>
      </c>
      <c r="BD331" s="2" cm="1">
        <f t="array" ref="BD331">VLOOKUP($A331,Table_ship_components[],COLUMN(BD:BD),0)</f>
        <v>0</v>
      </c>
    </row>
    <row r="332" spans="1:56" outlineLevel="1" x14ac:dyDescent="0.35">
      <c r="A332" s="18" t="s">
        <v>424</v>
      </c>
      <c r="B332" s="19" t="str">
        <f>CONCATENATE("SIZE ",(SUM(E333:E343)),"/",AX323,"  POWER ",(SUM(G333:G343)))</f>
        <v>SIZE 47/60  POWER 26</v>
      </c>
      <c r="AU332" s="2"/>
      <c r="AV332" s="2"/>
      <c r="AW332" s="2"/>
      <c r="AX332" s="2"/>
      <c r="AY332" s="2"/>
      <c r="AZ332" s="2"/>
      <c r="BA332" s="14"/>
      <c r="BB332" s="14"/>
      <c r="BC332" s="2"/>
      <c r="BD332" s="2"/>
    </row>
    <row r="333" spans="1:56" outlineLevel="1" x14ac:dyDescent="0.35">
      <c r="A333" t="s">
        <v>288</v>
      </c>
      <c r="B333" t="str" cm="1">
        <f t="array" ref="B333">VLOOKUP($A333,Table_ship_components[],COLUMN(B:B),0)</f>
        <v>PICK A COMPONENT</v>
      </c>
      <c r="D333" cm="1">
        <f t="array" ref="D333">VLOOKUP($A333,Table_ship_components[],COLUMN(D:D),0)</f>
        <v>0</v>
      </c>
      <c r="E333" cm="1">
        <f t="array" ref="E333">ROUND(VLOOKUP($A333,Table_ship_components[],COLUMN(D:D),0)+(V333*C333),0)</f>
        <v>0</v>
      </c>
      <c r="F333" cm="1">
        <f t="array" ref="F333">VLOOKUP($A333,Table_ship_components[],COLUMN(F:F),0)</f>
        <v>0</v>
      </c>
      <c r="G333" cm="1">
        <f t="array" ref="G333">ROUND(VLOOKUP($A333,Table_ship_components[],COLUMN(G:G),0)+(X333*C333),0)</f>
        <v>0</v>
      </c>
      <c r="H333" cm="1">
        <f t="array" ref="H333">VLOOKUP($A333,Table_ship_components[],COLUMN(H:H),0)</f>
        <v>0</v>
      </c>
      <c r="I333" cm="1">
        <f t="array" ref="I333">VLOOKUP($A333,Table_ship_components[],COLUMN(I:I),0)</f>
        <v>0</v>
      </c>
      <c r="J333" cm="1">
        <f t="array" ref="J333">VLOOKUP($A333,Table_ship_components[],COLUMN(J:J),0)</f>
        <v>0</v>
      </c>
      <c r="K333" cm="1">
        <f t="array" ref="K333">VLOOKUP($A333,Table_ship_components[],COLUMN(K:K),0)</f>
        <v>0</v>
      </c>
      <c r="L333" cm="1">
        <f t="array" ref="L333">VLOOKUP($A333,Table_ship_components[],COLUMN(L:L),0)</f>
        <v>0</v>
      </c>
      <c r="M333" cm="1">
        <f t="array" ref="M333">VLOOKUP($A333,Table_ship_components[],COLUMN(M:M),0)</f>
        <v>0</v>
      </c>
      <c r="N333" cm="1">
        <f t="array" ref="N333">VLOOKUP($A333,Table_ship_components[],COLUMN(N:N),0)</f>
        <v>0</v>
      </c>
      <c r="O333" cm="1">
        <f t="array" ref="O333">VLOOKUP($A333,Table_ship_components[],COLUMN(O:O),0)</f>
        <v>0</v>
      </c>
      <c r="P333" cm="1">
        <f t="array" ref="P333">VLOOKUP($A333,Table_ship_components[],COLUMN(P:P),0)</f>
        <v>0</v>
      </c>
      <c r="Q333" cm="1">
        <f t="array" ref="Q333">VLOOKUP($A333,Table_ship_components[],COLUMN(Q:Q),0)</f>
        <v>0</v>
      </c>
      <c r="R333" cm="1">
        <f t="array" ref="R333">VLOOKUP($A333,Table_ship_components[],COLUMN(R:R),0)</f>
        <v>0</v>
      </c>
      <c r="S333" cm="1">
        <f t="array" ref="S333">VLOOKUP($A333,Table_ship_components[],COLUMN(S:S),0)</f>
        <v>0</v>
      </c>
      <c r="T333" cm="1">
        <f t="array" ref="T333">VLOOKUP($A333,Table_ship_components[],COLUMN(T:T),0)</f>
        <v>0</v>
      </c>
      <c r="U333" cm="1">
        <f t="array" ref="U333">VLOOKUP($A333,Table_ship_components[],COLUMN(U:U),0)</f>
        <v>0</v>
      </c>
      <c r="V333" cm="1">
        <f t="array" ref="V333">VLOOKUP($A333,Table_ship_components[],COLUMN(V:V),0)</f>
        <v>0</v>
      </c>
      <c r="W333" s="15" cm="1">
        <f t="array" ref="W333">VLOOKUP($A333,Table_ship_components[],COLUMN(W:W),0)</f>
        <v>0</v>
      </c>
      <c r="X333" cm="1">
        <f t="array" ref="X333">VLOOKUP($A333,Table_ship_components[],COLUMN(X:X),0)</f>
        <v>0</v>
      </c>
      <c r="Y333" cm="1">
        <f t="array" ref="Y333">VLOOKUP($A333,Table_ship_components[],COLUMN(Y:Y),0)</f>
        <v>0</v>
      </c>
      <c r="Z333" cm="1">
        <f t="array" ref="Z333">VLOOKUP($A333,Table_ship_components[],COLUMN(Z:Z),0)</f>
        <v>0</v>
      </c>
      <c r="AA333" cm="1">
        <f t="array" ref="AA333">VLOOKUP($A333,Table_ship_components[],COLUMN(AA:AA),0)*C333</f>
        <v>0</v>
      </c>
      <c r="AB333">
        <f t="shared" ref="AB333:AB342" si="20">IF(A333="CARGOSPACE_0-ALL_0-UNIVERSAL",C333,0)</f>
        <v>0</v>
      </c>
      <c r="AC333" cm="1">
        <f t="array" ref="AC333">VLOOKUP($A333,Table_ship_components[],COLUMN(AC:AC),0)*C333</f>
        <v>0</v>
      </c>
      <c r="AD333" cm="1">
        <f t="array" ref="AD333">VLOOKUP($A333,Table_ship_components[],COLUMN(AD:AD),0)</f>
        <v>0</v>
      </c>
      <c r="AE333" cm="1">
        <f t="array" ref="AE333">VLOOKUP($A333,Table_ship_components[],COLUMN(AE:AE),0)</f>
        <v>0</v>
      </c>
      <c r="AF333" cm="1">
        <f t="array" ref="AF333">VLOOKUP($A333,Table_ship_components[],COLUMN(AF:AF),0)</f>
        <v>0</v>
      </c>
      <c r="AG333" cm="1">
        <f t="array" ref="AG333">VLOOKUP($A333,Table_ship_components[],COLUMN(AG:AG),0)</f>
        <v>0</v>
      </c>
      <c r="AH333" cm="1">
        <f t="array" ref="AH333">VLOOKUP($A333,Table_ship_components[],COLUMN(AH:AH),0)</f>
        <v>0</v>
      </c>
      <c r="AI333" cm="1">
        <f t="array" ref="AI333">VLOOKUP($A333,Table_ship_components[],COLUMN(AI:AI),0)</f>
        <v>0</v>
      </c>
      <c r="AJ333" cm="1">
        <f t="array" ref="AJ333">VLOOKUP($A333,Table_ship_components[],COLUMN(AJ:AJ),0)</f>
        <v>0</v>
      </c>
      <c r="AK333" cm="1">
        <f t="array" ref="AK333">VLOOKUP($A333,Table_ship_components[],COLUMN(AK:AK),0)</f>
        <v>0</v>
      </c>
      <c r="AL333" cm="1">
        <f t="array" ref="AL333">VLOOKUP($A333,Table_ship_components[],COLUMN(AL:AL),0)</f>
        <v>0</v>
      </c>
      <c r="AM333" cm="1">
        <f t="array" ref="AM333">VLOOKUP($A333,Table_ship_components[],COLUMN(AM:AM),0)</f>
        <v>0</v>
      </c>
      <c r="AN333" cm="1">
        <f t="array" ref="AN333">VLOOKUP($A333,Table_ship_components[],COLUMN(AN:AN),0)</f>
        <v>0</v>
      </c>
      <c r="AO333" cm="1">
        <f t="array" ref="AO333">VLOOKUP($A333,Table_ship_components[],COLUMN(AO:AO),0)</f>
        <v>0</v>
      </c>
      <c r="AP333" cm="1">
        <f t="array" ref="AP333">VLOOKUP($A333,Table_ship_components[],COLUMN(AP:AP),0)</f>
        <v>0</v>
      </c>
      <c r="AQ333" cm="1">
        <f t="array" ref="AQ333">VLOOKUP($A333,Table_ship_components[],COLUMN(AQ:AQ),0)</f>
        <v>0</v>
      </c>
      <c r="AR333" cm="1">
        <f t="array" ref="AR333">VLOOKUP($A333,Table_ship_components[],COLUMN(AR:AR),0)</f>
        <v>0</v>
      </c>
      <c r="AS333" cm="1">
        <f t="array" ref="AS333">VLOOKUP($A333,Table_ship_components[],COLUMN(AS:AS),0)</f>
        <v>0</v>
      </c>
      <c r="AT333" cm="1">
        <f t="array" ref="AT333">VLOOKUP($A333,Table_ship_components[],COLUMN(AT:AT),0)</f>
        <v>0</v>
      </c>
      <c r="AU333" s="2" cm="1">
        <f t="array" ref="AU333">VLOOKUP($A333,Table_ship_components[],COLUMN(AU:AU),0)</f>
        <v>0</v>
      </c>
      <c r="AV333" s="2" cm="1">
        <f t="array" ref="AV333">VLOOKUP($A333,Table_ship_components[],COLUMN(AV:AV),0)</f>
        <v>0</v>
      </c>
      <c r="AW333" s="2" cm="1">
        <f t="array" ref="AW333">VLOOKUP($A333,Table_ship_components[],COLUMN(AW:AW),0)</f>
        <v>0</v>
      </c>
      <c r="AX333" s="2" cm="1">
        <f t="array" ref="AX333">VLOOKUP($A333,Table_ship_components[],COLUMN(AX:AX),0)</f>
        <v>0</v>
      </c>
      <c r="AY333" s="2" cm="1">
        <f t="array" ref="AY333">VLOOKUP($A333,Table_ship_components[],COLUMN(AY:AY),0)</f>
        <v>0</v>
      </c>
      <c r="AZ333" s="2" t="str" cm="1">
        <f t="array" ref="AZ333">VLOOKUP($A333,Table_ship_components[],COLUMN(AZ:AZ),0)</f>
        <v>C</v>
      </c>
      <c r="BA333" s="14" cm="1">
        <f t="array" ref="BA333">VLOOKUP($A333,Table_ship_components[],COLUMN(BA:BA),0)</f>
        <v>0</v>
      </c>
      <c r="BB333" s="14" cm="1">
        <f t="array" ref="BB333">(VLOOKUP($A333,Table_ship_components[],COLUMN(BA:BA),0)+(W333*C333))</f>
        <v>0</v>
      </c>
      <c r="BC333" s="2" cm="1">
        <f t="array" ref="BC333">VLOOKUP($A333,Table_ship_components[],COLUMN(BC:BC),0)</f>
        <v>0</v>
      </c>
      <c r="BD333" s="2" cm="1">
        <f t="array" ref="BD333">VLOOKUP($A333,Table_ship_components[],COLUMN(BD:BD),0)</f>
        <v>0</v>
      </c>
    </row>
    <row r="334" spans="1:56" outlineLevel="1" x14ac:dyDescent="0.35">
      <c r="A334" t="s">
        <v>404</v>
      </c>
      <c r="B334" t="str" cm="1">
        <f t="array" ref="B334">VLOOKUP($A334,Table_ship_components[],COLUMN(B:B),0)</f>
        <v>basic crew quatrters and accomodations</v>
      </c>
      <c r="C334" s="2">
        <v>2</v>
      </c>
      <c r="D334" cm="1">
        <f t="array" ref="D334">VLOOKUP($A334,Table_ship_components[],COLUMN(D:D),0)</f>
        <v>5</v>
      </c>
      <c r="E334" cm="1">
        <f t="array" ref="E334">ROUND(VLOOKUP($A334,Table_ship_components[],COLUMN(D:D),0)+(V334*C334),0)</f>
        <v>11</v>
      </c>
      <c r="F334" cm="1">
        <f t="array" ref="F334">VLOOKUP($A334,Table_ship_components[],COLUMN(F:F),0)</f>
        <v>2</v>
      </c>
      <c r="G334" cm="1">
        <f t="array" ref="G334">ROUND(VLOOKUP($A334,Table_ship_components[],COLUMN(G:G),0)+(X334*C334),0)</f>
        <v>4</v>
      </c>
      <c r="H334" cm="1">
        <f t="array" ref="H334">VLOOKUP($A334,Table_ship_components[],COLUMN(H:H),0)</f>
        <v>0</v>
      </c>
      <c r="I334" cm="1">
        <f t="array" ref="I334">VLOOKUP($A334,Table_ship_components[],COLUMN(I:I),0)</f>
        <v>0</v>
      </c>
      <c r="J334" cm="1">
        <f t="array" ref="J334">VLOOKUP($A334,Table_ship_components[],COLUMN(J:J),0)</f>
        <v>0</v>
      </c>
      <c r="K334" cm="1">
        <f t="array" ref="K334">VLOOKUP($A334,Table_ship_components[],COLUMN(K:K),0)</f>
        <v>0</v>
      </c>
      <c r="L334" cm="1">
        <f t="array" ref="L334">VLOOKUP($A334,Table_ship_components[],COLUMN(L:L),0)</f>
        <v>0</v>
      </c>
      <c r="M334" cm="1">
        <f t="array" ref="M334">VLOOKUP($A334,Table_ship_components[],COLUMN(M:M),0)</f>
        <v>0</v>
      </c>
      <c r="N334" cm="1">
        <f t="array" ref="N334">VLOOKUP($A334,Table_ship_components[],COLUMN(N:N),0)</f>
        <v>0</v>
      </c>
      <c r="O334" cm="1">
        <f t="array" ref="O334">VLOOKUP($A334,Table_ship_components[],COLUMN(O:O),0)</f>
        <v>1</v>
      </c>
      <c r="P334" cm="1">
        <f t="array" ref="P334">VLOOKUP($A334,Table_ship_components[],COLUMN(P:P),0)</f>
        <v>1</v>
      </c>
      <c r="Q334" cm="1">
        <f t="array" ref="Q334">VLOOKUP($A334,Table_ship_components[],COLUMN(Q:Q),0)</f>
        <v>1</v>
      </c>
      <c r="R334" cm="1">
        <f t="array" ref="R334">VLOOKUP($A334,Table_ship_components[],COLUMN(R:R),0)</f>
        <v>1</v>
      </c>
      <c r="S334" cm="1">
        <f t="array" ref="S334">VLOOKUP($A334,Table_ship_components[],COLUMN(S:S),0)</f>
        <v>1</v>
      </c>
      <c r="T334" cm="1">
        <f t="array" ref="T334">VLOOKUP($A334,Table_ship_components[],COLUMN(T:T),0)</f>
        <v>1</v>
      </c>
      <c r="U334" cm="1">
        <f t="array" ref="U334">VLOOKUP($A334,Table_ship_components[],COLUMN(U:U),0)</f>
        <v>1</v>
      </c>
      <c r="V334" cm="1">
        <f t="array" ref="V334">VLOOKUP($A334,Table_ship_components[],COLUMN(V:V),0)</f>
        <v>3</v>
      </c>
      <c r="W334" s="15" cm="1">
        <f t="array" ref="W334">VLOOKUP($A334,Table_ship_components[],COLUMN(W:W),0)</f>
        <v>50000</v>
      </c>
      <c r="X334" cm="1">
        <f t="array" ref="X334">VLOOKUP($A334,Table_ship_components[],COLUMN(X:X),0)</f>
        <v>1</v>
      </c>
      <c r="Y334" cm="1">
        <f t="array" ref="Y334">VLOOKUP($A334,Table_ship_components[],COLUMN(Y:Y),0)</f>
        <v>0</v>
      </c>
      <c r="Z334" cm="1">
        <f t="array" ref="Z334">VLOOKUP($A334,Table_ship_components[],COLUMN(Z:Z),0)</f>
        <v>0</v>
      </c>
      <c r="AA334" cm="1">
        <f t="array" ref="AA334">VLOOKUP($A334,Table_ship_components[],COLUMN(AA:AA),0)*C334</f>
        <v>0</v>
      </c>
      <c r="AB334">
        <f t="shared" si="20"/>
        <v>0</v>
      </c>
      <c r="AC334" cm="1">
        <f t="array" ref="AC334">VLOOKUP($A334,Table_ship_components[],COLUMN(AC:AC),0)*C334</f>
        <v>0</v>
      </c>
      <c r="AD334" cm="1">
        <f t="array" ref="AD334">VLOOKUP($A334,Table_ship_components[],COLUMN(AD:AD),0)</f>
        <v>0</v>
      </c>
      <c r="AE334" cm="1">
        <f t="array" ref="AE334">VLOOKUP($A334,Table_ship_components[],COLUMN(AE:AE),0)</f>
        <v>0</v>
      </c>
      <c r="AF334" cm="1">
        <f t="array" ref="AF334">VLOOKUP($A334,Table_ship_components[],COLUMN(AF:AF),0)</f>
        <v>0</v>
      </c>
      <c r="AG334" cm="1">
        <f t="array" ref="AG334">VLOOKUP($A334,Table_ship_components[],COLUMN(AG:AG),0)</f>
        <v>0</v>
      </c>
      <c r="AH334" cm="1">
        <f t="array" ref="AH334">VLOOKUP($A334,Table_ship_components[],COLUMN(AH:AH),0)</f>
        <v>0</v>
      </c>
      <c r="AI334" cm="1">
        <f t="array" ref="AI334">VLOOKUP($A334,Table_ship_components[],COLUMN(AI:AI),0)</f>
        <v>0</v>
      </c>
      <c r="AJ334" cm="1">
        <f t="array" ref="AJ334">VLOOKUP($A334,Table_ship_components[],COLUMN(AJ:AJ),0)</f>
        <v>0</v>
      </c>
      <c r="AK334" cm="1">
        <f t="array" ref="AK334">VLOOKUP($A334,Table_ship_components[],COLUMN(AK:AK),0)</f>
        <v>0</v>
      </c>
      <c r="AL334" cm="1">
        <f t="array" ref="AL334">VLOOKUP($A334,Table_ship_components[],COLUMN(AL:AL),0)</f>
        <v>0</v>
      </c>
      <c r="AM334" cm="1">
        <f t="array" ref="AM334">VLOOKUP($A334,Table_ship_components[],COLUMN(AM:AM),0)</f>
        <v>0</v>
      </c>
      <c r="AN334" cm="1">
        <f t="array" ref="AN334">VLOOKUP($A334,Table_ship_components[],COLUMN(AN:AN),0)</f>
        <v>0</v>
      </c>
      <c r="AO334" cm="1">
        <f t="array" ref="AO334">VLOOKUP($A334,Table_ship_components[],COLUMN(AO:AO),0)</f>
        <v>0</v>
      </c>
      <c r="AP334" cm="1">
        <f t="array" ref="AP334">VLOOKUP($A334,Table_ship_components[],COLUMN(AP:AP),0)</f>
        <v>0</v>
      </c>
      <c r="AQ334" cm="1">
        <f t="array" ref="AQ334">VLOOKUP($A334,Table_ship_components[],COLUMN(AQ:AQ),0)</f>
        <v>0</v>
      </c>
      <c r="AR334" cm="1">
        <f t="array" ref="AR334">VLOOKUP($A334,Table_ship_components[],COLUMN(AR:AR),0)</f>
        <v>0</v>
      </c>
      <c r="AS334" cm="1">
        <f t="array" ref="AS334">VLOOKUP($A334,Table_ship_components[],COLUMN(AS:AS),0)</f>
        <v>0</v>
      </c>
      <c r="AT334" cm="1">
        <f t="array" ref="AT334">VLOOKUP($A334,Table_ship_components[],COLUMN(AT:AT),0)</f>
        <v>0</v>
      </c>
      <c r="AU334" s="2" cm="1">
        <f t="array" ref="AU334">VLOOKUP($A334,Table_ship_components[],COLUMN(AU:AU),0)</f>
        <v>0</v>
      </c>
      <c r="AV334" s="2" cm="1">
        <f t="array" ref="AV334">VLOOKUP($A334,Table_ship_components[],COLUMN(AV:AV),0)</f>
        <v>0</v>
      </c>
      <c r="AW334" s="2" cm="1">
        <f t="array" ref="AW334">VLOOKUP($A334,Table_ship_components[],COLUMN(AW:AW),0)</f>
        <v>0</v>
      </c>
      <c r="AX334" s="2" cm="1">
        <f t="array" ref="AX334">VLOOKUP($A334,Table_ship_components[],COLUMN(AX:AX),0)</f>
        <v>0</v>
      </c>
      <c r="AY334" s="2" cm="1">
        <f t="array" ref="AY334">VLOOKUP($A334,Table_ship_components[],COLUMN(AY:AY),0)</f>
        <v>0</v>
      </c>
      <c r="AZ334" s="2" t="str" cm="1">
        <f t="array" ref="AZ334">VLOOKUP($A334,Table_ship_components[],COLUMN(AZ:AZ),0)</f>
        <v>C</v>
      </c>
      <c r="BA334" s="14" cm="1">
        <f t="array" ref="BA334">VLOOKUP($A334,Table_ship_components[],COLUMN(BA:BA),0)</f>
        <v>80000</v>
      </c>
      <c r="BB334" s="14" cm="1">
        <f t="array" ref="BB334">(VLOOKUP($A334,Table_ship_components[],COLUMN(BA:BA),0)+(W334*C334))</f>
        <v>180000</v>
      </c>
      <c r="BC334" s="2" cm="1">
        <f t="array" ref="BC334">VLOOKUP($A334,Table_ship_components[],COLUMN(BC:BC),0)</f>
        <v>0</v>
      </c>
      <c r="BD334" s="2" cm="1">
        <f t="array" ref="BD334">VLOOKUP($A334,Table_ship_components[],COLUMN(BD:BD),0)</f>
        <v>0</v>
      </c>
    </row>
    <row r="335" spans="1:56" outlineLevel="1" x14ac:dyDescent="0.35">
      <c r="A335" t="s">
        <v>358</v>
      </c>
      <c r="B335" t="str" cm="1">
        <f t="array" ref="B335">VLOOKUP($A335,Table_ship_components[],COLUMN(B:B),0)</f>
        <v>average corvette hull</v>
      </c>
      <c r="D335" cm="1">
        <f t="array" ref="D335">VLOOKUP($A335,Table_ship_components[],COLUMN(D:D),0)</f>
        <v>0</v>
      </c>
      <c r="E335" cm="1">
        <f t="array" ref="E335">ROUND(VLOOKUP($A335,Table_ship_components[],COLUMN(D:D),0)+(V335*C335),0)</f>
        <v>0</v>
      </c>
      <c r="F335" cm="1">
        <f t="array" ref="F335">VLOOKUP($A335,Table_ship_components[],COLUMN(F:F),0)</f>
        <v>0</v>
      </c>
      <c r="G335" cm="1">
        <f t="array" ref="G335">ROUND(VLOOKUP($A335,Table_ship_components[],COLUMN(G:G),0)+(X335*C335),0)</f>
        <v>0</v>
      </c>
      <c r="H335" cm="1">
        <f t="array" ref="H335">VLOOKUP($A335,Table_ship_components[],COLUMN(H:H),0)</f>
        <v>0</v>
      </c>
      <c r="I335" cm="1">
        <f t="array" ref="I335">VLOOKUP($A335,Table_ship_components[],COLUMN(I:I),0)</f>
        <v>0</v>
      </c>
      <c r="J335" cm="1">
        <f t="array" ref="J335">VLOOKUP($A335,Table_ship_components[],COLUMN(J:J),0)</f>
        <v>0</v>
      </c>
      <c r="K335" cm="1">
        <f t="array" ref="K335">VLOOKUP($A335,Table_ship_components[],COLUMN(K:K),0)</f>
        <v>0</v>
      </c>
      <c r="L335" cm="1">
        <f t="array" ref="L335">VLOOKUP($A335,Table_ship_components[],COLUMN(L:L),0)</f>
        <v>0</v>
      </c>
      <c r="M335" cm="1">
        <f t="array" ref="M335">VLOOKUP($A335,Table_ship_components[],COLUMN(M:M),0)</f>
        <v>0</v>
      </c>
      <c r="N335" cm="1">
        <f t="array" ref="N335">VLOOKUP($A335,Table_ship_components[],COLUMN(N:N),0)</f>
        <v>0</v>
      </c>
      <c r="O335" cm="1">
        <f t="array" ref="O335">VLOOKUP($A335,Table_ship_components[],COLUMN(O:O),0)</f>
        <v>1</v>
      </c>
      <c r="P335" cm="1">
        <f t="array" ref="P335">VLOOKUP($A335,Table_ship_components[],COLUMN(P:P),0)</f>
        <v>0</v>
      </c>
      <c r="Q335" cm="1">
        <f t="array" ref="Q335">VLOOKUP($A335,Table_ship_components[],COLUMN(Q:Q),0)</f>
        <v>0</v>
      </c>
      <c r="R335" cm="1">
        <f t="array" ref="R335">VLOOKUP($A335,Table_ship_components[],COLUMN(R:R),0)</f>
        <v>0</v>
      </c>
      <c r="S335" cm="1">
        <f t="array" ref="S335">VLOOKUP($A335,Table_ship_components[],COLUMN(S:S),0)</f>
        <v>0</v>
      </c>
      <c r="T335" cm="1">
        <f t="array" ref="T335">VLOOKUP($A335,Table_ship_components[],COLUMN(T:T),0)</f>
        <v>0</v>
      </c>
      <c r="U335" cm="1">
        <f t="array" ref="U335">VLOOKUP($A335,Table_ship_components[],COLUMN(U:U),0)</f>
        <v>0</v>
      </c>
      <c r="V335" cm="1">
        <f t="array" ref="V335">VLOOKUP($A335,Table_ship_components[],COLUMN(V:V),0)</f>
        <v>0</v>
      </c>
      <c r="W335" s="15" cm="1">
        <f t="array" ref="W335">VLOOKUP($A335,Table_ship_components[],COLUMN(W:W),0)</f>
        <v>0</v>
      </c>
      <c r="X335" cm="1">
        <f t="array" ref="X335">VLOOKUP($A335,Table_ship_components[],COLUMN(X:X),0)</f>
        <v>0</v>
      </c>
      <c r="Y335" cm="1">
        <f t="array" ref="Y335">VLOOKUP($A335,Table_ship_components[],COLUMN(Y:Y),0)</f>
        <v>0</v>
      </c>
      <c r="Z335" cm="1">
        <f t="array" ref="Z335">VLOOKUP($A335,Table_ship_components[],COLUMN(Z:Z),0)</f>
        <v>0</v>
      </c>
      <c r="AA335" cm="1">
        <f t="array" ref="AA335">VLOOKUP($A335,Table_ship_components[],COLUMN(AA:AA),0)*C335</f>
        <v>0</v>
      </c>
      <c r="AB335">
        <f t="shared" si="20"/>
        <v>0</v>
      </c>
      <c r="AC335" cm="1">
        <f t="array" ref="AC335">VLOOKUP($A335,Table_ship_components[],COLUMN(AC:AC),0)*C335</f>
        <v>0</v>
      </c>
      <c r="AD335" cm="1">
        <f t="array" ref="AD335">VLOOKUP($A335,Table_ship_components[],COLUMN(AD:AD),0)</f>
        <v>0</v>
      </c>
      <c r="AE335" cm="1">
        <f t="array" ref="AE335">VLOOKUP($A335,Table_ship_components[],COLUMN(AE:AE),0)</f>
        <v>0</v>
      </c>
      <c r="AF335" cm="1">
        <f t="array" ref="AF335">VLOOKUP($A335,Table_ship_components[],COLUMN(AF:AF),0)</f>
        <v>0</v>
      </c>
      <c r="AG335" cm="1">
        <f t="array" ref="AG335">VLOOKUP($A335,Table_ship_components[],COLUMN(AG:AG),0)</f>
        <v>0</v>
      </c>
      <c r="AH335" cm="1">
        <f t="array" ref="AH335">VLOOKUP($A335,Table_ship_components[],COLUMN(AH:AH),0)</f>
        <v>0</v>
      </c>
      <c r="AI335" cm="1">
        <f t="array" ref="AI335">VLOOKUP($A335,Table_ship_components[],COLUMN(AI:AI),0)</f>
        <v>0</v>
      </c>
      <c r="AJ335" cm="1">
        <f t="array" ref="AJ335">VLOOKUP($A335,Table_ship_components[],COLUMN(AJ:AJ),0)</f>
        <v>0</v>
      </c>
      <c r="AK335" cm="1">
        <f t="array" ref="AK335">VLOOKUP($A335,Table_ship_components[],COLUMN(AK:AK),0)</f>
        <v>0</v>
      </c>
      <c r="AL335" cm="1">
        <f t="array" ref="AL335">VLOOKUP($A335,Table_ship_components[],COLUMN(AL:AL),0)</f>
        <v>0</v>
      </c>
      <c r="AM335" cm="1">
        <f t="array" ref="AM335">VLOOKUP($A335,Table_ship_components[],COLUMN(AM:AM),0)</f>
        <v>0</v>
      </c>
      <c r="AN335" cm="1">
        <f t="array" ref="AN335">VLOOKUP($A335,Table_ship_components[],COLUMN(AN:AN),0)</f>
        <v>0</v>
      </c>
      <c r="AO335" cm="1">
        <f t="array" ref="AO335">VLOOKUP($A335,Table_ship_components[],COLUMN(AO:AO),0)</f>
        <v>0</v>
      </c>
      <c r="AP335" cm="1">
        <f t="array" ref="AP335">VLOOKUP($A335,Table_ship_components[],COLUMN(AP:AP),0)</f>
        <v>0</v>
      </c>
      <c r="AQ335" cm="1">
        <f t="array" ref="AQ335">VLOOKUP($A335,Table_ship_components[],COLUMN(AQ:AQ),0)</f>
        <v>0</v>
      </c>
      <c r="AR335" cm="1">
        <f t="array" ref="AR335">VLOOKUP($A335,Table_ship_components[],COLUMN(AR:AR),0)</f>
        <v>0</v>
      </c>
      <c r="AS335" cm="1">
        <f t="array" ref="AS335">VLOOKUP($A335,Table_ship_components[],COLUMN(AS:AS),0)</f>
        <v>0</v>
      </c>
      <c r="AT335" cm="1">
        <f t="array" ref="AT335">VLOOKUP($A335,Table_ship_components[],COLUMN(AT:AT),0)</f>
        <v>0</v>
      </c>
      <c r="AU335" s="2" cm="1">
        <f t="array" ref="AU335">VLOOKUP($A335,Table_ship_components[],COLUMN(AU:AU),0)</f>
        <v>0</v>
      </c>
      <c r="AV335" s="2" cm="1">
        <f t="array" ref="AV335">VLOOKUP($A335,Table_ship_components[],COLUMN(AV:AV),0)</f>
        <v>0</v>
      </c>
      <c r="AW335" s="2" cm="1">
        <f t="array" ref="AW335">VLOOKUP($A335,Table_ship_components[],COLUMN(AW:AW),0)</f>
        <v>0</v>
      </c>
      <c r="AX335" s="2" cm="1">
        <f t="array" ref="AX335">VLOOKUP($A335,Table_ship_components[],COLUMN(AX:AX),0)</f>
        <v>0</v>
      </c>
      <c r="AY335" s="2" cm="1">
        <f t="array" ref="AY335">VLOOKUP($A335,Table_ship_components[],COLUMN(AY:AY),0)</f>
        <v>0</v>
      </c>
      <c r="AZ335" s="2" t="str" cm="1">
        <f t="array" ref="AZ335">VLOOKUP($A335,Table_ship_components[],COLUMN(AZ:AZ),0)</f>
        <v>C</v>
      </c>
      <c r="BA335" s="14" cm="1">
        <f t="array" ref="BA335">VLOOKUP($A335,Table_ship_components[],COLUMN(BA:BA),0)</f>
        <v>1000000</v>
      </c>
      <c r="BB335" s="14" cm="1">
        <f t="array" ref="BB335">(VLOOKUP($A335,Table_ship_components[],COLUMN(BA:BA),0)+(W335*C335))</f>
        <v>1000000</v>
      </c>
      <c r="BC335" s="2" cm="1">
        <f t="array" ref="BC335">VLOOKUP($A335,Table_ship_components[],COLUMN(BC:BC),0)</f>
        <v>0</v>
      </c>
      <c r="BD335" s="2" cm="1">
        <f t="array" ref="BD335">VLOOKUP($A335,Table_ship_components[],COLUMN(BD:BD),0)</f>
        <v>0</v>
      </c>
    </row>
    <row r="336" spans="1:56" outlineLevel="1" x14ac:dyDescent="0.35">
      <c r="A336" t="s">
        <v>380</v>
      </c>
      <c r="B336" t="str" cm="1">
        <f t="array" ref="B336">VLOOKUP($A336,Table_ship_components[],COLUMN(B:B),0)</f>
        <v>good corvette structure reinforcement</v>
      </c>
      <c r="D336" cm="1">
        <f t="array" ref="D336">VLOOKUP($A336,Table_ship_components[],COLUMN(D:D),0)</f>
        <v>11</v>
      </c>
      <c r="E336" cm="1">
        <f t="array" ref="E336">ROUND(VLOOKUP($A336,Table_ship_components[],COLUMN(D:D),0)+(V336*C336),0)</f>
        <v>11</v>
      </c>
      <c r="F336" cm="1">
        <f t="array" ref="F336">VLOOKUP($A336,Table_ship_components[],COLUMN(F:F),0)</f>
        <v>0</v>
      </c>
      <c r="G336" cm="1">
        <f t="array" ref="G336">ROUND(VLOOKUP($A336,Table_ship_components[],COLUMN(G:G),0)+(X336*C336),0)</f>
        <v>0</v>
      </c>
      <c r="H336" cm="1">
        <f t="array" ref="H336">VLOOKUP($A336,Table_ship_components[],COLUMN(H:H),0)</f>
        <v>0</v>
      </c>
      <c r="I336" cm="1">
        <f t="array" ref="I336">VLOOKUP($A336,Table_ship_components[],COLUMN(I:I),0)</f>
        <v>0</v>
      </c>
      <c r="J336" cm="1">
        <f t="array" ref="J336">VLOOKUP($A336,Table_ship_components[],COLUMN(J:J),0)</f>
        <v>0</v>
      </c>
      <c r="K336" cm="1">
        <f t="array" ref="K336">VLOOKUP($A336,Table_ship_components[],COLUMN(K:K),0)</f>
        <v>0</v>
      </c>
      <c r="L336" cm="1">
        <f t="array" ref="L336">VLOOKUP($A336,Table_ship_components[],COLUMN(L:L),0)</f>
        <v>0</v>
      </c>
      <c r="M336" cm="1">
        <f t="array" ref="M336">VLOOKUP($A336,Table_ship_components[],COLUMN(M:M),0)</f>
        <v>0</v>
      </c>
      <c r="N336" cm="1">
        <f t="array" ref="N336">VLOOKUP($A336,Table_ship_components[],COLUMN(N:N),0)</f>
        <v>0</v>
      </c>
      <c r="O336" cm="1">
        <f t="array" ref="O336">VLOOKUP($A336,Table_ship_components[],COLUMN(O:O),0)</f>
        <v>1</v>
      </c>
      <c r="P336" cm="1">
        <f t="array" ref="P336">VLOOKUP($A336,Table_ship_components[],COLUMN(P:P),0)</f>
        <v>0</v>
      </c>
      <c r="Q336" cm="1">
        <f t="array" ref="Q336">VLOOKUP($A336,Table_ship_components[],COLUMN(Q:Q),0)</f>
        <v>0</v>
      </c>
      <c r="R336" cm="1">
        <f t="array" ref="R336">VLOOKUP($A336,Table_ship_components[],COLUMN(R:R),0)</f>
        <v>0</v>
      </c>
      <c r="S336" cm="1">
        <f t="array" ref="S336">VLOOKUP($A336,Table_ship_components[],COLUMN(S:S),0)</f>
        <v>0</v>
      </c>
      <c r="T336" cm="1">
        <f t="array" ref="T336">VLOOKUP($A336,Table_ship_components[],COLUMN(T:T),0)</f>
        <v>0</v>
      </c>
      <c r="U336" cm="1">
        <f t="array" ref="U336">VLOOKUP($A336,Table_ship_components[],COLUMN(U:U),0)</f>
        <v>0</v>
      </c>
      <c r="V336" cm="1">
        <f t="array" ref="V336">VLOOKUP($A336,Table_ship_components[],COLUMN(V:V),0)</f>
        <v>0</v>
      </c>
      <c r="W336" s="15" cm="1">
        <f t="array" ref="W336">VLOOKUP($A336,Table_ship_components[],COLUMN(W:W),0)</f>
        <v>0</v>
      </c>
      <c r="X336" cm="1">
        <f t="array" ref="X336">VLOOKUP($A336,Table_ship_components[],COLUMN(X:X),0)</f>
        <v>0</v>
      </c>
      <c r="Y336" cm="1">
        <f t="array" ref="Y336">VLOOKUP($A336,Table_ship_components[],COLUMN(Y:Y),0)</f>
        <v>0</v>
      </c>
      <c r="Z336" cm="1">
        <f t="array" ref="Z336">VLOOKUP($A336,Table_ship_components[],COLUMN(Z:Z),0)</f>
        <v>0</v>
      </c>
      <c r="AA336" cm="1">
        <f t="array" ref="AA336">VLOOKUP($A336,Table_ship_components[],COLUMN(AA:AA),0)*C336</f>
        <v>0</v>
      </c>
      <c r="AB336">
        <f t="shared" si="20"/>
        <v>0</v>
      </c>
      <c r="AC336" cm="1">
        <f t="array" ref="AC336">VLOOKUP($A336,Table_ship_components[],COLUMN(AC:AC),0)*C336</f>
        <v>0</v>
      </c>
      <c r="AD336" cm="1">
        <f t="array" ref="AD336">VLOOKUP($A336,Table_ship_components[],COLUMN(AD:AD),0)</f>
        <v>0</v>
      </c>
      <c r="AE336" cm="1">
        <f t="array" ref="AE336">VLOOKUP($A336,Table_ship_components[],COLUMN(AE:AE),0)</f>
        <v>0</v>
      </c>
      <c r="AF336" cm="1">
        <f t="array" ref="AF336">VLOOKUP($A336,Table_ship_components[],COLUMN(AF:AF),0)</f>
        <v>0</v>
      </c>
      <c r="AG336" cm="1">
        <f t="array" ref="AG336">VLOOKUP($A336,Table_ship_components[],COLUMN(AG:AG),0)</f>
        <v>0</v>
      </c>
      <c r="AH336" cm="1">
        <f t="array" ref="AH336">VLOOKUP($A336,Table_ship_components[],COLUMN(AH:AH),0)</f>
        <v>0</v>
      </c>
      <c r="AI336" cm="1">
        <f t="array" ref="AI336">VLOOKUP($A336,Table_ship_components[],COLUMN(AI:AI),0)</f>
        <v>0</v>
      </c>
      <c r="AJ336" cm="1">
        <f t="array" ref="AJ336">VLOOKUP($A336,Table_ship_components[],COLUMN(AJ:AJ),0)</f>
        <v>0</v>
      </c>
      <c r="AK336" cm="1">
        <f t="array" ref="AK336">VLOOKUP($A336,Table_ship_components[],COLUMN(AK:AK),0)</f>
        <v>0</v>
      </c>
      <c r="AL336" cm="1">
        <f t="array" ref="AL336">VLOOKUP($A336,Table_ship_components[],COLUMN(AL:AL),0)</f>
        <v>0</v>
      </c>
      <c r="AM336" cm="1">
        <f t="array" ref="AM336">VLOOKUP($A336,Table_ship_components[],COLUMN(AM:AM),0)</f>
        <v>3</v>
      </c>
      <c r="AN336" cm="1">
        <f t="array" ref="AN336">VLOOKUP($A336,Table_ship_components[],COLUMN(AN:AN),0)</f>
        <v>0</v>
      </c>
      <c r="AO336" cm="1">
        <f t="array" ref="AO336">VLOOKUP($A336,Table_ship_components[],COLUMN(AO:AO),0)</f>
        <v>0</v>
      </c>
      <c r="AP336" cm="1">
        <f t="array" ref="AP336">VLOOKUP($A336,Table_ship_components[],COLUMN(AP:AP),0)</f>
        <v>0</v>
      </c>
      <c r="AQ336" cm="1">
        <f t="array" ref="AQ336">VLOOKUP($A336,Table_ship_components[],COLUMN(AQ:AQ),0)</f>
        <v>0</v>
      </c>
      <c r="AR336" cm="1">
        <f t="array" ref="AR336">VLOOKUP($A336,Table_ship_components[],COLUMN(AR:AR),0)</f>
        <v>0</v>
      </c>
      <c r="AS336" cm="1">
        <f t="array" ref="AS336">VLOOKUP($A336,Table_ship_components[],COLUMN(AS:AS),0)</f>
        <v>0</v>
      </c>
      <c r="AT336" cm="1">
        <f t="array" ref="AT336">VLOOKUP($A336,Table_ship_components[],COLUMN(AT:AT),0)</f>
        <v>0</v>
      </c>
      <c r="AU336" s="2" cm="1">
        <f t="array" ref="AU336">VLOOKUP($A336,Table_ship_components[],COLUMN(AU:AU),0)</f>
        <v>0</v>
      </c>
      <c r="AV336" s="2" cm="1">
        <f t="array" ref="AV336">VLOOKUP($A336,Table_ship_components[],COLUMN(AV:AV),0)</f>
        <v>0</v>
      </c>
      <c r="AW336" s="2" cm="1">
        <f t="array" ref="AW336">VLOOKUP($A336,Table_ship_components[],COLUMN(AW:AW),0)</f>
        <v>0</v>
      </c>
      <c r="AX336" s="2" cm="1">
        <f t="array" ref="AX336">VLOOKUP($A336,Table_ship_components[],COLUMN(AX:AX),0)</f>
        <v>0</v>
      </c>
      <c r="AY336" s="2" cm="1">
        <f t="array" ref="AY336">VLOOKUP($A336,Table_ship_components[],COLUMN(AY:AY),0)</f>
        <v>0</v>
      </c>
      <c r="AZ336" s="2" t="str" cm="1">
        <f t="array" ref="AZ336">VLOOKUP($A336,Table_ship_components[],COLUMN(AZ:AZ),0)</f>
        <v>C</v>
      </c>
      <c r="BA336" s="14" cm="1">
        <f t="array" ref="BA336">VLOOKUP($A336,Table_ship_components[],COLUMN(BA:BA),0)</f>
        <v>900000</v>
      </c>
      <c r="BB336" s="14" cm="1">
        <f t="array" ref="BB336">(VLOOKUP($A336,Table_ship_components[],COLUMN(BA:BA),0)+(W336*C336))</f>
        <v>900000</v>
      </c>
      <c r="BC336" s="2" cm="1">
        <f t="array" ref="BC336">VLOOKUP($A336,Table_ship_components[],COLUMN(BC:BC),0)</f>
        <v>0</v>
      </c>
      <c r="BD336" s="2" cm="1">
        <f t="array" ref="BD336">VLOOKUP($A336,Table_ship_components[],COLUMN(BD:BD),0)</f>
        <v>0</v>
      </c>
    </row>
    <row r="337" spans="1:56" outlineLevel="1" x14ac:dyDescent="0.35">
      <c r="A337" t="s">
        <v>288</v>
      </c>
      <c r="B337" t="str" cm="1">
        <f t="array" ref="B337">VLOOKUP($A337,Table_ship_components[],COLUMN(B:B),0)</f>
        <v>PICK A COMPONENT</v>
      </c>
      <c r="D337" cm="1">
        <f t="array" ref="D337">VLOOKUP($A337,Table_ship_components[],COLUMN(D:D),0)</f>
        <v>0</v>
      </c>
      <c r="E337" cm="1">
        <f t="array" ref="E337">ROUND(VLOOKUP($A337,Table_ship_components[],COLUMN(D:D),0)+(V337*C337),0)</f>
        <v>0</v>
      </c>
      <c r="F337" cm="1">
        <f t="array" ref="F337">VLOOKUP($A337,Table_ship_components[],COLUMN(F:F),0)</f>
        <v>0</v>
      </c>
      <c r="G337" cm="1">
        <f t="array" ref="G337">ROUND(VLOOKUP($A337,Table_ship_components[],COLUMN(G:G),0)+(X337*C337),0)</f>
        <v>0</v>
      </c>
      <c r="H337" cm="1">
        <f t="array" ref="H337">VLOOKUP($A337,Table_ship_components[],COLUMN(H:H),0)</f>
        <v>0</v>
      </c>
      <c r="I337" cm="1">
        <f t="array" ref="I337">VLOOKUP($A337,Table_ship_components[],COLUMN(I:I),0)</f>
        <v>0</v>
      </c>
      <c r="J337" cm="1">
        <f t="array" ref="J337">VLOOKUP($A337,Table_ship_components[],COLUMN(J:J),0)</f>
        <v>0</v>
      </c>
      <c r="K337" cm="1">
        <f t="array" ref="K337">VLOOKUP($A337,Table_ship_components[],COLUMN(K:K),0)</f>
        <v>0</v>
      </c>
      <c r="L337" cm="1">
        <f t="array" ref="L337">VLOOKUP($A337,Table_ship_components[],COLUMN(L:L),0)</f>
        <v>0</v>
      </c>
      <c r="M337" cm="1">
        <f t="array" ref="M337">VLOOKUP($A337,Table_ship_components[],COLUMN(M:M),0)</f>
        <v>0</v>
      </c>
      <c r="N337" cm="1">
        <f t="array" ref="N337">VLOOKUP($A337,Table_ship_components[],COLUMN(N:N),0)</f>
        <v>0</v>
      </c>
      <c r="O337" cm="1">
        <f t="array" ref="O337">VLOOKUP($A337,Table_ship_components[],COLUMN(O:O),0)</f>
        <v>0</v>
      </c>
      <c r="P337" cm="1">
        <f t="array" ref="P337">VLOOKUP($A337,Table_ship_components[],COLUMN(P:P),0)</f>
        <v>0</v>
      </c>
      <c r="Q337" cm="1">
        <f t="array" ref="Q337">VLOOKUP($A337,Table_ship_components[],COLUMN(Q:Q),0)</f>
        <v>0</v>
      </c>
      <c r="R337" cm="1">
        <f t="array" ref="R337">VLOOKUP($A337,Table_ship_components[],COLUMN(R:R),0)</f>
        <v>0</v>
      </c>
      <c r="S337" cm="1">
        <f t="array" ref="S337">VLOOKUP($A337,Table_ship_components[],COLUMN(S:S),0)</f>
        <v>0</v>
      </c>
      <c r="T337" cm="1">
        <f t="array" ref="T337">VLOOKUP($A337,Table_ship_components[],COLUMN(T:T),0)</f>
        <v>0</v>
      </c>
      <c r="U337" cm="1">
        <f t="array" ref="U337">VLOOKUP($A337,Table_ship_components[],COLUMN(U:U),0)</f>
        <v>0</v>
      </c>
      <c r="V337" cm="1">
        <f t="array" ref="V337">VLOOKUP($A337,Table_ship_components[],COLUMN(V:V),0)</f>
        <v>0</v>
      </c>
      <c r="W337" s="15" cm="1">
        <f t="array" ref="W337">VLOOKUP($A337,Table_ship_components[],COLUMN(W:W),0)</f>
        <v>0</v>
      </c>
      <c r="X337" cm="1">
        <f t="array" ref="X337">VLOOKUP($A337,Table_ship_components[],COLUMN(X:X),0)</f>
        <v>0</v>
      </c>
      <c r="Y337" cm="1">
        <f t="array" ref="Y337">VLOOKUP($A337,Table_ship_components[],COLUMN(Y:Y),0)</f>
        <v>0</v>
      </c>
      <c r="Z337" cm="1">
        <f t="array" ref="Z337">VLOOKUP($A337,Table_ship_components[],COLUMN(Z:Z),0)</f>
        <v>0</v>
      </c>
      <c r="AA337" cm="1">
        <f t="array" ref="AA337">VLOOKUP($A337,Table_ship_components[],COLUMN(AA:AA),0)*C337</f>
        <v>0</v>
      </c>
      <c r="AB337">
        <f t="shared" si="20"/>
        <v>0</v>
      </c>
      <c r="AC337" cm="1">
        <f t="array" ref="AC337">VLOOKUP($A337,Table_ship_components[],COLUMN(AC:AC),0)*C337</f>
        <v>0</v>
      </c>
      <c r="AD337" cm="1">
        <f t="array" ref="AD337">VLOOKUP($A337,Table_ship_components[],COLUMN(AD:AD),0)</f>
        <v>0</v>
      </c>
      <c r="AE337" cm="1">
        <f t="array" ref="AE337">VLOOKUP($A337,Table_ship_components[],COLUMN(AE:AE),0)</f>
        <v>0</v>
      </c>
      <c r="AF337" cm="1">
        <f t="array" ref="AF337">VLOOKUP($A337,Table_ship_components[],COLUMN(AF:AF),0)</f>
        <v>0</v>
      </c>
      <c r="AG337" cm="1">
        <f t="array" ref="AG337">VLOOKUP($A337,Table_ship_components[],COLUMN(AG:AG),0)</f>
        <v>0</v>
      </c>
      <c r="AH337" cm="1">
        <f t="array" ref="AH337">VLOOKUP($A337,Table_ship_components[],COLUMN(AH:AH),0)</f>
        <v>0</v>
      </c>
      <c r="AI337" cm="1">
        <f t="array" ref="AI337">VLOOKUP($A337,Table_ship_components[],COLUMN(AI:AI),0)</f>
        <v>0</v>
      </c>
      <c r="AJ337" cm="1">
        <f t="array" ref="AJ337">VLOOKUP($A337,Table_ship_components[],COLUMN(AJ:AJ),0)</f>
        <v>0</v>
      </c>
      <c r="AK337" cm="1">
        <f t="array" ref="AK337">VLOOKUP($A337,Table_ship_components[],COLUMN(AK:AK),0)</f>
        <v>0</v>
      </c>
      <c r="AL337" cm="1">
        <f t="array" ref="AL337">VLOOKUP($A337,Table_ship_components[],COLUMN(AL:AL),0)</f>
        <v>0</v>
      </c>
      <c r="AM337" cm="1">
        <f t="array" ref="AM337">VLOOKUP($A337,Table_ship_components[],COLUMN(AM:AM),0)</f>
        <v>0</v>
      </c>
      <c r="AN337" cm="1">
        <f t="array" ref="AN337">VLOOKUP($A337,Table_ship_components[],COLUMN(AN:AN),0)</f>
        <v>0</v>
      </c>
      <c r="AO337" cm="1">
        <f t="array" ref="AO337">VLOOKUP($A337,Table_ship_components[],COLUMN(AO:AO),0)</f>
        <v>0</v>
      </c>
      <c r="AP337" cm="1">
        <f t="array" ref="AP337">VLOOKUP($A337,Table_ship_components[],COLUMN(AP:AP),0)</f>
        <v>0</v>
      </c>
      <c r="AQ337" cm="1">
        <f t="array" ref="AQ337">VLOOKUP($A337,Table_ship_components[],COLUMN(AQ:AQ),0)</f>
        <v>0</v>
      </c>
      <c r="AR337" cm="1">
        <f t="array" ref="AR337">VLOOKUP($A337,Table_ship_components[],COLUMN(AR:AR),0)</f>
        <v>0</v>
      </c>
      <c r="AS337" cm="1">
        <f t="array" ref="AS337">VLOOKUP($A337,Table_ship_components[],COLUMN(AS:AS),0)</f>
        <v>0</v>
      </c>
      <c r="AT337" cm="1">
        <f t="array" ref="AT337">VLOOKUP($A337,Table_ship_components[],COLUMN(AT:AT),0)</f>
        <v>0</v>
      </c>
      <c r="AU337" s="2" cm="1">
        <f t="array" ref="AU337">VLOOKUP($A337,Table_ship_components[],COLUMN(AU:AU),0)</f>
        <v>0</v>
      </c>
      <c r="AV337" s="2" cm="1">
        <f t="array" ref="AV337">VLOOKUP($A337,Table_ship_components[],COLUMN(AV:AV),0)</f>
        <v>0</v>
      </c>
      <c r="AW337" s="2" cm="1">
        <f t="array" ref="AW337">VLOOKUP($A337,Table_ship_components[],COLUMN(AW:AW),0)</f>
        <v>0</v>
      </c>
      <c r="AX337" s="2" cm="1">
        <f t="array" ref="AX337">VLOOKUP($A337,Table_ship_components[],COLUMN(AX:AX),0)</f>
        <v>0</v>
      </c>
      <c r="AY337" s="2" cm="1">
        <f t="array" ref="AY337">VLOOKUP($A337,Table_ship_components[],COLUMN(AY:AY),0)</f>
        <v>0</v>
      </c>
      <c r="AZ337" s="2" t="str" cm="1">
        <f t="array" ref="AZ337">VLOOKUP($A337,Table_ship_components[],COLUMN(AZ:AZ),0)</f>
        <v>C</v>
      </c>
      <c r="BA337" s="14" cm="1">
        <f t="array" ref="BA337">VLOOKUP($A337,Table_ship_components[],COLUMN(BA:BA),0)</f>
        <v>0</v>
      </c>
      <c r="BB337" s="14" cm="1">
        <f t="array" ref="BB337">(VLOOKUP($A337,Table_ship_components[],COLUMN(BA:BA),0)+(W337*C337))</f>
        <v>0</v>
      </c>
      <c r="BC337" s="2" cm="1">
        <f t="array" ref="BC337">VLOOKUP($A337,Table_ship_components[],COLUMN(BC:BC),0)</f>
        <v>0</v>
      </c>
      <c r="BD337" s="2" cm="1">
        <f t="array" ref="BD337">VLOOKUP($A337,Table_ship_components[],COLUMN(BD:BD),0)</f>
        <v>0</v>
      </c>
    </row>
    <row r="338" spans="1:56" outlineLevel="1" x14ac:dyDescent="0.35">
      <c r="A338" t="s">
        <v>288</v>
      </c>
      <c r="B338" t="str" cm="1">
        <f t="array" ref="B338">VLOOKUP($A338,Table_ship_components[],COLUMN(B:B),0)</f>
        <v>PICK A COMPONENT</v>
      </c>
      <c r="D338" cm="1">
        <f t="array" ref="D338">VLOOKUP($A338,Table_ship_components[],COLUMN(D:D),0)</f>
        <v>0</v>
      </c>
      <c r="E338" cm="1">
        <f t="array" ref="E338">ROUND(VLOOKUP($A338,Table_ship_components[],COLUMN(D:D),0)+(V338*C338),0)</f>
        <v>0</v>
      </c>
      <c r="F338" cm="1">
        <f t="array" ref="F338">VLOOKUP($A338,Table_ship_components[],COLUMN(F:F),0)</f>
        <v>0</v>
      </c>
      <c r="G338" cm="1">
        <f t="array" ref="G338">ROUND(VLOOKUP($A338,Table_ship_components[],COLUMN(G:G),0)+(X338*C338),0)</f>
        <v>0</v>
      </c>
      <c r="H338" cm="1">
        <f t="array" ref="H338">VLOOKUP($A338,Table_ship_components[],COLUMN(H:H),0)</f>
        <v>0</v>
      </c>
      <c r="I338" cm="1">
        <f t="array" ref="I338">VLOOKUP($A338,Table_ship_components[],COLUMN(I:I),0)</f>
        <v>0</v>
      </c>
      <c r="J338" cm="1">
        <f t="array" ref="J338">VLOOKUP($A338,Table_ship_components[],COLUMN(J:J),0)</f>
        <v>0</v>
      </c>
      <c r="K338" cm="1">
        <f t="array" ref="K338">VLOOKUP($A338,Table_ship_components[],COLUMN(K:K),0)</f>
        <v>0</v>
      </c>
      <c r="L338" cm="1">
        <f t="array" ref="L338">VLOOKUP($A338,Table_ship_components[],COLUMN(L:L),0)</f>
        <v>0</v>
      </c>
      <c r="M338" cm="1">
        <f t="array" ref="M338">VLOOKUP($A338,Table_ship_components[],COLUMN(M:M),0)</f>
        <v>0</v>
      </c>
      <c r="N338" cm="1">
        <f t="array" ref="N338">VLOOKUP($A338,Table_ship_components[],COLUMN(N:N),0)</f>
        <v>0</v>
      </c>
      <c r="O338" cm="1">
        <f t="array" ref="O338">VLOOKUP($A338,Table_ship_components[],COLUMN(O:O),0)</f>
        <v>0</v>
      </c>
      <c r="P338" cm="1">
        <f t="array" ref="P338">VLOOKUP($A338,Table_ship_components[],COLUMN(P:P),0)</f>
        <v>0</v>
      </c>
      <c r="Q338" cm="1">
        <f t="array" ref="Q338">VLOOKUP($A338,Table_ship_components[],COLUMN(Q:Q),0)</f>
        <v>0</v>
      </c>
      <c r="R338" cm="1">
        <f t="array" ref="R338">VLOOKUP($A338,Table_ship_components[],COLUMN(R:R),0)</f>
        <v>0</v>
      </c>
      <c r="S338" cm="1">
        <f t="array" ref="S338">VLOOKUP($A338,Table_ship_components[],COLUMN(S:S),0)</f>
        <v>0</v>
      </c>
      <c r="T338" cm="1">
        <f t="array" ref="T338">VLOOKUP($A338,Table_ship_components[],COLUMN(T:T),0)</f>
        <v>0</v>
      </c>
      <c r="U338" cm="1">
        <f t="array" ref="U338">VLOOKUP($A338,Table_ship_components[],COLUMN(U:U),0)</f>
        <v>0</v>
      </c>
      <c r="V338" cm="1">
        <f t="array" ref="V338">VLOOKUP($A338,Table_ship_components[],COLUMN(V:V),0)</f>
        <v>0</v>
      </c>
      <c r="W338" s="15" cm="1">
        <f t="array" ref="W338">VLOOKUP($A338,Table_ship_components[],COLUMN(W:W),0)</f>
        <v>0</v>
      </c>
      <c r="X338" cm="1">
        <f t="array" ref="X338">VLOOKUP($A338,Table_ship_components[],COLUMN(X:X),0)</f>
        <v>0</v>
      </c>
      <c r="Y338" cm="1">
        <f t="array" ref="Y338">VLOOKUP($A338,Table_ship_components[],COLUMN(Y:Y),0)</f>
        <v>0</v>
      </c>
      <c r="Z338" cm="1">
        <f t="array" ref="Z338">VLOOKUP($A338,Table_ship_components[],COLUMN(Z:Z),0)</f>
        <v>0</v>
      </c>
      <c r="AA338" cm="1">
        <f t="array" ref="AA338">VLOOKUP($A338,Table_ship_components[],COLUMN(AA:AA),0)*C338</f>
        <v>0</v>
      </c>
      <c r="AB338">
        <f t="shared" si="20"/>
        <v>0</v>
      </c>
      <c r="AC338" cm="1">
        <f t="array" ref="AC338">VLOOKUP($A338,Table_ship_components[],COLUMN(AC:AC),0)*C338</f>
        <v>0</v>
      </c>
      <c r="AD338" cm="1">
        <f t="array" ref="AD338">VLOOKUP($A338,Table_ship_components[],COLUMN(AD:AD),0)</f>
        <v>0</v>
      </c>
      <c r="AE338" cm="1">
        <f t="array" ref="AE338">VLOOKUP($A338,Table_ship_components[],COLUMN(AE:AE),0)</f>
        <v>0</v>
      </c>
      <c r="AF338" cm="1">
        <f t="array" ref="AF338">VLOOKUP($A338,Table_ship_components[],COLUMN(AF:AF),0)</f>
        <v>0</v>
      </c>
      <c r="AG338" cm="1">
        <f t="array" ref="AG338">VLOOKUP($A338,Table_ship_components[],COLUMN(AG:AG),0)</f>
        <v>0</v>
      </c>
      <c r="AH338" cm="1">
        <f t="array" ref="AH338">VLOOKUP($A338,Table_ship_components[],COLUMN(AH:AH),0)</f>
        <v>0</v>
      </c>
      <c r="AI338" cm="1">
        <f t="array" ref="AI338">VLOOKUP($A338,Table_ship_components[],COLUMN(AI:AI),0)</f>
        <v>0</v>
      </c>
      <c r="AJ338" cm="1">
        <f t="array" ref="AJ338">VLOOKUP($A338,Table_ship_components[],COLUMN(AJ:AJ),0)</f>
        <v>0</v>
      </c>
      <c r="AK338" cm="1">
        <f t="array" ref="AK338">VLOOKUP($A338,Table_ship_components[],COLUMN(AK:AK),0)</f>
        <v>0</v>
      </c>
      <c r="AL338" cm="1">
        <f t="array" ref="AL338">VLOOKUP($A338,Table_ship_components[],COLUMN(AL:AL),0)</f>
        <v>0</v>
      </c>
      <c r="AM338" cm="1">
        <f t="array" ref="AM338">VLOOKUP($A338,Table_ship_components[],COLUMN(AM:AM),0)</f>
        <v>0</v>
      </c>
      <c r="AN338" cm="1">
        <f t="array" ref="AN338">VLOOKUP($A338,Table_ship_components[],COLUMN(AN:AN),0)</f>
        <v>0</v>
      </c>
      <c r="AO338" cm="1">
        <f t="array" ref="AO338">VLOOKUP($A338,Table_ship_components[],COLUMN(AO:AO),0)</f>
        <v>0</v>
      </c>
      <c r="AP338" cm="1">
        <f t="array" ref="AP338">VLOOKUP($A338,Table_ship_components[],COLUMN(AP:AP),0)</f>
        <v>0</v>
      </c>
      <c r="AQ338" cm="1">
        <f t="array" ref="AQ338">VLOOKUP($A338,Table_ship_components[],COLUMN(AQ:AQ),0)</f>
        <v>0</v>
      </c>
      <c r="AR338" cm="1">
        <f t="array" ref="AR338">VLOOKUP($A338,Table_ship_components[],COLUMN(AR:AR),0)</f>
        <v>0</v>
      </c>
      <c r="AS338" cm="1">
        <f t="array" ref="AS338">VLOOKUP($A338,Table_ship_components[],COLUMN(AS:AS),0)</f>
        <v>0</v>
      </c>
      <c r="AT338" cm="1">
        <f t="array" ref="AT338">VLOOKUP($A338,Table_ship_components[],COLUMN(AT:AT),0)</f>
        <v>0</v>
      </c>
      <c r="AU338" s="2" cm="1">
        <f t="array" ref="AU338">VLOOKUP($A338,Table_ship_components[],COLUMN(AU:AU),0)</f>
        <v>0</v>
      </c>
      <c r="AV338" s="2" cm="1">
        <f t="array" ref="AV338">VLOOKUP($A338,Table_ship_components[],COLUMN(AV:AV),0)</f>
        <v>0</v>
      </c>
      <c r="AW338" s="2" cm="1">
        <f t="array" ref="AW338">VLOOKUP($A338,Table_ship_components[],COLUMN(AW:AW),0)</f>
        <v>0</v>
      </c>
      <c r="AX338" s="2" cm="1">
        <f t="array" ref="AX338">VLOOKUP($A338,Table_ship_components[],COLUMN(AX:AX),0)</f>
        <v>0</v>
      </c>
      <c r="AY338" s="2" cm="1">
        <f t="array" ref="AY338">VLOOKUP($A338,Table_ship_components[],COLUMN(AY:AY),0)</f>
        <v>0</v>
      </c>
      <c r="AZ338" s="2" t="str" cm="1">
        <f t="array" ref="AZ338">VLOOKUP($A338,Table_ship_components[],COLUMN(AZ:AZ),0)</f>
        <v>C</v>
      </c>
      <c r="BA338" s="14" cm="1">
        <f t="array" ref="BA338">VLOOKUP($A338,Table_ship_components[],COLUMN(BA:BA),0)</f>
        <v>0</v>
      </c>
      <c r="BB338" s="14" cm="1">
        <f t="array" ref="BB338">(VLOOKUP($A338,Table_ship_components[],COLUMN(BA:BA),0)+(W338*C338))</f>
        <v>0</v>
      </c>
      <c r="BC338" s="2" cm="1">
        <f t="array" ref="BC338">VLOOKUP($A338,Table_ship_components[],COLUMN(BC:BC),0)</f>
        <v>0</v>
      </c>
      <c r="BD338" s="2" cm="1">
        <f t="array" ref="BD338">VLOOKUP($A338,Table_ship_components[],COLUMN(BD:BD),0)</f>
        <v>0</v>
      </c>
    </row>
    <row r="339" spans="1:56" outlineLevel="1" x14ac:dyDescent="0.35">
      <c r="A339" t="s">
        <v>288</v>
      </c>
      <c r="B339" t="str" cm="1">
        <f t="array" ref="B339">VLOOKUP($A339,Table_ship_components[],COLUMN(B:B),0)</f>
        <v>PICK A COMPONENT</v>
      </c>
      <c r="D339" cm="1">
        <f t="array" ref="D339">VLOOKUP($A339,Table_ship_components[],COLUMN(D:D),0)</f>
        <v>0</v>
      </c>
      <c r="E339" cm="1">
        <f t="array" ref="E339">ROUND(VLOOKUP($A339,Table_ship_components[],COLUMN(D:D),0)+(V339*C339),0)</f>
        <v>0</v>
      </c>
      <c r="F339" cm="1">
        <f t="array" ref="F339">VLOOKUP($A339,Table_ship_components[],COLUMN(F:F),0)</f>
        <v>0</v>
      </c>
      <c r="G339" cm="1">
        <f t="array" ref="G339">ROUND(VLOOKUP($A339,Table_ship_components[],COLUMN(G:G),0)+(X339*C339),0)</f>
        <v>0</v>
      </c>
      <c r="H339" cm="1">
        <f t="array" ref="H339">VLOOKUP($A339,Table_ship_components[],COLUMN(H:H),0)</f>
        <v>0</v>
      </c>
      <c r="I339" cm="1">
        <f t="array" ref="I339">VLOOKUP($A339,Table_ship_components[],COLUMN(I:I),0)</f>
        <v>0</v>
      </c>
      <c r="J339" cm="1">
        <f t="array" ref="J339">VLOOKUP($A339,Table_ship_components[],COLUMN(J:J),0)</f>
        <v>0</v>
      </c>
      <c r="K339" cm="1">
        <f t="array" ref="K339">VLOOKUP($A339,Table_ship_components[],COLUMN(K:K),0)</f>
        <v>0</v>
      </c>
      <c r="L339" cm="1">
        <f t="array" ref="L339">VLOOKUP($A339,Table_ship_components[],COLUMN(L:L),0)</f>
        <v>0</v>
      </c>
      <c r="M339" cm="1">
        <f t="array" ref="M339">VLOOKUP($A339,Table_ship_components[],COLUMN(M:M),0)</f>
        <v>0</v>
      </c>
      <c r="N339" cm="1">
        <f t="array" ref="N339">VLOOKUP($A339,Table_ship_components[],COLUMN(N:N),0)</f>
        <v>0</v>
      </c>
      <c r="O339" cm="1">
        <f t="array" ref="O339">VLOOKUP($A339,Table_ship_components[],COLUMN(O:O),0)</f>
        <v>0</v>
      </c>
      <c r="P339" cm="1">
        <f t="array" ref="P339">VLOOKUP($A339,Table_ship_components[],COLUMN(P:P),0)</f>
        <v>0</v>
      </c>
      <c r="Q339" cm="1">
        <f t="array" ref="Q339">VLOOKUP($A339,Table_ship_components[],COLUMN(Q:Q),0)</f>
        <v>0</v>
      </c>
      <c r="R339" cm="1">
        <f t="array" ref="R339">VLOOKUP($A339,Table_ship_components[],COLUMN(R:R),0)</f>
        <v>0</v>
      </c>
      <c r="S339" cm="1">
        <f t="array" ref="S339">VLOOKUP($A339,Table_ship_components[],COLUMN(S:S),0)</f>
        <v>0</v>
      </c>
      <c r="T339" cm="1">
        <f t="array" ref="T339">VLOOKUP($A339,Table_ship_components[],COLUMN(T:T),0)</f>
        <v>0</v>
      </c>
      <c r="U339" cm="1">
        <f t="array" ref="U339">VLOOKUP($A339,Table_ship_components[],COLUMN(U:U),0)</f>
        <v>0</v>
      </c>
      <c r="V339" cm="1">
        <f t="array" ref="V339">VLOOKUP($A339,Table_ship_components[],COLUMN(V:V),0)</f>
        <v>0</v>
      </c>
      <c r="W339" s="15" cm="1">
        <f t="array" ref="W339">VLOOKUP($A339,Table_ship_components[],COLUMN(W:W),0)</f>
        <v>0</v>
      </c>
      <c r="X339" cm="1">
        <f t="array" ref="X339">VLOOKUP($A339,Table_ship_components[],COLUMN(X:X),0)</f>
        <v>0</v>
      </c>
      <c r="Y339" cm="1">
        <f t="array" ref="Y339">VLOOKUP($A339,Table_ship_components[],COLUMN(Y:Y),0)</f>
        <v>0</v>
      </c>
      <c r="Z339" cm="1">
        <f t="array" ref="Z339">VLOOKUP($A339,Table_ship_components[],COLUMN(Z:Z),0)</f>
        <v>0</v>
      </c>
      <c r="AA339" cm="1">
        <f t="array" ref="AA339">VLOOKUP($A339,Table_ship_components[],COLUMN(AA:AA),0)*C339</f>
        <v>0</v>
      </c>
      <c r="AB339">
        <f t="shared" si="20"/>
        <v>0</v>
      </c>
      <c r="AC339" cm="1">
        <f t="array" ref="AC339">VLOOKUP($A339,Table_ship_components[],COLUMN(AC:AC),0)*C339</f>
        <v>0</v>
      </c>
      <c r="AD339" cm="1">
        <f t="array" ref="AD339">VLOOKUP($A339,Table_ship_components[],COLUMN(AD:AD),0)</f>
        <v>0</v>
      </c>
      <c r="AE339" cm="1">
        <f t="array" ref="AE339">VLOOKUP($A339,Table_ship_components[],COLUMN(AE:AE),0)</f>
        <v>0</v>
      </c>
      <c r="AF339" cm="1">
        <f t="array" ref="AF339">VLOOKUP($A339,Table_ship_components[],COLUMN(AF:AF),0)</f>
        <v>0</v>
      </c>
      <c r="AG339" cm="1">
        <f t="array" ref="AG339">VLOOKUP($A339,Table_ship_components[],COLUMN(AG:AG),0)</f>
        <v>0</v>
      </c>
      <c r="AH339" cm="1">
        <f t="array" ref="AH339">VLOOKUP($A339,Table_ship_components[],COLUMN(AH:AH),0)</f>
        <v>0</v>
      </c>
      <c r="AI339" cm="1">
        <f t="array" ref="AI339">VLOOKUP($A339,Table_ship_components[],COLUMN(AI:AI),0)</f>
        <v>0</v>
      </c>
      <c r="AJ339" cm="1">
        <f t="array" ref="AJ339">VLOOKUP($A339,Table_ship_components[],COLUMN(AJ:AJ),0)</f>
        <v>0</v>
      </c>
      <c r="AK339" cm="1">
        <f t="array" ref="AK339">VLOOKUP($A339,Table_ship_components[],COLUMN(AK:AK),0)</f>
        <v>0</v>
      </c>
      <c r="AL339" cm="1">
        <f t="array" ref="AL339">VLOOKUP($A339,Table_ship_components[],COLUMN(AL:AL),0)</f>
        <v>0</v>
      </c>
      <c r="AM339" cm="1">
        <f t="array" ref="AM339">VLOOKUP($A339,Table_ship_components[],COLUMN(AM:AM),0)</f>
        <v>0</v>
      </c>
      <c r="AN339" cm="1">
        <f t="array" ref="AN339">VLOOKUP($A339,Table_ship_components[],COLUMN(AN:AN),0)</f>
        <v>0</v>
      </c>
      <c r="AO339" cm="1">
        <f t="array" ref="AO339">VLOOKUP($A339,Table_ship_components[],COLUMN(AO:AO),0)</f>
        <v>0</v>
      </c>
      <c r="AP339" cm="1">
        <f t="array" ref="AP339">VLOOKUP($A339,Table_ship_components[],COLUMN(AP:AP),0)</f>
        <v>0</v>
      </c>
      <c r="AQ339" cm="1">
        <f t="array" ref="AQ339">VLOOKUP($A339,Table_ship_components[],COLUMN(AQ:AQ),0)</f>
        <v>0</v>
      </c>
      <c r="AR339" cm="1">
        <f t="array" ref="AR339">VLOOKUP($A339,Table_ship_components[],COLUMN(AR:AR),0)</f>
        <v>0</v>
      </c>
      <c r="AS339" cm="1">
        <f t="array" ref="AS339">VLOOKUP($A339,Table_ship_components[],COLUMN(AS:AS),0)</f>
        <v>0</v>
      </c>
      <c r="AT339" cm="1">
        <f t="array" ref="AT339">VLOOKUP($A339,Table_ship_components[],COLUMN(AT:AT),0)</f>
        <v>0</v>
      </c>
      <c r="AU339" s="2" cm="1">
        <f t="array" ref="AU339">VLOOKUP($A339,Table_ship_components[],COLUMN(AU:AU),0)</f>
        <v>0</v>
      </c>
      <c r="AV339" s="2" cm="1">
        <f t="array" ref="AV339">VLOOKUP($A339,Table_ship_components[],COLUMN(AV:AV),0)</f>
        <v>0</v>
      </c>
      <c r="AW339" s="2" cm="1">
        <f t="array" ref="AW339">VLOOKUP($A339,Table_ship_components[],COLUMN(AW:AW),0)</f>
        <v>0</v>
      </c>
      <c r="AX339" s="2" cm="1">
        <f t="array" ref="AX339">VLOOKUP($A339,Table_ship_components[],COLUMN(AX:AX),0)</f>
        <v>0</v>
      </c>
      <c r="AY339" s="2" cm="1">
        <f t="array" ref="AY339">VLOOKUP($A339,Table_ship_components[],COLUMN(AY:AY),0)</f>
        <v>0</v>
      </c>
      <c r="AZ339" s="2" t="str" cm="1">
        <f t="array" ref="AZ339">VLOOKUP($A339,Table_ship_components[],COLUMN(AZ:AZ),0)</f>
        <v>C</v>
      </c>
      <c r="BA339" s="14" cm="1">
        <f t="array" ref="BA339">VLOOKUP($A339,Table_ship_components[],COLUMN(BA:BA),0)</f>
        <v>0</v>
      </c>
      <c r="BB339" s="14" cm="1">
        <f t="array" ref="BB339">(VLOOKUP($A339,Table_ship_components[],COLUMN(BA:BA),0)+(W339*C339))</f>
        <v>0</v>
      </c>
      <c r="BC339" s="2" cm="1">
        <f t="array" ref="BC339">VLOOKUP($A339,Table_ship_components[],COLUMN(BC:BC),0)</f>
        <v>0</v>
      </c>
      <c r="BD339" s="2" cm="1">
        <f t="array" ref="BD339">VLOOKUP($A339,Table_ship_components[],COLUMN(BD:BD),0)</f>
        <v>0</v>
      </c>
    </row>
    <row r="340" spans="1:56" outlineLevel="1" x14ac:dyDescent="0.35">
      <c r="A340" t="s">
        <v>363</v>
      </c>
      <c r="B340" t="str" cm="1">
        <f t="array" ref="B340">VLOOKUP($A340,Table_ship_components[],COLUMN(B:B),0)</f>
        <v>basic life support for a corvette</v>
      </c>
      <c r="C340" s="2">
        <v>16</v>
      </c>
      <c r="D340" cm="1">
        <f t="array" ref="D340">VLOOKUP($A340,Table_ship_components[],COLUMN(D:D),0)</f>
        <v>6</v>
      </c>
      <c r="E340" cm="1">
        <f t="array" ref="E340">ROUND(VLOOKUP($A340,Table_ship_components[],COLUMN(D:D),0)+(V340*C340),0)</f>
        <v>8</v>
      </c>
      <c r="F340" cm="1">
        <f t="array" ref="F340">VLOOKUP($A340,Table_ship_components[],COLUMN(F:F),0)</f>
        <v>5</v>
      </c>
      <c r="G340" cm="1">
        <f t="array" ref="G340">ROUND(VLOOKUP($A340,Table_ship_components[],COLUMN(G:G),0)+(X340*C340),0)</f>
        <v>7</v>
      </c>
      <c r="H340" cm="1">
        <f t="array" ref="H340">VLOOKUP($A340,Table_ship_components[],COLUMN(H:H),0)</f>
        <v>0</v>
      </c>
      <c r="I340" cm="1">
        <f t="array" ref="I340">VLOOKUP($A340,Table_ship_components[],COLUMN(I:I),0)</f>
        <v>0</v>
      </c>
      <c r="J340" cm="1">
        <f t="array" ref="J340">VLOOKUP($A340,Table_ship_components[],COLUMN(J:J),0)</f>
        <v>0</v>
      </c>
      <c r="K340" cm="1">
        <f t="array" ref="K340">VLOOKUP($A340,Table_ship_components[],COLUMN(K:K),0)</f>
        <v>0</v>
      </c>
      <c r="L340" cm="1">
        <f t="array" ref="L340">VLOOKUP($A340,Table_ship_components[],COLUMN(L:L),0)</f>
        <v>0</v>
      </c>
      <c r="M340" cm="1">
        <f t="array" ref="M340">VLOOKUP($A340,Table_ship_components[],COLUMN(M:M),0)</f>
        <v>0</v>
      </c>
      <c r="N340" cm="1">
        <f t="array" ref="N340">VLOOKUP($A340,Table_ship_components[],COLUMN(N:N),0)</f>
        <v>0</v>
      </c>
      <c r="O340" cm="1">
        <f t="array" ref="O340">VLOOKUP($A340,Table_ship_components[],COLUMN(O:O),0)</f>
        <v>1</v>
      </c>
      <c r="P340" cm="1">
        <f t="array" ref="P340">VLOOKUP($A340,Table_ship_components[],COLUMN(P:P),0)</f>
        <v>0</v>
      </c>
      <c r="Q340" cm="1">
        <f t="array" ref="Q340">VLOOKUP($A340,Table_ship_components[],COLUMN(Q:Q),0)</f>
        <v>0</v>
      </c>
      <c r="R340" cm="1">
        <f t="array" ref="R340">VLOOKUP($A340,Table_ship_components[],COLUMN(R:R),0)</f>
        <v>0</v>
      </c>
      <c r="S340" cm="1">
        <f t="array" ref="S340">VLOOKUP($A340,Table_ship_components[],COLUMN(S:S),0)</f>
        <v>0</v>
      </c>
      <c r="T340" cm="1">
        <f t="array" ref="T340">VLOOKUP($A340,Table_ship_components[],COLUMN(T:T),0)</f>
        <v>0</v>
      </c>
      <c r="U340" cm="1">
        <f t="array" ref="U340">VLOOKUP($A340,Table_ship_components[],COLUMN(U:U),0)</f>
        <v>1</v>
      </c>
      <c r="V340" cm="1">
        <f t="array" ref="V340">VLOOKUP($A340,Table_ship_components[],COLUMN(V:V),0)</f>
        <v>0.1</v>
      </c>
      <c r="W340" s="15" cm="1">
        <f t="array" ref="W340">VLOOKUP($A340,Table_ship_components[],COLUMN(W:W),0)</f>
        <v>5000</v>
      </c>
      <c r="X340" cm="1">
        <f t="array" ref="X340">VLOOKUP($A340,Table_ship_components[],COLUMN(X:X),0)</f>
        <v>0.1</v>
      </c>
      <c r="Y340" cm="1">
        <f t="array" ref="Y340">VLOOKUP($A340,Table_ship_components[],COLUMN(Y:Y),0)</f>
        <v>0</v>
      </c>
      <c r="Z340" cm="1">
        <f t="array" ref="Z340">VLOOKUP($A340,Table_ship_components[],COLUMN(Z:Z),0)</f>
        <v>0</v>
      </c>
      <c r="AA340" cm="1">
        <f t="array" ref="AA340">VLOOKUP($A340,Table_ship_components[],COLUMN(AA:AA),0)*C340</f>
        <v>0</v>
      </c>
      <c r="AB340">
        <f t="shared" si="20"/>
        <v>0</v>
      </c>
      <c r="AC340" cm="1">
        <f t="array" ref="AC340">VLOOKUP($A340,Table_ship_components[],COLUMN(AC:AC),0)*C340</f>
        <v>16</v>
      </c>
      <c r="AD340" cm="1">
        <f t="array" ref="AD340">VLOOKUP($A340,Table_ship_components[],COLUMN(AD:AD),0)</f>
        <v>10</v>
      </c>
      <c r="AE340" cm="1">
        <f t="array" ref="AE340">VLOOKUP($A340,Table_ship_components[],COLUMN(AE:AE),0)</f>
        <v>0</v>
      </c>
      <c r="AF340" cm="1">
        <f t="array" ref="AF340">VLOOKUP($A340,Table_ship_components[],COLUMN(AF:AF),0)</f>
        <v>0</v>
      </c>
      <c r="AG340" cm="1">
        <f t="array" ref="AG340">VLOOKUP($A340,Table_ship_components[],COLUMN(AG:AG),0)</f>
        <v>0</v>
      </c>
      <c r="AH340" cm="1">
        <f t="array" ref="AH340">VLOOKUP($A340,Table_ship_components[],COLUMN(AH:AH),0)</f>
        <v>0</v>
      </c>
      <c r="AI340" cm="1">
        <f t="array" ref="AI340">VLOOKUP($A340,Table_ship_components[],COLUMN(AI:AI),0)</f>
        <v>0</v>
      </c>
      <c r="AJ340" cm="1">
        <f t="array" ref="AJ340">VLOOKUP($A340,Table_ship_components[],COLUMN(AJ:AJ),0)</f>
        <v>0</v>
      </c>
      <c r="AK340" cm="1">
        <f t="array" ref="AK340">VLOOKUP($A340,Table_ship_components[],COLUMN(AK:AK),0)</f>
        <v>0</v>
      </c>
      <c r="AL340" cm="1">
        <f t="array" ref="AL340">VLOOKUP($A340,Table_ship_components[],COLUMN(AL:AL),0)</f>
        <v>0</v>
      </c>
      <c r="AM340" cm="1">
        <f t="array" ref="AM340">VLOOKUP($A340,Table_ship_components[],COLUMN(AM:AM),0)</f>
        <v>0</v>
      </c>
      <c r="AN340" cm="1">
        <f t="array" ref="AN340">VLOOKUP($A340,Table_ship_components[],COLUMN(AN:AN),0)</f>
        <v>0</v>
      </c>
      <c r="AO340" cm="1">
        <f t="array" ref="AO340">VLOOKUP($A340,Table_ship_components[],COLUMN(AO:AO),0)</f>
        <v>0</v>
      </c>
      <c r="AP340" cm="1">
        <f t="array" ref="AP340">VLOOKUP($A340,Table_ship_components[],COLUMN(AP:AP),0)</f>
        <v>0</v>
      </c>
      <c r="AQ340" cm="1">
        <f t="array" ref="AQ340">VLOOKUP($A340,Table_ship_components[],COLUMN(AQ:AQ),0)</f>
        <v>0</v>
      </c>
      <c r="AR340" cm="1">
        <f t="array" ref="AR340">VLOOKUP($A340,Table_ship_components[],COLUMN(AR:AR),0)</f>
        <v>0</v>
      </c>
      <c r="AS340" cm="1">
        <f t="array" ref="AS340">VLOOKUP($A340,Table_ship_components[],COLUMN(AS:AS),0)</f>
        <v>0</v>
      </c>
      <c r="AT340" cm="1">
        <f t="array" ref="AT340">VLOOKUP($A340,Table_ship_components[],COLUMN(AT:AT),0)</f>
        <v>0</v>
      </c>
      <c r="AU340" s="2" cm="1">
        <f t="array" ref="AU340">VLOOKUP($A340,Table_ship_components[],COLUMN(AU:AU),0)</f>
        <v>0</v>
      </c>
      <c r="AV340" s="2" cm="1">
        <f t="array" ref="AV340">VLOOKUP($A340,Table_ship_components[],COLUMN(AV:AV),0)</f>
        <v>0</v>
      </c>
      <c r="AW340" s="2" cm="1">
        <f t="array" ref="AW340">VLOOKUP($A340,Table_ship_components[],COLUMN(AW:AW),0)</f>
        <v>0</v>
      </c>
      <c r="AX340" s="2" cm="1">
        <f t="array" ref="AX340">VLOOKUP($A340,Table_ship_components[],COLUMN(AX:AX),0)</f>
        <v>0</v>
      </c>
      <c r="AY340" s="2" cm="1">
        <f t="array" ref="AY340">VLOOKUP($A340,Table_ship_components[],COLUMN(AY:AY),0)</f>
        <v>0</v>
      </c>
      <c r="AZ340" s="2" t="str" cm="1">
        <f t="array" ref="AZ340">VLOOKUP($A340,Table_ship_components[],COLUMN(AZ:AZ),0)</f>
        <v>C</v>
      </c>
      <c r="BA340" s="14" cm="1">
        <f t="array" ref="BA340">VLOOKUP($A340,Table_ship_components[],COLUMN(BA:BA),0)</f>
        <v>50000</v>
      </c>
      <c r="BB340" s="14" cm="1">
        <f t="array" ref="BB340">(VLOOKUP($A340,Table_ship_components[],COLUMN(BA:BA),0)+(W340*C340))</f>
        <v>130000</v>
      </c>
      <c r="BC340" s="2" cm="1">
        <f t="array" ref="BC340">VLOOKUP($A340,Table_ship_components[],COLUMN(BC:BC),0)</f>
        <v>0</v>
      </c>
      <c r="BD340" s="2" cm="1">
        <f t="array" ref="BD340">VLOOKUP($A340,Table_ship_components[],COLUMN(BD:BD),0)</f>
        <v>0</v>
      </c>
    </row>
    <row r="341" spans="1:56" outlineLevel="1" x14ac:dyDescent="0.35">
      <c r="A341" t="s">
        <v>288</v>
      </c>
      <c r="B341" t="str" cm="1">
        <f t="array" ref="B341">VLOOKUP($A341,Table_ship_components[],COLUMN(B:B),0)</f>
        <v>PICK A COMPONENT</v>
      </c>
      <c r="D341" cm="1">
        <f t="array" ref="D341">VLOOKUP($A341,Table_ship_components[],COLUMN(D:D),0)</f>
        <v>0</v>
      </c>
      <c r="E341" cm="1">
        <f t="array" ref="E341">ROUND(VLOOKUP($A341,Table_ship_components[],COLUMN(D:D),0)+(V341*C341),0)</f>
        <v>0</v>
      </c>
      <c r="F341" cm="1">
        <f t="array" ref="F341">VLOOKUP($A341,Table_ship_components[],COLUMN(F:F),0)</f>
        <v>0</v>
      </c>
      <c r="G341" cm="1">
        <f t="array" ref="G341">ROUND(VLOOKUP($A341,Table_ship_components[],COLUMN(G:G),0)+(X341*C341),0)</f>
        <v>0</v>
      </c>
      <c r="H341" cm="1">
        <f t="array" ref="H341">VLOOKUP($A341,Table_ship_components[],COLUMN(H:H),0)</f>
        <v>0</v>
      </c>
      <c r="I341" cm="1">
        <f t="array" ref="I341">VLOOKUP($A341,Table_ship_components[],COLUMN(I:I),0)</f>
        <v>0</v>
      </c>
      <c r="J341" cm="1">
        <f t="array" ref="J341">VLOOKUP($A341,Table_ship_components[],COLUMN(J:J),0)</f>
        <v>0</v>
      </c>
      <c r="K341" cm="1">
        <f t="array" ref="K341">VLOOKUP($A341,Table_ship_components[],COLUMN(K:K),0)</f>
        <v>0</v>
      </c>
      <c r="L341" cm="1">
        <f t="array" ref="L341">VLOOKUP($A341,Table_ship_components[],COLUMN(L:L),0)</f>
        <v>0</v>
      </c>
      <c r="M341" cm="1">
        <f t="array" ref="M341">VLOOKUP($A341,Table_ship_components[],COLUMN(M:M),0)</f>
        <v>0</v>
      </c>
      <c r="N341" cm="1">
        <f t="array" ref="N341">VLOOKUP($A341,Table_ship_components[],COLUMN(N:N),0)</f>
        <v>0</v>
      </c>
      <c r="O341" cm="1">
        <f t="array" ref="O341">VLOOKUP($A341,Table_ship_components[],COLUMN(O:O),0)</f>
        <v>0</v>
      </c>
      <c r="P341" cm="1">
        <f t="array" ref="P341">VLOOKUP($A341,Table_ship_components[],COLUMN(P:P),0)</f>
        <v>0</v>
      </c>
      <c r="Q341" cm="1">
        <f t="array" ref="Q341">VLOOKUP($A341,Table_ship_components[],COLUMN(Q:Q),0)</f>
        <v>0</v>
      </c>
      <c r="R341" cm="1">
        <f t="array" ref="R341">VLOOKUP($A341,Table_ship_components[],COLUMN(R:R),0)</f>
        <v>0</v>
      </c>
      <c r="S341" cm="1">
        <f t="array" ref="S341">VLOOKUP($A341,Table_ship_components[],COLUMN(S:S),0)</f>
        <v>0</v>
      </c>
      <c r="T341" cm="1">
        <f t="array" ref="T341">VLOOKUP($A341,Table_ship_components[],COLUMN(T:T),0)</f>
        <v>0</v>
      </c>
      <c r="U341" cm="1">
        <f t="array" ref="U341">VLOOKUP($A341,Table_ship_components[],COLUMN(U:U),0)</f>
        <v>0</v>
      </c>
      <c r="V341" cm="1">
        <f t="array" ref="V341">VLOOKUP($A341,Table_ship_components[],COLUMN(V:V),0)</f>
        <v>0</v>
      </c>
      <c r="W341" s="15" cm="1">
        <f t="array" ref="W341">VLOOKUP($A341,Table_ship_components[],COLUMN(W:W),0)</f>
        <v>0</v>
      </c>
      <c r="X341" cm="1">
        <f t="array" ref="X341">VLOOKUP($A341,Table_ship_components[],COLUMN(X:X),0)</f>
        <v>0</v>
      </c>
      <c r="Y341" cm="1">
        <f t="array" ref="Y341">VLOOKUP($A341,Table_ship_components[],COLUMN(Y:Y),0)</f>
        <v>0</v>
      </c>
      <c r="Z341" cm="1">
        <f t="array" ref="Z341">VLOOKUP($A341,Table_ship_components[],COLUMN(Z:Z),0)</f>
        <v>0</v>
      </c>
      <c r="AA341" cm="1">
        <f t="array" ref="AA341">VLOOKUP($A341,Table_ship_components[],COLUMN(AA:AA),0)*C341</f>
        <v>0</v>
      </c>
      <c r="AB341">
        <f t="shared" si="20"/>
        <v>0</v>
      </c>
      <c r="AC341" cm="1">
        <f t="array" ref="AC341">VLOOKUP($A341,Table_ship_components[],COLUMN(AC:AC),0)*C341</f>
        <v>0</v>
      </c>
      <c r="AD341" cm="1">
        <f t="array" ref="AD341">VLOOKUP($A341,Table_ship_components[],COLUMN(AD:AD),0)</f>
        <v>0</v>
      </c>
      <c r="AE341" cm="1">
        <f t="array" ref="AE341">VLOOKUP($A341,Table_ship_components[],COLUMN(AE:AE),0)</f>
        <v>0</v>
      </c>
      <c r="AF341" cm="1">
        <f t="array" ref="AF341">VLOOKUP($A341,Table_ship_components[],COLUMN(AF:AF),0)</f>
        <v>0</v>
      </c>
      <c r="AG341" cm="1">
        <f t="array" ref="AG341">VLOOKUP($A341,Table_ship_components[],COLUMN(AG:AG),0)</f>
        <v>0</v>
      </c>
      <c r="AH341" cm="1">
        <f t="array" ref="AH341">VLOOKUP($A341,Table_ship_components[],COLUMN(AH:AH),0)</f>
        <v>0</v>
      </c>
      <c r="AI341" cm="1">
        <f t="array" ref="AI341">VLOOKUP($A341,Table_ship_components[],COLUMN(AI:AI),0)</f>
        <v>0</v>
      </c>
      <c r="AJ341" cm="1">
        <f t="array" ref="AJ341">VLOOKUP($A341,Table_ship_components[],COLUMN(AJ:AJ),0)</f>
        <v>0</v>
      </c>
      <c r="AK341" cm="1">
        <f t="array" ref="AK341">VLOOKUP($A341,Table_ship_components[],COLUMN(AK:AK),0)</f>
        <v>0</v>
      </c>
      <c r="AL341" cm="1">
        <f t="array" ref="AL341">VLOOKUP($A341,Table_ship_components[],COLUMN(AL:AL),0)</f>
        <v>0</v>
      </c>
      <c r="AM341" cm="1">
        <f t="array" ref="AM341">VLOOKUP($A341,Table_ship_components[],COLUMN(AM:AM),0)</f>
        <v>0</v>
      </c>
      <c r="AN341" cm="1">
        <f t="array" ref="AN341">VLOOKUP($A341,Table_ship_components[],COLUMN(AN:AN),0)</f>
        <v>0</v>
      </c>
      <c r="AO341" cm="1">
        <f t="array" ref="AO341">VLOOKUP($A341,Table_ship_components[],COLUMN(AO:AO),0)</f>
        <v>0</v>
      </c>
      <c r="AP341" cm="1">
        <f t="array" ref="AP341">VLOOKUP($A341,Table_ship_components[],COLUMN(AP:AP),0)</f>
        <v>0</v>
      </c>
      <c r="AQ341" cm="1">
        <f t="array" ref="AQ341">VLOOKUP($A341,Table_ship_components[],COLUMN(AQ:AQ),0)</f>
        <v>0</v>
      </c>
      <c r="AR341" cm="1">
        <f t="array" ref="AR341">VLOOKUP($A341,Table_ship_components[],COLUMN(AR:AR),0)</f>
        <v>0</v>
      </c>
      <c r="AS341" cm="1">
        <f t="array" ref="AS341">VLOOKUP($A341,Table_ship_components[],COLUMN(AS:AS),0)</f>
        <v>0</v>
      </c>
      <c r="AT341" cm="1">
        <f t="array" ref="AT341">VLOOKUP($A341,Table_ship_components[],COLUMN(AT:AT),0)</f>
        <v>0</v>
      </c>
      <c r="AU341" s="2" cm="1">
        <f t="array" ref="AU341">VLOOKUP($A341,Table_ship_components[],COLUMN(AU:AU),0)</f>
        <v>0</v>
      </c>
      <c r="AV341" s="2" cm="1">
        <f t="array" ref="AV341">VLOOKUP($A341,Table_ship_components[],COLUMN(AV:AV),0)</f>
        <v>0</v>
      </c>
      <c r="AW341" s="2" cm="1">
        <f t="array" ref="AW341">VLOOKUP($A341,Table_ship_components[],COLUMN(AW:AW),0)</f>
        <v>0</v>
      </c>
      <c r="AX341" s="2" cm="1">
        <f t="array" ref="AX341">VLOOKUP($A341,Table_ship_components[],COLUMN(AX:AX),0)</f>
        <v>0</v>
      </c>
      <c r="AY341" s="2" cm="1">
        <f t="array" ref="AY341">VLOOKUP($A341,Table_ship_components[],COLUMN(AY:AY),0)</f>
        <v>0</v>
      </c>
      <c r="AZ341" s="2" t="str" cm="1">
        <f t="array" ref="AZ341">VLOOKUP($A341,Table_ship_components[],COLUMN(AZ:AZ),0)</f>
        <v>C</v>
      </c>
      <c r="BA341" s="14" cm="1">
        <f t="array" ref="BA341">VLOOKUP($A341,Table_ship_components[],COLUMN(BA:BA),0)</f>
        <v>0</v>
      </c>
      <c r="BB341" s="14" cm="1">
        <f t="array" ref="BB341">(VLOOKUP($A341,Table_ship_components[],COLUMN(BA:BA),0)+(W341*C341))</f>
        <v>0</v>
      </c>
      <c r="BC341" s="2" cm="1">
        <f t="array" ref="BC341">VLOOKUP($A341,Table_ship_components[],COLUMN(BC:BC),0)</f>
        <v>0</v>
      </c>
      <c r="BD341" s="2" cm="1">
        <f t="array" ref="BD341">VLOOKUP($A341,Table_ship_components[],COLUMN(BD:BD),0)</f>
        <v>0</v>
      </c>
    </row>
    <row r="342" spans="1:56" outlineLevel="1" x14ac:dyDescent="0.35">
      <c r="A342" t="s">
        <v>288</v>
      </c>
      <c r="B342" t="str" cm="1">
        <f t="array" ref="B342">VLOOKUP($A342,Table_ship_components[],COLUMN(B:B),0)</f>
        <v>PICK A COMPONENT</v>
      </c>
      <c r="D342" cm="1">
        <f t="array" ref="D342">VLOOKUP($A342,Table_ship_components[],COLUMN(D:D),0)</f>
        <v>0</v>
      </c>
      <c r="E342" cm="1">
        <f t="array" ref="E342">ROUND(VLOOKUP($A342,Table_ship_components[],COLUMN(D:D),0)+(V342*C342),0)</f>
        <v>0</v>
      </c>
      <c r="F342" cm="1">
        <f t="array" ref="F342">VLOOKUP($A342,Table_ship_components[],COLUMN(F:F),0)</f>
        <v>0</v>
      </c>
      <c r="G342" cm="1">
        <f t="array" ref="G342">ROUND(VLOOKUP($A342,Table_ship_components[],COLUMN(G:G),0)+(X342*C342),0)</f>
        <v>0</v>
      </c>
      <c r="H342" cm="1">
        <f t="array" ref="H342">VLOOKUP($A342,Table_ship_components[],COLUMN(H:H),0)</f>
        <v>0</v>
      </c>
      <c r="I342" cm="1">
        <f t="array" ref="I342">VLOOKUP($A342,Table_ship_components[],COLUMN(I:I),0)</f>
        <v>0</v>
      </c>
      <c r="J342" cm="1">
        <f t="array" ref="J342">VLOOKUP($A342,Table_ship_components[],COLUMN(J:J),0)</f>
        <v>0</v>
      </c>
      <c r="K342" cm="1">
        <f t="array" ref="K342">VLOOKUP($A342,Table_ship_components[],COLUMN(K:K),0)</f>
        <v>0</v>
      </c>
      <c r="L342" cm="1">
        <f t="array" ref="L342">VLOOKUP($A342,Table_ship_components[],COLUMN(L:L),0)</f>
        <v>0</v>
      </c>
      <c r="M342" cm="1">
        <f t="array" ref="M342">VLOOKUP($A342,Table_ship_components[],COLUMN(M:M),0)</f>
        <v>0</v>
      </c>
      <c r="N342" cm="1">
        <f t="array" ref="N342">VLOOKUP($A342,Table_ship_components[],COLUMN(N:N),0)</f>
        <v>0</v>
      </c>
      <c r="O342" cm="1">
        <f t="array" ref="O342">VLOOKUP($A342,Table_ship_components[],COLUMN(O:O),0)</f>
        <v>0</v>
      </c>
      <c r="P342" cm="1">
        <f t="array" ref="P342">VLOOKUP($A342,Table_ship_components[],COLUMN(P:P),0)</f>
        <v>0</v>
      </c>
      <c r="Q342" cm="1">
        <f t="array" ref="Q342">VLOOKUP($A342,Table_ship_components[],COLUMN(Q:Q),0)</f>
        <v>0</v>
      </c>
      <c r="R342" cm="1">
        <f t="array" ref="R342">VLOOKUP($A342,Table_ship_components[],COLUMN(R:R),0)</f>
        <v>0</v>
      </c>
      <c r="S342" cm="1">
        <f t="array" ref="S342">VLOOKUP($A342,Table_ship_components[],COLUMN(S:S),0)</f>
        <v>0</v>
      </c>
      <c r="T342" cm="1">
        <f t="array" ref="T342">VLOOKUP($A342,Table_ship_components[],COLUMN(T:T),0)</f>
        <v>0</v>
      </c>
      <c r="U342" cm="1">
        <f t="array" ref="U342">VLOOKUP($A342,Table_ship_components[],COLUMN(U:U),0)</f>
        <v>0</v>
      </c>
      <c r="V342" cm="1">
        <f t="array" ref="V342">VLOOKUP($A342,Table_ship_components[],COLUMN(V:V),0)</f>
        <v>0</v>
      </c>
      <c r="W342" s="15" cm="1">
        <f t="array" ref="W342">VLOOKUP($A342,Table_ship_components[],COLUMN(W:W),0)</f>
        <v>0</v>
      </c>
      <c r="X342" cm="1">
        <f t="array" ref="X342">VLOOKUP($A342,Table_ship_components[],COLUMN(X:X),0)</f>
        <v>0</v>
      </c>
      <c r="Y342" cm="1">
        <f t="array" ref="Y342">VLOOKUP($A342,Table_ship_components[],COLUMN(Y:Y),0)</f>
        <v>0</v>
      </c>
      <c r="Z342" cm="1">
        <f t="array" ref="Z342">VLOOKUP($A342,Table_ship_components[],COLUMN(Z:Z),0)</f>
        <v>0</v>
      </c>
      <c r="AA342" cm="1">
        <f t="array" ref="AA342">VLOOKUP($A342,Table_ship_components[],COLUMN(AA:AA),0)*C342</f>
        <v>0</v>
      </c>
      <c r="AB342">
        <f t="shared" si="20"/>
        <v>0</v>
      </c>
      <c r="AC342" cm="1">
        <f t="array" ref="AC342">VLOOKUP($A342,Table_ship_components[],COLUMN(AC:AC),0)*C342</f>
        <v>0</v>
      </c>
      <c r="AD342" cm="1">
        <f t="array" ref="AD342">VLOOKUP($A342,Table_ship_components[],COLUMN(AD:AD),0)</f>
        <v>0</v>
      </c>
      <c r="AE342" cm="1">
        <f t="array" ref="AE342">VLOOKUP($A342,Table_ship_components[],COLUMN(AE:AE),0)</f>
        <v>0</v>
      </c>
      <c r="AF342" cm="1">
        <f t="array" ref="AF342">VLOOKUP($A342,Table_ship_components[],COLUMN(AF:AF),0)</f>
        <v>0</v>
      </c>
      <c r="AG342" cm="1">
        <f t="array" ref="AG342">VLOOKUP($A342,Table_ship_components[],COLUMN(AG:AG),0)</f>
        <v>0</v>
      </c>
      <c r="AH342" cm="1">
        <f t="array" ref="AH342">VLOOKUP($A342,Table_ship_components[],COLUMN(AH:AH),0)</f>
        <v>0</v>
      </c>
      <c r="AI342" cm="1">
        <f t="array" ref="AI342">VLOOKUP($A342,Table_ship_components[],COLUMN(AI:AI),0)</f>
        <v>0</v>
      </c>
      <c r="AJ342" cm="1">
        <f t="array" ref="AJ342">VLOOKUP($A342,Table_ship_components[],COLUMN(AJ:AJ),0)</f>
        <v>0</v>
      </c>
      <c r="AK342" cm="1">
        <f t="array" ref="AK342">VLOOKUP($A342,Table_ship_components[],COLUMN(AK:AK),0)</f>
        <v>0</v>
      </c>
      <c r="AL342" cm="1">
        <f t="array" ref="AL342">VLOOKUP($A342,Table_ship_components[],COLUMN(AL:AL),0)</f>
        <v>0</v>
      </c>
      <c r="AM342" cm="1">
        <f t="array" ref="AM342">VLOOKUP($A342,Table_ship_components[],COLUMN(AM:AM),0)</f>
        <v>0</v>
      </c>
      <c r="AN342" cm="1">
        <f t="array" ref="AN342">VLOOKUP($A342,Table_ship_components[],COLUMN(AN:AN),0)</f>
        <v>0</v>
      </c>
      <c r="AO342" cm="1">
        <f t="array" ref="AO342">VLOOKUP($A342,Table_ship_components[],COLUMN(AO:AO),0)</f>
        <v>0</v>
      </c>
      <c r="AP342" cm="1">
        <f t="array" ref="AP342">VLOOKUP($A342,Table_ship_components[],COLUMN(AP:AP),0)</f>
        <v>0</v>
      </c>
      <c r="AQ342" cm="1">
        <f t="array" ref="AQ342">VLOOKUP($A342,Table_ship_components[],COLUMN(AQ:AQ),0)</f>
        <v>0</v>
      </c>
      <c r="AR342" cm="1">
        <f t="array" ref="AR342">VLOOKUP($A342,Table_ship_components[],COLUMN(AR:AR),0)</f>
        <v>0</v>
      </c>
      <c r="AS342" cm="1">
        <f t="array" ref="AS342">VLOOKUP($A342,Table_ship_components[],COLUMN(AS:AS),0)</f>
        <v>0</v>
      </c>
      <c r="AT342" cm="1">
        <f t="array" ref="AT342">VLOOKUP($A342,Table_ship_components[],COLUMN(AT:AT),0)</f>
        <v>0</v>
      </c>
      <c r="AU342" s="2" cm="1">
        <f t="array" ref="AU342">VLOOKUP($A342,Table_ship_components[],COLUMN(AU:AU),0)</f>
        <v>0</v>
      </c>
      <c r="AV342" s="2" cm="1">
        <f t="array" ref="AV342">VLOOKUP($A342,Table_ship_components[],COLUMN(AV:AV),0)</f>
        <v>0</v>
      </c>
      <c r="AW342" s="2" cm="1">
        <f t="array" ref="AW342">VLOOKUP($A342,Table_ship_components[],COLUMN(AW:AW),0)</f>
        <v>0</v>
      </c>
      <c r="AX342" s="2" cm="1">
        <f t="array" ref="AX342">VLOOKUP($A342,Table_ship_components[],COLUMN(AX:AX),0)</f>
        <v>0</v>
      </c>
      <c r="AY342" s="2" cm="1">
        <f t="array" ref="AY342">VLOOKUP($A342,Table_ship_components[],COLUMN(AY:AY),0)</f>
        <v>0</v>
      </c>
      <c r="AZ342" s="2" t="str" cm="1">
        <f t="array" ref="AZ342">VLOOKUP($A342,Table_ship_components[],COLUMN(AZ:AZ),0)</f>
        <v>C</v>
      </c>
      <c r="BA342" s="14" cm="1">
        <f t="array" ref="BA342">VLOOKUP($A342,Table_ship_components[],COLUMN(BA:BA),0)</f>
        <v>0</v>
      </c>
      <c r="BB342" s="14" cm="1">
        <f t="array" ref="BB342">(VLOOKUP($A342,Table_ship_components[],COLUMN(BA:BA),0)+(W342*C342))</f>
        <v>0</v>
      </c>
      <c r="BC342" s="2" cm="1">
        <f t="array" ref="BC342">VLOOKUP($A342,Table_ship_components[],COLUMN(BC:BC),0)</f>
        <v>0</v>
      </c>
      <c r="BD342" s="2" cm="1">
        <f t="array" ref="BD342">VLOOKUP($A342,Table_ship_components[],COLUMN(BD:BD),0)</f>
        <v>0</v>
      </c>
    </row>
    <row r="343" spans="1:56" outlineLevel="1" x14ac:dyDescent="0.35">
      <c r="A343" t="s">
        <v>320</v>
      </c>
      <c r="B343" t="str" cm="1">
        <f t="array" ref="B343">VLOOKUP($A343,Table_ship_components[],COLUMN(B:B),0)</f>
        <v>basic accomodations and cryo for passengers</v>
      </c>
      <c r="C343" s="2">
        <v>14</v>
      </c>
      <c r="D343" cm="1">
        <f t="array" ref="D343">VLOOKUP($A343,Table_ship_components[],COLUMN(D:D),0)</f>
        <v>3</v>
      </c>
      <c r="E343" cm="1">
        <f t="array" ref="E343">ROUND(VLOOKUP($A343,Table_ship_components[],COLUMN(D:D),0)+(V343*C343),0)</f>
        <v>17</v>
      </c>
      <c r="F343" cm="1">
        <f t="array" ref="F343">VLOOKUP($A343,Table_ship_components[],COLUMN(F:F),0)</f>
        <v>1</v>
      </c>
      <c r="G343" cm="1">
        <f t="array" ref="G343">ROUND(VLOOKUP($A343,Table_ship_components[],COLUMN(G:G),0)+(X343*C343),0)</f>
        <v>15</v>
      </c>
      <c r="H343" cm="1">
        <f t="array" ref="H343">VLOOKUP($A343,Table_ship_components[],COLUMN(H:H),0)</f>
        <v>0</v>
      </c>
      <c r="I343" cm="1">
        <f t="array" ref="I343">VLOOKUP($A343,Table_ship_components[],COLUMN(I:I),0)</f>
        <v>0</v>
      </c>
      <c r="J343" cm="1">
        <f t="array" ref="J343">VLOOKUP($A343,Table_ship_components[],COLUMN(J:J),0)</f>
        <v>0</v>
      </c>
      <c r="K343" cm="1">
        <f t="array" ref="K343">VLOOKUP($A343,Table_ship_components[],COLUMN(K:K),0)</f>
        <v>0</v>
      </c>
      <c r="L343" cm="1">
        <f t="array" ref="L343">VLOOKUP($A343,Table_ship_components[],COLUMN(L:L),0)</f>
        <v>0</v>
      </c>
      <c r="M343" cm="1">
        <f t="array" ref="M343">VLOOKUP($A343,Table_ship_components[],COLUMN(M:M),0)</f>
        <v>0</v>
      </c>
      <c r="N343" cm="1">
        <f t="array" ref="N343">VLOOKUP($A343,Table_ship_components[],COLUMN(N:N),0)</f>
        <v>0</v>
      </c>
      <c r="O343" cm="1">
        <f t="array" ref="O343">VLOOKUP($A343,Table_ship_components[],COLUMN(O:O),0)</f>
        <v>1</v>
      </c>
      <c r="P343" cm="1">
        <f t="array" ref="P343">VLOOKUP($A343,Table_ship_components[],COLUMN(P:P),0)</f>
        <v>1</v>
      </c>
      <c r="Q343" cm="1">
        <f t="array" ref="Q343">VLOOKUP($A343,Table_ship_components[],COLUMN(Q:Q),0)</f>
        <v>1</v>
      </c>
      <c r="R343" cm="1">
        <f t="array" ref="R343">VLOOKUP($A343,Table_ship_components[],COLUMN(R:R),0)</f>
        <v>1</v>
      </c>
      <c r="S343" cm="1">
        <f t="array" ref="S343">VLOOKUP($A343,Table_ship_components[],COLUMN(S:S),0)</f>
        <v>1</v>
      </c>
      <c r="T343" cm="1">
        <f t="array" ref="T343">VLOOKUP($A343,Table_ship_components[],COLUMN(T:T),0)</f>
        <v>1</v>
      </c>
      <c r="U343" cm="1">
        <f t="array" ref="U343">VLOOKUP($A343,Table_ship_components[],COLUMN(U:U),0)</f>
        <v>1</v>
      </c>
      <c r="V343" cm="1">
        <f t="array" ref="V343">VLOOKUP($A343,Table_ship_components[],COLUMN(V:V),0)</f>
        <v>1</v>
      </c>
      <c r="W343" s="15" cm="1">
        <f t="array" ref="W343">VLOOKUP($A343,Table_ship_components[],COLUMN(W:W),0)</f>
        <v>7500</v>
      </c>
      <c r="X343" cm="1">
        <f t="array" ref="X343">VLOOKUP($A343,Table_ship_components[],COLUMN(X:X),0)</f>
        <v>1</v>
      </c>
      <c r="Y343" cm="1">
        <f t="array" ref="Y343">VLOOKUP($A343,Table_ship_components[],COLUMN(Y:Y),0)</f>
        <v>0</v>
      </c>
      <c r="Z343" cm="1">
        <f t="array" ref="Z343">VLOOKUP($A343,Table_ship_components[],COLUMN(Z:Z),0)</f>
        <v>0</v>
      </c>
      <c r="AA343" cm="1">
        <f t="array" ref="AA343">VLOOKUP($A343,Table_ship_components[],COLUMN(AA:AA),0)*C343</f>
        <v>14</v>
      </c>
      <c r="AB343">
        <f>IF(A343="CARGOSPACE_0-ALL_0-UNIVERSAL",C343,0)</f>
        <v>0</v>
      </c>
      <c r="AC343" cm="1">
        <f t="array" ref="AC343">VLOOKUP($A343,Table_ship_components[],COLUMN(AC:AC),0)*C343</f>
        <v>0</v>
      </c>
      <c r="AD343" cm="1">
        <f t="array" ref="AD343">VLOOKUP($A343,Table_ship_components[],COLUMN(AD:AD),0)</f>
        <v>0</v>
      </c>
      <c r="AE343" cm="1">
        <f t="array" ref="AE343">VLOOKUP($A343,Table_ship_components[],COLUMN(AE:AE),0)</f>
        <v>0</v>
      </c>
      <c r="AF343" cm="1">
        <f t="array" ref="AF343">VLOOKUP($A343,Table_ship_components[],COLUMN(AF:AF),0)</f>
        <v>0</v>
      </c>
      <c r="AG343" cm="1">
        <f t="array" ref="AG343">VLOOKUP($A343,Table_ship_components[],COLUMN(AG:AG),0)</f>
        <v>0</v>
      </c>
      <c r="AH343" cm="1">
        <f t="array" ref="AH343">VLOOKUP($A343,Table_ship_components[],COLUMN(AH:AH),0)</f>
        <v>0</v>
      </c>
      <c r="AI343" cm="1">
        <f t="array" ref="AI343">VLOOKUP($A343,Table_ship_components[],COLUMN(AI:AI),0)</f>
        <v>0</v>
      </c>
      <c r="AJ343" cm="1">
        <f t="array" ref="AJ343">VLOOKUP($A343,Table_ship_components[],COLUMN(AJ:AJ),0)</f>
        <v>0</v>
      </c>
      <c r="AK343" cm="1">
        <f t="array" ref="AK343">VLOOKUP($A343,Table_ship_components[],COLUMN(AK:AK),0)</f>
        <v>0</v>
      </c>
      <c r="AL343" cm="1">
        <f t="array" ref="AL343">VLOOKUP($A343,Table_ship_components[],COLUMN(AL:AL),0)</f>
        <v>0</v>
      </c>
      <c r="AM343" cm="1">
        <f t="array" ref="AM343">VLOOKUP($A343,Table_ship_components[],COLUMN(AM:AM),0)</f>
        <v>0</v>
      </c>
      <c r="AN343" cm="1">
        <f t="array" ref="AN343">VLOOKUP($A343,Table_ship_components[],COLUMN(AN:AN),0)</f>
        <v>0</v>
      </c>
      <c r="AO343" cm="1">
        <f t="array" ref="AO343">VLOOKUP($A343,Table_ship_components[],COLUMN(AO:AO),0)</f>
        <v>0</v>
      </c>
      <c r="AP343" cm="1">
        <f t="array" ref="AP343">VLOOKUP($A343,Table_ship_components[],COLUMN(AP:AP),0)</f>
        <v>0</v>
      </c>
      <c r="AQ343" cm="1">
        <f t="array" ref="AQ343">VLOOKUP($A343,Table_ship_components[],COLUMN(AQ:AQ),0)</f>
        <v>0</v>
      </c>
      <c r="AR343" cm="1">
        <f t="array" ref="AR343">VLOOKUP($A343,Table_ship_components[],COLUMN(AR:AR),0)</f>
        <v>0</v>
      </c>
      <c r="AS343" cm="1">
        <f t="array" ref="AS343">VLOOKUP($A343,Table_ship_components[],COLUMN(AS:AS),0)</f>
        <v>0</v>
      </c>
      <c r="AT343" cm="1">
        <f t="array" ref="AT343">VLOOKUP($A343,Table_ship_components[],COLUMN(AT:AT),0)</f>
        <v>0</v>
      </c>
      <c r="AU343" s="2" cm="1">
        <f t="array" ref="AU343">VLOOKUP($A343,Table_ship_components[],COLUMN(AU:AU),0)</f>
        <v>0</v>
      </c>
      <c r="AV343" s="2" cm="1">
        <f t="array" ref="AV343">VLOOKUP($A343,Table_ship_components[],COLUMN(AV:AV),0)</f>
        <v>0</v>
      </c>
      <c r="AW343" s="2" cm="1">
        <f t="array" ref="AW343">VLOOKUP($A343,Table_ship_components[],COLUMN(AW:AW),0)</f>
        <v>0</v>
      </c>
      <c r="AX343" s="2" cm="1">
        <f t="array" ref="AX343">VLOOKUP($A343,Table_ship_components[],COLUMN(AX:AX),0)</f>
        <v>0</v>
      </c>
      <c r="AY343" s="2" cm="1">
        <f t="array" ref="AY343">VLOOKUP($A343,Table_ship_components[],COLUMN(AY:AY),0)</f>
        <v>0</v>
      </c>
      <c r="AZ343" s="2" t="str" cm="1">
        <f t="array" ref="AZ343">VLOOKUP($A343,Table_ship_components[],COLUMN(AZ:AZ),0)</f>
        <v>C</v>
      </c>
      <c r="BA343" s="14" cm="1">
        <f t="array" ref="BA343">VLOOKUP($A343,Table_ship_components[],COLUMN(BA:BA),0)</f>
        <v>75000</v>
      </c>
      <c r="BB343" s="14" cm="1">
        <f t="array" ref="BB343">(VLOOKUP($A343,Table_ship_components[],COLUMN(BA:BA),0)+(W343*C343))</f>
        <v>180000</v>
      </c>
      <c r="BC343" s="2" cm="1">
        <f t="array" ref="BC343">VLOOKUP($A343,Table_ship_components[],COLUMN(BC:BC),0)</f>
        <v>0</v>
      </c>
      <c r="BD343" s="2" cm="1">
        <f t="array" ref="BD343">VLOOKUP($A343,Table_ship_components[],COLUMN(BD:BD),0)</f>
        <v>0</v>
      </c>
    </row>
    <row r="344" spans="1:56" outlineLevel="1" x14ac:dyDescent="0.35">
      <c r="A344" s="18" t="s">
        <v>425</v>
      </c>
      <c r="B344" s="19" t="str">
        <f>CONCATENATE("SIZE ",(SUM(E345:E352)),"/",AY323,"  POWER ",(SUM(G345:G352)))</f>
        <v>SIZE 35/35  POWER 27</v>
      </c>
      <c r="AU344" s="2"/>
      <c r="AV344" s="2"/>
      <c r="AW344" s="2"/>
      <c r="AX344" s="2"/>
      <c r="AY344" s="2"/>
      <c r="AZ344" s="2"/>
      <c r="BA344" s="14"/>
      <c r="BB344" s="14"/>
      <c r="BC344" s="2"/>
      <c r="BD344" s="2"/>
    </row>
    <row r="345" spans="1:56" outlineLevel="1" x14ac:dyDescent="0.35">
      <c r="A345" t="s">
        <v>377</v>
      </c>
      <c r="B345" t="str" cm="1">
        <f t="array" ref="B345">VLOOKUP($A345,Table_ship_components[],COLUMN(B:B),0)</f>
        <v>good shield for a corvette</v>
      </c>
      <c r="D345" cm="1">
        <f t="array" ref="D345">VLOOKUP($A345,Table_ship_components[],COLUMN(D:D),0)</f>
        <v>14</v>
      </c>
      <c r="E345" cm="1">
        <f t="array" ref="E345">ROUND(VLOOKUP($A345,Table_ship_components[],COLUMN(D:D),0)+(V345*C345),0)</f>
        <v>14</v>
      </c>
      <c r="F345" cm="1">
        <f t="array" ref="F345">VLOOKUP($A345,Table_ship_components[],COLUMN(F:F),0)</f>
        <v>14</v>
      </c>
      <c r="G345" cm="1">
        <f t="array" ref="G345">ROUND(VLOOKUP($A345,Table_ship_components[],COLUMN(G:G),0)+(X345*C345),0)</f>
        <v>14</v>
      </c>
      <c r="H345" cm="1">
        <f t="array" ref="H345">VLOOKUP($A345,Table_ship_components[],COLUMN(H:H),0)</f>
        <v>0</v>
      </c>
      <c r="I345" cm="1">
        <f t="array" ref="I345">VLOOKUP($A345,Table_ship_components[],COLUMN(I:I),0)</f>
        <v>0</v>
      </c>
      <c r="J345" cm="1">
        <f t="array" ref="J345">VLOOKUP($A345,Table_ship_components[],COLUMN(J:J),0)</f>
        <v>0</v>
      </c>
      <c r="K345" cm="1">
        <f t="array" ref="K345">VLOOKUP($A345,Table_ship_components[],COLUMN(K:K),0)</f>
        <v>45</v>
      </c>
      <c r="L345" cm="1">
        <f t="array" ref="L345">VLOOKUP($A345,Table_ship_components[],COLUMN(L:L),0)</f>
        <v>7</v>
      </c>
      <c r="M345" cm="1">
        <f t="array" ref="M345">VLOOKUP($A345,Table_ship_components[],COLUMN(M:M),0)</f>
        <v>0</v>
      </c>
      <c r="N345" cm="1">
        <f t="array" ref="N345">VLOOKUP($A345,Table_ship_components[],COLUMN(N:N),0)</f>
        <v>0</v>
      </c>
      <c r="O345" cm="1">
        <f t="array" ref="O345">VLOOKUP($A345,Table_ship_components[],COLUMN(O:O),0)</f>
        <v>1</v>
      </c>
      <c r="P345" cm="1">
        <f t="array" ref="P345">VLOOKUP($A345,Table_ship_components[],COLUMN(P:P),0)</f>
        <v>0</v>
      </c>
      <c r="Q345" cm="1">
        <f t="array" ref="Q345">VLOOKUP($A345,Table_ship_components[],COLUMN(Q:Q),0)</f>
        <v>0</v>
      </c>
      <c r="R345" cm="1">
        <f t="array" ref="R345">VLOOKUP($A345,Table_ship_components[],COLUMN(R:R),0)</f>
        <v>0</v>
      </c>
      <c r="S345" cm="1">
        <f t="array" ref="S345">VLOOKUP($A345,Table_ship_components[],COLUMN(S:S),0)</f>
        <v>0</v>
      </c>
      <c r="T345" cm="1">
        <f t="array" ref="T345">VLOOKUP($A345,Table_ship_components[],COLUMN(T:T),0)</f>
        <v>0</v>
      </c>
      <c r="U345" cm="1">
        <f t="array" ref="U345">VLOOKUP($A345,Table_ship_components[],COLUMN(U:U),0)</f>
        <v>0</v>
      </c>
      <c r="V345" cm="1">
        <f t="array" ref="V345">VLOOKUP($A345,Table_ship_components[],COLUMN(V:V),0)</f>
        <v>0</v>
      </c>
      <c r="W345" s="15" cm="1">
        <f t="array" ref="W345">VLOOKUP($A345,Table_ship_components[],COLUMN(W:W),0)</f>
        <v>0</v>
      </c>
      <c r="X345" cm="1">
        <f t="array" ref="X345">VLOOKUP($A345,Table_ship_components[],COLUMN(X:X),0)</f>
        <v>0</v>
      </c>
      <c r="Y345" cm="1">
        <f t="array" ref="Y345">VLOOKUP($A345,Table_ship_components[],COLUMN(Y:Y),0)</f>
        <v>0</v>
      </c>
      <c r="Z345" cm="1">
        <f t="array" ref="Z345">VLOOKUP($A345,Table_ship_components[],COLUMN(Z:Z),0)</f>
        <v>0</v>
      </c>
      <c r="AA345" cm="1">
        <f t="array" ref="AA345">VLOOKUP($A345,Table_ship_components[],COLUMN(AA:AA),0)*C345</f>
        <v>0</v>
      </c>
      <c r="AB345">
        <f t="shared" ref="AB345:AB352" si="21">IF(A345="CARGOSPACE_0-ALL_0-UNIVERSAL",C345,0)</f>
        <v>0</v>
      </c>
      <c r="AC345" cm="1">
        <f t="array" ref="AC345">VLOOKUP($A345,Table_ship_components[],COLUMN(AC:AC),0)*C345</f>
        <v>0</v>
      </c>
      <c r="AD345" cm="1">
        <f t="array" ref="AD345">VLOOKUP($A345,Table_ship_components[],COLUMN(AD:AD),0)</f>
        <v>0</v>
      </c>
      <c r="AE345" cm="1">
        <f t="array" ref="AE345">VLOOKUP($A345,Table_ship_components[],COLUMN(AE:AE),0)</f>
        <v>0</v>
      </c>
      <c r="AF345" cm="1">
        <f t="array" ref="AF345">VLOOKUP($A345,Table_ship_components[],COLUMN(AF:AF),0)</f>
        <v>0</v>
      </c>
      <c r="AG345" cm="1">
        <f t="array" ref="AG345">VLOOKUP($A345,Table_ship_components[],COLUMN(AG:AG),0)</f>
        <v>0</v>
      </c>
      <c r="AH345" cm="1">
        <f t="array" ref="AH345">VLOOKUP($A345,Table_ship_components[],COLUMN(AH:AH),0)</f>
        <v>0</v>
      </c>
      <c r="AI345" cm="1">
        <f t="array" ref="AI345">VLOOKUP($A345,Table_ship_components[],COLUMN(AI:AI),0)</f>
        <v>0</v>
      </c>
      <c r="AJ345" cm="1">
        <f t="array" ref="AJ345">VLOOKUP($A345,Table_ship_components[],COLUMN(AJ:AJ),0)</f>
        <v>0</v>
      </c>
      <c r="AK345" cm="1">
        <f t="array" ref="AK345">VLOOKUP($A345,Table_ship_components[],COLUMN(AK:AK),0)</f>
        <v>0</v>
      </c>
      <c r="AL345" cm="1">
        <f t="array" ref="AL345">VLOOKUP($A345,Table_ship_components[],COLUMN(AL:AL),0)</f>
        <v>0</v>
      </c>
      <c r="AM345" cm="1">
        <f t="array" ref="AM345">VLOOKUP($A345,Table_ship_components[],COLUMN(AM:AM),0)</f>
        <v>0</v>
      </c>
      <c r="AN345" cm="1">
        <f t="array" ref="AN345">VLOOKUP($A345,Table_ship_components[],COLUMN(AN:AN),0)</f>
        <v>0</v>
      </c>
      <c r="AO345" cm="1">
        <f t="array" ref="AO345">VLOOKUP($A345,Table_ship_components[],COLUMN(AO:AO),0)</f>
        <v>0</v>
      </c>
      <c r="AP345" cm="1">
        <f t="array" ref="AP345">VLOOKUP($A345,Table_ship_components[],COLUMN(AP:AP),0)</f>
        <v>0</v>
      </c>
      <c r="AQ345" cm="1">
        <f t="array" ref="AQ345">VLOOKUP($A345,Table_ship_components[],COLUMN(AQ:AQ),0)</f>
        <v>0</v>
      </c>
      <c r="AR345" cm="1">
        <f t="array" ref="AR345">VLOOKUP($A345,Table_ship_components[],COLUMN(AR:AR),0)</f>
        <v>0</v>
      </c>
      <c r="AS345" cm="1">
        <f t="array" ref="AS345">VLOOKUP($A345,Table_ship_components[],COLUMN(AS:AS),0)</f>
        <v>0</v>
      </c>
      <c r="AT345" cm="1">
        <f t="array" ref="AT345">VLOOKUP($A345,Table_ship_components[],COLUMN(AT:AT),0)</f>
        <v>0</v>
      </c>
      <c r="AU345" s="2" cm="1">
        <f t="array" ref="AU345">VLOOKUP($A345,Table_ship_components[],COLUMN(AU:AU),0)</f>
        <v>0</v>
      </c>
      <c r="AV345" s="2" cm="1">
        <f t="array" ref="AV345">VLOOKUP($A345,Table_ship_components[],COLUMN(AV:AV),0)</f>
        <v>0</v>
      </c>
      <c r="AW345" s="2" cm="1">
        <f t="array" ref="AW345">VLOOKUP($A345,Table_ship_components[],COLUMN(AW:AW),0)</f>
        <v>0</v>
      </c>
      <c r="AX345" s="2" cm="1">
        <f t="array" ref="AX345">VLOOKUP($A345,Table_ship_components[],COLUMN(AX:AX),0)</f>
        <v>0</v>
      </c>
      <c r="AY345" s="2" cm="1">
        <f t="array" ref="AY345">VLOOKUP($A345,Table_ship_components[],COLUMN(AY:AY),0)</f>
        <v>0</v>
      </c>
      <c r="AZ345" s="2" t="str" cm="1">
        <f t="array" ref="AZ345">VLOOKUP($A345,Table_ship_components[],COLUMN(AZ:AZ),0)</f>
        <v>C</v>
      </c>
      <c r="BA345" s="14" cm="1">
        <f t="array" ref="BA345">VLOOKUP($A345,Table_ship_components[],COLUMN(BA:BA),0)</f>
        <v>1600000</v>
      </c>
      <c r="BB345" s="14" cm="1">
        <f t="array" ref="BB345">(VLOOKUP($A345,Table_ship_components[],COLUMN(BA:BA),0)+(W345*C345))</f>
        <v>1600000</v>
      </c>
      <c r="BC345" s="2" cm="1">
        <f t="array" ref="BC345">VLOOKUP($A345,Table_ship_components[],COLUMN(BC:BC),0)</f>
        <v>0</v>
      </c>
      <c r="BD345" s="2" cm="1">
        <f t="array" ref="BD345">VLOOKUP($A345,Table_ship_components[],COLUMN(BD:BD),0)</f>
        <v>0</v>
      </c>
    </row>
    <row r="346" spans="1:56" outlineLevel="1" x14ac:dyDescent="0.35">
      <c r="A346" t="s">
        <v>373</v>
      </c>
      <c r="B346" t="str" cm="1">
        <f t="array" ref="B346">VLOOKUP($A346,Table_ship_components[],COLUMN(B:B),0)</f>
        <v>average corvette radar</v>
      </c>
      <c r="D346" cm="1">
        <f t="array" ref="D346">VLOOKUP($A346,Table_ship_components[],COLUMN(D:D),0)</f>
        <v>5</v>
      </c>
      <c r="E346" cm="1">
        <f t="array" ref="E346">ROUND(VLOOKUP($A346,Table_ship_components[],COLUMN(D:D),0)+(V346*C346),0)</f>
        <v>5</v>
      </c>
      <c r="F346" cm="1">
        <f t="array" ref="F346">VLOOKUP($A346,Table_ship_components[],COLUMN(F:F),0)</f>
        <v>6</v>
      </c>
      <c r="G346" cm="1">
        <f t="array" ref="G346">ROUND(VLOOKUP($A346,Table_ship_components[],COLUMN(G:G),0)+(X346*C346),0)</f>
        <v>6</v>
      </c>
      <c r="H346" cm="1">
        <f t="array" ref="H346">VLOOKUP($A346,Table_ship_components[],COLUMN(H:H),0)</f>
        <v>0</v>
      </c>
      <c r="I346" cm="1">
        <f t="array" ref="I346">VLOOKUP($A346,Table_ship_components[],COLUMN(I:I),0)</f>
        <v>0</v>
      </c>
      <c r="J346" cm="1">
        <f t="array" ref="J346">VLOOKUP($A346,Table_ship_components[],COLUMN(J:J),0)</f>
        <v>0</v>
      </c>
      <c r="K346" cm="1">
        <f t="array" ref="K346">VLOOKUP($A346,Table_ship_components[],COLUMN(K:K),0)</f>
        <v>0</v>
      </c>
      <c r="L346" cm="1">
        <f t="array" ref="L346">VLOOKUP($A346,Table_ship_components[],COLUMN(L:L),0)</f>
        <v>0</v>
      </c>
      <c r="M346" cm="1">
        <f t="array" ref="M346">VLOOKUP($A346,Table_ship_components[],COLUMN(M:M),0)</f>
        <v>0</v>
      </c>
      <c r="N346" cm="1">
        <f t="array" ref="N346">VLOOKUP($A346,Table_ship_components[],COLUMN(N:N),0)</f>
        <v>0</v>
      </c>
      <c r="O346" cm="1">
        <f t="array" ref="O346">VLOOKUP($A346,Table_ship_components[],COLUMN(O:O),0)</f>
        <v>1</v>
      </c>
      <c r="P346" cm="1">
        <f t="array" ref="P346">VLOOKUP($A346,Table_ship_components[],COLUMN(P:P),0)</f>
        <v>0</v>
      </c>
      <c r="Q346" cm="1">
        <f t="array" ref="Q346">VLOOKUP($A346,Table_ship_components[],COLUMN(Q:Q),0)</f>
        <v>0</v>
      </c>
      <c r="R346" cm="1">
        <f t="array" ref="R346">VLOOKUP($A346,Table_ship_components[],COLUMN(R:R),0)</f>
        <v>0</v>
      </c>
      <c r="S346" cm="1">
        <f t="array" ref="S346">VLOOKUP($A346,Table_ship_components[],COLUMN(S:S),0)</f>
        <v>0</v>
      </c>
      <c r="T346" cm="1">
        <f t="array" ref="T346">VLOOKUP($A346,Table_ship_components[],COLUMN(T:T),0)</f>
        <v>0</v>
      </c>
      <c r="U346" cm="1">
        <f t="array" ref="U346">VLOOKUP($A346,Table_ship_components[],COLUMN(U:U),0)</f>
        <v>0</v>
      </c>
      <c r="V346" cm="1">
        <f t="array" ref="V346">VLOOKUP($A346,Table_ship_components[],COLUMN(V:V),0)</f>
        <v>0</v>
      </c>
      <c r="W346" s="15" cm="1">
        <f t="array" ref="W346">VLOOKUP($A346,Table_ship_components[],COLUMN(W:W),0)</f>
        <v>0</v>
      </c>
      <c r="X346" cm="1">
        <f t="array" ref="X346">VLOOKUP($A346,Table_ship_components[],COLUMN(X:X),0)</f>
        <v>0</v>
      </c>
      <c r="Y346" cm="1">
        <f t="array" ref="Y346">VLOOKUP($A346,Table_ship_components[],COLUMN(Y:Y),0)</f>
        <v>0</v>
      </c>
      <c r="Z346" cm="1">
        <f t="array" ref="Z346">VLOOKUP($A346,Table_ship_components[],COLUMN(Z:Z),0)</f>
        <v>0</v>
      </c>
      <c r="AA346" cm="1">
        <f t="array" ref="AA346">VLOOKUP($A346,Table_ship_components[],COLUMN(AA:AA),0)*C346</f>
        <v>0</v>
      </c>
      <c r="AB346">
        <f t="shared" si="21"/>
        <v>0</v>
      </c>
      <c r="AC346" cm="1">
        <f t="array" ref="AC346">VLOOKUP($A346,Table_ship_components[],COLUMN(AC:AC),0)*C346</f>
        <v>0</v>
      </c>
      <c r="AD346" cm="1">
        <f t="array" ref="AD346">VLOOKUP($A346,Table_ship_components[],COLUMN(AD:AD),0)</f>
        <v>0</v>
      </c>
      <c r="AE346" cm="1">
        <f t="array" ref="AE346">VLOOKUP($A346,Table_ship_components[],COLUMN(AE:AE),0)</f>
        <v>0</v>
      </c>
      <c r="AF346" cm="1">
        <f t="array" ref="AF346">VLOOKUP($A346,Table_ship_components[],COLUMN(AF:AF),0)</f>
        <v>0</v>
      </c>
      <c r="AG346" cm="1">
        <f t="array" ref="AG346">VLOOKUP($A346,Table_ship_components[],COLUMN(AG:AG),0)</f>
        <v>0</v>
      </c>
      <c r="AH346" cm="1">
        <f t="array" ref="AH346">VLOOKUP($A346,Table_ship_components[],COLUMN(AH:AH),0)</f>
        <v>100</v>
      </c>
      <c r="AI346" cm="1">
        <f t="array" ref="AI346">VLOOKUP($A346,Table_ship_components[],COLUMN(AI:AI),0)</f>
        <v>1000</v>
      </c>
      <c r="AJ346" cm="1">
        <f t="array" ref="AJ346">VLOOKUP($A346,Table_ship_components[],COLUMN(AJ:AJ),0)</f>
        <v>10000</v>
      </c>
      <c r="AK346" cm="1">
        <f t="array" ref="AK346">VLOOKUP($A346,Table_ship_components[],COLUMN(AK:AK),0)</f>
        <v>0</v>
      </c>
      <c r="AL346" cm="1">
        <f t="array" ref="AL346">VLOOKUP($A346,Table_ship_components[],COLUMN(AL:AL),0)</f>
        <v>0</v>
      </c>
      <c r="AM346" cm="1">
        <f t="array" ref="AM346">VLOOKUP($A346,Table_ship_components[],COLUMN(AM:AM),0)</f>
        <v>0</v>
      </c>
      <c r="AN346" cm="1">
        <f t="array" ref="AN346">VLOOKUP($A346,Table_ship_components[],COLUMN(AN:AN),0)</f>
        <v>0</v>
      </c>
      <c r="AO346" cm="1">
        <f t="array" ref="AO346">VLOOKUP($A346,Table_ship_components[],COLUMN(AO:AO),0)</f>
        <v>0</v>
      </c>
      <c r="AP346" cm="1">
        <f t="array" ref="AP346">VLOOKUP($A346,Table_ship_components[],COLUMN(AP:AP),0)</f>
        <v>0</v>
      </c>
      <c r="AQ346" cm="1">
        <f t="array" ref="AQ346">VLOOKUP($A346,Table_ship_components[],COLUMN(AQ:AQ),0)</f>
        <v>0</v>
      </c>
      <c r="AR346" cm="1">
        <f t="array" ref="AR346">VLOOKUP($A346,Table_ship_components[],COLUMN(AR:AR),0)</f>
        <v>0</v>
      </c>
      <c r="AS346" cm="1">
        <f t="array" ref="AS346">VLOOKUP($A346,Table_ship_components[],COLUMN(AS:AS),0)</f>
        <v>0</v>
      </c>
      <c r="AT346" cm="1">
        <f t="array" ref="AT346">VLOOKUP($A346,Table_ship_components[],COLUMN(AT:AT),0)</f>
        <v>0</v>
      </c>
      <c r="AU346" s="2" cm="1">
        <f t="array" ref="AU346">VLOOKUP($A346,Table_ship_components[],COLUMN(AU:AU),0)</f>
        <v>0</v>
      </c>
      <c r="AV346" s="2" cm="1">
        <f t="array" ref="AV346">VLOOKUP($A346,Table_ship_components[],COLUMN(AV:AV),0)</f>
        <v>0</v>
      </c>
      <c r="AW346" s="2" cm="1">
        <f t="array" ref="AW346">VLOOKUP($A346,Table_ship_components[],COLUMN(AW:AW),0)</f>
        <v>0</v>
      </c>
      <c r="AX346" s="2" cm="1">
        <f t="array" ref="AX346">VLOOKUP($A346,Table_ship_components[],COLUMN(AX:AX),0)</f>
        <v>0</v>
      </c>
      <c r="AY346" s="2" cm="1">
        <f t="array" ref="AY346">VLOOKUP($A346,Table_ship_components[],COLUMN(AY:AY),0)</f>
        <v>0</v>
      </c>
      <c r="AZ346" s="2" t="str" cm="1">
        <f t="array" ref="AZ346">VLOOKUP($A346,Table_ship_components[],COLUMN(AZ:AZ),0)</f>
        <v>C</v>
      </c>
      <c r="BA346" s="14" cm="1">
        <f t="array" ref="BA346">VLOOKUP($A346,Table_ship_components[],COLUMN(BA:BA),0)</f>
        <v>550000</v>
      </c>
      <c r="BB346" s="14" cm="1">
        <f t="array" ref="BB346">(VLOOKUP($A346,Table_ship_components[],COLUMN(BA:BA),0)+(W346*C346))</f>
        <v>550000</v>
      </c>
      <c r="BC346" s="2" cm="1">
        <f t="array" ref="BC346">VLOOKUP($A346,Table_ship_components[],COLUMN(BC:BC),0)</f>
        <v>0</v>
      </c>
      <c r="BD346" s="2" cm="1">
        <f t="array" ref="BD346">VLOOKUP($A346,Table_ship_components[],COLUMN(BD:BD),0)</f>
        <v>0</v>
      </c>
    </row>
    <row r="347" spans="1:56" outlineLevel="1" x14ac:dyDescent="0.35">
      <c r="A347" t="s">
        <v>350</v>
      </c>
      <c r="B347" t="str" cm="1">
        <f t="array" ref="B347">VLOOKUP($A347,Table_ship_components[],COLUMN(B:B),0)</f>
        <v>good automation of crew functions</v>
      </c>
      <c r="D347" cm="1">
        <f t="array" ref="D347">VLOOKUP($A347,Table_ship_components[],COLUMN(D:D),0)</f>
        <v>6</v>
      </c>
      <c r="E347" cm="1">
        <f t="array" ref="E347">ROUND(VLOOKUP($A347,Table_ship_components[],COLUMN(D:D),0)+(V347*C347),0)</f>
        <v>6</v>
      </c>
      <c r="F347" cm="1">
        <f t="array" ref="F347">VLOOKUP($A347,Table_ship_components[],COLUMN(F:F),0)</f>
        <v>7</v>
      </c>
      <c r="G347" cm="1">
        <f t="array" ref="G347">ROUND(VLOOKUP($A347,Table_ship_components[],COLUMN(G:G),0)+(X347*C347),0)</f>
        <v>7</v>
      </c>
      <c r="H347" cm="1">
        <f t="array" ref="H347">VLOOKUP($A347,Table_ship_components[],COLUMN(H:H),0)</f>
        <v>0</v>
      </c>
      <c r="I347" cm="1">
        <f t="array" ref="I347">VLOOKUP($A347,Table_ship_components[],COLUMN(I:I),0)</f>
        <v>0</v>
      </c>
      <c r="J347" cm="1">
        <f t="array" ref="J347">VLOOKUP($A347,Table_ship_components[],COLUMN(J:J),0)</f>
        <v>0</v>
      </c>
      <c r="K347" cm="1">
        <f t="array" ref="K347">VLOOKUP($A347,Table_ship_components[],COLUMN(K:K),0)</f>
        <v>0</v>
      </c>
      <c r="L347" cm="1">
        <f t="array" ref="L347">VLOOKUP($A347,Table_ship_components[],COLUMN(L:L),0)</f>
        <v>0</v>
      </c>
      <c r="M347" cm="1">
        <f t="array" ref="M347">VLOOKUP($A347,Table_ship_components[],COLUMN(M:M),0)</f>
        <v>0</v>
      </c>
      <c r="N347" cm="1">
        <f t="array" ref="N347">VLOOKUP($A347,Table_ship_components[],COLUMN(N:N),0)</f>
        <v>0</v>
      </c>
      <c r="O347" cm="1">
        <f t="array" ref="O347">VLOOKUP($A347,Table_ship_components[],COLUMN(O:O),0)</f>
        <v>1</v>
      </c>
      <c r="P347" cm="1">
        <f t="array" ref="P347">VLOOKUP($A347,Table_ship_components[],COLUMN(P:P),0)</f>
        <v>0</v>
      </c>
      <c r="Q347" cm="1">
        <f t="array" ref="Q347">VLOOKUP($A347,Table_ship_components[],COLUMN(Q:Q),0)</f>
        <v>0</v>
      </c>
      <c r="R347" cm="1">
        <f t="array" ref="R347">VLOOKUP($A347,Table_ship_components[],COLUMN(R:R),0)</f>
        <v>0</v>
      </c>
      <c r="S347" cm="1">
        <f t="array" ref="S347">VLOOKUP($A347,Table_ship_components[],COLUMN(S:S),0)</f>
        <v>0</v>
      </c>
      <c r="T347" cm="1">
        <f t="array" ref="T347">VLOOKUP($A347,Table_ship_components[],COLUMN(T:T),0)</f>
        <v>0</v>
      </c>
      <c r="U347" cm="1">
        <f t="array" ref="U347">VLOOKUP($A347,Table_ship_components[],COLUMN(U:U),0)</f>
        <v>0</v>
      </c>
      <c r="V347" cm="1">
        <f t="array" ref="V347">VLOOKUP($A347,Table_ship_components[],COLUMN(V:V),0)</f>
        <v>0</v>
      </c>
      <c r="W347" s="15" cm="1">
        <f t="array" ref="W347">VLOOKUP($A347,Table_ship_components[],COLUMN(W:W),0)</f>
        <v>0</v>
      </c>
      <c r="X347" cm="1">
        <f t="array" ref="X347">VLOOKUP($A347,Table_ship_components[],COLUMN(X:X),0)</f>
        <v>0</v>
      </c>
      <c r="Y347" cm="1">
        <f t="array" ref="Y347">VLOOKUP($A347,Table_ship_components[],COLUMN(Y:Y),0)</f>
        <v>1</v>
      </c>
      <c r="Z347" cm="1">
        <f t="array" ref="Z347">VLOOKUP($A347,Table_ship_components[],COLUMN(Z:Z),0)</f>
        <v>2</v>
      </c>
      <c r="AA347" cm="1">
        <f t="array" ref="AA347">VLOOKUP($A347,Table_ship_components[],COLUMN(AA:AA),0)*C347</f>
        <v>0</v>
      </c>
      <c r="AB347">
        <f t="shared" si="21"/>
        <v>0</v>
      </c>
      <c r="AC347" cm="1">
        <f t="array" ref="AC347">VLOOKUP($A347,Table_ship_components[],COLUMN(AC:AC),0)*C347</f>
        <v>0</v>
      </c>
      <c r="AD347" cm="1">
        <f t="array" ref="AD347">VLOOKUP($A347,Table_ship_components[],COLUMN(AD:AD),0)</f>
        <v>0</v>
      </c>
      <c r="AE347" cm="1">
        <f t="array" ref="AE347">VLOOKUP($A347,Table_ship_components[],COLUMN(AE:AE),0)</f>
        <v>0</v>
      </c>
      <c r="AF347" cm="1">
        <f t="array" ref="AF347">VLOOKUP($A347,Table_ship_components[],COLUMN(AF:AF),0)</f>
        <v>0</v>
      </c>
      <c r="AG347" cm="1">
        <f t="array" ref="AG347">VLOOKUP($A347,Table_ship_components[],COLUMN(AG:AG),0)</f>
        <v>0</v>
      </c>
      <c r="AH347" cm="1">
        <f t="array" ref="AH347">VLOOKUP($A347,Table_ship_components[],COLUMN(AH:AH),0)</f>
        <v>0</v>
      </c>
      <c r="AI347" cm="1">
        <f t="array" ref="AI347">VLOOKUP($A347,Table_ship_components[],COLUMN(AI:AI),0)</f>
        <v>0</v>
      </c>
      <c r="AJ347" cm="1">
        <f t="array" ref="AJ347">VLOOKUP($A347,Table_ship_components[],COLUMN(AJ:AJ),0)</f>
        <v>0</v>
      </c>
      <c r="AK347" cm="1">
        <f t="array" ref="AK347">VLOOKUP($A347,Table_ship_components[],COLUMN(AK:AK),0)</f>
        <v>0</v>
      </c>
      <c r="AL347" cm="1">
        <f t="array" ref="AL347">VLOOKUP($A347,Table_ship_components[],COLUMN(AL:AL),0)</f>
        <v>0</v>
      </c>
      <c r="AM347" cm="1">
        <f t="array" ref="AM347">VLOOKUP($A347,Table_ship_components[],COLUMN(AM:AM),0)</f>
        <v>0</v>
      </c>
      <c r="AN347" cm="1">
        <f t="array" ref="AN347">VLOOKUP($A347,Table_ship_components[],COLUMN(AN:AN),0)</f>
        <v>0</v>
      </c>
      <c r="AO347" cm="1">
        <f t="array" ref="AO347">VLOOKUP($A347,Table_ship_components[],COLUMN(AO:AO),0)</f>
        <v>0</v>
      </c>
      <c r="AP347" cm="1">
        <f t="array" ref="AP347">VLOOKUP($A347,Table_ship_components[],COLUMN(AP:AP),0)</f>
        <v>0</v>
      </c>
      <c r="AQ347" cm="1">
        <f t="array" ref="AQ347">VLOOKUP($A347,Table_ship_components[],COLUMN(AQ:AQ),0)</f>
        <v>0</v>
      </c>
      <c r="AR347" cm="1">
        <f t="array" ref="AR347">VLOOKUP($A347,Table_ship_components[],COLUMN(AR:AR),0)</f>
        <v>0</v>
      </c>
      <c r="AS347" cm="1">
        <f t="array" ref="AS347">VLOOKUP($A347,Table_ship_components[],COLUMN(AS:AS),0)</f>
        <v>0</v>
      </c>
      <c r="AT347" cm="1">
        <f t="array" ref="AT347">VLOOKUP($A347,Table_ship_components[],COLUMN(AT:AT),0)</f>
        <v>0</v>
      </c>
      <c r="AU347" s="2" cm="1">
        <f t="array" ref="AU347">VLOOKUP($A347,Table_ship_components[],COLUMN(AU:AU),0)</f>
        <v>0</v>
      </c>
      <c r="AV347" s="2" cm="1">
        <f t="array" ref="AV347">VLOOKUP($A347,Table_ship_components[],COLUMN(AV:AV),0)</f>
        <v>0</v>
      </c>
      <c r="AW347" s="2" cm="1">
        <f t="array" ref="AW347">VLOOKUP($A347,Table_ship_components[],COLUMN(AW:AW),0)</f>
        <v>0</v>
      </c>
      <c r="AX347" s="2" cm="1">
        <f t="array" ref="AX347">VLOOKUP($A347,Table_ship_components[],COLUMN(AX:AX),0)</f>
        <v>0</v>
      </c>
      <c r="AY347" s="2" cm="1">
        <f t="array" ref="AY347">VLOOKUP($A347,Table_ship_components[],COLUMN(AY:AY),0)</f>
        <v>0</v>
      </c>
      <c r="AZ347" s="2" t="str" cm="1">
        <f t="array" ref="AZ347">VLOOKUP($A347,Table_ship_components[],COLUMN(AZ:AZ),0)</f>
        <v>C</v>
      </c>
      <c r="BA347" s="14" cm="1">
        <f t="array" ref="BA347">VLOOKUP($A347,Table_ship_components[],COLUMN(BA:BA),0)</f>
        <v>1000000</v>
      </c>
      <c r="BB347" s="14" cm="1">
        <f t="array" ref="BB347">(VLOOKUP($A347,Table_ship_components[],COLUMN(BA:BA),0)+(W347*C347))</f>
        <v>1000000</v>
      </c>
      <c r="BC347" s="2" cm="1">
        <f t="array" ref="BC347">VLOOKUP($A347,Table_ship_components[],COLUMN(BC:BC),0)</f>
        <v>0</v>
      </c>
      <c r="BD347" s="2" cm="1">
        <f t="array" ref="BD347">VLOOKUP($A347,Table_ship_components[],COLUMN(BD:BD),0)</f>
        <v>0</v>
      </c>
    </row>
    <row r="348" spans="1:56" outlineLevel="1" x14ac:dyDescent="0.35">
      <c r="A348" t="s">
        <v>288</v>
      </c>
      <c r="B348" t="str" cm="1">
        <f t="array" ref="B348">VLOOKUP($A348,Table_ship_components[],COLUMN(B:B),0)</f>
        <v>PICK A COMPONENT</v>
      </c>
      <c r="D348" cm="1">
        <f t="array" ref="D348">VLOOKUP($A348,Table_ship_components[],COLUMN(D:D),0)</f>
        <v>0</v>
      </c>
      <c r="E348" cm="1">
        <f t="array" ref="E348">ROUND(VLOOKUP($A348,Table_ship_components[],COLUMN(D:D),0)+(V348*C348),0)</f>
        <v>0</v>
      </c>
      <c r="F348" cm="1">
        <f t="array" ref="F348">VLOOKUP($A348,Table_ship_components[],COLUMN(F:F),0)</f>
        <v>0</v>
      </c>
      <c r="G348" cm="1">
        <f t="array" ref="G348">ROUND(VLOOKUP($A348,Table_ship_components[],COLUMN(G:G),0)+(X348*C348),0)</f>
        <v>0</v>
      </c>
      <c r="H348" cm="1">
        <f t="array" ref="H348">VLOOKUP($A348,Table_ship_components[],COLUMN(H:H),0)</f>
        <v>0</v>
      </c>
      <c r="I348" cm="1">
        <f t="array" ref="I348">VLOOKUP($A348,Table_ship_components[],COLUMN(I:I),0)</f>
        <v>0</v>
      </c>
      <c r="J348" cm="1">
        <f t="array" ref="J348">VLOOKUP($A348,Table_ship_components[],COLUMN(J:J),0)</f>
        <v>0</v>
      </c>
      <c r="K348" cm="1">
        <f t="array" ref="K348">VLOOKUP($A348,Table_ship_components[],COLUMN(K:K),0)</f>
        <v>0</v>
      </c>
      <c r="L348" cm="1">
        <f t="array" ref="L348">VLOOKUP($A348,Table_ship_components[],COLUMN(L:L),0)</f>
        <v>0</v>
      </c>
      <c r="M348" cm="1">
        <f t="array" ref="M348">VLOOKUP($A348,Table_ship_components[],COLUMN(M:M),0)</f>
        <v>0</v>
      </c>
      <c r="N348" cm="1">
        <f t="array" ref="N348">VLOOKUP($A348,Table_ship_components[],COLUMN(N:N),0)</f>
        <v>0</v>
      </c>
      <c r="O348" cm="1">
        <f t="array" ref="O348">VLOOKUP($A348,Table_ship_components[],COLUMN(O:O),0)</f>
        <v>0</v>
      </c>
      <c r="P348" cm="1">
        <f t="array" ref="P348">VLOOKUP($A348,Table_ship_components[],COLUMN(P:P),0)</f>
        <v>0</v>
      </c>
      <c r="Q348" cm="1">
        <f t="array" ref="Q348">VLOOKUP($A348,Table_ship_components[],COLUMN(Q:Q),0)</f>
        <v>0</v>
      </c>
      <c r="R348" cm="1">
        <f t="array" ref="R348">VLOOKUP($A348,Table_ship_components[],COLUMN(R:R),0)</f>
        <v>0</v>
      </c>
      <c r="S348" cm="1">
        <f t="array" ref="S348">VLOOKUP($A348,Table_ship_components[],COLUMN(S:S),0)</f>
        <v>0</v>
      </c>
      <c r="T348" cm="1">
        <f t="array" ref="T348">VLOOKUP($A348,Table_ship_components[],COLUMN(T:T),0)</f>
        <v>0</v>
      </c>
      <c r="U348" cm="1">
        <f t="array" ref="U348">VLOOKUP($A348,Table_ship_components[],COLUMN(U:U),0)</f>
        <v>0</v>
      </c>
      <c r="V348" cm="1">
        <f t="array" ref="V348">VLOOKUP($A348,Table_ship_components[],COLUMN(V:V),0)</f>
        <v>0</v>
      </c>
      <c r="W348" s="15" cm="1">
        <f t="array" ref="W348">VLOOKUP($A348,Table_ship_components[],COLUMN(W:W),0)</f>
        <v>0</v>
      </c>
      <c r="X348" cm="1">
        <f t="array" ref="X348">VLOOKUP($A348,Table_ship_components[],COLUMN(X:X),0)</f>
        <v>0</v>
      </c>
      <c r="Y348" cm="1">
        <f t="array" ref="Y348">VLOOKUP($A348,Table_ship_components[],COLUMN(Y:Y),0)</f>
        <v>0</v>
      </c>
      <c r="Z348" cm="1">
        <f t="array" ref="Z348">VLOOKUP($A348,Table_ship_components[],COLUMN(Z:Z),0)</f>
        <v>0</v>
      </c>
      <c r="AA348" cm="1">
        <f t="array" ref="AA348">VLOOKUP($A348,Table_ship_components[],COLUMN(AA:AA),0)*C348</f>
        <v>0</v>
      </c>
      <c r="AB348">
        <f t="shared" si="21"/>
        <v>0</v>
      </c>
      <c r="AC348" cm="1">
        <f t="array" ref="AC348">VLOOKUP($A348,Table_ship_components[],COLUMN(AC:AC),0)*C348</f>
        <v>0</v>
      </c>
      <c r="AD348" cm="1">
        <f t="array" ref="AD348">VLOOKUP($A348,Table_ship_components[],COLUMN(AD:AD),0)</f>
        <v>0</v>
      </c>
      <c r="AE348" cm="1">
        <f t="array" ref="AE348">VLOOKUP($A348,Table_ship_components[],COLUMN(AE:AE),0)</f>
        <v>0</v>
      </c>
      <c r="AF348" cm="1">
        <f t="array" ref="AF348">VLOOKUP($A348,Table_ship_components[],COLUMN(AF:AF),0)</f>
        <v>0</v>
      </c>
      <c r="AG348" cm="1">
        <f t="array" ref="AG348">VLOOKUP($A348,Table_ship_components[],COLUMN(AG:AG),0)</f>
        <v>0</v>
      </c>
      <c r="AH348" cm="1">
        <f t="array" ref="AH348">VLOOKUP($A348,Table_ship_components[],COLUMN(AH:AH),0)</f>
        <v>0</v>
      </c>
      <c r="AI348" cm="1">
        <f t="array" ref="AI348">VLOOKUP($A348,Table_ship_components[],COLUMN(AI:AI),0)</f>
        <v>0</v>
      </c>
      <c r="AJ348" cm="1">
        <f t="array" ref="AJ348">VLOOKUP($A348,Table_ship_components[],COLUMN(AJ:AJ),0)</f>
        <v>0</v>
      </c>
      <c r="AK348" cm="1">
        <f t="array" ref="AK348">VLOOKUP($A348,Table_ship_components[],COLUMN(AK:AK),0)</f>
        <v>0</v>
      </c>
      <c r="AL348" cm="1">
        <f t="array" ref="AL348">VLOOKUP($A348,Table_ship_components[],COLUMN(AL:AL),0)</f>
        <v>0</v>
      </c>
      <c r="AM348" cm="1">
        <f t="array" ref="AM348">VLOOKUP($A348,Table_ship_components[],COLUMN(AM:AM),0)</f>
        <v>0</v>
      </c>
      <c r="AN348" cm="1">
        <f t="array" ref="AN348">VLOOKUP($A348,Table_ship_components[],COLUMN(AN:AN),0)</f>
        <v>0</v>
      </c>
      <c r="AO348" cm="1">
        <f t="array" ref="AO348">VLOOKUP($A348,Table_ship_components[],COLUMN(AO:AO),0)</f>
        <v>0</v>
      </c>
      <c r="AP348" cm="1">
        <f t="array" ref="AP348">VLOOKUP($A348,Table_ship_components[],COLUMN(AP:AP),0)</f>
        <v>0</v>
      </c>
      <c r="AQ348" cm="1">
        <f t="array" ref="AQ348">VLOOKUP($A348,Table_ship_components[],COLUMN(AQ:AQ),0)</f>
        <v>0</v>
      </c>
      <c r="AR348" cm="1">
        <f t="array" ref="AR348">VLOOKUP($A348,Table_ship_components[],COLUMN(AR:AR),0)</f>
        <v>0</v>
      </c>
      <c r="AS348" cm="1">
        <f t="array" ref="AS348">VLOOKUP($A348,Table_ship_components[],COLUMN(AS:AS),0)</f>
        <v>0</v>
      </c>
      <c r="AT348" cm="1">
        <f t="array" ref="AT348">VLOOKUP($A348,Table_ship_components[],COLUMN(AT:AT),0)</f>
        <v>0</v>
      </c>
      <c r="AU348" s="2" cm="1">
        <f t="array" ref="AU348">VLOOKUP($A348,Table_ship_components[],COLUMN(AU:AU),0)</f>
        <v>0</v>
      </c>
      <c r="AV348" s="2" cm="1">
        <f t="array" ref="AV348">VLOOKUP($A348,Table_ship_components[],COLUMN(AV:AV),0)</f>
        <v>0</v>
      </c>
      <c r="AW348" s="2" cm="1">
        <f t="array" ref="AW348">VLOOKUP($A348,Table_ship_components[],COLUMN(AW:AW),0)</f>
        <v>0</v>
      </c>
      <c r="AX348" s="2" cm="1">
        <f t="array" ref="AX348">VLOOKUP($A348,Table_ship_components[],COLUMN(AX:AX),0)</f>
        <v>0</v>
      </c>
      <c r="AY348" s="2" cm="1">
        <f t="array" ref="AY348">VLOOKUP($A348,Table_ship_components[],COLUMN(AY:AY),0)</f>
        <v>0</v>
      </c>
      <c r="AZ348" s="2" t="str" cm="1">
        <f t="array" ref="AZ348">VLOOKUP($A348,Table_ship_components[],COLUMN(AZ:AZ),0)</f>
        <v>C</v>
      </c>
      <c r="BA348" s="14" cm="1">
        <f t="array" ref="BA348">VLOOKUP($A348,Table_ship_components[],COLUMN(BA:BA),0)</f>
        <v>0</v>
      </c>
      <c r="BB348" s="14" cm="1">
        <f t="array" ref="BB348">(VLOOKUP($A348,Table_ship_components[],COLUMN(BA:BA),0)+(W348*C348))</f>
        <v>0</v>
      </c>
      <c r="BC348" s="2" cm="1">
        <f t="array" ref="BC348">VLOOKUP($A348,Table_ship_components[],COLUMN(BC:BC),0)</f>
        <v>0</v>
      </c>
      <c r="BD348" s="2" cm="1">
        <f t="array" ref="BD348">VLOOKUP($A348,Table_ship_components[],COLUMN(BD:BD),0)</f>
        <v>0</v>
      </c>
    </row>
    <row r="349" spans="1:56" outlineLevel="1" x14ac:dyDescent="0.35">
      <c r="A349" t="s">
        <v>392</v>
      </c>
      <c r="B349" t="str" cm="1">
        <f t="array" ref="B349">VLOOKUP($A349,Table_ship_components[],COLUMN(B:B),0)</f>
        <v>corvette landing package</v>
      </c>
      <c r="D349" cm="1">
        <f t="array" ref="D349">VLOOKUP($A349,Table_ship_components[],COLUMN(D:D),0)</f>
        <v>10</v>
      </c>
      <c r="E349" cm="1">
        <f t="array" ref="E349">ROUND(VLOOKUP($A349,Table_ship_components[],COLUMN(D:D),0)+(V349*C349),0)</f>
        <v>10</v>
      </c>
      <c r="F349" cm="1">
        <f t="array" ref="F349">VLOOKUP($A349,Table_ship_components[],COLUMN(F:F),0)</f>
        <v>0</v>
      </c>
      <c r="G349" cm="1">
        <f t="array" ref="G349">ROUND(VLOOKUP($A349,Table_ship_components[],COLUMN(G:G),0)+(X349*C349),0)</f>
        <v>0</v>
      </c>
      <c r="H349" cm="1">
        <f t="array" ref="H349">VLOOKUP($A349,Table_ship_components[],COLUMN(H:H),0)</f>
        <v>4</v>
      </c>
      <c r="I349" cm="1">
        <f t="array" ref="I349">VLOOKUP($A349,Table_ship_components[],COLUMN(I:I),0)</f>
        <v>0</v>
      </c>
      <c r="J349" cm="1">
        <f t="array" ref="J349">VLOOKUP($A349,Table_ship_components[],COLUMN(J:J),0)</f>
        <v>0</v>
      </c>
      <c r="K349" cm="1">
        <f t="array" ref="K349">VLOOKUP($A349,Table_ship_components[],COLUMN(K:K),0)</f>
        <v>0</v>
      </c>
      <c r="L349" cm="1">
        <f t="array" ref="L349">VLOOKUP($A349,Table_ship_components[],COLUMN(L:L),0)</f>
        <v>0</v>
      </c>
      <c r="M349" cm="1">
        <f t="array" ref="M349">VLOOKUP($A349,Table_ship_components[],COLUMN(M:M),0)</f>
        <v>0</v>
      </c>
      <c r="N349" cm="1">
        <f t="array" ref="N349">VLOOKUP($A349,Table_ship_components[],COLUMN(N:N),0)</f>
        <v>1</v>
      </c>
      <c r="O349" cm="1">
        <f t="array" ref="O349">VLOOKUP($A349,Table_ship_components[],COLUMN(O:O),0)</f>
        <v>0</v>
      </c>
      <c r="P349" cm="1">
        <f t="array" ref="P349">VLOOKUP($A349,Table_ship_components[],COLUMN(P:P),0)</f>
        <v>0</v>
      </c>
      <c r="Q349" cm="1">
        <f t="array" ref="Q349">VLOOKUP($A349,Table_ship_components[],COLUMN(Q:Q),0)</f>
        <v>0</v>
      </c>
      <c r="R349" cm="1">
        <f t="array" ref="R349">VLOOKUP($A349,Table_ship_components[],COLUMN(R:R),0)</f>
        <v>0</v>
      </c>
      <c r="S349" cm="1">
        <f t="array" ref="S349">VLOOKUP($A349,Table_ship_components[],COLUMN(S:S),0)</f>
        <v>0</v>
      </c>
      <c r="T349" cm="1">
        <f t="array" ref="T349">VLOOKUP($A349,Table_ship_components[],COLUMN(T:T),0)</f>
        <v>0</v>
      </c>
      <c r="U349" cm="1">
        <f t="array" ref="U349">VLOOKUP($A349,Table_ship_components[],COLUMN(U:U),0)</f>
        <v>0</v>
      </c>
      <c r="V349" cm="1">
        <f t="array" ref="V349">VLOOKUP($A349,Table_ship_components[],COLUMN(V:V),0)</f>
        <v>0</v>
      </c>
      <c r="W349" s="15" cm="1">
        <f t="array" ref="W349">VLOOKUP($A349,Table_ship_components[],COLUMN(W:W),0)</f>
        <v>0</v>
      </c>
      <c r="X349" cm="1">
        <f t="array" ref="X349">VLOOKUP($A349,Table_ship_components[],COLUMN(X:X),0)</f>
        <v>0</v>
      </c>
      <c r="Y349" cm="1">
        <f t="array" ref="Y349">VLOOKUP($A349,Table_ship_components[],COLUMN(Y:Y),0)</f>
        <v>0</v>
      </c>
      <c r="Z349" cm="1">
        <f t="array" ref="Z349">VLOOKUP($A349,Table_ship_components[],COLUMN(Z:Z),0)</f>
        <v>0</v>
      </c>
      <c r="AA349" cm="1">
        <f t="array" ref="AA349">VLOOKUP($A349,Table_ship_components[],COLUMN(AA:AA),0)*C349</f>
        <v>0</v>
      </c>
      <c r="AB349">
        <f t="shared" si="21"/>
        <v>0</v>
      </c>
      <c r="AC349" cm="1">
        <f t="array" ref="AC349">VLOOKUP($A349,Table_ship_components[],COLUMN(AC:AC),0)*C349</f>
        <v>0</v>
      </c>
      <c r="AD349" cm="1">
        <f t="array" ref="AD349">VLOOKUP($A349,Table_ship_components[],COLUMN(AD:AD),0)</f>
        <v>0</v>
      </c>
      <c r="AE349" cm="1">
        <f t="array" ref="AE349">VLOOKUP($A349,Table_ship_components[],COLUMN(AE:AE),0)</f>
        <v>0</v>
      </c>
      <c r="AF349" cm="1">
        <f t="array" ref="AF349">VLOOKUP($A349,Table_ship_components[],COLUMN(AF:AF),0)</f>
        <v>0</v>
      </c>
      <c r="AG349" cm="1">
        <f t="array" ref="AG349">VLOOKUP($A349,Table_ship_components[],COLUMN(AG:AG),0)</f>
        <v>1</v>
      </c>
      <c r="AH349" cm="1">
        <f t="array" ref="AH349">VLOOKUP($A349,Table_ship_components[],COLUMN(AH:AH),0)</f>
        <v>0</v>
      </c>
      <c r="AI349" cm="1">
        <f t="array" ref="AI349">VLOOKUP($A349,Table_ship_components[],COLUMN(AI:AI),0)</f>
        <v>0</v>
      </c>
      <c r="AJ349" cm="1">
        <f t="array" ref="AJ349">VLOOKUP($A349,Table_ship_components[],COLUMN(AJ:AJ),0)</f>
        <v>0</v>
      </c>
      <c r="AK349" cm="1">
        <f t="array" ref="AK349">VLOOKUP($A349,Table_ship_components[],COLUMN(AK:AK),0)</f>
        <v>0</v>
      </c>
      <c r="AL349" cm="1">
        <f t="array" ref="AL349">VLOOKUP($A349,Table_ship_components[],COLUMN(AL:AL),0)</f>
        <v>0</v>
      </c>
      <c r="AM349" cm="1">
        <f t="array" ref="AM349">VLOOKUP($A349,Table_ship_components[],COLUMN(AM:AM),0)</f>
        <v>0</v>
      </c>
      <c r="AN349" cm="1">
        <f t="array" ref="AN349">VLOOKUP($A349,Table_ship_components[],COLUMN(AN:AN),0)</f>
        <v>0</v>
      </c>
      <c r="AO349" cm="1">
        <f t="array" ref="AO349">VLOOKUP($A349,Table_ship_components[],COLUMN(AO:AO),0)</f>
        <v>0</v>
      </c>
      <c r="AP349" cm="1">
        <f t="array" ref="AP349">VLOOKUP($A349,Table_ship_components[],COLUMN(AP:AP),0)</f>
        <v>0</v>
      </c>
      <c r="AQ349" cm="1">
        <f t="array" ref="AQ349">VLOOKUP($A349,Table_ship_components[],COLUMN(AQ:AQ),0)</f>
        <v>0</v>
      </c>
      <c r="AR349" cm="1">
        <f t="array" ref="AR349">VLOOKUP($A349,Table_ship_components[],COLUMN(AR:AR),0)</f>
        <v>0</v>
      </c>
      <c r="AS349" cm="1">
        <f t="array" ref="AS349">VLOOKUP($A349,Table_ship_components[],COLUMN(AS:AS),0)</f>
        <v>0</v>
      </c>
      <c r="AT349" cm="1">
        <f t="array" ref="AT349">VLOOKUP($A349,Table_ship_components[],COLUMN(AT:AT),0)</f>
        <v>0</v>
      </c>
      <c r="AU349" s="2" cm="1">
        <f t="array" ref="AU349">VLOOKUP($A349,Table_ship_components[],COLUMN(AU:AU),0)</f>
        <v>0</v>
      </c>
      <c r="AV349" s="2" cm="1">
        <f t="array" ref="AV349">VLOOKUP($A349,Table_ship_components[],COLUMN(AV:AV),0)</f>
        <v>0</v>
      </c>
      <c r="AW349" s="2" cm="1">
        <f t="array" ref="AW349">VLOOKUP($A349,Table_ship_components[],COLUMN(AW:AW),0)</f>
        <v>0</v>
      </c>
      <c r="AX349" s="2" cm="1">
        <f t="array" ref="AX349">VLOOKUP($A349,Table_ship_components[],COLUMN(AX:AX),0)</f>
        <v>0</v>
      </c>
      <c r="AY349" s="2" cm="1">
        <f t="array" ref="AY349">VLOOKUP($A349,Table_ship_components[],COLUMN(AY:AY),0)</f>
        <v>0</v>
      </c>
      <c r="AZ349" s="2" t="str" cm="1">
        <f t="array" ref="AZ349">VLOOKUP($A349,Table_ship_components[],COLUMN(AZ:AZ),0)</f>
        <v>C</v>
      </c>
      <c r="BA349" s="14" cm="1">
        <f t="array" ref="BA349">VLOOKUP($A349,Table_ship_components[],COLUMN(BA:BA),0)</f>
        <v>1000000</v>
      </c>
      <c r="BB349" s="14" cm="1">
        <f t="array" ref="BB349">(VLOOKUP($A349,Table_ship_components[],COLUMN(BA:BA),0)+(W349*C349))</f>
        <v>1000000</v>
      </c>
      <c r="BC349" s="2" cm="1">
        <f t="array" ref="BC349">VLOOKUP($A349,Table_ship_components[],COLUMN(BC:BC),0)</f>
        <v>0</v>
      </c>
      <c r="BD349" s="2" cm="1">
        <f t="array" ref="BD349">VLOOKUP($A349,Table_ship_components[],COLUMN(BD:BD),0)</f>
        <v>0</v>
      </c>
    </row>
    <row r="350" spans="1:56" outlineLevel="1" x14ac:dyDescent="0.35">
      <c r="A350" t="s">
        <v>288</v>
      </c>
      <c r="B350" t="str" cm="1">
        <f t="array" ref="B350">VLOOKUP($A350,Table_ship_components[],COLUMN(B:B),0)</f>
        <v>PICK A COMPONENT</v>
      </c>
      <c r="D350" cm="1">
        <f t="array" ref="D350">VLOOKUP($A350,Table_ship_components[],COLUMN(D:D),0)</f>
        <v>0</v>
      </c>
      <c r="E350" cm="1">
        <f t="array" ref="E350">ROUND(VLOOKUP($A350,Table_ship_components[],COLUMN(D:D),0)+(V350*C350),0)</f>
        <v>0</v>
      </c>
      <c r="F350" cm="1">
        <f t="array" ref="F350">VLOOKUP($A350,Table_ship_components[],COLUMN(F:F),0)</f>
        <v>0</v>
      </c>
      <c r="G350" cm="1">
        <f t="array" ref="G350">ROUND(VLOOKUP($A350,Table_ship_components[],COLUMN(G:G),0)+(X350*C350),0)</f>
        <v>0</v>
      </c>
      <c r="H350" cm="1">
        <f t="array" ref="H350">VLOOKUP($A350,Table_ship_components[],COLUMN(H:H),0)</f>
        <v>0</v>
      </c>
      <c r="I350" cm="1">
        <f t="array" ref="I350">VLOOKUP($A350,Table_ship_components[],COLUMN(I:I),0)</f>
        <v>0</v>
      </c>
      <c r="J350" cm="1">
        <f t="array" ref="J350">VLOOKUP($A350,Table_ship_components[],COLUMN(J:J),0)</f>
        <v>0</v>
      </c>
      <c r="K350" cm="1">
        <f t="array" ref="K350">VLOOKUP($A350,Table_ship_components[],COLUMN(K:K),0)</f>
        <v>0</v>
      </c>
      <c r="L350" cm="1">
        <f t="array" ref="L350">VLOOKUP($A350,Table_ship_components[],COLUMN(L:L),0)</f>
        <v>0</v>
      </c>
      <c r="M350" cm="1">
        <f t="array" ref="M350">VLOOKUP($A350,Table_ship_components[],COLUMN(M:M),0)</f>
        <v>0</v>
      </c>
      <c r="N350" cm="1">
        <f t="array" ref="N350">VLOOKUP($A350,Table_ship_components[],COLUMN(N:N),0)</f>
        <v>0</v>
      </c>
      <c r="O350" cm="1">
        <f t="array" ref="O350">VLOOKUP($A350,Table_ship_components[],COLUMN(O:O),0)</f>
        <v>0</v>
      </c>
      <c r="P350" cm="1">
        <f t="array" ref="P350">VLOOKUP($A350,Table_ship_components[],COLUMN(P:P),0)</f>
        <v>0</v>
      </c>
      <c r="Q350" cm="1">
        <f t="array" ref="Q350">VLOOKUP($A350,Table_ship_components[],COLUMN(Q:Q),0)</f>
        <v>0</v>
      </c>
      <c r="R350" cm="1">
        <f t="array" ref="R350">VLOOKUP($A350,Table_ship_components[],COLUMN(R:R),0)</f>
        <v>0</v>
      </c>
      <c r="S350" cm="1">
        <f t="array" ref="S350">VLOOKUP($A350,Table_ship_components[],COLUMN(S:S),0)</f>
        <v>0</v>
      </c>
      <c r="T350" cm="1">
        <f t="array" ref="T350">VLOOKUP($A350,Table_ship_components[],COLUMN(T:T),0)</f>
        <v>0</v>
      </c>
      <c r="U350" cm="1">
        <f t="array" ref="U350">VLOOKUP($A350,Table_ship_components[],COLUMN(U:U),0)</f>
        <v>0</v>
      </c>
      <c r="V350" cm="1">
        <f t="array" ref="V350">VLOOKUP($A350,Table_ship_components[],COLUMN(V:V),0)</f>
        <v>0</v>
      </c>
      <c r="W350" s="15" cm="1">
        <f t="array" ref="W350">VLOOKUP($A350,Table_ship_components[],COLUMN(W:W),0)</f>
        <v>0</v>
      </c>
      <c r="X350" cm="1">
        <f t="array" ref="X350">VLOOKUP($A350,Table_ship_components[],COLUMN(X:X),0)</f>
        <v>0</v>
      </c>
      <c r="Y350" cm="1">
        <f t="array" ref="Y350">VLOOKUP($A350,Table_ship_components[],COLUMN(Y:Y),0)</f>
        <v>0</v>
      </c>
      <c r="Z350" cm="1">
        <f t="array" ref="Z350">VLOOKUP($A350,Table_ship_components[],COLUMN(Z:Z),0)</f>
        <v>0</v>
      </c>
      <c r="AA350" cm="1">
        <f t="array" ref="AA350">VLOOKUP($A350,Table_ship_components[],COLUMN(AA:AA),0)*C350</f>
        <v>0</v>
      </c>
      <c r="AB350">
        <f t="shared" si="21"/>
        <v>0</v>
      </c>
      <c r="AC350" cm="1">
        <f t="array" ref="AC350">VLOOKUP($A350,Table_ship_components[],COLUMN(AC:AC),0)*C350</f>
        <v>0</v>
      </c>
      <c r="AD350" cm="1">
        <f t="array" ref="AD350">VLOOKUP($A350,Table_ship_components[],COLUMN(AD:AD),0)</f>
        <v>0</v>
      </c>
      <c r="AE350" cm="1">
        <f t="array" ref="AE350">VLOOKUP($A350,Table_ship_components[],COLUMN(AE:AE),0)</f>
        <v>0</v>
      </c>
      <c r="AF350" cm="1">
        <f t="array" ref="AF350">VLOOKUP($A350,Table_ship_components[],COLUMN(AF:AF),0)</f>
        <v>0</v>
      </c>
      <c r="AG350" cm="1">
        <f t="array" ref="AG350">VLOOKUP($A350,Table_ship_components[],COLUMN(AG:AG),0)</f>
        <v>0</v>
      </c>
      <c r="AH350" cm="1">
        <f t="array" ref="AH350">VLOOKUP($A350,Table_ship_components[],COLUMN(AH:AH),0)</f>
        <v>0</v>
      </c>
      <c r="AI350" cm="1">
        <f t="array" ref="AI350">VLOOKUP($A350,Table_ship_components[],COLUMN(AI:AI),0)</f>
        <v>0</v>
      </c>
      <c r="AJ350" cm="1">
        <f t="array" ref="AJ350">VLOOKUP($A350,Table_ship_components[],COLUMN(AJ:AJ),0)</f>
        <v>0</v>
      </c>
      <c r="AK350" cm="1">
        <f t="array" ref="AK350">VLOOKUP($A350,Table_ship_components[],COLUMN(AK:AK),0)</f>
        <v>0</v>
      </c>
      <c r="AL350" cm="1">
        <f t="array" ref="AL350">VLOOKUP($A350,Table_ship_components[],COLUMN(AL:AL),0)</f>
        <v>0</v>
      </c>
      <c r="AM350" cm="1">
        <f t="array" ref="AM350">VLOOKUP($A350,Table_ship_components[],COLUMN(AM:AM),0)</f>
        <v>0</v>
      </c>
      <c r="AN350" cm="1">
        <f t="array" ref="AN350">VLOOKUP($A350,Table_ship_components[],COLUMN(AN:AN),0)</f>
        <v>0</v>
      </c>
      <c r="AO350" cm="1">
        <f t="array" ref="AO350">VLOOKUP($A350,Table_ship_components[],COLUMN(AO:AO),0)</f>
        <v>0</v>
      </c>
      <c r="AP350" cm="1">
        <f t="array" ref="AP350">VLOOKUP($A350,Table_ship_components[],COLUMN(AP:AP),0)</f>
        <v>0</v>
      </c>
      <c r="AQ350" cm="1">
        <f t="array" ref="AQ350">VLOOKUP($A350,Table_ship_components[],COLUMN(AQ:AQ),0)</f>
        <v>0</v>
      </c>
      <c r="AR350" cm="1">
        <f t="array" ref="AR350">VLOOKUP($A350,Table_ship_components[],COLUMN(AR:AR),0)</f>
        <v>0</v>
      </c>
      <c r="AS350" cm="1">
        <f t="array" ref="AS350">VLOOKUP($A350,Table_ship_components[],COLUMN(AS:AS),0)</f>
        <v>0</v>
      </c>
      <c r="AT350" cm="1">
        <f t="array" ref="AT350">VLOOKUP($A350,Table_ship_components[],COLUMN(AT:AT),0)</f>
        <v>0</v>
      </c>
      <c r="AU350" s="2" cm="1">
        <f t="array" ref="AU350">VLOOKUP($A350,Table_ship_components[],COLUMN(AU:AU),0)</f>
        <v>0</v>
      </c>
      <c r="AV350" s="2" cm="1">
        <f t="array" ref="AV350">VLOOKUP($A350,Table_ship_components[],COLUMN(AV:AV),0)</f>
        <v>0</v>
      </c>
      <c r="AW350" s="2" cm="1">
        <f t="array" ref="AW350">VLOOKUP($A350,Table_ship_components[],COLUMN(AW:AW),0)</f>
        <v>0</v>
      </c>
      <c r="AX350" s="2" cm="1">
        <f t="array" ref="AX350">VLOOKUP($A350,Table_ship_components[],COLUMN(AX:AX),0)</f>
        <v>0</v>
      </c>
      <c r="AY350" s="2" cm="1">
        <f t="array" ref="AY350">VLOOKUP($A350,Table_ship_components[],COLUMN(AY:AY),0)</f>
        <v>0</v>
      </c>
      <c r="AZ350" s="2" t="str" cm="1">
        <f t="array" ref="AZ350">VLOOKUP($A350,Table_ship_components[],COLUMN(AZ:AZ),0)</f>
        <v>C</v>
      </c>
      <c r="BA350" s="14" cm="1">
        <f t="array" ref="BA350">VLOOKUP($A350,Table_ship_components[],COLUMN(BA:BA),0)</f>
        <v>0</v>
      </c>
      <c r="BB350" s="14" cm="1">
        <f t="array" ref="BB350">(VLOOKUP($A350,Table_ship_components[],COLUMN(BA:BA),0)+(W350*C350))</f>
        <v>0</v>
      </c>
      <c r="BC350" s="2" cm="1">
        <f t="array" ref="BC350">VLOOKUP($A350,Table_ship_components[],COLUMN(BC:BC),0)</f>
        <v>0</v>
      </c>
      <c r="BD350" s="2" cm="1">
        <f t="array" ref="BD350">VLOOKUP($A350,Table_ship_components[],COLUMN(BD:BD),0)</f>
        <v>0</v>
      </c>
    </row>
    <row r="351" spans="1:56" outlineLevel="1" x14ac:dyDescent="0.35">
      <c r="A351" t="s">
        <v>288</v>
      </c>
      <c r="B351" t="str" cm="1">
        <f t="array" ref="B351">VLOOKUP($A351,Table_ship_components[],COLUMN(B:B),0)</f>
        <v>PICK A COMPONENT</v>
      </c>
      <c r="D351" cm="1">
        <f t="array" ref="D351">VLOOKUP($A351,Table_ship_components[],COLUMN(D:D),0)</f>
        <v>0</v>
      </c>
      <c r="E351" cm="1">
        <f t="array" ref="E351">ROUND(VLOOKUP($A351,Table_ship_components[],COLUMN(D:D),0)+(V351*C351),0)</f>
        <v>0</v>
      </c>
      <c r="F351" cm="1">
        <f t="array" ref="F351">VLOOKUP($A351,Table_ship_components[],COLUMN(F:F),0)</f>
        <v>0</v>
      </c>
      <c r="G351" cm="1">
        <f t="array" ref="G351">ROUND(VLOOKUP($A351,Table_ship_components[],COLUMN(G:G),0)+(X351*C351),0)</f>
        <v>0</v>
      </c>
      <c r="H351" cm="1">
        <f t="array" ref="H351">VLOOKUP($A351,Table_ship_components[],COLUMN(H:H),0)</f>
        <v>0</v>
      </c>
      <c r="I351" cm="1">
        <f t="array" ref="I351">VLOOKUP($A351,Table_ship_components[],COLUMN(I:I),0)</f>
        <v>0</v>
      </c>
      <c r="J351" cm="1">
        <f t="array" ref="J351">VLOOKUP($A351,Table_ship_components[],COLUMN(J:J),0)</f>
        <v>0</v>
      </c>
      <c r="K351" cm="1">
        <f t="array" ref="K351">VLOOKUP($A351,Table_ship_components[],COLUMN(K:K),0)</f>
        <v>0</v>
      </c>
      <c r="L351" cm="1">
        <f t="array" ref="L351">VLOOKUP($A351,Table_ship_components[],COLUMN(L:L),0)</f>
        <v>0</v>
      </c>
      <c r="M351" cm="1">
        <f t="array" ref="M351">VLOOKUP($A351,Table_ship_components[],COLUMN(M:M),0)</f>
        <v>0</v>
      </c>
      <c r="N351" cm="1">
        <f t="array" ref="N351">VLOOKUP($A351,Table_ship_components[],COLUMN(N:N),0)</f>
        <v>0</v>
      </c>
      <c r="O351" cm="1">
        <f t="array" ref="O351">VLOOKUP($A351,Table_ship_components[],COLUMN(O:O),0)</f>
        <v>0</v>
      </c>
      <c r="P351" cm="1">
        <f t="array" ref="P351">VLOOKUP($A351,Table_ship_components[],COLUMN(P:P),0)</f>
        <v>0</v>
      </c>
      <c r="Q351" cm="1">
        <f t="array" ref="Q351">VLOOKUP($A351,Table_ship_components[],COLUMN(Q:Q),0)</f>
        <v>0</v>
      </c>
      <c r="R351" cm="1">
        <f t="array" ref="R351">VLOOKUP($A351,Table_ship_components[],COLUMN(R:R),0)</f>
        <v>0</v>
      </c>
      <c r="S351" cm="1">
        <f t="array" ref="S351">VLOOKUP($A351,Table_ship_components[],COLUMN(S:S),0)</f>
        <v>0</v>
      </c>
      <c r="T351" cm="1">
        <f t="array" ref="T351">VLOOKUP($A351,Table_ship_components[],COLUMN(T:T),0)</f>
        <v>0</v>
      </c>
      <c r="U351" cm="1">
        <f t="array" ref="U351">VLOOKUP($A351,Table_ship_components[],COLUMN(U:U),0)</f>
        <v>0</v>
      </c>
      <c r="V351" cm="1">
        <f t="array" ref="V351">VLOOKUP($A351,Table_ship_components[],COLUMN(V:V),0)</f>
        <v>0</v>
      </c>
      <c r="W351" s="15" cm="1">
        <f t="array" ref="W351">VLOOKUP($A351,Table_ship_components[],COLUMN(W:W),0)</f>
        <v>0</v>
      </c>
      <c r="X351" cm="1">
        <f t="array" ref="X351">VLOOKUP($A351,Table_ship_components[],COLUMN(X:X),0)</f>
        <v>0</v>
      </c>
      <c r="Y351" cm="1">
        <f t="array" ref="Y351">VLOOKUP($A351,Table_ship_components[],COLUMN(Y:Y),0)</f>
        <v>0</v>
      </c>
      <c r="Z351" cm="1">
        <f t="array" ref="Z351">VLOOKUP($A351,Table_ship_components[],COLUMN(Z:Z),0)</f>
        <v>0</v>
      </c>
      <c r="AA351" cm="1">
        <f t="array" ref="AA351">VLOOKUP($A351,Table_ship_components[],COLUMN(AA:AA),0)*C351</f>
        <v>0</v>
      </c>
      <c r="AB351">
        <f t="shared" si="21"/>
        <v>0</v>
      </c>
      <c r="AC351" cm="1">
        <f t="array" ref="AC351">VLOOKUP($A351,Table_ship_components[],COLUMN(AC:AC),0)*C351</f>
        <v>0</v>
      </c>
      <c r="AD351" cm="1">
        <f t="array" ref="AD351">VLOOKUP($A351,Table_ship_components[],COLUMN(AD:AD),0)</f>
        <v>0</v>
      </c>
      <c r="AE351" cm="1">
        <f t="array" ref="AE351">VLOOKUP($A351,Table_ship_components[],COLUMN(AE:AE),0)</f>
        <v>0</v>
      </c>
      <c r="AF351" cm="1">
        <f t="array" ref="AF351">VLOOKUP($A351,Table_ship_components[],COLUMN(AF:AF),0)</f>
        <v>0</v>
      </c>
      <c r="AG351" cm="1">
        <f t="array" ref="AG351">VLOOKUP($A351,Table_ship_components[],COLUMN(AG:AG),0)</f>
        <v>0</v>
      </c>
      <c r="AH351" cm="1">
        <f t="array" ref="AH351">VLOOKUP($A351,Table_ship_components[],COLUMN(AH:AH),0)</f>
        <v>0</v>
      </c>
      <c r="AI351" cm="1">
        <f t="array" ref="AI351">VLOOKUP($A351,Table_ship_components[],COLUMN(AI:AI),0)</f>
        <v>0</v>
      </c>
      <c r="AJ351" cm="1">
        <f t="array" ref="AJ351">VLOOKUP($A351,Table_ship_components[],COLUMN(AJ:AJ),0)</f>
        <v>0</v>
      </c>
      <c r="AK351" cm="1">
        <f t="array" ref="AK351">VLOOKUP($A351,Table_ship_components[],COLUMN(AK:AK),0)</f>
        <v>0</v>
      </c>
      <c r="AL351" cm="1">
        <f t="array" ref="AL351">VLOOKUP($A351,Table_ship_components[],COLUMN(AL:AL),0)</f>
        <v>0</v>
      </c>
      <c r="AM351" cm="1">
        <f t="array" ref="AM351">VLOOKUP($A351,Table_ship_components[],COLUMN(AM:AM),0)</f>
        <v>0</v>
      </c>
      <c r="AN351" cm="1">
        <f t="array" ref="AN351">VLOOKUP($A351,Table_ship_components[],COLUMN(AN:AN),0)</f>
        <v>0</v>
      </c>
      <c r="AO351" cm="1">
        <f t="array" ref="AO351">VLOOKUP($A351,Table_ship_components[],COLUMN(AO:AO),0)</f>
        <v>0</v>
      </c>
      <c r="AP351" cm="1">
        <f t="array" ref="AP351">VLOOKUP($A351,Table_ship_components[],COLUMN(AP:AP),0)</f>
        <v>0</v>
      </c>
      <c r="AQ351" cm="1">
        <f t="array" ref="AQ351">VLOOKUP($A351,Table_ship_components[],COLUMN(AQ:AQ),0)</f>
        <v>0</v>
      </c>
      <c r="AR351" cm="1">
        <f t="array" ref="AR351">VLOOKUP($A351,Table_ship_components[],COLUMN(AR:AR),0)</f>
        <v>0</v>
      </c>
      <c r="AS351" cm="1">
        <f t="array" ref="AS351">VLOOKUP($A351,Table_ship_components[],COLUMN(AS:AS),0)</f>
        <v>0</v>
      </c>
      <c r="AT351" cm="1">
        <f t="array" ref="AT351">VLOOKUP($A351,Table_ship_components[],COLUMN(AT:AT),0)</f>
        <v>0</v>
      </c>
      <c r="AU351" s="2" cm="1">
        <f t="array" ref="AU351">VLOOKUP($A351,Table_ship_components[],COLUMN(AU:AU),0)</f>
        <v>0</v>
      </c>
      <c r="AV351" s="2" cm="1">
        <f t="array" ref="AV351">VLOOKUP($A351,Table_ship_components[],COLUMN(AV:AV),0)</f>
        <v>0</v>
      </c>
      <c r="AW351" s="2" cm="1">
        <f t="array" ref="AW351">VLOOKUP($A351,Table_ship_components[],COLUMN(AW:AW),0)</f>
        <v>0</v>
      </c>
      <c r="AX351" s="2" cm="1">
        <f t="array" ref="AX351">VLOOKUP($A351,Table_ship_components[],COLUMN(AX:AX),0)</f>
        <v>0</v>
      </c>
      <c r="AY351" s="2" cm="1">
        <f t="array" ref="AY351">VLOOKUP($A351,Table_ship_components[],COLUMN(AY:AY),0)</f>
        <v>0</v>
      </c>
      <c r="AZ351" s="2" t="str" cm="1">
        <f t="array" ref="AZ351">VLOOKUP($A351,Table_ship_components[],COLUMN(AZ:AZ),0)</f>
        <v>C</v>
      </c>
      <c r="BA351" s="14" cm="1">
        <f t="array" ref="BA351">VLOOKUP($A351,Table_ship_components[],COLUMN(BA:BA),0)</f>
        <v>0</v>
      </c>
      <c r="BB351" s="14" cm="1">
        <f t="array" ref="BB351">(VLOOKUP($A351,Table_ship_components[],COLUMN(BA:BA),0)+(W351*C351))</f>
        <v>0</v>
      </c>
      <c r="BC351" s="2" cm="1">
        <f t="array" ref="BC351">VLOOKUP($A351,Table_ship_components[],COLUMN(BC:BC),0)</f>
        <v>0</v>
      </c>
      <c r="BD351" s="2" cm="1">
        <f t="array" ref="BD351">VLOOKUP($A351,Table_ship_components[],COLUMN(BD:BD),0)</f>
        <v>0</v>
      </c>
    </row>
    <row r="352" spans="1:56" outlineLevel="1" x14ac:dyDescent="0.35">
      <c r="A352" t="s">
        <v>288</v>
      </c>
      <c r="B352" t="str" cm="1">
        <f t="array" ref="B352">VLOOKUP($A352,Table_ship_components[],COLUMN(B:B),0)</f>
        <v>PICK A COMPONENT</v>
      </c>
      <c r="D352" cm="1">
        <f t="array" ref="D352">VLOOKUP($A352,Table_ship_components[],COLUMN(D:D),0)</f>
        <v>0</v>
      </c>
      <c r="E352" cm="1">
        <f t="array" ref="E352">ROUND(VLOOKUP($A352,Table_ship_components[],COLUMN(D:D),0)+(V352*C352),0)</f>
        <v>0</v>
      </c>
      <c r="F352" cm="1">
        <f t="array" ref="F352">VLOOKUP($A352,Table_ship_components[],COLUMN(F:F),0)</f>
        <v>0</v>
      </c>
      <c r="G352" cm="1">
        <f t="array" ref="G352">ROUND(VLOOKUP($A352,Table_ship_components[],COLUMN(G:G),0)+(X352*C352),0)</f>
        <v>0</v>
      </c>
      <c r="H352" cm="1">
        <f t="array" ref="H352">VLOOKUP($A352,Table_ship_components[],COLUMN(H:H),0)</f>
        <v>0</v>
      </c>
      <c r="I352" cm="1">
        <f t="array" ref="I352">VLOOKUP($A352,Table_ship_components[],COLUMN(I:I),0)</f>
        <v>0</v>
      </c>
      <c r="J352" cm="1">
        <f t="array" ref="J352">VLOOKUP($A352,Table_ship_components[],COLUMN(J:J),0)</f>
        <v>0</v>
      </c>
      <c r="K352" cm="1">
        <f t="array" ref="K352">VLOOKUP($A352,Table_ship_components[],COLUMN(K:K),0)</f>
        <v>0</v>
      </c>
      <c r="L352" cm="1">
        <f t="array" ref="L352">VLOOKUP($A352,Table_ship_components[],COLUMN(L:L),0)</f>
        <v>0</v>
      </c>
      <c r="M352" cm="1">
        <f t="array" ref="M352">VLOOKUP($A352,Table_ship_components[],COLUMN(M:M),0)</f>
        <v>0</v>
      </c>
      <c r="N352" cm="1">
        <f t="array" ref="N352">VLOOKUP($A352,Table_ship_components[],COLUMN(N:N),0)</f>
        <v>0</v>
      </c>
      <c r="O352" cm="1">
        <f t="array" ref="O352">VLOOKUP($A352,Table_ship_components[],COLUMN(O:O),0)</f>
        <v>0</v>
      </c>
      <c r="P352" cm="1">
        <f t="array" ref="P352">VLOOKUP($A352,Table_ship_components[],COLUMN(P:P),0)</f>
        <v>0</v>
      </c>
      <c r="Q352" cm="1">
        <f t="array" ref="Q352">VLOOKUP($A352,Table_ship_components[],COLUMN(Q:Q),0)</f>
        <v>0</v>
      </c>
      <c r="R352" cm="1">
        <f t="array" ref="R352">VLOOKUP($A352,Table_ship_components[],COLUMN(R:R),0)</f>
        <v>0</v>
      </c>
      <c r="S352" cm="1">
        <f t="array" ref="S352">VLOOKUP($A352,Table_ship_components[],COLUMN(S:S),0)</f>
        <v>0</v>
      </c>
      <c r="T352" cm="1">
        <f t="array" ref="T352">VLOOKUP($A352,Table_ship_components[],COLUMN(T:T),0)</f>
        <v>0</v>
      </c>
      <c r="U352" cm="1">
        <f t="array" ref="U352">VLOOKUP($A352,Table_ship_components[],COLUMN(U:U),0)</f>
        <v>0</v>
      </c>
      <c r="V352" cm="1">
        <f t="array" ref="V352">VLOOKUP($A352,Table_ship_components[],COLUMN(V:V),0)</f>
        <v>0</v>
      </c>
      <c r="W352" s="15" cm="1">
        <f t="array" ref="W352">VLOOKUP($A352,Table_ship_components[],COLUMN(W:W),0)</f>
        <v>0</v>
      </c>
      <c r="X352" cm="1">
        <f t="array" ref="X352">VLOOKUP($A352,Table_ship_components[],COLUMN(X:X),0)</f>
        <v>0</v>
      </c>
      <c r="Y352" cm="1">
        <f t="array" ref="Y352">VLOOKUP($A352,Table_ship_components[],COLUMN(Y:Y),0)</f>
        <v>0</v>
      </c>
      <c r="Z352" cm="1">
        <f t="array" ref="Z352">VLOOKUP($A352,Table_ship_components[],COLUMN(Z:Z),0)</f>
        <v>0</v>
      </c>
      <c r="AA352" cm="1">
        <f t="array" ref="AA352">VLOOKUP($A352,Table_ship_components[],COLUMN(AA:AA),0)*C352</f>
        <v>0</v>
      </c>
      <c r="AB352">
        <f t="shared" si="21"/>
        <v>0</v>
      </c>
      <c r="AC352" cm="1">
        <f t="array" ref="AC352">VLOOKUP($A352,Table_ship_components[],COLUMN(AC:AC),0)*C352</f>
        <v>0</v>
      </c>
      <c r="AD352" cm="1">
        <f t="array" ref="AD352">VLOOKUP($A352,Table_ship_components[],COLUMN(AD:AD),0)</f>
        <v>0</v>
      </c>
      <c r="AE352" cm="1">
        <f t="array" ref="AE352">VLOOKUP($A352,Table_ship_components[],COLUMN(AE:AE),0)</f>
        <v>0</v>
      </c>
      <c r="AF352" cm="1">
        <f t="array" ref="AF352">VLOOKUP($A352,Table_ship_components[],COLUMN(AF:AF),0)</f>
        <v>0</v>
      </c>
      <c r="AG352" cm="1">
        <f t="array" ref="AG352">VLOOKUP($A352,Table_ship_components[],COLUMN(AG:AG),0)</f>
        <v>0</v>
      </c>
      <c r="AH352" cm="1">
        <f t="array" ref="AH352">VLOOKUP($A352,Table_ship_components[],COLUMN(AH:AH),0)</f>
        <v>0</v>
      </c>
      <c r="AI352" cm="1">
        <f t="array" ref="AI352">VLOOKUP($A352,Table_ship_components[],COLUMN(AI:AI),0)</f>
        <v>0</v>
      </c>
      <c r="AJ352" cm="1">
        <f t="array" ref="AJ352">VLOOKUP($A352,Table_ship_components[],COLUMN(AJ:AJ),0)</f>
        <v>0</v>
      </c>
      <c r="AK352" cm="1">
        <f t="array" ref="AK352">VLOOKUP($A352,Table_ship_components[],COLUMN(AK:AK),0)</f>
        <v>0</v>
      </c>
      <c r="AL352" cm="1">
        <f t="array" ref="AL352">VLOOKUP($A352,Table_ship_components[],COLUMN(AL:AL),0)</f>
        <v>0</v>
      </c>
      <c r="AM352" cm="1">
        <f t="array" ref="AM352">VLOOKUP($A352,Table_ship_components[],COLUMN(AM:AM),0)</f>
        <v>0</v>
      </c>
      <c r="AN352" cm="1">
        <f t="array" ref="AN352">VLOOKUP($A352,Table_ship_components[],COLUMN(AN:AN),0)</f>
        <v>0</v>
      </c>
      <c r="AO352" cm="1">
        <f t="array" ref="AO352">VLOOKUP($A352,Table_ship_components[],COLUMN(AO:AO),0)</f>
        <v>0</v>
      </c>
      <c r="AP352" cm="1">
        <f t="array" ref="AP352">VLOOKUP($A352,Table_ship_components[],COLUMN(AP:AP),0)</f>
        <v>0</v>
      </c>
      <c r="AQ352" cm="1">
        <f t="array" ref="AQ352">VLOOKUP($A352,Table_ship_components[],COLUMN(AQ:AQ),0)</f>
        <v>0</v>
      </c>
      <c r="AR352" cm="1">
        <f t="array" ref="AR352">VLOOKUP($A352,Table_ship_components[],COLUMN(AR:AR),0)</f>
        <v>0</v>
      </c>
      <c r="AS352" cm="1">
        <f t="array" ref="AS352">VLOOKUP($A352,Table_ship_components[],COLUMN(AS:AS),0)</f>
        <v>0</v>
      </c>
      <c r="AT352" cm="1">
        <f t="array" ref="AT352">VLOOKUP($A352,Table_ship_components[],COLUMN(AT:AT),0)</f>
        <v>0</v>
      </c>
      <c r="AU352" s="2" cm="1">
        <f t="array" ref="AU352">VLOOKUP($A352,Table_ship_components[],COLUMN(AU:AU),0)</f>
        <v>0</v>
      </c>
      <c r="AV352" s="2" cm="1">
        <f t="array" ref="AV352">VLOOKUP($A352,Table_ship_components[],COLUMN(AV:AV),0)</f>
        <v>0</v>
      </c>
      <c r="AW352" s="2" cm="1">
        <f t="array" ref="AW352">VLOOKUP($A352,Table_ship_components[],COLUMN(AW:AW),0)</f>
        <v>0</v>
      </c>
      <c r="AX352" s="2" cm="1">
        <f t="array" ref="AX352">VLOOKUP($A352,Table_ship_components[],COLUMN(AX:AX),0)</f>
        <v>0</v>
      </c>
      <c r="AY352" s="2" cm="1">
        <f t="array" ref="AY352">VLOOKUP($A352,Table_ship_components[],COLUMN(AY:AY),0)</f>
        <v>0</v>
      </c>
      <c r="AZ352" s="2" t="str" cm="1">
        <f t="array" ref="AZ352">VLOOKUP($A352,Table_ship_components[],COLUMN(AZ:AZ),0)</f>
        <v>C</v>
      </c>
      <c r="BA352" s="14" cm="1">
        <f t="array" ref="BA352">VLOOKUP($A352,Table_ship_components[],COLUMN(BA:BA),0)</f>
        <v>0</v>
      </c>
      <c r="BB352" s="14" cm="1">
        <f t="array" ref="BB352">(VLOOKUP($A352,Table_ship_components[],COLUMN(BA:BA),0)+(W352*C352))</f>
        <v>0</v>
      </c>
      <c r="BC352" s="2" cm="1">
        <f t="array" ref="BC352">VLOOKUP($A352,Table_ship_components[],COLUMN(BC:BC),0)</f>
        <v>0</v>
      </c>
      <c r="BD352" s="2" cm="1">
        <f t="array" ref="BD352">VLOOKUP($A352,Table_ship_components[],COLUMN(BD:BD),0)</f>
        <v>0</v>
      </c>
    </row>
    <row r="353" spans="1:56" ht="15" outlineLevel="1" thickBot="1" x14ac:dyDescent="0.4">
      <c r="D353" s="32"/>
      <c r="E353" s="32">
        <f>SUM(E323:E352)</f>
        <v>111</v>
      </c>
      <c r="F353" s="32"/>
      <c r="G353" s="32">
        <f t="shared" ref="G353:L353" si="22">SUM(G323:G352)</f>
        <v>68</v>
      </c>
      <c r="H353" s="32">
        <f t="shared" si="22"/>
        <v>4</v>
      </c>
      <c r="I353" s="32">
        <f t="shared" si="22"/>
        <v>75</v>
      </c>
      <c r="J353" s="32">
        <f t="shared" si="22"/>
        <v>0</v>
      </c>
      <c r="K353" s="32">
        <f t="shared" si="22"/>
        <v>45</v>
      </c>
      <c r="L353" s="32">
        <f t="shared" si="22"/>
        <v>7</v>
      </c>
      <c r="M353" s="32"/>
      <c r="N353" s="32"/>
      <c r="O353" s="32"/>
      <c r="P353" s="32"/>
      <c r="Q353" s="32"/>
      <c r="R353" s="32"/>
      <c r="S353" s="32"/>
      <c r="T353" s="32"/>
      <c r="U353" s="32"/>
      <c r="V353" s="32"/>
      <c r="W353" s="32"/>
      <c r="X353" s="32"/>
      <c r="Y353" s="32">
        <f t="shared" ref="Y353:AY353" si="23">SUM(Y323:Y352)</f>
        <v>1</v>
      </c>
      <c r="Z353" s="32">
        <f t="shared" si="23"/>
        <v>2</v>
      </c>
      <c r="AA353" s="32">
        <f t="shared" si="23"/>
        <v>14</v>
      </c>
      <c r="AB353" s="32">
        <f t="shared" si="23"/>
        <v>1</v>
      </c>
      <c r="AC353" s="32">
        <f t="shared" si="23"/>
        <v>16</v>
      </c>
      <c r="AD353" s="32">
        <f t="shared" si="23"/>
        <v>10</v>
      </c>
      <c r="AE353" s="32">
        <f t="shared" si="23"/>
        <v>0</v>
      </c>
      <c r="AF353" s="32">
        <f t="shared" si="23"/>
        <v>0</v>
      </c>
      <c r="AG353" s="32">
        <f t="shared" si="23"/>
        <v>1</v>
      </c>
      <c r="AH353" s="32">
        <f t="shared" si="23"/>
        <v>100</v>
      </c>
      <c r="AI353" s="32">
        <f t="shared" si="23"/>
        <v>1000</v>
      </c>
      <c r="AJ353" s="32">
        <f t="shared" si="23"/>
        <v>10000</v>
      </c>
      <c r="AK353" s="32">
        <f t="shared" si="23"/>
        <v>0</v>
      </c>
      <c r="AL353" s="32">
        <f t="shared" si="23"/>
        <v>2</v>
      </c>
      <c r="AM353" s="32">
        <f t="shared" si="23"/>
        <v>6</v>
      </c>
      <c r="AN353" s="32">
        <f t="shared" si="23"/>
        <v>10</v>
      </c>
      <c r="AO353" s="32">
        <f t="shared" si="23"/>
        <v>3</v>
      </c>
      <c r="AP353" s="32">
        <f t="shared" si="23"/>
        <v>10</v>
      </c>
      <c r="AQ353" s="32">
        <f t="shared" si="23"/>
        <v>1</v>
      </c>
      <c r="AR353" s="32">
        <f t="shared" si="23"/>
        <v>3</v>
      </c>
      <c r="AS353" s="32">
        <f t="shared" si="23"/>
        <v>2</v>
      </c>
      <c r="AT353" s="32">
        <f t="shared" si="23"/>
        <v>2</v>
      </c>
      <c r="AU353" s="32">
        <f t="shared" si="23"/>
        <v>3</v>
      </c>
      <c r="AV353" s="32">
        <f t="shared" si="23"/>
        <v>125</v>
      </c>
      <c r="AW353" s="32">
        <f t="shared" si="23"/>
        <v>30</v>
      </c>
      <c r="AX353" s="32">
        <f t="shared" si="23"/>
        <v>60</v>
      </c>
      <c r="AY353" s="32">
        <f t="shared" si="23"/>
        <v>35</v>
      </c>
      <c r="AZ353" s="32"/>
      <c r="BA353" s="33">
        <f>SUM(BA323:BA352)</f>
        <v>9602500</v>
      </c>
      <c r="BB353" s="33">
        <f>SUM(BB323:BB352)</f>
        <v>9892500</v>
      </c>
      <c r="BC353" s="32"/>
      <c r="BD353" s="32"/>
    </row>
    <row r="354" spans="1:56" ht="19" outlineLevel="1" thickTop="1" x14ac:dyDescent="0.45">
      <c r="A354" s="35" t="s">
        <v>691</v>
      </c>
      <c r="B354" s="34">
        <f>BB353</f>
        <v>9892500</v>
      </c>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7"/>
      <c r="BB354" s="37"/>
      <c r="BC354" s="36"/>
      <c r="BD354" s="36"/>
    </row>
    <row r="355" spans="1:56" ht="21" x14ac:dyDescent="0.5">
      <c r="A355" s="38" t="s">
        <v>692</v>
      </c>
      <c r="B355" s="38" t="s">
        <v>705</v>
      </c>
    </row>
    <row r="356" spans="1:56" outlineLevel="1" x14ac:dyDescent="0.35">
      <c r="A356" t="s">
        <v>706</v>
      </c>
      <c r="B356" t="str" cm="1">
        <f t="array" ref="B356">VLOOKUP($A356,Table_ship_components[],COLUMN(B:B),0)</f>
        <v>hauler corvette template</v>
      </c>
      <c r="D356" cm="1">
        <f t="array" ref="D356">VLOOKUP($A356,Table_ship_components[],COLUMN(D:D),0)</f>
        <v>0</v>
      </c>
      <c r="E356" cm="1">
        <f t="array" ref="E356">(VLOOKUP($A356,Table_ship_components[],COLUMN(D:D),0)+(V356*C356))</f>
        <v>0</v>
      </c>
      <c r="F356" cm="1">
        <f t="array" ref="F356">VLOOKUP($A356,Table_ship_components[],COLUMN(F:F),0)</f>
        <v>0</v>
      </c>
      <c r="G356" cm="1">
        <f t="array" ref="G356">(VLOOKUP($A356,Table_ship_components[],COLUMN(G:G),0)+(X356*C356))</f>
        <v>0</v>
      </c>
      <c r="H356" cm="1">
        <f t="array" ref="H356">VLOOKUP($A356,Table_ship_components[],COLUMN(H:H),0)</f>
        <v>0</v>
      </c>
      <c r="I356" cm="1">
        <f t="array" ref="I356">VLOOKUP($A356,Table_ship_components[],COLUMN(I:I),0)</f>
        <v>0</v>
      </c>
      <c r="J356" cm="1">
        <f t="array" ref="J356">VLOOKUP($A356,Table_ship_components[],COLUMN(J:J),0)</f>
        <v>0</v>
      </c>
      <c r="K356" cm="1">
        <f t="array" ref="K356">VLOOKUP($A356,Table_ship_components[],COLUMN(K:K),0)</f>
        <v>0</v>
      </c>
      <c r="L356" cm="1">
        <f t="array" ref="L356">VLOOKUP($A356,Table_ship_components[],COLUMN(L:L),0)</f>
        <v>0</v>
      </c>
      <c r="M356" cm="1">
        <f t="array" ref="M356">VLOOKUP($A356,Table_ship_components[],COLUMN(M:M),0)</f>
        <v>0</v>
      </c>
      <c r="N356" cm="1">
        <f t="array" ref="N356">VLOOKUP($A356,Table_ship_components[],COLUMN(N:N),0)</f>
        <v>0</v>
      </c>
      <c r="O356" cm="1">
        <f t="array" ref="O356">VLOOKUP($A356,Table_ship_components[],COLUMN(O:O),0)</f>
        <v>0</v>
      </c>
      <c r="P356" cm="1">
        <f t="array" ref="P356">VLOOKUP($A356,Table_ship_components[],COLUMN(P:P),0)</f>
        <v>0</v>
      </c>
      <c r="Q356" cm="1">
        <f t="array" ref="Q356">VLOOKUP($A356,Table_ship_components[],COLUMN(Q:Q),0)</f>
        <v>0</v>
      </c>
      <c r="R356" cm="1">
        <f t="array" ref="R356">VLOOKUP($A356,Table_ship_components[],COLUMN(R:R),0)</f>
        <v>0</v>
      </c>
      <c r="S356" cm="1">
        <f t="array" ref="S356">VLOOKUP($A356,Table_ship_components[],COLUMN(S:S),0)</f>
        <v>0</v>
      </c>
      <c r="T356" cm="1">
        <f t="array" ref="T356">VLOOKUP($A356,Table_ship_components[],COLUMN(T:T),0)</f>
        <v>0</v>
      </c>
      <c r="U356" cm="1">
        <f t="array" ref="U356">VLOOKUP($A356,Table_ship_components[],COLUMN(U:U),0)</f>
        <v>0</v>
      </c>
      <c r="V356" cm="1">
        <f t="array" ref="V356">VLOOKUP($A356,Table_ship_components[],COLUMN(V:V),0)</f>
        <v>0</v>
      </c>
      <c r="W356" s="15" cm="1">
        <f t="array" ref="W356">VLOOKUP($A356,Table_ship_components[],COLUMN(W:W),0)</f>
        <v>0</v>
      </c>
      <c r="X356" cm="1">
        <f t="array" ref="X356">VLOOKUP($A356,Table_ship_components[],COLUMN(X:X),0)</f>
        <v>0</v>
      </c>
      <c r="Y356" cm="1">
        <f t="array" ref="Y356">VLOOKUP($A356,Table_ship_components[],COLUMN(Y:Y),0)</f>
        <v>0</v>
      </c>
      <c r="Z356" cm="1">
        <f t="array" ref="Z356">VLOOKUP($A356,Table_ship_components[],COLUMN(Z:Z),0)</f>
        <v>0</v>
      </c>
      <c r="AA356" cm="1">
        <f t="array" ref="AA356">VLOOKUP($A356,Table_ship_components[],COLUMN(AA:AA),0)</f>
        <v>0</v>
      </c>
      <c r="AB356" cm="1">
        <f t="array" ref="AB356">VLOOKUP($A356,Table_ship_components[],COLUMN(AB:AB),0)</f>
        <v>0</v>
      </c>
      <c r="AC356" cm="1">
        <f t="array" ref="AC356">VLOOKUP($A356,Table_ship_components[],COLUMN(AC:AC),0)</f>
        <v>0</v>
      </c>
      <c r="AD356" cm="1">
        <f t="array" ref="AD356">VLOOKUP($A356,Table_ship_components[],COLUMN(AD:AD),0)</f>
        <v>0</v>
      </c>
      <c r="AE356" cm="1">
        <f t="array" ref="AE356">VLOOKUP($A356,Table_ship_components[],COLUMN(AE:AE),0)</f>
        <v>0</v>
      </c>
      <c r="AF356" cm="1">
        <f t="array" ref="AF356">VLOOKUP($A356,Table_ship_components[],COLUMN(AF:AF),0)</f>
        <v>0</v>
      </c>
      <c r="AG356" cm="1">
        <f t="array" ref="AG356">VLOOKUP($A356,Table_ship_components[],COLUMN(AG:AG),0)</f>
        <v>0</v>
      </c>
      <c r="AH356" cm="1">
        <f t="array" ref="AH356">VLOOKUP($A356,Table_ship_components[],COLUMN(AH:AH),0)</f>
        <v>0</v>
      </c>
      <c r="AI356" cm="1">
        <f t="array" ref="AI356">VLOOKUP($A356,Table_ship_components[],COLUMN(AI:AI),0)</f>
        <v>0</v>
      </c>
      <c r="AJ356" cm="1">
        <f t="array" ref="AJ356">VLOOKUP($A356,Table_ship_components[],COLUMN(AJ:AJ),0)</f>
        <v>0</v>
      </c>
      <c r="AK356" cm="1">
        <f t="array" ref="AK356">VLOOKUP($A356,Table_ship_components[],COLUMN(AK:AK),0)</f>
        <v>0</v>
      </c>
      <c r="AL356" cm="1">
        <f t="array" ref="AL356">VLOOKUP($A356,Table_ship_components[],COLUMN(AL:AL),0)</f>
        <v>0</v>
      </c>
      <c r="AM356" cm="1">
        <f t="array" ref="AM356">VLOOKUP($A356,Table_ship_components[],COLUMN(AM:AM),0)</f>
        <v>3</v>
      </c>
      <c r="AN356" cm="1">
        <f t="array" ref="AN356">VLOOKUP($A356,Table_ship_components[],COLUMN(AN:AN),0)</f>
        <v>10</v>
      </c>
      <c r="AO356" cm="1">
        <f t="array" ref="AO356">VLOOKUP($A356,Table_ship_components[],COLUMN(AO:AO),0)</f>
        <v>3</v>
      </c>
      <c r="AP356" cm="1">
        <f t="array" ref="AP356">VLOOKUP($A356,Table_ship_components[],COLUMN(AP:AP),0)</f>
        <v>10</v>
      </c>
      <c r="AQ356" cm="1">
        <f t="array" ref="AQ356">VLOOKUP($A356,Table_ship_components[],COLUMN(AQ:AQ),0)</f>
        <v>2</v>
      </c>
      <c r="AR356" cm="1">
        <f t="array" ref="AR356">VLOOKUP($A356,Table_ship_components[],COLUMN(AR:AR),0)</f>
        <v>2</v>
      </c>
      <c r="AS356" cm="1">
        <f t="array" ref="AS356">VLOOKUP($A356,Table_ship_components[],COLUMN(AS:AS),0)</f>
        <v>2</v>
      </c>
      <c r="AT356" cm="1">
        <f t="array" ref="AT356">VLOOKUP($A356,Table_ship_components[],COLUMN(AT:AT),0)</f>
        <v>2</v>
      </c>
      <c r="AU356" s="2" cm="1">
        <f t="array" ref="AU356">VLOOKUP($A356,Table_ship_components[],COLUMN(AU:AU),0)</f>
        <v>2</v>
      </c>
      <c r="AV356" s="2" cm="1">
        <f t="array" ref="AV356">VLOOKUP($A356,Table_ship_components[],COLUMN(AV:AV),0)</f>
        <v>125</v>
      </c>
      <c r="AW356" s="2" cm="1">
        <f t="array" ref="AW356">VLOOKUP($A356,Table_ship_components[],COLUMN(AW:AW),0)</f>
        <v>20</v>
      </c>
      <c r="AX356" s="2" cm="1">
        <f t="array" ref="AX356">VLOOKUP($A356,Table_ship_components[],COLUMN(AX:AX),0)</f>
        <v>45</v>
      </c>
      <c r="AY356" s="2" cm="1">
        <f t="array" ref="AY356">VLOOKUP($A356,Table_ship_components[],COLUMN(AY:AY),0)</f>
        <v>60</v>
      </c>
      <c r="AZ356" s="2" t="str" cm="1">
        <f t="array" ref="AZ356">VLOOKUP($A356,Table_ship_components[],COLUMN(AZ:AZ),0)</f>
        <v>C</v>
      </c>
      <c r="BA356" s="14" cm="1">
        <f t="array" ref="BA356">VLOOKUP($A356,Table_ship_components[],COLUMN(BA:BA),0)</f>
        <v>1255000</v>
      </c>
      <c r="BB356" s="14" cm="1">
        <f t="array" ref="BB356">(VLOOKUP($A356,Table_ship_components[],COLUMN(BA:BA),0)+(W356*C356))</f>
        <v>1255000</v>
      </c>
      <c r="BC356" s="2" cm="1">
        <f t="array" ref="BC356">VLOOKUP($A356,Table_ship_components[],COLUMN(BC:BC),0)</f>
        <v>0</v>
      </c>
      <c r="BD356" s="2" cm="1">
        <f t="array" ref="BD356">VLOOKUP($A356,Table_ship_components[],COLUMN(BD:BD),0)</f>
        <v>0</v>
      </c>
    </row>
    <row r="357" spans="1:56" outlineLevel="1" x14ac:dyDescent="0.35"/>
    <row r="358" spans="1:56" outlineLevel="1" x14ac:dyDescent="0.35">
      <c r="A358" s="40" t="str">
        <f>CONCATENATE("LIFE SUPPORT VALID : ",IF((SUM(Z386:AA386)&lt;=AC386),"YES","NO"))</f>
        <v>LIFE SUPPORT VALID : YES</v>
      </c>
      <c r="B358" s="39" t="str">
        <f>CONCATENATE("TOTAL SIZE ",(SUM(E360:E385))," TOTAL POWER ",(SUM(G360:G385))," / ",(SUM(I360:I385)))</f>
        <v>TOTAL SIZE 125 TOTAL POWER 71 / 85</v>
      </c>
    </row>
    <row r="359" spans="1:56" outlineLevel="1" x14ac:dyDescent="0.35">
      <c r="A359" s="18" t="s">
        <v>423</v>
      </c>
      <c r="B359" s="19" t="str">
        <f>CONCATENATE("SIZE ",(SUM(E360:E364)),"/", AW356,"  POWER ",(SUM(G360:G364)),)</f>
        <v>SIZE 20/20  POWER 5</v>
      </c>
      <c r="C359" s="31" t="s">
        <v>521</v>
      </c>
    </row>
    <row r="360" spans="1:56" outlineLevel="1" x14ac:dyDescent="0.35">
      <c r="A360" t="s">
        <v>371</v>
      </c>
      <c r="B360" t="str" cm="1">
        <f t="array" ref="B360">VLOOKUP($A360,Table_ship_components[],COLUMN(B:B),0)</f>
        <v>good corvette power plant</v>
      </c>
      <c r="D360" cm="1">
        <f t="array" ref="D360">VLOOKUP($A360,Table_ship_components[],COLUMN(D:D),0)</f>
        <v>16</v>
      </c>
      <c r="E360" cm="1">
        <f t="array" ref="E360">ROUND(VLOOKUP($A360,Table_ship_components[],COLUMN(D:D),0)+(V360*C360),0)</f>
        <v>16</v>
      </c>
      <c r="F360" cm="1">
        <f t="array" ref="F360">VLOOKUP($A360,Table_ship_components[],COLUMN(F:F),0)</f>
        <v>0</v>
      </c>
      <c r="G360" cm="1">
        <f t="array" ref="G360">ROUND(VLOOKUP($A360,Table_ship_components[],COLUMN(G:G),0)+(X360*C360),0)</f>
        <v>0</v>
      </c>
      <c r="H360" cm="1">
        <f t="array" ref="H360">VLOOKUP($A360,Table_ship_components[],COLUMN(H:H),0)</f>
        <v>0</v>
      </c>
      <c r="I360" cm="1">
        <f t="array" ref="I360">VLOOKUP($A360,Table_ship_components[],COLUMN(I:I),0)</f>
        <v>85</v>
      </c>
      <c r="J360" cm="1">
        <f t="array" ref="J360">VLOOKUP($A360,Table_ship_components[],COLUMN(J:J),0)</f>
        <v>0</v>
      </c>
      <c r="K360" cm="1">
        <f t="array" ref="K360">VLOOKUP($A360,Table_ship_components[],COLUMN(K:K),0)</f>
        <v>0</v>
      </c>
      <c r="L360" cm="1">
        <f t="array" ref="L360">VLOOKUP($A360,Table_ship_components[],COLUMN(L:L),0)</f>
        <v>0</v>
      </c>
      <c r="M360" cm="1">
        <f t="array" ref="M360">VLOOKUP($A360,Table_ship_components[],COLUMN(M:M),0)</f>
        <v>0</v>
      </c>
      <c r="N360" cm="1">
        <f t="array" ref="N360">VLOOKUP($A360,Table_ship_components[],COLUMN(N:N),0)</f>
        <v>0</v>
      </c>
      <c r="O360" cm="1">
        <f t="array" ref="O360">VLOOKUP($A360,Table_ship_components[],COLUMN(O:O),0)</f>
        <v>1</v>
      </c>
      <c r="P360" cm="1">
        <f t="array" ref="P360">VLOOKUP($A360,Table_ship_components[],COLUMN(P:P),0)</f>
        <v>1</v>
      </c>
      <c r="Q360" cm="1">
        <f t="array" ref="Q360">VLOOKUP($A360,Table_ship_components[],COLUMN(Q:Q),0)</f>
        <v>1</v>
      </c>
      <c r="R360" cm="1">
        <f t="array" ref="R360">VLOOKUP($A360,Table_ship_components[],COLUMN(R:R),0)</f>
        <v>1</v>
      </c>
      <c r="S360" cm="1">
        <f t="array" ref="S360">VLOOKUP($A360,Table_ship_components[],COLUMN(S:S),0)</f>
        <v>1</v>
      </c>
      <c r="T360" cm="1">
        <f t="array" ref="T360">VLOOKUP($A360,Table_ship_components[],COLUMN(T:T),0)</f>
        <v>1</v>
      </c>
      <c r="U360" cm="1">
        <f t="array" ref="U360">VLOOKUP($A360,Table_ship_components[],COLUMN(U:U),0)</f>
        <v>0</v>
      </c>
      <c r="V360" cm="1">
        <f t="array" ref="V360">VLOOKUP($A360,Table_ship_components[],COLUMN(V:V),0)</f>
        <v>0</v>
      </c>
      <c r="W360" s="15" cm="1">
        <f t="array" ref="W360">VLOOKUP($A360,Table_ship_components[],COLUMN(W:W),0)</f>
        <v>0</v>
      </c>
      <c r="X360" cm="1">
        <f t="array" ref="X360">VLOOKUP($A360,Table_ship_components[],COLUMN(X:X),0)</f>
        <v>0</v>
      </c>
      <c r="Y360" cm="1">
        <f t="array" ref="Y360">VLOOKUP($A360,Table_ship_components[],COLUMN(Y:Y),0)</f>
        <v>0</v>
      </c>
      <c r="Z360" cm="1">
        <f t="array" ref="Z360">VLOOKUP($A360,Table_ship_components[],COLUMN(Z:Z),0)</f>
        <v>0</v>
      </c>
      <c r="AA360" cm="1">
        <f t="array" ref="AA360">VLOOKUP($A360,Table_ship_components[],COLUMN(AA:AA),0)*C360</f>
        <v>0</v>
      </c>
      <c r="AB360">
        <f>IF(A360="CARGOSPACE_0-ALL_0-UNIVERSAL",C360,0)</f>
        <v>0</v>
      </c>
      <c r="AC360" cm="1">
        <f t="array" ref="AC360">VLOOKUP($A360,Table_ship_components[],COLUMN(AC:AC),0)*C360</f>
        <v>0</v>
      </c>
      <c r="AD360" cm="1">
        <f t="array" ref="AD360">VLOOKUP($A360,Table_ship_components[],COLUMN(AD:AD),0)</f>
        <v>0</v>
      </c>
      <c r="AE360" cm="1">
        <f t="array" ref="AE360">VLOOKUP($A360,Table_ship_components[],COLUMN(AE:AE),0)</f>
        <v>0</v>
      </c>
      <c r="AF360" cm="1">
        <f t="array" ref="AF360">VLOOKUP($A360,Table_ship_components[],COLUMN(AF:AF),0)</f>
        <v>0</v>
      </c>
      <c r="AG360" cm="1">
        <f t="array" ref="AG360">VLOOKUP($A360,Table_ship_components[],COLUMN(AG:AG),0)</f>
        <v>0</v>
      </c>
      <c r="AH360" cm="1">
        <f t="array" ref="AH360">VLOOKUP($A360,Table_ship_components[],COLUMN(AH:AH),0)</f>
        <v>0</v>
      </c>
      <c r="AI360" cm="1">
        <f t="array" ref="AI360">VLOOKUP($A360,Table_ship_components[],COLUMN(AI:AI),0)</f>
        <v>0</v>
      </c>
      <c r="AJ360" cm="1">
        <f t="array" ref="AJ360">VLOOKUP($A360,Table_ship_components[],COLUMN(AJ:AJ),0)</f>
        <v>0</v>
      </c>
      <c r="AK360" cm="1">
        <f t="array" ref="AK360">VLOOKUP($A360,Table_ship_components[],COLUMN(AK:AK),0)</f>
        <v>0</v>
      </c>
      <c r="AL360" cm="1">
        <f t="array" ref="AL360">VLOOKUP($A360,Table_ship_components[],COLUMN(AL:AL),0)</f>
        <v>0</v>
      </c>
      <c r="AM360" cm="1">
        <f t="array" ref="AM360">VLOOKUP($A360,Table_ship_components[],COLUMN(AM:AM),0)</f>
        <v>0</v>
      </c>
      <c r="AN360" cm="1">
        <f t="array" ref="AN360">VLOOKUP($A360,Table_ship_components[],COLUMN(AN:AN),0)</f>
        <v>0</v>
      </c>
      <c r="AO360" cm="1">
        <f t="array" ref="AO360">VLOOKUP($A360,Table_ship_components[],COLUMN(AO:AO),0)</f>
        <v>0</v>
      </c>
      <c r="AP360" cm="1">
        <f t="array" ref="AP360">VLOOKUP($A360,Table_ship_components[],COLUMN(AP:AP),0)</f>
        <v>0</v>
      </c>
      <c r="AQ360" cm="1">
        <f t="array" ref="AQ360">VLOOKUP($A360,Table_ship_components[],COLUMN(AQ:AQ),0)</f>
        <v>0</v>
      </c>
      <c r="AR360" cm="1">
        <f t="array" ref="AR360">VLOOKUP($A360,Table_ship_components[],COLUMN(AR:AR),0)</f>
        <v>0</v>
      </c>
      <c r="AS360" cm="1">
        <f t="array" ref="AS360">VLOOKUP($A360,Table_ship_components[],COLUMN(AS:AS),0)</f>
        <v>0</v>
      </c>
      <c r="AT360" cm="1">
        <f t="array" ref="AT360">VLOOKUP($A360,Table_ship_components[],COLUMN(AT:AT),0)</f>
        <v>1</v>
      </c>
      <c r="AU360" s="2" cm="1">
        <f t="array" ref="AU360">VLOOKUP($A360,Table_ship_components[],COLUMN(AU:AU),0)</f>
        <v>0</v>
      </c>
      <c r="AV360" s="2" cm="1">
        <f t="array" ref="AV360">VLOOKUP($A360,Table_ship_components[],COLUMN(AV:AV),0)</f>
        <v>0</v>
      </c>
      <c r="AW360" s="2" cm="1">
        <f t="array" ref="AW360">VLOOKUP($A360,Table_ship_components[],COLUMN(AW:AW),0)</f>
        <v>0</v>
      </c>
      <c r="AX360" s="2" cm="1">
        <f t="array" ref="AX360">VLOOKUP($A360,Table_ship_components[],COLUMN(AX:AX),0)</f>
        <v>0</v>
      </c>
      <c r="AY360" s="2" cm="1">
        <f t="array" ref="AY360">VLOOKUP($A360,Table_ship_components[],COLUMN(AY:AY),0)</f>
        <v>0</v>
      </c>
      <c r="AZ360" s="2" t="str" cm="1">
        <f t="array" ref="AZ360">VLOOKUP($A360,Table_ship_components[],COLUMN(AZ:AZ),0)</f>
        <v>C</v>
      </c>
      <c r="BA360" s="14" cm="1">
        <f t="array" ref="BA360">VLOOKUP($A360,Table_ship_components[],COLUMN(BA:BA),0)</f>
        <v>1000000</v>
      </c>
      <c r="BB360" s="14" cm="1">
        <f t="array" ref="BB360">(VLOOKUP($A360,Table_ship_components[],COLUMN(BA:BA),0)+(W360*C360))</f>
        <v>1000000</v>
      </c>
      <c r="BC360" s="2" cm="1">
        <f t="array" ref="BC360">VLOOKUP($A360,Table_ship_components[],COLUMN(BC:BC),0)</f>
        <v>0</v>
      </c>
      <c r="BD360" s="2" cm="1">
        <f t="array" ref="BD360">VLOOKUP($A360,Table_ship_components[],COLUMN(BD:BD),0)</f>
        <v>0</v>
      </c>
    </row>
    <row r="361" spans="1:56" outlineLevel="1" x14ac:dyDescent="0.35">
      <c r="A361" t="s">
        <v>349</v>
      </c>
      <c r="B361" t="str" cm="1">
        <f t="array" ref="B361">VLOOKUP($A361,Table_ship_components[],COLUMN(B:B),0)</f>
        <v>average automation of crew functions</v>
      </c>
      <c r="D361" cm="1">
        <f t="array" ref="D361">VLOOKUP($A361,Table_ship_components[],COLUMN(D:D),0)</f>
        <v>4</v>
      </c>
      <c r="E361" cm="1">
        <f t="array" ref="E361">ROUND(VLOOKUP($A361,Table_ship_components[],COLUMN(D:D),0)+(V361*C361),0)</f>
        <v>4</v>
      </c>
      <c r="F361" cm="1">
        <f t="array" ref="F361">VLOOKUP($A361,Table_ship_components[],COLUMN(F:F),0)</f>
        <v>5</v>
      </c>
      <c r="G361" cm="1">
        <f t="array" ref="G361">ROUND(VLOOKUP($A361,Table_ship_components[],COLUMN(G:G),0)+(X361*C361),0)</f>
        <v>5</v>
      </c>
      <c r="H361" cm="1">
        <f t="array" ref="H361">VLOOKUP($A361,Table_ship_components[],COLUMN(H:H),0)</f>
        <v>0</v>
      </c>
      <c r="I361" cm="1">
        <f t="array" ref="I361">VLOOKUP($A361,Table_ship_components[],COLUMN(I:I),0)</f>
        <v>0</v>
      </c>
      <c r="J361" cm="1">
        <f t="array" ref="J361">VLOOKUP($A361,Table_ship_components[],COLUMN(J:J),0)</f>
        <v>0</v>
      </c>
      <c r="K361" cm="1">
        <f t="array" ref="K361">VLOOKUP($A361,Table_ship_components[],COLUMN(K:K),0)</f>
        <v>0</v>
      </c>
      <c r="L361" cm="1">
        <f t="array" ref="L361">VLOOKUP($A361,Table_ship_components[],COLUMN(L:L),0)</f>
        <v>0</v>
      </c>
      <c r="M361" cm="1">
        <f t="array" ref="M361">VLOOKUP($A361,Table_ship_components[],COLUMN(M:M),0)</f>
        <v>0</v>
      </c>
      <c r="N361" cm="1">
        <f t="array" ref="N361">VLOOKUP($A361,Table_ship_components[],COLUMN(N:N),0)</f>
        <v>0</v>
      </c>
      <c r="O361" cm="1">
        <f t="array" ref="O361">VLOOKUP($A361,Table_ship_components[],COLUMN(O:O),0)</f>
        <v>1</v>
      </c>
      <c r="P361" cm="1">
        <f t="array" ref="P361">VLOOKUP($A361,Table_ship_components[],COLUMN(P:P),0)</f>
        <v>0</v>
      </c>
      <c r="Q361" cm="1">
        <f t="array" ref="Q361">VLOOKUP($A361,Table_ship_components[],COLUMN(Q:Q),0)</f>
        <v>0</v>
      </c>
      <c r="R361" cm="1">
        <f t="array" ref="R361">VLOOKUP($A361,Table_ship_components[],COLUMN(R:R),0)</f>
        <v>0</v>
      </c>
      <c r="S361" cm="1">
        <f t="array" ref="S361">VLOOKUP($A361,Table_ship_components[],COLUMN(S:S),0)</f>
        <v>0</v>
      </c>
      <c r="T361" cm="1">
        <f t="array" ref="T361">VLOOKUP($A361,Table_ship_components[],COLUMN(T:T),0)</f>
        <v>0</v>
      </c>
      <c r="U361" cm="1">
        <f t="array" ref="U361">VLOOKUP($A361,Table_ship_components[],COLUMN(U:U),0)</f>
        <v>0</v>
      </c>
      <c r="V361" cm="1">
        <f t="array" ref="V361">VLOOKUP($A361,Table_ship_components[],COLUMN(V:V),0)</f>
        <v>0</v>
      </c>
      <c r="W361" s="15" cm="1">
        <f t="array" ref="W361">VLOOKUP($A361,Table_ship_components[],COLUMN(W:W),0)</f>
        <v>0</v>
      </c>
      <c r="X361" cm="1">
        <f t="array" ref="X361">VLOOKUP($A361,Table_ship_components[],COLUMN(X:X),0)</f>
        <v>0</v>
      </c>
      <c r="Y361" cm="1">
        <f t="array" ref="Y361">VLOOKUP($A361,Table_ship_components[],COLUMN(Y:Y),0)</f>
        <v>2</v>
      </c>
      <c r="Z361" cm="1">
        <f t="array" ref="Z361">VLOOKUP($A361,Table_ship_components[],COLUMN(Z:Z),0)</f>
        <v>5</v>
      </c>
      <c r="AA361" cm="1">
        <f t="array" ref="AA361">VLOOKUP($A361,Table_ship_components[],COLUMN(AA:AA),0)*C361</f>
        <v>0</v>
      </c>
      <c r="AB361">
        <f t="shared" ref="AB361:AB364" si="24">IF(A361="CARGOSPACE_0-ALL_0-UNIVERSAL",C361,0)</f>
        <v>0</v>
      </c>
      <c r="AC361" cm="1">
        <f t="array" ref="AC361">VLOOKUP($A361,Table_ship_components[],COLUMN(AC:AC),0)*C361</f>
        <v>0</v>
      </c>
      <c r="AD361" cm="1">
        <f t="array" ref="AD361">VLOOKUP($A361,Table_ship_components[],COLUMN(AD:AD),0)</f>
        <v>0</v>
      </c>
      <c r="AE361" cm="1">
        <f t="array" ref="AE361">VLOOKUP($A361,Table_ship_components[],COLUMN(AE:AE),0)</f>
        <v>0</v>
      </c>
      <c r="AF361" cm="1">
        <f t="array" ref="AF361">VLOOKUP($A361,Table_ship_components[],COLUMN(AF:AF),0)</f>
        <v>0</v>
      </c>
      <c r="AG361" cm="1">
        <f t="array" ref="AG361">VLOOKUP($A361,Table_ship_components[],COLUMN(AG:AG),0)</f>
        <v>0</v>
      </c>
      <c r="AH361" cm="1">
        <f t="array" ref="AH361">VLOOKUP($A361,Table_ship_components[],COLUMN(AH:AH),0)</f>
        <v>0</v>
      </c>
      <c r="AI361" cm="1">
        <f t="array" ref="AI361">VLOOKUP($A361,Table_ship_components[],COLUMN(AI:AI),0)</f>
        <v>0</v>
      </c>
      <c r="AJ361" cm="1">
        <f t="array" ref="AJ361">VLOOKUP($A361,Table_ship_components[],COLUMN(AJ:AJ),0)</f>
        <v>0</v>
      </c>
      <c r="AK361" cm="1">
        <f t="array" ref="AK361">VLOOKUP($A361,Table_ship_components[],COLUMN(AK:AK),0)</f>
        <v>0</v>
      </c>
      <c r="AL361" cm="1">
        <f t="array" ref="AL361">VLOOKUP($A361,Table_ship_components[],COLUMN(AL:AL),0)</f>
        <v>0</v>
      </c>
      <c r="AM361" cm="1">
        <f t="array" ref="AM361">VLOOKUP($A361,Table_ship_components[],COLUMN(AM:AM),0)</f>
        <v>0</v>
      </c>
      <c r="AN361" cm="1">
        <f t="array" ref="AN361">VLOOKUP($A361,Table_ship_components[],COLUMN(AN:AN),0)</f>
        <v>0</v>
      </c>
      <c r="AO361" cm="1">
        <f t="array" ref="AO361">VLOOKUP($A361,Table_ship_components[],COLUMN(AO:AO),0)</f>
        <v>0</v>
      </c>
      <c r="AP361" cm="1">
        <f t="array" ref="AP361">VLOOKUP($A361,Table_ship_components[],COLUMN(AP:AP),0)</f>
        <v>0</v>
      </c>
      <c r="AQ361" cm="1">
        <f t="array" ref="AQ361">VLOOKUP($A361,Table_ship_components[],COLUMN(AQ:AQ),0)</f>
        <v>0</v>
      </c>
      <c r="AR361" cm="1">
        <f t="array" ref="AR361">VLOOKUP($A361,Table_ship_components[],COLUMN(AR:AR),0)</f>
        <v>0</v>
      </c>
      <c r="AS361" cm="1">
        <f t="array" ref="AS361">VLOOKUP($A361,Table_ship_components[],COLUMN(AS:AS),0)</f>
        <v>0</v>
      </c>
      <c r="AT361" cm="1">
        <f t="array" ref="AT361">VLOOKUP($A361,Table_ship_components[],COLUMN(AT:AT),0)</f>
        <v>0</v>
      </c>
      <c r="AU361" s="2" cm="1">
        <f t="array" ref="AU361">VLOOKUP($A361,Table_ship_components[],COLUMN(AU:AU),0)</f>
        <v>0</v>
      </c>
      <c r="AV361" s="2" cm="1">
        <f t="array" ref="AV361">VLOOKUP($A361,Table_ship_components[],COLUMN(AV:AV),0)</f>
        <v>0</v>
      </c>
      <c r="AW361" s="2" cm="1">
        <f t="array" ref="AW361">VLOOKUP($A361,Table_ship_components[],COLUMN(AW:AW),0)</f>
        <v>0</v>
      </c>
      <c r="AX361" s="2" cm="1">
        <f t="array" ref="AX361">VLOOKUP($A361,Table_ship_components[],COLUMN(AX:AX),0)</f>
        <v>0</v>
      </c>
      <c r="AY361" s="2" cm="1">
        <f t="array" ref="AY361">VLOOKUP($A361,Table_ship_components[],COLUMN(AY:AY),0)</f>
        <v>0</v>
      </c>
      <c r="AZ361" s="2" t="str" cm="1">
        <f t="array" ref="AZ361">VLOOKUP($A361,Table_ship_components[],COLUMN(AZ:AZ),0)</f>
        <v>C</v>
      </c>
      <c r="BA361" s="14" cm="1">
        <f t="array" ref="BA361">VLOOKUP($A361,Table_ship_components[],COLUMN(BA:BA),0)</f>
        <v>200000</v>
      </c>
      <c r="BB361" s="14" cm="1">
        <f t="array" ref="BB361">(VLOOKUP($A361,Table_ship_components[],COLUMN(BA:BA),0)+(W361*C361))</f>
        <v>200000</v>
      </c>
      <c r="BC361" s="2" cm="1">
        <f t="array" ref="BC361">VLOOKUP($A361,Table_ship_components[],COLUMN(BC:BC),0)</f>
        <v>0</v>
      </c>
      <c r="BD361" s="2" cm="1">
        <f t="array" ref="BD361">VLOOKUP($A361,Table_ship_components[],COLUMN(BD:BD),0)</f>
        <v>0</v>
      </c>
    </row>
    <row r="362" spans="1:56" outlineLevel="1" x14ac:dyDescent="0.35">
      <c r="A362" t="s">
        <v>288</v>
      </c>
      <c r="B362" t="str" cm="1">
        <f t="array" ref="B362">VLOOKUP($A362,Table_ship_components[],COLUMN(B:B),0)</f>
        <v>PICK A COMPONENT</v>
      </c>
      <c r="D362" cm="1">
        <f t="array" ref="D362">VLOOKUP($A362,Table_ship_components[],COLUMN(D:D),0)</f>
        <v>0</v>
      </c>
      <c r="E362" cm="1">
        <f t="array" ref="E362">ROUND(VLOOKUP($A362,Table_ship_components[],COLUMN(D:D),0)+(V362*C362),0)</f>
        <v>0</v>
      </c>
      <c r="F362" cm="1">
        <f t="array" ref="F362">VLOOKUP($A362,Table_ship_components[],COLUMN(F:F),0)</f>
        <v>0</v>
      </c>
      <c r="G362" cm="1">
        <f t="array" ref="G362">ROUND(VLOOKUP($A362,Table_ship_components[],COLUMN(G:G),0)+(X362*C362),0)</f>
        <v>0</v>
      </c>
      <c r="H362" cm="1">
        <f t="array" ref="H362">VLOOKUP($A362,Table_ship_components[],COLUMN(H:H),0)</f>
        <v>0</v>
      </c>
      <c r="I362" cm="1">
        <f t="array" ref="I362">VLOOKUP($A362,Table_ship_components[],COLUMN(I:I),0)</f>
        <v>0</v>
      </c>
      <c r="J362" cm="1">
        <f t="array" ref="J362">VLOOKUP($A362,Table_ship_components[],COLUMN(J:J),0)</f>
        <v>0</v>
      </c>
      <c r="K362" cm="1">
        <f t="array" ref="K362">VLOOKUP($A362,Table_ship_components[],COLUMN(K:K),0)</f>
        <v>0</v>
      </c>
      <c r="L362" cm="1">
        <f t="array" ref="L362">VLOOKUP($A362,Table_ship_components[],COLUMN(L:L),0)</f>
        <v>0</v>
      </c>
      <c r="M362" cm="1">
        <f t="array" ref="M362">VLOOKUP($A362,Table_ship_components[],COLUMN(M:M),0)</f>
        <v>0</v>
      </c>
      <c r="N362" cm="1">
        <f t="array" ref="N362">VLOOKUP($A362,Table_ship_components[],COLUMN(N:N),0)</f>
        <v>0</v>
      </c>
      <c r="O362" cm="1">
        <f t="array" ref="O362">VLOOKUP($A362,Table_ship_components[],COLUMN(O:O),0)</f>
        <v>0</v>
      </c>
      <c r="P362" cm="1">
        <f t="array" ref="P362">VLOOKUP($A362,Table_ship_components[],COLUMN(P:P),0)</f>
        <v>0</v>
      </c>
      <c r="Q362" cm="1">
        <f t="array" ref="Q362">VLOOKUP($A362,Table_ship_components[],COLUMN(Q:Q),0)</f>
        <v>0</v>
      </c>
      <c r="R362" cm="1">
        <f t="array" ref="R362">VLOOKUP($A362,Table_ship_components[],COLUMN(R:R),0)</f>
        <v>0</v>
      </c>
      <c r="S362" cm="1">
        <f t="array" ref="S362">VLOOKUP($A362,Table_ship_components[],COLUMN(S:S),0)</f>
        <v>0</v>
      </c>
      <c r="T362" cm="1">
        <f t="array" ref="T362">VLOOKUP($A362,Table_ship_components[],COLUMN(T:T),0)</f>
        <v>0</v>
      </c>
      <c r="U362" cm="1">
        <f t="array" ref="U362">VLOOKUP($A362,Table_ship_components[],COLUMN(U:U),0)</f>
        <v>0</v>
      </c>
      <c r="V362" cm="1">
        <f t="array" ref="V362">VLOOKUP($A362,Table_ship_components[],COLUMN(V:V),0)</f>
        <v>0</v>
      </c>
      <c r="W362" s="15" cm="1">
        <f t="array" ref="W362">VLOOKUP($A362,Table_ship_components[],COLUMN(W:W),0)</f>
        <v>0</v>
      </c>
      <c r="X362" cm="1">
        <f t="array" ref="X362">VLOOKUP($A362,Table_ship_components[],COLUMN(X:X),0)</f>
        <v>0</v>
      </c>
      <c r="Y362" cm="1">
        <f t="array" ref="Y362">VLOOKUP($A362,Table_ship_components[],COLUMN(Y:Y),0)</f>
        <v>0</v>
      </c>
      <c r="Z362" cm="1">
        <f t="array" ref="Z362">VLOOKUP($A362,Table_ship_components[],COLUMN(Z:Z),0)</f>
        <v>0</v>
      </c>
      <c r="AA362" cm="1">
        <f t="array" ref="AA362">VLOOKUP($A362,Table_ship_components[],COLUMN(AA:AA),0)*C362</f>
        <v>0</v>
      </c>
      <c r="AB362">
        <f t="shared" si="24"/>
        <v>0</v>
      </c>
      <c r="AC362" cm="1">
        <f t="array" ref="AC362">VLOOKUP($A362,Table_ship_components[],COLUMN(AC:AC),0)*C362</f>
        <v>0</v>
      </c>
      <c r="AD362" cm="1">
        <f t="array" ref="AD362">VLOOKUP($A362,Table_ship_components[],COLUMN(AD:AD),0)</f>
        <v>0</v>
      </c>
      <c r="AE362" cm="1">
        <f t="array" ref="AE362">VLOOKUP($A362,Table_ship_components[],COLUMN(AE:AE),0)</f>
        <v>0</v>
      </c>
      <c r="AF362" cm="1">
        <f t="array" ref="AF362">VLOOKUP($A362,Table_ship_components[],COLUMN(AF:AF),0)</f>
        <v>0</v>
      </c>
      <c r="AG362" cm="1">
        <f t="array" ref="AG362">VLOOKUP($A362,Table_ship_components[],COLUMN(AG:AG),0)</f>
        <v>0</v>
      </c>
      <c r="AH362" cm="1">
        <f t="array" ref="AH362">VLOOKUP($A362,Table_ship_components[],COLUMN(AH:AH),0)</f>
        <v>0</v>
      </c>
      <c r="AI362" cm="1">
        <f t="array" ref="AI362">VLOOKUP($A362,Table_ship_components[],COLUMN(AI:AI),0)</f>
        <v>0</v>
      </c>
      <c r="AJ362" cm="1">
        <f t="array" ref="AJ362">VLOOKUP($A362,Table_ship_components[],COLUMN(AJ:AJ),0)</f>
        <v>0</v>
      </c>
      <c r="AK362" cm="1">
        <f t="array" ref="AK362">VLOOKUP($A362,Table_ship_components[],COLUMN(AK:AK),0)</f>
        <v>0</v>
      </c>
      <c r="AL362" cm="1">
        <f t="array" ref="AL362">VLOOKUP($A362,Table_ship_components[],COLUMN(AL:AL),0)</f>
        <v>0</v>
      </c>
      <c r="AM362" cm="1">
        <f t="array" ref="AM362">VLOOKUP($A362,Table_ship_components[],COLUMN(AM:AM),0)</f>
        <v>0</v>
      </c>
      <c r="AN362" cm="1">
        <f t="array" ref="AN362">VLOOKUP($A362,Table_ship_components[],COLUMN(AN:AN),0)</f>
        <v>0</v>
      </c>
      <c r="AO362" cm="1">
        <f t="array" ref="AO362">VLOOKUP($A362,Table_ship_components[],COLUMN(AO:AO),0)</f>
        <v>0</v>
      </c>
      <c r="AP362" cm="1">
        <f t="array" ref="AP362">VLOOKUP($A362,Table_ship_components[],COLUMN(AP:AP),0)</f>
        <v>0</v>
      </c>
      <c r="AQ362" cm="1">
        <f t="array" ref="AQ362">VLOOKUP($A362,Table_ship_components[],COLUMN(AQ:AQ),0)</f>
        <v>0</v>
      </c>
      <c r="AR362" cm="1">
        <f t="array" ref="AR362">VLOOKUP($A362,Table_ship_components[],COLUMN(AR:AR),0)</f>
        <v>0</v>
      </c>
      <c r="AS362" cm="1">
        <f t="array" ref="AS362">VLOOKUP($A362,Table_ship_components[],COLUMN(AS:AS),0)</f>
        <v>0</v>
      </c>
      <c r="AT362" cm="1">
        <f t="array" ref="AT362">VLOOKUP($A362,Table_ship_components[],COLUMN(AT:AT),0)</f>
        <v>0</v>
      </c>
      <c r="AU362" s="2" cm="1">
        <f t="array" ref="AU362">VLOOKUP($A362,Table_ship_components[],COLUMN(AU:AU),0)</f>
        <v>0</v>
      </c>
      <c r="AV362" s="2" cm="1">
        <f t="array" ref="AV362">VLOOKUP($A362,Table_ship_components[],COLUMN(AV:AV),0)</f>
        <v>0</v>
      </c>
      <c r="AW362" s="2" cm="1">
        <f t="array" ref="AW362">VLOOKUP($A362,Table_ship_components[],COLUMN(AW:AW),0)</f>
        <v>0</v>
      </c>
      <c r="AX362" s="2" cm="1">
        <f t="array" ref="AX362">VLOOKUP($A362,Table_ship_components[],COLUMN(AX:AX),0)</f>
        <v>0</v>
      </c>
      <c r="AY362" s="2" cm="1">
        <f t="array" ref="AY362">VLOOKUP($A362,Table_ship_components[],COLUMN(AY:AY),0)</f>
        <v>0</v>
      </c>
      <c r="AZ362" s="2" t="str" cm="1">
        <f t="array" ref="AZ362">VLOOKUP($A362,Table_ship_components[],COLUMN(AZ:AZ),0)</f>
        <v>C</v>
      </c>
      <c r="BA362" s="14" cm="1">
        <f t="array" ref="BA362">VLOOKUP($A362,Table_ship_components[],COLUMN(BA:BA),0)</f>
        <v>0</v>
      </c>
      <c r="BB362" s="14" cm="1">
        <f t="array" ref="BB362">(VLOOKUP($A362,Table_ship_components[],COLUMN(BA:BA),0)+(W362*C362))</f>
        <v>0</v>
      </c>
      <c r="BC362" s="2" cm="1">
        <f t="array" ref="BC362">VLOOKUP($A362,Table_ship_components[],COLUMN(BC:BC),0)</f>
        <v>0</v>
      </c>
      <c r="BD362" s="2" cm="1">
        <f t="array" ref="BD362">VLOOKUP($A362,Table_ship_components[],COLUMN(BD:BD),0)</f>
        <v>0</v>
      </c>
    </row>
    <row r="363" spans="1:56" outlineLevel="1" x14ac:dyDescent="0.35">
      <c r="A363" t="s">
        <v>288</v>
      </c>
      <c r="B363" t="str" cm="1">
        <f t="array" ref="B363">VLOOKUP($A363,Table_ship_components[],COLUMN(B:B),0)</f>
        <v>PICK A COMPONENT</v>
      </c>
      <c r="D363" cm="1">
        <f t="array" ref="D363">VLOOKUP($A363,Table_ship_components[],COLUMN(D:D),0)</f>
        <v>0</v>
      </c>
      <c r="E363" cm="1">
        <f t="array" ref="E363">ROUND(VLOOKUP($A363,Table_ship_components[],COLUMN(D:D),0)+(V363*C363),0)</f>
        <v>0</v>
      </c>
      <c r="F363" cm="1">
        <f t="array" ref="F363">VLOOKUP($A363,Table_ship_components[],COLUMN(F:F),0)</f>
        <v>0</v>
      </c>
      <c r="G363" cm="1">
        <f t="array" ref="G363">ROUND(VLOOKUP($A363,Table_ship_components[],COLUMN(G:G),0)+(X363*C363),0)</f>
        <v>0</v>
      </c>
      <c r="H363" cm="1">
        <f t="array" ref="H363">VLOOKUP($A363,Table_ship_components[],COLUMN(H:H),0)</f>
        <v>0</v>
      </c>
      <c r="I363" cm="1">
        <f t="array" ref="I363">VLOOKUP($A363,Table_ship_components[],COLUMN(I:I),0)</f>
        <v>0</v>
      </c>
      <c r="J363" cm="1">
        <f t="array" ref="J363">VLOOKUP($A363,Table_ship_components[],COLUMN(J:J),0)</f>
        <v>0</v>
      </c>
      <c r="K363" cm="1">
        <f t="array" ref="K363">VLOOKUP($A363,Table_ship_components[],COLUMN(K:K),0)</f>
        <v>0</v>
      </c>
      <c r="L363" cm="1">
        <f t="array" ref="L363">VLOOKUP($A363,Table_ship_components[],COLUMN(L:L),0)</f>
        <v>0</v>
      </c>
      <c r="M363" cm="1">
        <f t="array" ref="M363">VLOOKUP($A363,Table_ship_components[],COLUMN(M:M),0)</f>
        <v>0</v>
      </c>
      <c r="N363" cm="1">
        <f t="array" ref="N363">VLOOKUP($A363,Table_ship_components[],COLUMN(N:N),0)</f>
        <v>0</v>
      </c>
      <c r="O363" cm="1">
        <f t="array" ref="O363">VLOOKUP($A363,Table_ship_components[],COLUMN(O:O),0)</f>
        <v>0</v>
      </c>
      <c r="P363" cm="1">
        <f t="array" ref="P363">VLOOKUP($A363,Table_ship_components[],COLUMN(P:P),0)</f>
        <v>0</v>
      </c>
      <c r="Q363" cm="1">
        <f t="array" ref="Q363">VLOOKUP($A363,Table_ship_components[],COLUMN(Q:Q),0)</f>
        <v>0</v>
      </c>
      <c r="R363" cm="1">
        <f t="array" ref="R363">VLOOKUP($A363,Table_ship_components[],COLUMN(R:R),0)</f>
        <v>0</v>
      </c>
      <c r="S363" cm="1">
        <f t="array" ref="S363">VLOOKUP($A363,Table_ship_components[],COLUMN(S:S),0)</f>
        <v>0</v>
      </c>
      <c r="T363" cm="1">
        <f t="array" ref="T363">VLOOKUP($A363,Table_ship_components[],COLUMN(T:T),0)</f>
        <v>0</v>
      </c>
      <c r="U363" cm="1">
        <f t="array" ref="U363">VLOOKUP($A363,Table_ship_components[],COLUMN(U:U),0)</f>
        <v>0</v>
      </c>
      <c r="V363" cm="1">
        <f t="array" ref="V363">VLOOKUP($A363,Table_ship_components[],COLUMN(V:V),0)</f>
        <v>0</v>
      </c>
      <c r="W363" s="15" cm="1">
        <f t="array" ref="W363">VLOOKUP($A363,Table_ship_components[],COLUMN(W:W),0)</f>
        <v>0</v>
      </c>
      <c r="X363" cm="1">
        <f t="array" ref="X363">VLOOKUP($A363,Table_ship_components[],COLUMN(X:X),0)</f>
        <v>0</v>
      </c>
      <c r="Y363" cm="1">
        <f t="array" ref="Y363">VLOOKUP($A363,Table_ship_components[],COLUMN(Y:Y),0)</f>
        <v>0</v>
      </c>
      <c r="Z363" cm="1">
        <f t="array" ref="Z363">VLOOKUP($A363,Table_ship_components[],COLUMN(Z:Z),0)</f>
        <v>0</v>
      </c>
      <c r="AA363" cm="1">
        <f t="array" ref="AA363">VLOOKUP($A363,Table_ship_components[],COLUMN(AA:AA),0)*C363</f>
        <v>0</v>
      </c>
      <c r="AB363">
        <f t="shared" si="24"/>
        <v>0</v>
      </c>
      <c r="AC363" cm="1">
        <f t="array" ref="AC363">VLOOKUP($A363,Table_ship_components[],COLUMN(AC:AC),0)*C363</f>
        <v>0</v>
      </c>
      <c r="AD363" cm="1">
        <f t="array" ref="AD363">VLOOKUP($A363,Table_ship_components[],COLUMN(AD:AD),0)</f>
        <v>0</v>
      </c>
      <c r="AE363" cm="1">
        <f t="array" ref="AE363">VLOOKUP($A363,Table_ship_components[],COLUMN(AE:AE),0)</f>
        <v>0</v>
      </c>
      <c r="AF363" cm="1">
        <f t="array" ref="AF363">VLOOKUP($A363,Table_ship_components[],COLUMN(AF:AF),0)</f>
        <v>0</v>
      </c>
      <c r="AG363" cm="1">
        <f t="array" ref="AG363">VLOOKUP($A363,Table_ship_components[],COLUMN(AG:AG),0)</f>
        <v>0</v>
      </c>
      <c r="AH363" cm="1">
        <f t="array" ref="AH363">VLOOKUP($A363,Table_ship_components[],COLUMN(AH:AH),0)</f>
        <v>0</v>
      </c>
      <c r="AI363" cm="1">
        <f t="array" ref="AI363">VLOOKUP($A363,Table_ship_components[],COLUMN(AI:AI),0)</f>
        <v>0</v>
      </c>
      <c r="AJ363" cm="1">
        <f t="array" ref="AJ363">VLOOKUP($A363,Table_ship_components[],COLUMN(AJ:AJ),0)</f>
        <v>0</v>
      </c>
      <c r="AK363" cm="1">
        <f t="array" ref="AK363">VLOOKUP($A363,Table_ship_components[],COLUMN(AK:AK),0)</f>
        <v>0</v>
      </c>
      <c r="AL363" cm="1">
        <f t="array" ref="AL363">VLOOKUP($A363,Table_ship_components[],COLUMN(AL:AL),0)</f>
        <v>0</v>
      </c>
      <c r="AM363" cm="1">
        <f t="array" ref="AM363">VLOOKUP($A363,Table_ship_components[],COLUMN(AM:AM),0)</f>
        <v>0</v>
      </c>
      <c r="AN363" cm="1">
        <f t="array" ref="AN363">VLOOKUP($A363,Table_ship_components[],COLUMN(AN:AN),0)</f>
        <v>0</v>
      </c>
      <c r="AO363" cm="1">
        <f t="array" ref="AO363">VLOOKUP($A363,Table_ship_components[],COLUMN(AO:AO),0)</f>
        <v>0</v>
      </c>
      <c r="AP363" cm="1">
        <f t="array" ref="AP363">VLOOKUP($A363,Table_ship_components[],COLUMN(AP:AP),0)</f>
        <v>0</v>
      </c>
      <c r="AQ363" cm="1">
        <f t="array" ref="AQ363">VLOOKUP($A363,Table_ship_components[],COLUMN(AQ:AQ),0)</f>
        <v>0</v>
      </c>
      <c r="AR363" cm="1">
        <f t="array" ref="AR363">VLOOKUP($A363,Table_ship_components[],COLUMN(AR:AR),0)</f>
        <v>0</v>
      </c>
      <c r="AS363" cm="1">
        <f t="array" ref="AS363">VLOOKUP($A363,Table_ship_components[],COLUMN(AS:AS),0)</f>
        <v>0</v>
      </c>
      <c r="AT363" cm="1">
        <f t="array" ref="AT363">VLOOKUP($A363,Table_ship_components[],COLUMN(AT:AT),0)</f>
        <v>0</v>
      </c>
      <c r="AU363" s="2" cm="1">
        <f t="array" ref="AU363">VLOOKUP($A363,Table_ship_components[],COLUMN(AU:AU),0)</f>
        <v>0</v>
      </c>
      <c r="AV363" s="2" cm="1">
        <f t="array" ref="AV363">VLOOKUP($A363,Table_ship_components[],COLUMN(AV:AV),0)</f>
        <v>0</v>
      </c>
      <c r="AW363" s="2" cm="1">
        <f t="array" ref="AW363">VLOOKUP($A363,Table_ship_components[],COLUMN(AW:AW),0)</f>
        <v>0</v>
      </c>
      <c r="AX363" s="2" cm="1">
        <f t="array" ref="AX363">VLOOKUP($A363,Table_ship_components[],COLUMN(AX:AX),0)</f>
        <v>0</v>
      </c>
      <c r="AY363" s="2" cm="1">
        <f t="array" ref="AY363">VLOOKUP($A363,Table_ship_components[],COLUMN(AY:AY),0)</f>
        <v>0</v>
      </c>
      <c r="AZ363" s="2" t="str" cm="1">
        <f t="array" ref="AZ363">VLOOKUP($A363,Table_ship_components[],COLUMN(AZ:AZ),0)</f>
        <v>C</v>
      </c>
      <c r="BA363" s="14" cm="1">
        <f t="array" ref="BA363">VLOOKUP($A363,Table_ship_components[],COLUMN(BA:BA),0)</f>
        <v>0</v>
      </c>
      <c r="BB363" s="14" cm="1">
        <f t="array" ref="BB363">(VLOOKUP($A363,Table_ship_components[],COLUMN(BA:BA),0)+(W363*C363))</f>
        <v>0</v>
      </c>
      <c r="BC363" s="2" cm="1">
        <f t="array" ref="BC363">VLOOKUP($A363,Table_ship_components[],COLUMN(BC:BC),0)</f>
        <v>0</v>
      </c>
      <c r="BD363" s="2" cm="1">
        <f t="array" ref="BD363">VLOOKUP($A363,Table_ship_components[],COLUMN(BD:BD),0)</f>
        <v>0</v>
      </c>
    </row>
    <row r="364" spans="1:56" outlineLevel="1" x14ac:dyDescent="0.35">
      <c r="A364" t="s">
        <v>288</v>
      </c>
      <c r="B364" t="str" cm="1">
        <f t="array" ref="B364">VLOOKUP($A364,Table_ship_components[],COLUMN(B:B),0)</f>
        <v>PICK A COMPONENT</v>
      </c>
      <c r="D364" cm="1">
        <f t="array" ref="D364">VLOOKUP($A364,Table_ship_components[],COLUMN(D:D),0)</f>
        <v>0</v>
      </c>
      <c r="E364" cm="1">
        <f t="array" ref="E364">ROUND(VLOOKUP($A364,Table_ship_components[],COLUMN(D:D),0)+(V364*C364),0)</f>
        <v>0</v>
      </c>
      <c r="F364" cm="1">
        <f t="array" ref="F364">VLOOKUP($A364,Table_ship_components[],COLUMN(F:F),0)</f>
        <v>0</v>
      </c>
      <c r="G364" cm="1">
        <f t="array" ref="G364">ROUND(VLOOKUP($A364,Table_ship_components[],COLUMN(G:G),0)+(X364*C364),0)</f>
        <v>0</v>
      </c>
      <c r="H364" cm="1">
        <f t="array" ref="H364">VLOOKUP($A364,Table_ship_components[],COLUMN(H:H),0)</f>
        <v>0</v>
      </c>
      <c r="I364" cm="1">
        <f t="array" ref="I364">VLOOKUP($A364,Table_ship_components[],COLUMN(I:I),0)</f>
        <v>0</v>
      </c>
      <c r="J364" cm="1">
        <f t="array" ref="J364">VLOOKUP($A364,Table_ship_components[],COLUMN(J:J),0)</f>
        <v>0</v>
      </c>
      <c r="K364" cm="1">
        <f t="array" ref="K364">VLOOKUP($A364,Table_ship_components[],COLUMN(K:K),0)</f>
        <v>0</v>
      </c>
      <c r="L364" cm="1">
        <f t="array" ref="L364">VLOOKUP($A364,Table_ship_components[],COLUMN(L:L),0)</f>
        <v>0</v>
      </c>
      <c r="M364" cm="1">
        <f t="array" ref="M364">VLOOKUP($A364,Table_ship_components[],COLUMN(M:M),0)</f>
        <v>0</v>
      </c>
      <c r="N364" cm="1">
        <f t="array" ref="N364">VLOOKUP($A364,Table_ship_components[],COLUMN(N:N),0)</f>
        <v>0</v>
      </c>
      <c r="O364" cm="1">
        <f t="array" ref="O364">VLOOKUP($A364,Table_ship_components[],COLUMN(O:O),0)</f>
        <v>0</v>
      </c>
      <c r="P364" cm="1">
        <f t="array" ref="P364">VLOOKUP($A364,Table_ship_components[],COLUMN(P:P),0)</f>
        <v>0</v>
      </c>
      <c r="Q364" cm="1">
        <f t="array" ref="Q364">VLOOKUP($A364,Table_ship_components[],COLUMN(Q:Q),0)</f>
        <v>0</v>
      </c>
      <c r="R364" cm="1">
        <f t="array" ref="R364">VLOOKUP($A364,Table_ship_components[],COLUMN(R:R),0)</f>
        <v>0</v>
      </c>
      <c r="S364" cm="1">
        <f t="array" ref="S364">VLOOKUP($A364,Table_ship_components[],COLUMN(S:S),0)</f>
        <v>0</v>
      </c>
      <c r="T364" cm="1">
        <f t="array" ref="T364">VLOOKUP($A364,Table_ship_components[],COLUMN(T:T),0)</f>
        <v>0</v>
      </c>
      <c r="U364" cm="1">
        <f t="array" ref="U364">VLOOKUP($A364,Table_ship_components[],COLUMN(U:U),0)</f>
        <v>0</v>
      </c>
      <c r="V364" cm="1">
        <f t="array" ref="V364">VLOOKUP($A364,Table_ship_components[],COLUMN(V:V),0)</f>
        <v>0</v>
      </c>
      <c r="W364" s="15" cm="1">
        <f t="array" ref="W364">VLOOKUP($A364,Table_ship_components[],COLUMN(W:W),0)</f>
        <v>0</v>
      </c>
      <c r="X364" cm="1">
        <f t="array" ref="X364">VLOOKUP($A364,Table_ship_components[],COLUMN(X:X),0)</f>
        <v>0</v>
      </c>
      <c r="Y364" cm="1">
        <f t="array" ref="Y364">VLOOKUP($A364,Table_ship_components[],COLUMN(Y:Y),0)</f>
        <v>0</v>
      </c>
      <c r="Z364" cm="1">
        <f t="array" ref="Z364">VLOOKUP($A364,Table_ship_components[],COLUMN(Z:Z),0)</f>
        <v>0</v>
      </c>
      <c r="AA364" cm="1">
        <f t="array" ref="AA364">VLOOKUP($A364,Table_ship_components[],COLUMN(AA:AA),0)*C364</f>
        <v>0</v>
      </c>
      <c r="AB364">
        <f t="shared" si="24"/>
        <v>0</v>
      </c>
      <c r="AC364" cm="1">
        <f t="array" ref="AC364">VLOOKUP($A364,Table_ship_components[],COLUMN(AC:AC),0)*C364</f>
        <v>0</v>
      </c>
      <c r="AD364" cm="1">
        <f t="array" ref="AD364">VLOOKUP($A364,Table_ship_components[],COLUMN(AD:AD),0)</f>
        <v>0</v>
      </c>
      <c r="AE364" cm="1">
        <f t="array" ref="AE364">VLOOKUP($A364,Table_ship_components[],COLUMN(AE:AE),0)</f>
        <v>0</v>
      </c>
      <c r="AF364" cm="1">
        <f t="array" ref="AF364">VLOOKUP($A364,Table_ship_components[],COLUMN(AF:AF),0)</f>
        <v>0</v>
      </c>
      <c r="AG364" cm="1">
        <f t="array" ref="AG364">VLOOKUP($A364,Table_ship_components[],COLUMN(AG:AG),0)</f>
        <v>0</v>
      </c>
      <c r="AH364" cm="1">
        <f t="array" ref="AH364">VLOOKUP($A364,Table_ship_components[],COLUMN(AH:AH),0)</f>
        <v>0</v>
      </c>
      <c r="AI364" cm="1">
        <f t="array" ref="AI364">VLOOKUP($A364,Table_ship_components[],COLUMN(AI:AI),0)</f>
        <v>0</v>
      </c>
      <c r="AJ364" cm="1">
        <f t="array" ref="AJ364">VLOOKUP($A364,Table_ship_components[],COLUMN(AJ:AJ),0)</f>
        <v>0</v>
      </c>
      <c r="AK364" cm="1">
        <f t="array" ref="AK364">VLOOKUP($A364,Table_ship_components[],COLUMN(AK:AK),0)</f>
        <v>0</v>
      </c>
      <c r="AL364" cm="1">
        <f t="array" ref="AL364">VLOOKUP($A364,Table_ship_components[],COLUMN(AL:AL),0)</f>
        <v>0</v>
      </c>
      <c r="AM364" cm="1">
        <f t="array" ref="AM364">VLOOKUP($A364,Table_ship_components[],COLUMN(AM:AM),0)</f>
        <v>0</v>
      </c>
      <c r="AN364" cm="1">
        <f t="array" ref="AN364">VLOOKUP($A364,Table_ship_components[],COLUMN(AN:AN),0)</f>
        <v>0</v>
      </c>
      <c r="AO364" cm="1">
        <f t="array" ref="AO364">VLOOKUP($A364,Table_ship_components[],COLUMN(AO:AO),0)</f>
        <v>0</v>
      </c>
      <c r="AP364" cm="1">
        <f t="array" ref="AP364">VLOOKUP($A364,Table_ship_components[],COLUMN(AP:AP),0)</f>
        <v>0</v>
      </c>
      <c r="AQ364" cm="1">
        <f t="array" ref="AQ364">VLOOKUP($A364,Table_ship_components[],COLUMN(AQ:AQ),0)</f>
        <v>0</v>
      </c>
      <c r="AR364" cm="1">
        <f t="array" ref="AR364">VLOOKUP($A364,Table_ship_components[],COLUMN(AR:AR),0)</f>
        <v>0</v>
      </c>
      <c r="AS364" cm="1">
        <f t="array" ref="AS364">VLOOKUP($A364,Table_ship_components[],COLUMN(AS:AS),0)</f>
        <v>0</v>
      </c>
      <c r="AT364" cm="1">
        <f t="array" ref="AT364">VLOOKUP($A364,Table_ship_components[],COLUMN(AT:AT),0)</f>
        <v>0</v>
      </c>
      <c r="AU364" s="2" cm="1">
        <f t="array" ref="AU364">VLOOKUP($A364,Table_ship_components[],COLUMN(AU:AU),0)</f>
        <v>0</v>
      </c>
      <c r="AV364" s="2" cm="1">
        <f t="array" ref="AV364">VLOOKUP($A364,Table_ship_components[],COLUMN(AV:AV),0)</f>
        <v>0</v>
      </c>
      <c r="AW364" s="2" cm="1">
        <f t="array" ref="AW364">VLOOKUP($A364,Table_ship_components[],COLUMN(AW:AW),0)</f>
        <v>0</v>
      </c>
      <c r="AX364" s="2" cm="1">
        <f t="array" ref="AX364">VLOOKUP($A364,Table_ship_components[],COLUMN(AX:AX),0)</f>
        <v>0</v>
      </c>
      <c r="AY364" s="2" cm="1">
        <f t="array" ref="AY364">VLOOKUP($A364,Table_ship_components[],COLUMN(AY:AY),0)</f>
        <v>0</v>
      </c>
      <c r="AZ364" s="2" t="str" cm="1">
        <f t="array" ref="AZ364">VLOOKUP($A364,Table_ship_components[],COLUMN(AZ:AZ),0)</f>
        <v>C</v>
      </c>
      <c r="BA364" s="14" cm="1">
        <f t="array" ref="BA364">VLOOKUP($A364,Table_ship_components[],COLUMN(BA:BA),0)</f>
        <v>0</v>
      </c>
      <c r="BB364" s="14" cm="1">
        <f t="array" ref="BB364">(VLOOKUP($A364,Table_ship_components[],COLUMN(BA:BA),0)+(W364*C364))</f>
        <v>0</v>
      </c>
      <c r="BC364" s="2" cm="1">
        <f t="array" ref="BC364">VLOOKUP($A364,Table_ship_components[],COLUMN(BC:BC),0)</f>
        <v>0</v>
      </c>
      <c r="BD364" s="2" cm="1">
        <f t="array" ref="BD364">VLOOKUP($A364,Table_ship_components[],COLUMN(BD:BD),0)</f>
        <v>0</v>
      </c>
    </row>
    <row r="365" spans="1:56" outlineLevel="1" x14ac:dyDescent="0.35">
      <c r="A365" s="18" t="s">
        <v>424</v>
      </c>
      <c r="B365" s="19" t="str">
        <f>CONCATENATE("SIZE ",(SUM(E366:E376)),"/",AX356,"  POWER ",(SUM(G366:G376)))</f>
        <v>SIZE 45/45  POWER 27</v>
      </c>
      <c r="AU365" s="2"/>
      <c r="AV365" s="2"/>
      <c r="AW365" s="2"/>
      <c r="AX365" s="2"/>
      <c r="AY365" s="2"/>
      <c r="AZ365" s="2"/>
      <c r="BA365" s="14"/>
      <c r="BB365" s="14"/>
      <c r="BC365" s="2"/>
      <c r="BD365" s="2"/>
    </row>
    <row r="366" spans="1:56" outlineLevel="1" x14ac:dyDescent="0.35">
      <c r="A366" t="s">
        <v>365</v>
      </c>
      <c r="B366" t="str" cm="1">
        <f t="array" ref="B366">VLOOKUP($A366,Table_ship_components[],COLUMN(B:B),0)</f>
        <v>good life support for a corvette</v>
      </c>
      <c r="C366" s="2">
        <v>5</v>
      </c>
      <c r="D366" cm="1">
        <f t="array" ref="D366">VLOOKUP($A366,Table_ship_components[],COLUMN(D:D),0)</f>
        <v>8</v>
      </c>
      <c r="E366" cm="1">
        <f t="array" ref="E366">ROUND(VLOOKUP($A366,Table_ship_components[],COLUMN(D:D),0)+(V366*C366),0)</f>
        <v>13</v>
      </c>
      <c r="F366" cm="1">
        <f t="array" ref="F366">VLOOKUP($A366,Table_ship_components[],COLUMN(F:F),0)</f>
        <v>7</v>
      </c>
      <c r="G366" cm="1">
        <f t="array" ref="G366">ROUND(VLOOKUP($A366,Table_ship_components[],COLUMN(G:G),0)+(X366*C366),0)</f>
        <v>12</v>
      </c>
      <c r="H366" cm="1">
        <f t="array" ref="H366">VLOOKUP($A366,Table_ship_components[],COLUMN(H:H),0)</f>
        <v>0</v>
      </c>
      <c r="I366" cm="1">
        <f t="array" ref="I366">VLOOKUP($A366,Table_ship_components[],COLUMN(I:I),0)</f>
        <v>0</v>
      </c>
      <c r="J366" cm="1">
        <f t="array" ref="J366">VLOOKUP($A366,Table_ship_components[],COLUMN(J:J),0)</f>
        <v>0</v>
      </c>
      <c r="K366" cm="1">
        <f t="array" ref="K366">VLOOKUP($A366,Table_ship_components[],COLUMN(K:K),0)</f>
        <v>0</v>
      </c>
      <c r="L366" cm="1">
        <f t="array" ref="L366">VLOOKUP($A366,Table_ship_components[],COLUMN(L:L),0)</f>
        <v>0</v>
      </c>
      <c r="M366" cm="1">
        <f t="array" ref="M366">VLOOKUP($A366,Table_ship_components[],COLUMN(M:M),0)</f>
        <v>0</v>
      </c>
      <c r="N366" cm="1">
        <f t="array" ref="N366">VLOOKUP($A366,Table_ship_components[],COLUMN(N:N),0)</f>
        <v>0</v>
      </c>
      <c r="O366" cm="1">
        <f t="array" ref="O366">VLOOKUP($A366,Table_ship_components[],COLUMN(O:O),0)</f>
        <v>1</v>
      </c>
      <c r="P366" cm="1">
        <f t="array" ref="P366">VLOOKUP($A366,Table_ship_components[],COLUMN(P:P),0)</f>
        <v>0</v>
      </c>
      <c r="Q366" cm="1">
        <f t="array" ref="Q366">VLOOKUP($A366,Table_ship_components[],COLUMN(Q:Q),0)</f>
        <v>0</v>
      </c>
      <c r="R366" cm="1">
        <f t="array" ref="R366">VLOOKUP($A366,Table_ship_components[],COLUMN(R:R),0)</f>
        <v>0</v>
      </c>
      <c r="S366" cm="1">
        <f t="array" ref="S366">VLOOKUP($A366,Table_ship_components[],COLUMN(S:S),0)</f>
        <v>0</v>
      </c>
      <c r="T366" cm="1">
        <f t="array" ref="T366">VLOOKUP($A366,Table_ship_components[],COLUMN(T:T),0)</f>
        <v>0</v>
      </c>
      <c r="U366" cm="1">
        <f t="array" ref="U366">VLOOKUP($A366,Table_ship_components[],COLUMN(U:U),0)</f>
        <v>1</v>
      </c>
      <c r="V366" cm="1">
        <f t="array" ref="V366">VLOOKUP($A366,Table_ship_components[],COLUMN(V:V),0)</f>
        <v>1</v>
      </c>
      <c r="W366" s="15" cm="1">
        <f t="array" ref="W366">VLOOKUP($A366,Table_ship_components[],COLUMN(W:W),0)</f>
        <v>125000</v>
      </c>
      <c r="X366" cm="1">
        <f t="array" ref="X366">VLOOKUP($A366,Table_ship_components[],COLUMN(X:X),0)</f>
        <v>1</v>
      </c>
      <c r="Y366" cm="1">
        <f t="array" ref="Y366">VLOOKUP($A366,Table_ship_components[],COLUMN(Y:Y),0)</f>
        <v>0</v>
      </c>
      <c r="Z366" cm="1">
        <f t="array" ref="Z366">VLOOKUP($A366,Table_ship_components[],COLUMN(Z:Z),0)</f>
        <v>0</v>
      </c>
      <c r="AA366" cm="1">
        <f t="array" ref="AA366">VLOOKUP($A366,Table_ship_components[],COLUMN(AA:AA),0)*C366</f>
        <v>0</v>
      </c>
      <c r="AB366">
        <f t="shared" ref="AB366:AB375" si="25">IF(A366="CARGOSPACE_0-ALL_0-UNIVERSAL",C366,0)</f>
        <v>0</v>
      </c>
      <c r="AC366" cm="1">
        <f t="array" ref="AC366">VLOOKUP($A366,Table_ship_components[],COLUMN(AC:AC),0)*C366</f>
        <v>5</v>
      </c>
      <c r="AD366" cm="1">
        <f t="array" ref="AD366">VLOOKUP($A366,Table_ship_components[],COLUMN(AD:AD),0)</f>
        <v>100</v>
      </c>
      <c r="AE366" cm="1">
        <f t="array" ref="AE366">VLOOKUP($A366,Table_ship_components[],COLUMN(AE:AE),0)</f>
        <v>0</v>
      </c>
      <c r="AF366" cm="1">
        <f t="array" ref="AF366">VLOOKUP($A366,Table_ship_components[],COLUMN(AF:AF),0)</f>
        <v>0</v>
      </c>
      <c r="AG366" cm="1">
        <f t="array" ref="AG366">VLOOKUP($A366,Table_ship_components[],COLUMN(AG:AG),0)</f>
        <v>0</v>
      </c>
      <c r="AH366" cm="1">
        <f t="array" ref="AH366">VLOOKUP($A366,Table_ship_components[],COLUMN(AH:AH),0)</f>
        <v>0</v>
      </c>
      <c r="AI366" cm="1">
        <f t="array" ref="AI366">VLOOKUP($A366,Table_ship_components[],COLUMN(AI:AI),0)</f>
        <v>0</v>
      </c>
      <c r="AJ366" cm="1">
        <f t="array" ref="AJ366">VLOOKUP($A366,Table_ship_components[],COLUMN(AJ:AJ),0)</f>
        <v>0</v>
      </c>
      <c r="AK366" cm="1">
        <f t="array" ref="AK366">VLOOKUP($A366,Table_ship_components[],COLUMN(AK:AK),0)</f>
        <v>0</v>
      </c>
      <c r="AL366" cm="1">
        <f t="array" ref="AL366">VLOOKUP($A366,Table_ship_components[],COLUMN(AL:AL),0)</f>
        <v>0</v>
      </c>
      <c r="AM366" cm="1">
        <f t="array" ref="AM366">VLOOKUP($A366,Table_ship_components[],COLUMN(AM:AM),0)</f>
        <v>0</v>
      </c>
      <c r="AN366" cm="1">
        <f t="array" ref="AN366">VLOOKUP($A366,Table_ship_components[],COLUMN(AN:AN),0)</f>
        <v>0</v>
      </c>
      <c r="AO366" cm="1">
        <f t="array" ref="AO366">VLOOKUP($A366,Table_ship_components[],COLUMN(AO:AO),0)</f>
        <v>0</v>
      </c>
      <c r="AP366" cm="1">
        <f t="array" ref="AP366">VLOOKUP($A366,Table_ship_components[],COLUMN(AP:AP),0)</f>
        <v>0</v>
      </c>
      <c r="AQ366" cm="1">
        <f t="array" ref="AQ366">VLOOKUP($A366,Table_ship_components[],COLUMN(AQ:AQ),0)</f>
        <v>0</v>
      </c>
      <c r="AR366" cm="1">
        <f t="array" ref="AR366">VLOOKUP($A366,Table_ship_components[],COLUMN(AR:AR),0)</f>
        <v>0</v>
      </c>
      <c r="AS366" cm="1">
        <f t="array" ref="AS366">VLOOKUP($A366,Table_ship_components[],COLUMN(AS:AS),0)</f>
        <v>0</v>
      </c>
      <c r="AT366" cm="1">
        <f t="array" ref="AT366">VLOOKUP($A366,Table_ship_components[],COLUMN(AT:AT),0)</f>
        <v>0</v>
      </c>
      <c r="AU366" s="2" cm="1">
        <f t="array" ref="AU366">VLOOKUP($A366,Table_ship_components[],COLUMN(AU:AU),0)</f>
        <v>0</v>
      </c>
      <c r="AV366" s="2" cm="1">
        <f t="array" ref="AV366">VLOOKUP($A366,Table_ship_components[],COLUMN(AV:AV),0)</f>
        <v>0</v>
      </c>
      <c r="AW366" s="2" cm="1">
        <f t="array" ref="AW366">VLOOKUP($A366,Table_ship_components[],COLUMN(AW:AW),0)</f>
        <v>0</v>
      </c>
      <c r="AX366" s="2" cm="1">
        <f t="array" ref="AX366">VLOOKUP($A366,Table_ship_components[],COLUMN(AX:AX),0)</f>
        <v>0</v>
      </c>
      <c r="AY366" s="2" cm="1">
        <f t="array" ref="AY366">VLOOKUP($A366,Table_ship_components[],COLUMN(AY:AY),0)</f>
        <v>0</v>
      </c>
      <c r="AZ366" s="2" t="str" cm="1">
        <f t="array" ref="AZ366">VLOOKUP($A366,Table_ship_components[],COLUMN(AZ:AZ),0)</f>
        <v>C</v>
      </c>
      <c r="BA366" s="14" cm="1">
        <f t="array" ref="BA366">VLOOKUP($A366,Table_ship_components[],COLUMN(BA:BA),0)</f>
        <v>1250000</v>
      </c>
      <c r="BB366" s="14" cm="1">
        <f t="array" ref="BB366">(VLOOKUP($A366,Table_ship_components[],COLUMN(BA:BA),0)+(W366*C366))</f>
        <v>1875000</v>
      </c>
      <c r="BC366" s="2" cm="1">
        <f t="array" ref="BC366">VLOOKUP($A366,Table_ship_components[],COLUMN(BC:BC),0)</f>
        <v>0</v>
      </c>
      <c r="BD366" s="2" cm="1">
        <f t="array" ref="BD366">VLOOKUP($A366,Table_ship_components[],COLUMN(BD:BD),0)</f>
        <v>0</v>
      </c>
    </row>
    <row r="367" spans="1:56" outlineLevel="1" x14ac:dyDescent="0.35">
      <c r="A367" t="s">
        <v>404</v>
      </c>
      <c r="B367" t="str" cm="1">
        <f t="array" ref="B367">VLOOKUP($A367,Table_ship_components[],COLUMN(B:B),0)</f>
        <v>basic crew quatrters and accomodations</v>
      </c>
      <c r="C367" s="2">
        <v>5</v>
      </c>
      <c r="D367" cm="1">
        <f t="array" ref="D367">VLOOKUP($A367,Table_ship_components[],COLUMN(D:D),0)</f>
        <v>5</v>
      </c>
      <c r="E367" cm="1">
        <f t="array" ref="E367">ROUND(VLOOKUP($A367,Table_ship_components[],COLUMN(D:D),0)+(V367*C367),0)</f>
        <v>20</v>
      </c>
      <c r="F367" cm="1">
        <f t="array" ref="F367">VLOOKUP($A367,Table_ship_components[],COLUMN(F:F),0)</f>
        <v>2</v>
      </c>
      <c r="G367" cm="1">
        <f t="array" ref="G367">ROUND(VLOOKUP($A367,Table_ship_components[],COLUMN(G:G),0)+(X367*C367),0)</f>
        <v>7</v>
      </c>
      <c r="H367" cm="1">
        <f t="array" ref="H367">VLOOKUP($A367,Table_ship_components[],COLUMN(H:H),0)</f>
        <v>0</v>
      </c>
      <c r="I367" cm="1">
        <f t="array" ref="I367">VLOOKUP($A367,Table_ship_components[],COLUMN(I:I),0)</f>
        <v>0</v>
      </c>
      <c r="J367" cm="1">
        <f t="array" ref="J367">VLOOKUP($A367,Table_ship_components[],COLUMN(J:J),0)</f>
        <v>0</v>
      </c>
      <c r="K367" cm="1">
        <f t="array" ref="K367">VLOOKUP($A367,Table_ship_components[],COLUMN(K:K),0)</f>
        <v>0</v>
      </c>
      <c r="L367" cm="1">
        <f t="array" ref="L367">VLOOKUP($A367,Table_ship_components[],COLUMN(L:L),0)</f>
        <v>0</v>
      </c>
      <c r="M367" cm="1">
        <f t="array" ref="M367">VLOOKUP($A367,Table_ship_components[],COLUMN(M:M),0)</f>
        <v>0</v>
      </c>
      <c r="N367" cm="1">
        <f t="array" ref="N367">VLOOKUP($A367,Table_ship_components[],COLUMN(N:N),0)</f>
        <v>0</v>
      </c>
      <c r="O367" cm="1">
        <f t="array" ref="O367">VLOOKUP($A367,Table_ship_components[],COLUMN(O:O),0)</f>
        <v>1</v>
      </c>
      <c r="P367" cm="1">
        <f t="array" ref="P367">VLOOKUP($A367,Table_ship_components[],COLUMN(P:P),0)</f>
        <v>1</v>
      </c>
      <c r="Q367" cm="1">
        <f t="array" ref="Q367">VLOOKUP($A367,Table_ship_components[],COLUMN(Q:Q),0)</f>
        <v>1</v>
      </c>
      <c r="R367" cm="1">
        <f t="array" ref="R367">VLOOKUP($A367,Table_ship_components[],COLUMN(R:R),0)</f>
        <v>1</v>
      </c>
      <c r="S367" cm="1">
        <f t="array" ref="S367">VLOOKUP($A367,Table_ship_components[],COLUMN(S:S),0)</f>
        <v>1</v>
      </c>
      <c r="T367" cm="1">
        <f t="array" ref="T367">VLOOKUP($A367,Table_ship_components[],COLUMN(T:T),0)</f>
        <v>1</v>
      </c>
      <c r="U367" cm="1">
        <f t="array" ref="U367">VLOOKUP($A367,Table_ship_components[],COLUMN(U:U),0)</f>
        <v>1</v>
      </c>
      <c r="V367" cm="1">
        <f t="array" ref="V367">VLOOKUP($A367,Table_ship_components[],COLUMN(V:V),0)</f>
        <v>3</v>
      </c>
      <c r="W367" s="15" cm="1">
        <f t="array" ref="W367">VLOOKUP($A367,Table_ship_components[],COLUMN(W:W),0)</f>
        <v>50000</v>
      </c>
      <c r="X367" cm="1">
        <f t="array" ref="X367">VLOOKUP($A367,Table_ship_components[],COLUMN(X:X),0)</f>
        <v>1</v>
      </c>
      <c r="Y367" cm="1">
        <f t="array" ref="Y367">VLOOKUP($A367,Table_ship_components[],COLUMN(Y:Y),0)</f>
        <v>0</v>
      </c>
      <c r="Z367" cm="1">
        <f t="array" ref="Z367">VLOOKUP($A367,Table_ship_components[],COLUMN(Z:Z),0)</f>
        <v>0</v>
      </c>
      <c r="AA367" cm="1">
        <f t="array" ref="AA367">VLOOKUP($A367,Table_ship_components[],COLUMN(AA:AA),0)*C367</f>
        <v>0</v>
      </c>
      <c r="AB367">
        <f t="shared" si="25"/>
        <v>0</v>
      </c>
      <c r="AC367" cm="1">
        <f t="array" ref="AC367">VLOOKUP($A367,Table_ship_components[],COLUMN(AC:AC),0)*C367</f>
        <v>0</v>
      </c>
      <c r="AD367" cm="1">
        <f t="array" ref="AD367">VLOOKUP($A367,Table_ship_components[],COLUMN(AD:AD),0)</f>
        <v>0</v>
      </c>
      <c r="AE367" cm="1">
        <f t="array" ref="AE367">VLOOKUP($A367,Table_ship_components[],COLUMN(AE:AE),0)</f>
        <v>0</v>
      </c>
      <c r="AF367" cm="1">
        <f t="array" ref="AF367">VLOOKUP($A367,Table_ship_components[],COLUMN(AF:AF),0)</f>
        <v>0</v>
      </c>
      <c r="AG367" cm="1">
        <f t="array" ref="AG367">VLOOKUP($A367,Table_ship_components[],COLUMN(AG:AG),0)</f>
        <v>0</v>
      </c>
      <c r="AH367" cm="1">
        <f t="array" ref="AH367">VLOOKUP($A367,Table_ship_components[],COLUMN(AH:AH),0)</f>
        <v>0</v>
      </c>
      <c r="AI367" cm="1">
        <f t="array" ref="AI367">VLOOKUP($A367,Table_ship_components[],COLUMN(AI:AI),0)</f>
        <v>0</v>
      </c>
      <c r="AJ367" cm="1">
        <f t="array" ref="AJ367">VLOOKUP($A367,Table_ship_components[],COLUMN(AJ:AJ),0)</f>
        <v>0</v>
      </c>
      <c r="AK367" cm="1">
        <f t="array" ref="AK367">VLOOKUP($A367,Table_ship_components[],COLUMN(AK:AK),0)</f>
        <v>0</v>
      </c>
      <c r="AL367" cm="1">
        <f t="array" ref="AL367">VLOOKUP($A367,Table_ship_components[],COLUMN(AL:AL),0)</f>
        <v>0</v>
      </c>
      <c r="AM367" cm="1">
        <f t="array" ref="AM367">VLOOKUP($A367,Table_ship_components[],COLUMN(AM:AM),0)</f>
        <v>0</v>
      </c>
      <c r="AN367" cm="1">
        <f t="array" ref="AN367">VLOOKUP($A367,Table_ship_components[],COLUMN(AN:AN),0)</f>
        <v>0</v>
      </c>
      <c r="AO367" cm="1">
        <f t="array" ref="AO367">VLOOKUP($A367,Table_ship_components[],COLUMN(AO:AO),0)</f>
        <v>0</v>
      </c>
      <c r="AP367" cm="1">
        <f t="array" ref="AP367">VLOOKUP($A367,Table_ship_components[],COLUMN(AP:AP),0)</f>
        <v>0</v>
      </c>
      <c r="AQ367" cm="1">
        <f t="array" ref="AQ367">VLOOKUP($A367,Table_ship_components[],COLUMN(AQ:AQ),0)</f>
        <v>0</v>
      </c>
      <c r="AR367" cm="1">
        <f t="array" ref="AR367">VLOOKUP($A367,Table_ship_components[],COLUMN(AR:AR),0)</f>
        <v>0</v>
      </c>
      <c r="AS367" cm="1">
        <f t="array" ref="AS367">VLOOKUP($A367,Table_ship_components[],COLUMN(AS:AS),0)</f>
        <v>0</v>
      </c>
      <c r="AT367" cm="1">
        <f t="array" ref="AT367">VLOOKUP($A367,Table_ship_components[],COLUMN(AT:AT),0)</f>
        <v>0</v>
      </c>
      <c r="AU367" s="2" cm="1">
        <f t="array" ref="AU367">VLOOKUP($A367,Table_ship_components[],COLUMN(AU:AU),0)</f>
        <v>0</v>
      </c>
      <c r="AV367" s="2" cm="1">
        <f t="array" ref="AV367">VLOOKUP($A367,Table_ship_components[],COLUMN(AV:AV),0)</f>
        <v>0</v>
      </c>
      <c r="AW367" s="2" cm="1">
        <f t="array" ref="AW367">VLOOKUP($A367,Table_ship_components[],COLUMN(AW:AW),0)</f>
        <v>0</v>
      </c>
      <c r="AX367" s="2" cm="1">
        <f t="array" ref="AX367">VLOOKUP($A367,Table_ship_components[],COLUMN(AX:AX),0)</f>
        <v>0</v>
      </c>
      <c r="AY367" s="2" cm="1">
        <f t="array" ref="AY367">VLOOKUP($A367,Table_ship_components[],COLUMN(AY:AY),0)</f>
        <v>0</v>
      </c>
      <c r="AZ367" s="2" t="str" cm="1">
        <f t="array" ref="AZ367">VLOOKUP($A367,Table_ship_components[],COLUMN(AZ:AZ),0)</f>
        <v>C</v>
      </c>
      <c r="BA367" s="14" cm="1">
        <f t="array" ref="BA367">VLOOKUP($A367,Table_ship_components[],COLUMN(BA:BA),0)</f>
        <v>80000</v>
      </c>
      <c r="BB367" s="14" cm="1">
        <f t="array" ref="BB367">(VLOOKUP($A367,Table_ship_components[],COLUMN(BA:BA),0)+(W367*C367))</f>
        <v>330000</v>
      </c>
      <c r="BC367" s="2" cm="1">
        <f t="array" ref="BC367">VLOOKUP($A367,Table_ship_components[],COLUMN(BC:BC),0)</f>
        <v>0</v>
      </c>
      <c r="BD367" s="2" cm="1">
        <f t="array" ref="BD367">VLOOKUP($A367,Table_ship_components[],COLUMN(BD:BD),0)</f>
        <v>0</v>
      </c>
    </row>
    <row r="368" spans="1:56" outlineLevel="1" x14ac:dyDescent="0.35">
      <c r="A368" t="s">
        <v>358</v>
      </c>
      <c r="B368" t="str" cm="1">
        <f t="array" ref="B368">VLOOKUP($A368,Table_ship_components[],COLUMN(B:B),0)</f>
        <v>average corvette hull</v>
      </c>
      <c r="D368" cm="1">
        <f t="array" ref="D368">VLOOKUP($A368,Table_ship_components[],COLUMN(D:D),0)</f>
        <v>0</v>
      </c>
      <c r="E368" cm="1">
        <f t="array" ref="E368">ROUND(VLOOKUP($A368,Table_ship_components[],COLUMN(D:D),0)+(V368*C368),0)</f>
        <v>0</v>
      </c>
      <c r="F368" cm="1">
        <f t="array" ref="F368">VLOOKUP($A368,Table_ship_components[],COLUMN(F:F),0)</f>
        <v>0</v>
      </c>
      <c r="G368" cm="1">
        <f t="array" ref="G368">ROUND(VLOOKUP($A368,Table_ship_components[],COLUMN(G:G),0)+(X368*C368),0)</f>
        <v>0</v>
      </c>
      <c r="H368" cm="1">
        <f t="array" ref="H368">VLOOKUP($A368,Table_ship_components[],COLUMN(H:H),0)</f>
        <v>0</v>
      </c>
      <c r="I368" cm="1">
        <f t="array" ref="I368">VLOOKUP($A368,Table_ship_components[],COLUMN(I:I),0)</f>
        <v>0</v>
      </c>
      <c r="J368" cm="1">
        <f t="array" ref="J368">VLOOKUP($A368,Table_ship_components[],COLUMN(J:J),0)</f>
        <v>0</v>
      </c>
      <c r="K368" cm="1">
        <f t="array" ref="K368">VLOOKUP($A368,Table_ship_components[],COLUMN(K:K),0)</f>
        <v>0</v>
      </c>
      <c r="L368" cm="1">
        <f t="array" ref="L368">VLOOKUP($A368,Table_ship_components[],COLUMN(L:L),0)</f>
        <v>0</v>
      </c>
      <c r="M368" cm="1">
        <f t="array" ref="M368">VLOOKUP($A368,Table_ship_components[],COLUMN(M:M),0)</f>
        <v>0</v>
      </c>
      <c r="N368" cm="1">
        <f t="array" ref="N368">VLOOKUP($A368,Table_ship_components[],COLUMN(N:N),0)</f>
        <v>0</v>
      </c>
      <c r="O368" cm="1">
        <f t="array" ref="O368">VLOOKUP($A368,Table_ship_components[],COLUMN(O:O),0)</f>
        <v>1</v>
      </c>
      <c r="P368" cm="1">
        <f t="array" ref="P368">VLOOKUP($A368,Table_ship_components[],COLUMN(P:P),0)</f>
        <v>0</v>
      </c>
      <c r="Q368" cm="1">
        <f t="array" ref="Q368">VLOOKUP($A368,Table_ship_components[],COLUMN(Q:Q),0)</f>
        <v>0</v>
      </c>
      <c r="R368" cm="1">
        <f t="array" ref="R368">VLOOKUP($A368,Table_ship_components[],COLUMN(R:R),0)</f>
        <v>0</v>
      </c>
      <c r="S368" cm="1">
        <f t="array" ref="S368">VLOOKUP($A368,Table_ship_components[],COLUMN(S:S),0)</f>
        <v>0</v>
      </c>
      <c r="T368" cm="1">
        <f t="array" ref="T368">VLOOKUP($A368,Table_ship_components[],COLUMN(T:T),0)</f>
        <v>0</v>
      </c>
      <c r="U368" cm="1">
        <f t="array" ref="U368">VLOOKUP($A368,Table_ship_components[],COLUMN(U:U),0)</f>
        <v>0</v>
      </c>
      <c r="V368" cm="1">
        <f t="array" ref="V368">VLOOKUP($A368,Table_ship_components[],COLUMN(V:V),0)</f>
        <v>0</v>
      </c>
      <c r="W368" s="15" cm="1">
        <f t="array" ref="W368">VLOOKUP($A368,Table_ship_components[],COLUMN(W:W),0)</f>
        <v>0</v>
      </c>
      <c r="X368" cm="1">
        <f t="array" ref="X368">VLOOKUP($A368,Table_ship_components[],COLUMN(X:X),0)</f>
        <v>0</v>
      </c>
      <c r="Y368" cm="1">
        <f t="array" ref="Y368">VLOOKUP($A368,Table_ship_components[],COLUMN(Y:Y),0)</f>
        <v>0</v>
      </c>
      <c r="Z368" cm="1">
        <f t="array" ref="Z368">VLOOKUP($A368,Table_ship_components[],COLUMN(Z:Z),0)</f>
        <v>0</v>
      </c>
      <c r="AA368" cm="1">
        <f t="array" ref="AA368">VLOOKUP($A368,Table_ship_components[],COLUMN(AA:AA),0)*C368</f>
        <v>0</v>
      </c>
      <c r="AB368">
        <f t="shared" si="25"/>
        <v>0</v>
      </c>
      <c r="AC368" cm="1">
        <f t="array" ref="AC368">VLOOKUP($A368,Table_ship_components[],COLUMN(AC:AC),0)*C368</f>
        <v>0</v>
      </c>
      <c r="AD368" cm="1">
        <f t="array" ref="AD368">VLOOKUP($A368,Table_ship_components[],COLUMN(AD:AD),0)</f>
        <v>0</v>
      </c>
      <c r="AE368" cm="1">
        <f t="array" ref="AE368">VLOOKUP($A368,Table_ship_components[],COLUMN(AE:AE),0)</f>
        <v>0</v>
      </c>
      <c r="AF368" cm="1">
        <f t="array" ref="AF368">VLOOKUP($A368,Table_ship_components[],COLUMN(AF:AF),0)</f>
        <v>0</v>
      </c>
      <c r="AG368" cm="1">
        <f t="array" ref="AG368">VLOOKUP($A368,Table_ship_components[],COLUMN(AG:AG),0)</f>
        <v>0</v>
      </c>
      <c r="AH368" cm="1">
        <f t="array" ref="AH368">VLOOKUP($A368,Table_ship_components[],COLUMN(AH:AH),0)</f>
        <v>0</v>
      </c>
      <c r="AI368" cm="1">
        <f t="array" ref="AI368">VLOOKUP($A368,Table_ship_components[],COLUMN(AI:AI),0)</f>
        <v>0</v>
      </c>
      <c r="AJ368" cm="1">
        <f t="array" ref="AJ368">VLOOKUP($A368,Table_ship_components[],COLUMN(AJ:AJ),0)</f>
        <v>0</v>
      </c>
      <c r="AK368" cm="1">
        <f t="array" ref="AK368">VLOOKUP($A368,Table_ship_components[],COLUMN(AK:AK),0)</f>
        <v>0</v>
      </c>
      <c r="AL368" cm="1">
        <f t="array" ref="AL368">VLOOKUP($A368,Table_ship_components[],COLUMN(AL:AL),0)</f>
        <v>0</v>
      </c>
      <c r="AM368" cm="1">
        <f t="array" ref="AM368">VLOOKUP($A368,Table_ship_components[],COLUMN(AM:AM),0)</f>
        <v>0</v>
      </c>
      <c r="AN368" cm="1">
        <f t="array" ref="AN368">VLOOKUP($A368,Table_ship_components[],COLUMN(AN:AN),0)</f>
        <v>0</v>
      </c>
      <c r="AO368" cm="1">
        <f t="array" ref="AO368">VLOOKUP($A368,Table_ship_components[],COLUMN(AO:AO),0)</f>
        <v>0</v>
      </c>
      <c r="AP368" cm="1">
        <f t="array" ref="AP368">VLOOKUP($A368,Table_ship_components[],COLUMN(AP:AP),0)</f>
        <v>0</v>
      </c>
      <c r="AQ368" cm="1">
        <f t="array" ref="AQ368">VLOOKUP($A368,Table_ship_components[],COLUMN(AQ:AQ),0)</f>
        <v>0</v>
      </c>
      <c r="AR368" cm="1">
        <f t="array" ref="AR368">VLOOKUP($A368,Table_ship_components[],COLUMN(AR:AR),0)</f>
        <v>0</v>
      </c>
      <c r="AS368" cm="1">
        <f t="array" ref="AS368">VLOOKUP($A368,Table_ship_components[],COLUMN(AS:AS),0)</f>
        <v>0</v>
      </c>
      <c r="AT368" cm="1">
        <f t="array" ref="AT368">VLOOKUP($A368,Table_ship_components[],COLUMN(AT:AT),0)</f>
        <v>0</v>
      </c>
      <c r="AU368" s="2" cm="1">
        <f t="array" ref="AU368">VLOOKUP($A368,Table_ship_components[],COLUMN(AU:AU),0)</f>
        <v>0</v>
      </c>
      <c r="AV368" s="2" cm="1">
        <f t="array" ref="AV368">VLOOKUP($A368,Table_ship_components[],COLUMN(AV:AV),0)</f>
        <v>0</v>
      </c>
      <c r="AW368" s="2" cm="1">
        <f t="array" ref="AW368">VLOOKUP($A368,Table_ship_components[],COLUMN(AW:AW),0)</f>
        <v>0</v>
      </c>
      <c r="AX368" s="2" cm="1">
        <f t="array" ref="AX368">VLOOKUP($A368,Table_ship_components[],COLUMN(AX:AX),0)</f>
        <v>0</v>
      </c>
      <c r="AY368" s="2" cm="1">
        <f t="array" ref="AY368">VLOOKUP($A368,Table_ship_components[],COLUMN(AY:AY),0)</f>
        <v>0</v>
      </c>
      <c r="AZ368" s="2" t="str" cm="1">
        <f t="array" ref="AZ368">VLOOKUP($A368,Table_ship_components[],COLUMN(AZ:AZ),0)</f>
        <v>C</v>
      </c>
      <c r="BA368" s="14" cm="1">
        <f t="array" ref="BA368">VLOOKUP($A368,Table_ship_components[],COLUMN(BA:BA),0)</f>
        <v>1000000</v>
      </c>
      <c r="BB368" s="14" cm="1">
        <f t="array" ref="BB368">(VLOOKUP($A368,Table_ship_components[],COLUMN(BA:BA),0)+(W368*C368))</f>
        <v>1000000</v>
      </c>
      <c r="BC368" s="2" cm="1">
        <f t="array" ref="BC368">VLOOKUP($A368,Table_ship_components[],COLUMN(BC:BC),0)</f>
        <v>0</v>
      </c>
      <c r="BD368" s="2" cm="1">
        <f t="array" ref="BD368">VLOOKUP($A368,Table_ship_components[],COLUMN(BD:BD),0)</f>
        <v>0</v>
      </c>
    </row>
    <row r="369" spans="1:56" outlineLevel="1" x14ac:dyDescent="0.35">
      <c r="A369" t="s">
        <v>315</v>
      </c>
      <c r="B369" t="str" cm="1">
        <f t="array" ref="B369">VLOOKUP($A369,Table_ship_components[],COLUMN(B:B),0)</f>
        <v>cargo space (1 HUGE item per unit)</v>
      </c>
      <c r="C369" s="2">
        <v>4</v>
      </c>
      <c r="D369" cm="1">
        <f t="array" ref="D369">VLOOKUP($A369,Table_ship_components[],COLUMN(D:D),0)</f>
        <v>0</v>
      </c>
      <c r="E369" cm="1">
        <f t="array" ref="E369">ROUND(VLOOKUP($A369,Table_ship_components[],COLUMN(D:D),0)+(V369*C369),0)</f>
        <v>4</v>
      </c>
      <c r="F369" cm="1">
        <f t="array" ref="F369">VLOOKUP($A369,Table_ship_components[],COLUMN(F:F),0)</f>
        <v>0</v>
      </c>
      <c r="G369" cm="1">
        <f t="array" ref="G369">ROUND(VLOOKUP($A369,Table_ship_components[],COLUMN(G:G),0)+(X369*C369),0)</f>
        <v>0</v>
      </c>
      <c r="H369" cm="1">
        <f t="array" ref="H369">VLOOKUP($A369,Table_ship_components[],COLUMN(H:H),0)</f>
        <v>0</v>
      </c>
      <c r="I369" cm="1">
        <f t="array" ref="I369">VLOOKUP($A369,Table_ship_components[],COLUMN(I:I),0)</f>
        <v>0</v>
      </c>
      <c r="J369" cm="1">
        <f t="array" ref="J369">VLOOKUP($A369,Table_ship_components[],COLUMN(J:J),0)</f>
        <v>0</v>
      </c>
      <c r="K369" cm="1">
        <f t="array" ref="K369">VLOOKUP($A369,Table_ship_components[],COLUMN(K:K),0)</f>
        <v>0</v>
      </c>
      <c r="L369" cm="1">
        <f t="array" ref="L369">VLOOKUP($A369,Table_ship_components[],COLUMN(L:L),0)</f>
        <v>0</v>
      </c>
      <c r="M369" cm="1">
        <f t="array" ref="M369">VLOOKUP($A369,Table_ship_components[],COLUMN(M:M),0)</f>
        <v>0</v>
      </c>
      <c r="N369" cm="1">
        <f t="array" ref="N369">VLOOKUP($A369,Table_ship_components[],COLUMN(N:N),0)</f>
        <v>1</v>
      </c>
      <c r="O369" cm="1">
        <f t="array" ref="O369">VLOOKUP($A369,Table_ship_components[],COLUMN(O:O),0)</f>
        <v>1</v>
      </c>
      <c r="P369" cm="1">
        <f t="array" ref="P369">VLOOKUP($A369,Table_ship_components[],COLUMN(P:P),0)</f>
        <v>1</v>
      </c>
      <c r="Q369" cm="1">
        <f t="array" ref="Q369">VLOOKUP($A369,Table_ship_components[],COLUMN(Q:Q),0)</f>
        <v>1</v>
      </c>
      <c r="R369" cm="1">
        <f t="array" ref="R369">VLOOKUP($A369,Table_ship_components[],COLUMN(R:R),0)</f>
        <v>1</v>
      </c>
      <c r="S369" cm="1">
        <f t="array" ref="S369">VLOOKUP($A369,Table_ship_components[],COLUMN(S:S),0)</f>
        <v>1</v>
      </c>
      <c r="T369" cm="1">
        <f t="array" ref="T369">VLOOKUP($A369,Table_ship_components[],COLUMN(T:T),0)</f>
        <v>1</v>
      </c>
      <c r="U369" cm="1">
        <f t="array" ref="U369">VLOOKUP($A369,Table_ship_components[],COLUMN(U:U),0)</f>
        <v>1</v>
      </c>
      <c r="V369" cm="1">
        <f t="array" ref="V369">VLOOKUP($A369,Table_ship_components[],COLUMN(V:V),0)</f>
        <v>1</v>
      </c>
      <c r="W369" s="15" cm="1">
        <f t="array" ref="W369">VLOOKUP($A369,Table_ship_components[],COLUMN(W:W),0)</f>
        <v>5000</v>
      </c>
      <c r="X369" cm="1">
        <f t="array" ref="X369">VLOOKUP($A369,Table_ship_components[],COLUMN(X:X),0)</f>
        <v>0</v>
      </c>
      <c r="Y369" cm="1">
        <f t="array" ref="Y369">VLOOKUP($A369,Table_ship_components[],COLUMN(Y:Y),0)</f>
        <v>0</v>
      </c>
      <c r="Z369" cm="1">
        <f t="array" ref="Z369">VLOOKUP($A369,Table_ship_components[],COLUMN(Z:Z),0)</f>
        <v>0</v>
      </c>
      <c r="AA369" cm="1">
        <f t="array" ref="AA369">VLOOKUP($A369,Table_ship_components[],COLUMN(AA:AA),0)*C369</f>
        <v>0</v>
      </c>
      <c r="AB369">
        <f t="shared" si="25"/>
        <v>4</v>
      </c>
      <c r="AC369" cm="1">
        <f t="array" ref="AC369">VLOOKUP($A369,Table_ship_components[],COLUMN(AC:AC),0)*C369</f>
        <v>0</v>
      </c>
      <c r="AD369" cm="1">
        <f t="array" ref="AD369">VLOOKUP($A369,Table_ship_components[],COLUMN(AD:AD),0)</f>
        <v>0</v>
      </c>
      <c r="AE369" cm="1">
        <f t="array" ref="AE369">VLOOKUP($A369,Table_ship_components[],COLUMN(AE:AE),0)</f>
        <v>0</v>
      </c>
      <c r="AF369" cm="1">
        <f t="array" ref="AF369">VLOOKUP($A369,Table_ship_components[],COLUMN(AF:AF),0)</f>
        <v>0</v>
      </c>
      <c r="AG369" cm="1">
        <f t="array" ref="AG369">VLOOKUP($A369,Table_ship_components[],COLUMN(AG:AG),0)</f>
        <v>0</v>
      </c>
      <c r="AH369" cm="1">
        <f t="array" ref="AH369">VLOOKUP($A369,Table_ship_components[],COLUMN(AH:AH),0)</f>
        <v>0</v>
      </c>
      <c r="AI369" cm="1">
        <f t="array" ref="AI369">VLOOKUP($A369,Table_ship_components[],COLUMN(AI:AI),0)</f>
        <v>0</v>
      </c>
      <c r="AJ369" cm="1">
        <f t="array" ref="AJ369">VLOOKUP($A369,Table_ship_components[],COLUMN(AJ:AJ),0)</f>
        <v>0</v>
      </c>
      <c r="AK369" cm="1">
        <f t="array" ref="AK369">VLOOKUP($A369,Table_ship_components[],COLUMN(AK:AK),0)</f>
        <v>0</v>
      </c>
      <c r="AL369" cm="1">
        <f t="array" ref="AL369">VLOOKUP($A369,Table_ship_components[],COLUMN(AL:AL),0)</f>
        <v>0</v>
      </c>
      <c r="AM369" cm="1">
        <f t="array" ref="AM369">VLOOKUP($A369,Table_ship_components[],COLUMN(AM:AM),0)</f>
        <v>0</v>
      </c>
      <c r="AN369" cm="1">
        <f t="array" ref="AN369">VLOOKUP($A369,Table_ship_components[],COLUMN(AN:AN),0)</f>
        <v>0</v>
      </c>
      <c r="AO369" cm="1">
        <f t="array" ref="AO369">VLOOKUP($A369,Table_ship_components[],COLUMN(AO:AO),0)</f>
        <v>0</v>
      </c>
      <c r="AP369" cm="1">
        <f t="array" ref="AP369">VLOOKUP($A369,Table_ship_components[],COLUMN(AP:AP),0)</f>
        <v>0</v>
      </c>
      <c r="AQ369" cm="1">
        <f t="array" ref="AQ369">VLOOKUP($A369,Table_ship_components[],COLUMN(AQ:AQ),0)</f>
        <v>0</v>
      </c>
      <c r="AR369" cm="1">
        <f t="array" ref="AR369">VLOOKUP($A369,Table_ship_components[],COLUMN(AR:AR),0)</f>
        <v>0</v>
      </c>
      <c r="AS369" cm="1">
        <f t="array" ref="AS369">VLOOKUP($A369,Table_ship_components[],COLUMN(AS:AS),0)</f>
        <v>0</v>
      </c>
      <c r="AT369" cm="1">
        <f t="array" ref="AT369">VLOOKUP($A369,Table_ship_components[],COLUMN(AT:AT),0)</f>
        <v>0</v>
      </c>
      <c r="AU369" s="2" cm="1">
        <f t="array" ref="AU369">VLOOKUP($A369,Table_ship_components[],COLUMN(AU:AU),0)</f>
        <v>0</v>
      </c>
      <c r="AV369" s="2" cm="1">
        <f t="array" ref="AV369">VLOOKUP($A369,Table_ship_components[],COLUMN(AV:AV),0)</f>
        <v>0</v>
      </c>
      <c r="AW369" s="2" cm="1">
        <f t="array" ref="AW369">VLOOKUP($A369,Table_ship_components[],COLUMN(AW:AW),0)</f>
        <v>0</v>
      </c>
      <c r="AX369" s="2" cm="1">
        <f t="array" ref="AX369">VLOOKUP($A369,Table_ship_components[],COLUMN(AX:AX),0)</f>
        <v>0</v>
      </c>
      <c r="AY369" s="2" cm="1">
        <f t="array" ref="AY369">VLOOKUP($A369,Table_ship_components[],COLUMN(AY:AY),0)</f>
        <v>0</v>
      </c>
      <c r="AZ369" s="2" t="str" cm="1">
        <f t="array" ref="AZ369">VLOOKUP($A369,Table_ship_components[],COLUMN(AZ:AZ),0)</f>
        <v>C</v>
      </c>
      <c r="BA369" s="14" cm="1">
        <f t="array" ref="BA369">VLOOKUP($A369,Table_ship_components[],COLUMN(BA:BA),0)</f>
        <v>5000</v>
      </c>
      <c r="BB369" s="14" cm="1">
        <f t="array" ref="BB369">(VLOOKUP($A369,Table_ship_components[],COLUMN(BA:BA),0)+(W369*C369))</f>
        <v>25000</v>
      </c>
      <c r="BC369" s="2" cm="1">
        <f t="array" ref="BC369">VLOOKUP($A369,Table_ship_components[],COLUMN(BC:BC),0)</f>
        <v>0</v>
      </c>
      <c r="BD369" s="2" cm="1">
        <f t="array" ref="BD369">VLOOKUP($A369,Table_ship_components[],COLUMN(BD:BD),0)</f>
        <v>0</v>
      </c>
    </row>
    <row r="370" spans="1:56" outlineLevel="1" x14ac:dyDescent="0.35">
      <c r="A370" t="s">
        <v>288</v>
      </c>
      <c r="B370" t="str" cm="1">
        <f t="array" ref="B370">VLOOKUP($A370,Table_ship_components[],COLUMN(B:B),0)</f>
        <v>PICK A COMPONENT</v>
      </c>
      <c r="D370" cm="1">
        <f t="array" ref="D370">VLOOKUP($A370,Table_ship_components[],COLUMN(D:D),0)</f>
        <v>0</v>
      </c>
      <c r="E370" cm="1">
        <f t="array" ref="E370">ROUND(VLOOKUP($A370,Table_ship_components[],COLUMN(D:D),0)+(V370*C370),0)</f>
        <v>0</v>
      </c>
      <c r="F370" cm="1">
        <f t="array" ref="F370">VLOOKUP($A370,Table_ship_components[],COLUMN(F:F),0)</f>
        <v>0</v>
      </c>
      <c r="G370" cm="1">
        <f t="array" ref="G370">ROUND(VLOOKUP($A370,Table_ship_components[],COLUMN(G:G),0)+(X370*C370),0)</f>
        <v>0</v>
      </c>
      <c r="H370" cm="1">
        <f t="array" ref="H370">VLOOKUP($A370,Table_ship_components[],COLUMN(H:H),0)</f>
        <v>0</v>
      </c>
      <c r="I370" cm="1">
        <f t="array" ref="I370">VLOOKUP($A370,Table_ship_components[],COLUMN(I:I),0)</f>
        <v>0</v>
      </c>
      <c r="J370" cm="1">
        <f t="array" ref="J370">VLOOKUP($A370,Table_ship_components[],COLUMN(J:J),0)</f>
        <v>0</v>
      </c>
      <c r="K370" cm="1">
        <f t="array" ref="K370">VLOOKUP($A370,Table_ship_components[],COLUMN(K:K),0)</f>
        <v>0</v>
      </c>
      <c r="L370" cm="1">
        <f t="array" ref="L370">VLOOKUP($A370,Table_ship_components[],COLUMN(L:L),0)</f>
        <v>0</v>
      </c>
      <c r="M370" cm="1">
        <f t="array" ref="M370">VLOOKUP($A370,Table_ship_components[],COLUMN(M:M),0)</f>
        <v>0</v>
      </c>
      <c r="N370" cm="1">
        <f t="array" ref="N370">VLOOKUP($A370,Table_ship_components[],COLUMN(N:N),0)</f>
        <v>0</v>
      </c>
      <c r="O370" cm="1">
        <f t="array" ref="O370">VLOOKUP($A370,Table_ship_components[],COLUMN(O:O),0)</f>
        <v>0</v>
      </c>
      <c r="P370" cm="1">
        <f t="array" ref="P370">VLOOKUP($A370,Table_ship_components[],COLUMN(P:P),0)</f>
        <v>0</v>
      </c>
      <c r="Q370" cm="1">
        <f t="array" ref="Q370">VLOOKUP($A370,Table_ship_components[],COLUMN(Q:Q),0)</f>
        <v>0</v>
      </c>
      <c r="R370" cm="1">
        <f t="array" ref="R370">VLOOKUP($A370,Table_ship_components[],COLUMN(R:R),0)</f>
        <v>0</v>
      </c>
      <c r="S370" cm="1">
        <f t="array" ref="S370">VLOOKUP($A370,Table_ship_components[],COLUMN(S:S),0)</f>
        <v>0</v>
      </c>
      <c r="T370" cm="1">
        <f t="array" ref="T370">VLOOKUP($A370,Table_ship_components[],COLUMN(T:T),0)</f>
        <v>0</v>
      </c>
      <c r="U370" cm="1">
        <f t="array" ref="U370">VLOOKUP($A370,Table_ship_components[],COLUMN(U:U),0)</f>
        <v>0</v>
      </c>
      <c r="V370" cm="1">
        <f t="array" ref="V370">VLOOKUP($A370,Table_ship_components[],COLUMN(V:V),0)</f>
        <v>0</v>
      </c>
      <c r="W370" s="15" cm="1">
        <f t="array" ref="W370">VLOOKUP($A370,Table_ship_components[],COLUMN(W:W),0)</f>
        <v>0</v>
      </c>
      <c r="X370" cm="1">
        <f t="array" ref="X370">VLOOKUP($A370,Table_ship_components[],COLUMN(X:X),0)</f>
        <v>0</v>
      </c>
      <c r="Y370" cm="1">
        <f t="array" ref="Y370">VLOOKUP($A370,Table_ship_components[],COLUMN(Y:Y),0)</f>
        <v>0</v>
      </c>
      <c r="Z370" cm="1">
        <f t="array" ref="Z370">VLOOKUP($A370,Table_ship_components[],COLUMN(Z:Z),0)</f>
        <v>0</v>
      </c>
      <c r="AA370" cm="1">
        <f t="array" ref="AA370">VLOOKUP($A370,Table_ship_components[],COLUMN(AA:AA),0)*C370</f>
        <v>0</v>
      </c>
      <c r="AB370">
        <f t="shared" si="25"/>
        <v>0</v>
      </c>
      <c r="AC370" cm="1">
        <f t="array" ref="AC370">VLOOKUP($A370,Table_ship_components[],COLUMN(AC:AC),0)*C370</f>
        <v>0</v>
      </c>
      <c r="AD370" cm="1">
        <f t="array" ref="AD370">VLOOKUP($A370,Table_ship_components[],COLUMN(AD:AD),0)</f>
        <v>0</v>
      </c>
      <c r="AE370" cm="1">
        <f t="array" ref="AE370">VLOOKUP($A370,Table_ship_components[],COLUMN(AE:AE),0)</f>
        <v>0</v>
      </c>
      <c r="AF370" cm="1">
        <f t="array" ref="AF370">VLOOKUP($A370,Table_ship_components[],COLUMN(AF:AF),0)</f>
        <v>0</v>
      </c>
      <c r="AG370" cm="1">
        <f t="array" ref="AG370">VLOOKUP($A370,Table_ship_components[],COLUMN(AG:AG),0)</f>
        <v>0</v>
      </c>
      <c r="AH370" cm="1">
        <f t="array" ref="AH370">VLOOKUP($A370,Table_ship_components[],COLUMN(AH:AH),0)</f>
        <v>0</v>
      </c>
      <c r="AI370" cm="1">
        <f t="array" ref="AI370">VLOOKUP($A370,Table_ship_components[],COLUMN(AI:AI),0)</f>
        <v>0</v>
      </c>
      <c r="AJ370" cm="1">
        <f t="array" ref="AJ370">VLOOKUP($A370,Table_ship_components[],COLUMN(AJ:AJ),0)</f>
        <v>0</v>
      </c>
      <c r="AK370" cm="1">
        <f t="array" ref="AK370">VLOOKUP($A370,Table_ship_components[],COLUMN(AK:AK),0)</f>
        <v>0</v>
      </c>
      <c r="AL370" cm="1">
        <f t="array" ref="AL370">VLOOKUP($A370,Table_ship_components[],COLUMN(AL:AL),0)</f>
        <v>0</v>
      </c>
      <c r="AM370" cm="1">
        <f t="array" ref="AM370">VLOOKUP($A370,Table_ship_components[],COLUMN(AM:AM),0)</f>
        <v>0</v>
      </c>
      <c r="AN370" cm="1">
        <f t="array" ref="AN370">VLOOKUP($A370,Table_ship_components[],COLUMN(AN:AN),0)</f>
        <v>0</v>
      </c>
      <c r="AO370" cm="1">
        <f t="array" ref="AO370">VLOOKUP($A370,Table_ship_components[],COLUMN(AO:AO),0)</f>
        <v>0</v>
      </c>
      <c r="AP370" cm="1">
        <f t="array" ref="AP370">VLOOKUP($A370,Table_ship_components[],COLUMN(AP:AP),0)</f>
        <v>0</v>
      </c>
      <c r="AQ370" cm="1">
        <f t="array" ref="AQ370">VLOOKUP($A370,Table_ship_components[],COLUMN(AQ:AQ),0)</f>
        <v>0</v>
      </c>
      <c r="AR370" cm="1">
        <f t="array" ref="AR370">VLOOKUP($A370,Table_ship_components[],COLUMN(AR:AR),0)</f>
        <v>0</v>
      </c>
      <c r="AS370" cm="1">
        <f t="array" ref="AS370">VLOOKUP($A370,Table_ship_components[],COLUMN(AS:AS),0)</f>
        <v>0</v>
      </c>
      <c r="AT370" cm="1">
        <f t="array" ref="AT370">VLOOKUP($A370,Table_ship_components[],COLUMN(AT:AT),0)</f>
        <v>0</v>
      </c>
      <c r="AU370" s="2" cm="1">
        <f t="array" ref="AU370">VLOOKUP($A370,Table_ship_components[],COLUMN(AU:AU),0)</f>
        <v>0</v>
      </c>
      <c r="AV370" s="2" cm="1">
        <f t="array" ref="AV370">VLOOKUP($A370,Table_ship_components[],COLUMN(AV:AV),0)</f>
        <v>0</v>
      </c>
      <c r="AW370" s="2" cm="1">
        <f t="array" ref="AW370">VLOOKUP($A370,Table_ship_components[],COLUMN(AW:AW),0)</f>
        <v>0</v>
      </c>
      <c r="AX370" s="2" cm="1">
        <f t="array" ref="AX370">VLOOKUP($A370,Table_ship_components[],COLUMN(AX:AX),0)</f>
        <v>0</v>
      </c>
      <c r="AY370" s="2" cm="1">
        <f t="array" ref="AY370">VLOOKUP($A370,Table_ship_components[],COLUMN(AY:AY),0)</f>
        <v>0</v>
      </c>
      <c r="AZ370" s="2" t="str" cm="1">
        <f t="array" ref="AZ370">VLOOKUP($A370,Table_ship_components[],COLUMN(AZ:AZ),0)</f>
        <v>C</v>
      </c>
      <c r="BA370" s="14" cm="1">
        <f t="array" ref="BA370">VLOOKUP($A370,Table_ship_components[],COLUMN(BA:BA),0)</f>
        <v>0</v>
      </c>
      <c r="BB370" s="14" cm="1">
        <f t="array" ref="BB370">(VLOOKUP($A370,Table_ship_components[],COLUMN(BA:BA),0)+(W370*C370))</f>
        <v>0</v>
      </c>
      <c r="BC370" s="2" cm="1">
        <f t="array" ref="BC370">VLOOKUP($A370,Table_ship_components[],COLUMN(BC:BC),0)</f>
        <v>0</v>
      </c>
      <c r="BD370" s="2" cm="1">
        <f t="array" ref="BD370">VLOOKUP($A370,Table_ship_components[],COLUMN(BD:BD),0)</f>
        <v>0</v>
      </c>
    </row>
    <row r="371" spans="1:56" outlineLevel="1" x14ac:dyDescent="0.35">
      <c r="A371" t="s">
        <v>346</v>
      </c>
      <c r="B371" t="str" cm="1">
        <f t="array" ref="B371">VLOOKUP($A371,Table_ship_components[],COLUMN(B:B),0)</f>
        <v>average command bridge</v>
      </c>
      <c r="D371" cm="1">
        <f t="array" ref="D371">VLOOKUP($A371,Table_ship_components[],COLUMN(D:D),0)</f>
        <v>8</v>
      </c>
      <c r="E371" cm="1">
        <f t="array" ref="E371">ROUND(VLOOKUP($A371,Table_ship_components[],COLUMN(D:D),0)+(V371*C371),0)</f>
        <v>8</v>
      </c>
      <c r="F371" cm="1">
        <f t="array" ref="F371">VLOOKUP($A371,Table_ship_components[],COLUMN(F:F),0)</f>
        <v>8</v>
      </c>
      <c r="G371" cm="1">
        <f t="array" ref="G371">ROUND(VLOOKUP($A371,Table_ship_components[],COLUMN(G:G),0)+(X371*C371),0)</f>
        <v>8</v>
      </c>
      <c r="H371" cm="1">
        <f t="array" ref="H371">VLOOKUP($A371,Table_ship_components[],COLUMN(H:H),0)</f>
        <v>0</v>
      </c>
      <c r="I371" cm="1">
        <f t="array" ref="I371">VLOOKUP($A371,Table_ship_components[],COLUMN(I:I),0)</f>
        <v>0</v>
      </c>
      <c r="J371" cm="1">
        <f t="array" ref="J371">VLOOKUP($A371,Table_ship_components[],COLUMN(J:J),0)</f>
        <v>0</v>
      </c>
      <c r="K371" cm="1">
        <f t="array" ref="K371">VLOOKUP($A371,Table_ship_components[],COLUMN(K:K),0)</f>
        <v>0</v>
      </c>
      <c r="L371" cm="1">
        <f t="array" ref="L371">VLOOKUP($A371,Table_ship_components[],COLUMN(L:L),0)</f>
        <v>0</v>
      </c>
      <c r="M371" cm="1">
        <f t="array" ref="M371">VLOOKUP($A371,Table_ship_components[],COLUMN(M:M),0)</f>
        <v>0</v>
      </c>
      <c r="N371" cm="1">
        <f t="array" ref="N371">VLOOKUP($A371,Table_ship_components[],COLUMN(N:N),0)</f>
        <v>0</v>
      </c>
      <c r="O371" cm="1">
        <f t="array" ref="O371">VLOOKUP($A371,Table_ship_components[],COLUMN(O:O),0)</f>
        <v>1</v>
      </c>
      <c r="P371" cm="1">
        <f t="array" ref="P371">VLOOKUP($A371,Table_ship_components[],COLUMN(P:P),0)</f>
        <v>0</v>
      </c>
      <c r="Q371" cm="1">
        <f t="array" ref="Q371">VLOOKUP($A371,Table_ship_components[],COLUMN(Q:Q),0)</f>
        <v>0</v>
      </c>
      <c r="R371" cm="1">
        <f t="array" ref="R371">VLOOKUP($A371,Table_ship_components[],COLUMN(R:R),0)</f>
        <v>0</v>
      </c>
      <c r="S371" cm="1">
        <f t="array" ref="S371">VLOOKUP($A371,Table_ship_components[],COLUMN(S:S),0)</f>
        <v>0</v>
      </c>
      <c r="T371" cm="1">
        <f t="array" ref="T371">VLOOKUP($A371,Table_ship_components[],COLUMN(T:T),0)</f>
        <v>0</v>
      </c>
      <c r="U371" cm="1">
        <f t="array" ref="U371">VLOOKUP($A371,Table_ship_components[],COLUMN(U:U),0)</f>
        <v>0</v>
      </c>
      <c r="V371" cm="1">
        <f t="array" ref="V371">VLOOKUP($A371,Table_ship_components[],COLUMN(V:V),0)</f>
        <v>0</v>
      </c>
      <c r="W371" s="15" cm="1">
        <f t="array" ref="W371">VLOOKUP($A371,Table_ship_components[],COLUMN(W:W),0)</f>
        <v>0</v>
      </c>
      <c r="X371" cm="1">
        <f t="array" ref="X371">VLOOKUP($A371,Table_ship_components[],COLUMN(X:X),0)</f>
        <v>0</v>
      </c>
      <c r="Y371" cm="1">
        <f t="array" ref="Y371">VLOOKUP($A371,Table_ship_components[],COLUMN(Y:Y),0)</f>
        <v>0</v>
      </c>
      <c r="Z371" cm="1">
        <f t="array" ref="Z371">VLOOKUP($A371,Table_ship_components[],COLUMN(Z:Z),0)</f>
        <v>0</v>
      </c>
      <c r="AA371" cm="1">
        <f t="array" ref="AA371">VLOOKUP($A371,Table_ship_components[],COLUMN(AA:AA),0)*C371</f>
        <v>0</v>
      </c>
      <c r="AB371">
        <f t="shared" si="25"/>
        <v>0</v>
      </c>
      <c r="AC371" cm="1">
        <f t="array" ref="AC371">VLOOKUP($A371,Table_ship_components[],COLUMN(AC:AC),0)*C371</f>
        <v>0</v>
      </c>
      <c r="AD371" cm="1">
        <f t="array" ref="AD371">VLOOKUP($A371,Table_ship_components[],COLUMN(AD:AD),0)</f>
        <v>0</v>
      </c>
      <c r="AE371" cm="1">
        <f t="array" ref="AE371">VLOOKUP($A371,Table_ship_components[],COLUMN(AE:AE),0)</f>
        <v>0</v>
      </c>
      <c r="AF371" cm="1">
        <f t="array" ref="AF371">VLOOKUP($A371,Table_ship_components[],COLUMN(AF:AF),0)</f>
        <v>0</v>
      </c>
      <c r="AG371" cm="1">
        <f t="array" ref="AG371">VLOOKUP($A371,Table_ship_components[],COLUMN(AG:AG),0)</f>
        <v>0</v>
      </c>
      <c r="AH371" cm="1">
        <f t="array" ref="AH371">VLOOKUP($A371,Table_ship_components[],COLUMN(AH:AH),0)</f>
        <v>0</v>
      </c>
      <c r="AI371" cm="1">
        <f t="array" ref="AI371">VLOOKUP($A371,Table_ship_components[],COLUMN(AI:AI),0)</f>
        <v>0</v>
      </c>
      <c r="AJ371" cm="1">
        <f t="array" ref="AJ371">VLOOKUP($A371,Table_ship_components[],COLUMN(AJ:AJ),0)</f>
        <v>0</v>
      </c>
      <c r="AK371" cm="1">
        <f t="array" ref="AK371">VLOOKUP($A371,Table_ship_components[],COLUMN(AK:AK),0)</f>
        <v>0</v>
      </c>
      <c r="AL371" cm="1">
        <f t="array" ref="AL371">VLOOKUP($A371,Table_ship_components[],COLUMN(AL:AL),0)</f>
        <v>0</v>
      </c>
      <c r="AM371" cm="1">
        <f t="array" ref="AM371">VLOOKUP($A371,Table_ship_components[],COLUMN(AM:AM),0)</f>
        <v>0</v>
      </c>
      <c r="AN371" cm="1">
        <f t="array" ref="AN371">VLOOKUP($A371,Table_ship_components[],COLUMN(AN:AN),0)</f>
        <v>0</v>
      </c>
      <c r="AO371" cm="1">
        <f t="array" ref="AO371">VLOOKUP($A371,Table_ship_components[],COLUMN(AO:AO),0)</f>
        <v>0</v>
      </c>
      <c r="AP371" cm="1">
        <f t="array" ref="AP371">VLOOKUP($A371,Table_ship_components[],COLUMN(AP:AP),0)</f>
        <v>0</v>
      </c>
      <c r="AQ371" cm="1">
        <f t="array" ref="AQ371">VLOOKUP($A371,Table_ship_components[],COLUMN(AQ:AQ),0)</f>
        <v>0</v>
      </c>
      <c r="AR371" cm="1">
        <f t="array" ref="AR371">VLOOKUP($A371,Table_ship_components[],COLUMN(AR:AR),0)</f>
        <v>0</v>
      </c>
      <c r="AS371" cm="1">
        <f t="array" ref="AS371">VLOOKUP($A371,Table_ship_components[],COLUMN(AS:AS),0)</f>
        <v>0</v>
      </c>
      <c r="AT371" cm="1">
        <f t="array" ref="AT371">VLOOKUP($A371,Table_ship_components[],COLUMN(AT:AT),0)</f>
        <v>0</v>
      </c>
      <c r="AU371" s="2" cm="1">
        <f t="array" ref="AU371">VLOOKUP($A371,Table_ship_components[],COLUMN(AU:AU),0)</f>
        <v>0</v>
      </c>
      <c r="AV371" s="2" cm="1">
        <f t="array" ref="AV371">VLOOKUP($A371,Table_ship_components[],COLUMN(AV:AV),0)</f>
        <v>0</v>
      </c>
      <c r="AW371" s="2" cm="1">
        <f t="array" ref="AW371">VLOOKUP($A371,Table_ship_components[],COLUMN(AW:AW),0)</f>
        <v>0</v>
      </c>
      <c r="AX371" s="2" cm="1">
        <f t="array" ref="AX371">VLOOKUP($A371,Table_ship_components[],COLUMN(AX:AX),0)</f>
        <v>0</v>
      </c>
      <c r="AY371" s="2" cm="1">
        <f t="array" ref="AY371">VLOOKUP($A371,Table_ship_components[],COLUMN(AY:AY),0)</f>
        <v>0</v>
      </c>
      <c r="AZ371" s="2" t="str" cm="1">
        <f t="array" ref="AZ371">VLOOKUP($A371,Table_ship_components[],COLUMN(AZ:AZ),0)</f>
        <v>C</v>
      </c>
      <c r="BA371" s="14" cm="1">
        <f t="array" ref="BA371">VLOOKUP($A371,Table_ship_components[],COLUMN(BA:BA),0)</f>
        <v>250000</v>
      </c>
      <c r="BB371" s="14" cm="1">
        <f t="array" ref="BB371">(VLOOKUP($A371,Table_ship_components[],COLUMN(BA:BA),0)+(W371*C371))</f>
        <v>250000</v>
      </c>
      <c r="BC371" s="2" cm="1">
        <f t="array" ref="BC371">VLOOKUP($A371,Table_ship_components[],COLUMN(BC:BC),0)</f>
        <v>0</v>
      </c>
      <c r="BD371" s="2" cm="1">
        <f t="array" ref="BD371">VLOOKUP($A371,Table_ship_components[],COLUMN(BD:BD),0)</f>
        <v>0</v>
      </c>
    </row>
    <row r="372" spans="1:56" outlineLevel="1" x14ac:dyDescent="0.35">
      <c r="A372" t="s">
        <v>288</v>
      </c>
      <c r="B372" t="str" cm="1">
        <f t="array" ref="B372">VLOOKUP($A372,Table_ship_components[],COLUMN(B:B),0)</f>
        <v>PICK A COMPONENT</v>
      </c>
      <c r="D372" cm="1">
        <f t="array" ref="D372">VLOOKUP($A372,Table_ship_components[],COLUMN(D:D),0)</f>
        <v>0</v>
      </c>
      <c r="E372" cm="1">
        <f t="array" ref="E372">ROUND(VLOOKUP($A372,Table_ship_components[],COLUMN(D:D),0)+(V372*C372),0)</f>
        <v>0</v>
      </c>
      <c r="F372" cm="1">
        <f t="array" ref="F372">VLOOKUP($A372,Table_ship_components[],COLUMN(F:F),0)</f>
        <v>0</v>
      </c>
      <c r="G372" cm="1">
        <f t="array" ref="G372">ROUND(VLOOKUP($A372,Table_ship_components[],COLUMN(G:G),0)+(X372*C372),0)</f>
        <v>0</v>
      </c>
      <c r="H372" cm="1">
        <f t="array" ref="H372">VLOOKUP($A372,Table_ship_components[],COLUMN(H:H),0)</f>
        <v>0</v>
      </c>
      <c r="I372" cm="1">
        <f t="array" ref="I372">VLOOKUP($A372,Table_ship_components[],COLUMN(I:I),0)</f>
        <v>0</v>
      </c>
      <c r="J372" cm="1">
        <f t="array" ref="J372">VLOOKUP($A372,Table_ship_components[],COLUMN(J:J),0)</f>
        <v>0</v>
      </c>
      <c r="K372" cm="1">
        <f t="array" ref="K372">VLOOKUP($A372,Table_ship_components[],COLUMN(K:K),0)</f>
        <v>0</v>
      </c>
      <c r="L372" cm="1">
        <f t="array" ref="L372">VLOOKUP($A372,Table_ship_components[],COLUMN(L:L),0)</f>
        <v>0</v>
      </c>
      <c r="M372" cm="1">
        <f t="array" ref="M372">VLOOKUP($A372,Table_ship_components[],COLUMN(M:M),0)</f>
        <v>0</v>
      </c>
      <c r="N372" cm="1">
        <f t="array" ref="N372">VLOOKUP($A372,Table_ship_components[],COLUMN(N:N),0)</f>
        <v>0</v>
      </c>
      <c r="O372" cm="1">
        <f t="array" ref="O372">VLOOKUP($A372,Table_ship_components[],COLUMN(O:O),0)</f>
        <v>0</v>
      </c>
      <c r="P372" cm="1">
        <f t="array" ref="P372">VLOOKUP($A372,Table_ship_components[],COLUMN(P:P),0)</f>
        <v>0</v>
      </c>
      <c r="Q372" cm="1">
        <f t="array" ref="Q372">VLOOKUP($A372,Table_ship_components[],COLUMN(Q:Q),0)</f>
        <v>0</v>
      </c>
      <c r="R372" cm="1">
        <f t="array" ref="R372">VLOOKUP($A372,Table_ship_components[],COLUMN(R:R),0)</f>
        <v>0</v>
      </c>
      <c r="S372" cm="1">
        <f t="array" ref="S372">VLOOKUP($A372,Table_ship_components[],COLUMN(S:S),0)</f>
        <v>0</v>
      </c>
      <c r="T372" cm="1">
        <f t="array" ref="T372">VLOOKUP($A372,Table_ship_components[],COLUMN(T:T),0)</f>
        <v>0</v>
      </c>
      <c r="U372" cm="1">
        <f t="array" ref="U372">VLOOKUP($A372,Table_ship_components[],COLUMN(U:U),0)</f>
        <v>0</v>
      </c>
      <c r="V372" cm="1">
        <f t="array" ref="V372">VLOOKUP($A372,Table_ship_components[],COLUMN(V:V),0)</f>
        <v>0</v>
      </c>
      <c r="W372" s="15" cm="1">
        <f t="array" ref="W372">VLOOKUP($A372,Table_ship_components[],COLUMN(W:W),0)</f>
        <v>0</v>
      </c>
      <c r="X372" cm="1">
        <f t="array" ref="X372">VLOOKUP($A372,Table_ship_components[],COLUMN(X:X),0)</f>
        <v>0</v>
      </c>
      <c r="Y372" cm="1">
        <f t="array" ref="Y372">VLOOKUP($A372,Table_ship_components[],COLUMN(Y:Y),0)</f>
        <v>0</v>
      </c>
      <c r="Z372" cm="1">
        <f t="array" ref="Z372">VLOOKUP($A372,Table_ship_components[],COLUMN(Z:Z),0)</f>
        <v>0</v>
      </c>
      <c r="AA372" cm="1">
        <f t="array" ref="AA372">VLOOKUP($A372,Table_ship_components[],COLUMN(AA:AA),0)*C372</f>
        <v>0</v>
      </c>
      <c r="AB372">
        <f t="shared" si="25"/>
        <v>0</v>
      </c>
      <c r="AC372" cm="1">
        <f t="array" ref="AC372">VLOOKUP($A372,Table_ship_components[],COLUMN(AC:AC),0)*C372</f>
        <v>0</v>
      </c>
      <c r="AD372" cm="1">
        <f t="array" ref="AD372">VLOOKUP($A372,Table_ship_components[],COLUMN(AD:AD),0)</f>
        <v>0</v>
      </c>
      <c r="AE372" cm="1">
        <f t="array" ref="AE372">VLOOKUP($A372,Table_ship_components[],COLUMN(AE:AE),0)</f>
        <v>0</v>
      </c>
      <c r="AF372" cm="1">
        <f t="array" ref="AF372">VLOOKUP($A372,Table_ship_components[],COLUMN(AF:AF),0)</f>
        <v>0</v>
      </c>
      <c r="AG372" cm="1">
        <f t="array" ref="AG372">VLOOKUP($A372,Table_ship_components[],COLUMN(AG:AG),0)</f>
        <v>0</v>
      </c>
      <c r="AH372" cm="1">
        <f t="array" ref="AH372">VLOOKUP($A372,Table_ship_components[],COLUMN(AH:AH),0)</f>
        <v>0</v>
      </c>
      <c r="AI372" cm="1">
        <f t="array" ref="AI372">VLOOKUP($A372,Table_ship_components[],COLUMN(AI:AI),0)</f>
        <v>0</v>
      </c>
      <c r="AJ372" cm="1">
        <f t="array" ref="AJ372">VLOOKUP($A372,Table_ship_components[],COLUMN(AJ:AJ),0)</f>
        <v>0</v>
      </c>
      <c r="AK372" cm="1">
        <f t="array" ref="AK372">VLOOKUP($A372,Table_ship_components[],COLUMN(AK:AK),0)</f>
        <v>0</v>
      </c>
      <c r="AL372" cm="1">
        <f t="array" ref="AL372">VLOOKUP($A372,Table_ship_components[],COLUMN(AL:AL),0)</f>
        <v>0</v>
      </c>
      <c r="AM372" cm="1">
        <f t="array" ref="AM372">VLOOKUP($A372,Table_ship_components[],COLUMN(AM:AM),0)</f>
        <v>0</v>
      </c>
      <c r="AN372" cm="1">
        <f t="array" ref="AN372">VLOOKUP($A372,Table_ship_components[],COLUMN(AN:AN),0)</f>
        <v>0</v>
      </c>
      <c r="AO372" cm="1">
        <f t="array" ref="AO372">VLOOKUP($A372,Table_ship_components[],COLUMN(AO:AO),0)</f>
        <v>0</v>
      </c>
      <c r="AP372" cm="1">
        <f t="array" ref="AP372">VLOOKUP($A372,Table_ship_components[],COLUMN(AP:AP),0)</f>
        <v>0</v>
      </c>
      <c r="AQ372" cm="1">
        <f t="array" ref="AQ372">VLOOKUP($A372,Table_ship_components[],COLUMN(AQ:AQ),0)</f>
        <v>0</v>
      </c>
      <c r="AR372" cm="1">
        <f t="array" ref="AR372">VLOOKUP($A372,Table_ship_components[],COLUMN(AR:AR),0)</f>
        <v>0</v>
      </c>
      <c r="AS372" cm="1">
        <f t="array" ref="AS372">VLOOKUP($A372,Table_ship_components[],COLUMN(AS:AS),0)</f>
        <v>0</v>
      </c>
      <c r="AT372" cm="1">
        <f t="array" ref="AT372">VLOOKUP($A372,Table_ship_components[],COLUMN(AT:AT),0)</f>
        <v>0</v>
      </c>
      <c r="AU372" s="2" cm="1">
        <f t="array" ref="AU372">VLOOKUP($A372,Table_ship_components[],COLUMN(AU:AU),0)</f>
        <v>0</v>
      </c>
      <c r="AV372" s="2" cm="1">
        <f t="array" ref="AV372">VLOOKUP($A372,Table_ship_components[],COLUMN(AV:AV),0)</f>
        <v>0</v>
      </c>
      <c r="AW372" s="2" cm="1">
        <f t="array" ref="AW372">VLOOKUP($A372,Table_ship_components[],COLUMN(AW:AW),0)</f>
        <v>0</v>
      </c>
      <c r="AX372" s="2" cm="1">
        <f t="array" ref="AX372">VLOOKUP($A372,Table_ship_components[],COLUMN(AX:AX),0)</f>
        <v>0</v>
      </c>
      <c r="AY372" s="2" cm="1">
        <f t="array" ref="AY372">VLOOKUP($A372,Table_ship_components[],COLUMN(AY:AY),0)</f>
        <v>0</v>
      </c>
      <c r="AZ372" s="2" t="str" cm="1">
        <f t="array" ref="AZ372">VLOOKUP($A372,Table_ship_components[],COLUMN(AZ:AZ),0)</f>
        <v>C</v>
      </c>
      <c r="BA372" s="14" cm="1">
        <f t="array" ref="BA372">VLOOKUP($A372,Table_ship_components[],COLUMN(BA:BA),0)</f>
        <v>0</v>
      </c>
      <c r="BB372" s="14" cm="1">
        <f t="array" ref="BB372">(VLOOKUP($A372,Table_ship_components[],COLUMN(BA:BA),0)+(W372*C372))</f>
        <v>0</v>
      </c>
      <c r="BC372" s="2" cm="1">
        <f t="array" ref="BC372">VLOOKUP($A372,Table_ship_components[],COLUMN(BC:BC),0)</f>
        <v>0</v>
      </c>
      <c r="BD372" s="2" cm="1">
        <f t="array" ref="BD372">VLOOKUP($A372,Table_ship_components[],COLUMN(BD:BD),0)</f>
        <v>0</v>
      </c>
    </row>
    <row r="373" spans="1:56" outlineLevel="1" x14ac:dyDescent="0.35">
      <c r="A373" t="s">
        <v>288</v>
      </c>
      <c r="B373" t="str" cm="1">
        <f t="array" ref="B373">VLOOKUP($A373,Table_ship_components[],COLUMN(B:B),0)</f>
        <v>PICK A COMPONENT</v>
      </c>
      <c r="D373" cm="1">
        <f t="array" ref="D373">VLOOKUP($A373,Table_ship_components[],COLUMN(D:D),0)</f>
        <v>0</v>
      </c>
      <c r="E373" cm="1">
        <f t="array" ref="E373">ROUND(VLOOKUP($A373,Table_ship_components[],COLUMN(D:D),0)+(V373*C373),0)</f>
        <v>0</v>
      </c>
      <c r="F373" cm="1">
        <f t="array" ref="F373">VLOOKUP($A373,Table_ship_components[],COLUMN(F:F),0)</f>
        <v>0</v>
      </c>
      <c r="G373" cm="1">
        <f t="array" ref="G373">ROUND(VLOOKUP($A373,Table_ship_components[],COLUMN(G:G),0)+(X373*C373),0)</f>
        <v>0</v>
      </c>
      <c r="H373" cm="1">
        <f t="array" ref="H373">VLOOKUP($A373,Table_ship_components[],COLUMN(H:H),0)</f>
        <v>0</v>
      </c>
      <c r="I373" cm="1">
        <f t="array" ref="I373">VLOOKUP($A373,Table_ship_components[],COLUMN(I:I),0)</f>
        <v>0</v>
      </c>
      <c r="J373" cm="1">
        <f t="array" ref="J373">VLOOKUP($A373,Table_ship_components[],COLUMN(J:J),0)</f>
        <v>0</v>
      </c>
      <c r="K373" cm="1">
        <f t="array" ref="K373">VLOOKUP($A373,Table_ship_components[],COLUMN(K:K),0)</f>
        <v>0</v>
      </c>
      <c r="L373" cm="1">
        <f t="array" ref="L373">VLOOKUP($A373,Table_ship_components[],COLUMN(L:L),0)</f>
        <v>0</v>
      </c>
      <c r="M373" cm="1">
        <f t="array" ref="M373">VLOOKUP($A373,Table_ship_components[],COLUMN(M:M),0)</f>
        <v>0</v>
      </c>
      <c r="N373" cm="1">
        <f t="array" ref="N373">VLOOKUP($A373,Table_ship_components[],COLUMN(N:N),0)</f>
        <v>0</v>
      </c>
      <c r="O373" cm="1">
        <f t="array" ref="O373">VLOOKUP($A373,Table_ship_components[],COLUMN(O:O),0)</f>
        <v>0</v>
      </c>
      <c r="P373" cm="1">
        <f t="array" ref="P373">VLOOKUP($A373,Table_ship_components[],COLUMN(P:P),0)</f>
        <v>0</v>
      </c>
      <c r="Q373" cm="1">
        <f t="array" ref="Q373">VLOOKUP($A373,Table_ship_components[],COLUMN(Q:Q),0)</f>
        <v>0</v>
      </c>
      <c r="R373" cm="1">
        <f t="array" ref="R373">VLOOKUP($A373,Table_ship_components[],COLUMN(R:R),0)</f>
        <v>0</v>
      </c>
      <c r="S373" cm="1">
        <f t="array" ref="S373">VLOOKUP($A373,Table_ship_components[],COLUMN(S:S),0)</f>
        <v>0</v>
      </c>
      <c r="T373" cm="1">
        <f t="array" ref="T373">VLOOKUP($A373,Table_ship_components[],COLUMN(T:T),0)</f>
        <v>0</v>
      </c>
      <c r="U373" cm="1">
        <f t="array" ref="U373">VLOOKUP($A373,Table_ship_components[],COLUMN(U:U),0)</f>
        <v>0</v>
      </c>
      <c r="V373" cm="1">
        <f t="array" ref="V373">VLOOKUP($A373,Table_ship_components[],COLUMN(V:V),0)</f>
        <v>0</v>
      </c>
      <c r="W373" s="15" cm="1">
        <f t="array" ref="W373">VLOOKUP($A373,Table_ship_components[],COLUMN(W:W),0)</f>
        <v>0</v>
      </c>
      <c r="X373" cm="1">
        <f t="array" ref="X373">VLOOKUP($A373,Table_ship_components[],COLUMN(X:X),0)</f>
        <v>0</v>
      </c>
      <c r="Y373" cm="1">
        <f t="array" ref="Y373">VLOOKUP($A373,Table_ship_components[],COLUMN(Y:Y),0)</f>
        <v>0</v>
      </c>
      <c r="Z373" cm="1">
        <f t="array" ref="Z373">VLOOKUP($A373,Table_ship_components[],COLUMN(Z:Z),0)</f>
        <v>0</v>
      </c>
      <c r="AA373" cm="1">
        <f t="array" ref="AA373">VLOOKUP($A373,Table_ship_components[],COLUMN(AA:AA),0)*C373</f>
        <v>0</v>
      </c>
      <c r="AB373">
        <f t="shared" si="25"/>
        <v>0</v>
      </c>
      <c r="AC373" cm="1">
        <f t="array" ref="AC373">VLOOKUP($A373,Table_ship_components[],COLUMN(AC:AC),0)*C373</f>
        <v>0</v>
      </c>
      <c r="AD373" cm="1">
        <f t="array" ref="AD373">VLOOKUP($A373,Table_ship_components[],COLUMN(AD:AD),0)</f>
        <v>0</v>
      </c>
      <c r="AE373" cm="1">
        <f t="array" ref="AE373">VLOOKUP($A373,Table_ship_components[],COLUMN(AE:AE),0)</f>
        <v>0</v>
      </c>
      <c r="AF373" cm="1">
        <f t="array" ref="AF373">VLOOKUP($A373,Table_ship_components[],COLUMN(AF:AF),0)</f>
        <v>0</v>
      </c>
      <c r="AG373" cm="1">
        <f t="array" ref="AG373">VLOOKUP($A373,Table_ship_components[],COLUMN(AG:AG),0)</f>
        <v>0</v>
      </c>
      <c r="AH373" cm="1">
        <f t="array" ref="AH373">VLOOKUP($A373,Table_ship_components[],COLUMN(AH:AH),0)</f>
        <v>0</v>
      </c>
      <c r="AI373" cm="1">
        <f t="array" ref="AI373">VLOOKUP($A373,Table_ship_components[],COLUMN(AI:AI),0)</f>
        <v>0</v>
      </c>
      <c r="AJ373" cm="1">
        <f t="array" ref="AJ373">VLOOKUP($A373,Table_ship_components[],COLUMN(AJ:AJ),0)</f>
        <v>0</v>
      </c>
      <c r="AK373" cm="1">
        <f t="array" ref="AK373">VLOOKUP($A373,Table_ship_components[],COLUMN(AK:AK),0)</f>
        <v>0</v>
      </c>
      <c r="AL373" cm="1">
        <f t="array" ref="AL373">VLOOKUP($A373,Table_ship_components[],COLUMN(AL:AL),0)</f>
        <v>0</v>
      </c>
      <c r="AM373" cm="1">
        <f t="array" ref="AM373">VLOOKUP($A373,Table_ship_components[],COLUMN(AM:AM),0)</f>
        <v>0</v>
      </c>
      <c r="AN373" cm="1">
        <f t="array" ref="AN373">VLOOKUP($A373,Table_ship_components[],COLUMN(AN:AN),0)</f>
        <v>0</v>
      </c>
      <c r="AO373" cm="1">
        <f t="array" ref="AO373">VLOOKUP($A373,Table_ship_components[],COLUMN(AO:AO),0)</f>
        <v>0</v>
      </c>
      <c r="AP373" cm="1">
        <f t="array" ref="AP373">VLOOKUP($A373,Table_ship_components[],COLUMN(AP:AP),0)</f>
        <v>0</v>
      </c>
      <c r="AQ373" cm="1">
        <f t="array" ref="AQ373">VLOOKUP($A373,Table_ship_components[],COLUMN(AQ:AQ),0)</f>
        <v>0</v>
      </c>
      <c r="AR373" cm="1">
        <f t="array" ref="AR373">VLOOKUP($A373,Table_ship_components[],COLUMN(AR:AR),0)</f>
        <v>0</v>
      </c>
      <c r="AS373" cm="1">
        <f t="array" ref="AS373">VLOOKUP($A373,Table_ship_components[],COLUMN(AS:AS),0)</f>
        <v>0</v>
      </c>
      <c r="AT373" cm="1">
        <f t="array" ref="AT373">VLOOKUP($A373,Table_ship_components[],COLUMN(AT:AT),0)</f>
        <v>0</v>
      </c>
      <c r="AU373" s="2" cm="1">
        <f t="array" ref="AU373">VLOOKUP($A373,Table_ship_components[],COLUMN(AU:AU),0)</f>
        <v>0</v>
      </c>
      <c r="AV373" s="2" cm="1">
        <f t="array" ref="AV373">VLOOKUP($A373,Table_ship_components[],COLUMN(AV:AV),0)</f>
        <v>0</v>
      </c>
      <c r="AW373" s="2" cm="1">
        <f t="array" ref="AW373">VLOOKUP($A373,Table_ship_components[],COLUMN(AW:AW),0)</f>
        <v>0</v>
      </c>
      <c r="AX373" s="2" cm="1">
        <f t="array" ref="AX373">VLOOKUP($A373,Table_ship_components[],COLUMN(AX:AX),0)</f>
        <v>0</v>
      </c>
      <c r="AY373" s="2" cm="1">
        <f t="array" ref="AY373">VLOOKUP($A373,Table_ship_components[],COLUMN(AY:AY),0)</f>
        <v>0</v>
      </c>
      <c r="AZ373" s="2" t="str" cm="1">
        <f t="array" ref="AZ373">VLOOKUP($A373,Table_ship_components[],COLUMN(AZ:AZ),0)</f>
        <v>C</v>
      </c>
      <c r="BA373" s="14" cm="1">
        <f t="array" ref="BA373">VLOOKUP($A373,Table_ship_components[],COLUMN(BA:BA),0)</f>
        <v>0</v>
      </c>
      <c r="BB373" s="14" cm="1">
        <f t="array" ref="BB373">(VLOOKUP($A373,Table_ship_components[],COLUMN(BA:BA),0)+(W373*C373))</f>
        <v>0</v>
      </c>
      <c r="BC373" s="2" cm="1">
        <f t="array" ref="BC373">VLOOKUP($A373,Table_ship_components[],COLUMN(BC:BC),0)</f>
        <v>0</v>
      </c>
      <c r="BD373" s="2" cm="1">
        <f t="array" ref="BD373">VLOOKUP($A373,Table_ship_components[],COLUMN(BD:BD),0)</f>
        <v>0</v>
      </c>
    </row>
    <row r="374" spans="1:56" outlineLevel="1" x14ac:dyDescent="0.35">
      <c r="A374" t="s">
        <v>288</v>
      </c>
      <c r="B374" t="str" cm="1">
        <f t="array" ref="B374">VLOOKUP($A374,Table_ship_components[],COLUMN(B:B),0)</f>
        <v>PICK A COMPONENT</v>
      </c>
      <c r="D374" cm="1">
        <f t="array" ref="D374">VLOOKUP($A374,Table_ship_components[],COLUMN(D:D),0)</f>
        <v>0</v>
      </c>
      <c r="E374" cm="1">
        <f t="array" ref="E374">ROUND(VLOOKUP($A374,Table_ship_components[],COLUMN(D:D),0)+(V374*C374),0)</f>
        <v>0</v>
      </c>
      <c r="F374" cm="1">
        <f t="array" ref="F374">VLOOKUP($A374,Table_ship_components[],COLUMN(F:F),0)</f>
        <v>0</v>
      </c>
      <c r="G374" cm="1">
        <f t="array" ref="G374">ROUND(VLOOKUP($A374,Table_ship_components[],COLUMN(G:G),0)+(X374*C374),0)</f>
        <v>0</v>
      </c>
      <c r="H374" cm="1">
        <f t="array" ref="H374">VLOOKUP($A374,Table_ship_components[],COLUMN(H:H),0)</f>
        <v>0</v>
      </c>
      <c r="I374" cm="1">
        <f t="array" ref="I374">VLOOKUP($A374,Table_ship_components[],COLUMN(I:I),0)</f>
        <v>0</v>
      </c>
      <c r="J374" cm="1">
        <f t="array" ref="J374">VLOOKUP($A374,Table_ship_components[],COLUMN(J:J),0)</f>
        <v>0</v>
      </c>
      <c r="K374" cm="1">
        <f t="array" ref="K374">VLOOKUP($A374,Table_ship_components[],COLUMN(K:K),0)</f>
        <v>0</v>
      </c>
      <c r="L374" cm="1">
        <f t="array" ref="L374">VLOOKUP($A374,Table_ship_components[],COLUMN(L:L),0)</f>
        <v>0</v>
      </c>
      <c r="M374" cm="1">
        <f t="array" ref="M374">VLOOKUP($A374,Table_ship_components[],COLUMN(M:M),0)</f>
        <v>0</v>
      </c>
      <c r="N374" cm="1">
        <f t="array" ref="N374">VLOOKUP($A374,Table_ship_components[],COLUMN(N:N),0)</f>
        <v>0</v>
      </c>
      <c r="O374" cm="1">
        <f t="array" ref="O374">VLOOKUP($A374,Table_ship_components[],COLUMN(O:O),0)</f>
        <v>0</v>
      </c>
      <c r="P374" cm="1">
        <f t="array" ref="P374">VLOOKUP($A374,Table_ship_components[],COLUMN(P:P),0)</f>
        <v>0</v>
      </c>
      <c r="Q374" cm="1">
        <f t="array" ref="Q374">VLOOKUP($A374,Table_ship_components[],COLUMN(Q:Q),0)</f>
        <v>0</v>
      </c>
      <c r="R374" cm="1">
        <f t="array" ref="R374">VLOOKUP($A374,Table_ship_components[],COLUMN(R:R),0)</f>
        <v>0</v>
      </c>
      <c r="S374" cm="1">
        <f t="array" ref="S374">VLOOKUP($A374,Table_ship_components[],COLUMN(S:S),0)</f>
        <v>0</v>
      </c>
      <c r="T374" cm="1">
        <f t="array" ref="T374">VLOOKUP($A374,Table_ship_components[],COLUMN(T:T),0)</f>
        <v>0</v>
      </c>
      <c r="U374" cm="1">
        <f t="array" ref="U374">VLOOKUP($A374,Table_ship_components[],COLUMN(U:U),0)</f>
        <v>0</v>
      </c>
      <c r="V374" cm="1">
        <f t="array" ref="V374">VLOOKUP($A374,Table_ship_components[],COLUMN(V:V),0)</f>
        <v>0</v>
      </c>
      <c r="W374" s="15" cm="1">
        <f t="array" ref="W374">VLOOKUP($A374,Table_ship_components[],COLUMN(W:W),0)</f>
        <v>0</v>
      </c>
      <c r="X374" cm="1">
        <f t="array" ref="X374">VLOOKUP($A374,Table_ship_components[],COLUMN(X:X),0)</f>
        <v>0</v>
      </c>
      <c r="Y374" cm="1">
        <f t="array" ref="Y374">VLOOKUP($A374,Table_ship_components[],COLUMN(Y:Y),0)</f>
        <v>0</v>
      </c>
      <c r="Z374" cm="1">
        <f t="array" ref="Z374">VLOOKUP($A374,Table_ship_components[],COLUMN(Z:Z),0)</f>
        <v>0</v>
      </c>
      <c r="AA374" cm="1">
        <f t="array" ref="AA374">VLOOKUP($A374,Table_ship_components[],COLUMN(AA:AA),0)*C374</f>
        <v>0</v>
      </c>
      <c r="AB374">
        <f t="shared" si="25"/>
        <v>0</v>
      </c>
      <c r="AC374" cm="1">
        <f t="array" ref="AC374">VLOOKUP($A374,Table_ship_components[],COLUMN(AC:AC),0)*C374</f>
        <v>0</v>
      </c>
      <c r="AD374" cm="1">
        <f t="array" ref="AD374">VLOOKUP($A374,Table_ship_components[],COLUMN(AD:AD),0)</f>
        <v>0</v>
      </c>
      <c r="AE374" cm="1">
        <f t="array" ref="AE374">VLOOKUP($A374,Table_ship_components[],COLUMN(AE:AE),0)</f>
        <v>0</v>
      </c>
      <c r="AF374" cm="1">
        <f t="array" ref="AF374">VLOOKUP($A374,Table_ship_components[],COLUMN(AF:AF),0)</f>
        <v>0</v>
      </c>
      <c r="AG374" cm="1">
        <f t="array" ref="AG374">VLOOKUP($A374,Table_ship_components[],COLUMN(AG:AG),0)</f>
        <v>0</v>
      </c>
      <c r="AH374" cm="1">
        <f t="array" ref="AH374">VLOOKUP($A374,Table_ship_components[],COLUMN(AH:AH),0)</f>
        <v>0</v>
      </c>
      <c r="AI374" cm="1">
        <f t="array" ref="AI374">VLOOKUP($A374,Table_ship_components[],COLUMN(AI:AI),0)</f>
        <v>0</v>
      </c>
      <c r="AJ374" cm="1">
        <f t="array" ref="AJ374">VLOOKUP($A374,Table_ship_components[],COLUMN(AJ:AJ),0)</f>
        <v>0</v>
      </c>
      <c r="AK374" cm="1">
        <f t="array" ref="AK374">VLOOKUP($A374,Table_ship_components[],COLUMN(AK:AK),0)</f>
        <v>0</v>
      </c>
      <c r="AL374" cm="1">
        <f t="array" ref="AL374">VLOOKUP($A374,Table_ship_components[],COLUMN(AL:AL),0)</f>
        <v>0</v>
      </c>
      <c r="AM374" cm="1">
        <f t="array" ref="AM374">VLOOKUP($A374,Table_ship_components[],COLUMN(AM:AM),0)</f>
        <v>0</v>
      </c>
      <c r="AN374" cm="1">
        <f t="array" ref="AN374">VLOOKUP($A374,Table_ship_components[],COLUMN(AN:AN),0)</f>
        <v>0</v>
      </c>
      <c r="AO374" cm="1">
        <f t="array" ref="AO374">VLOOKUP($A374,Table_ship_components[],COLUMN(AO:AO),0)</f>
        <v>0</v>
      </c>
      <c r="AP374" cm="1">
        <f t="array" ref="AP374">VLOOKUP($A374,Table_ship_components[],COLUMN(AP:AP),0)</f>
        <v>0</v>
      </c>
      <c r="AQ374" cm="1">
        <f t="array" ref="AQ374">VLOOKUP($A374,Table_ship_components[],COLUMN(AQ:AQ),0)</f>
        <v>0</v>
      </c>
      <c r="AR374" cm="1">
        <f t="array" ref="AR374">VLOOKUP($A374,Table_ship_components[],COLUMN(AR:AR),0)</f>
        <v>0</v>
      </c>
      <c r="AS374" cm="1">
        <f t="array" ref="AS374">VLOOKUP($A374,Table_ship_components[],COLUMN(AS:AS),0)</f>
        <v>0</v>
      </c>
      <c r="AT374" cm="1">
        <f t="array" ref="AT374">VLOOKUP($A374,Table_ship_components[],COLUMN(AT:AT),0)</f>
        <v>0</v>
      </c>
      <c r="AU374" s="2" cm="1">
        <f t="array" ref="AU374">VLOOKUP($A374,Table_ship_components[],COLUMN(AU:AU),0)</f>
        <v>0</v>
      </c>
      <c r="AV374" s="2" cm="1">
        <f t="array" ref="AV374">VLOOKUP($A374,Table_ship_components[],COLUMN(AV:AV),0)</f>
        <v>0</v>
      </c>
      <c r="AW374" s="2" cm="1">
        <f t="array" ref="AW374">VLOOKUP($A374,Table_ship_components[],COLUMN(AW:AW),0)</f>
        <v>0</v>
      </c>
      <c r="AX374" s="2" cm="1">
        <f t="array" ref="AX374">VLOOKUP($A374,Table_ship_components[],COLUMN(AX:AX),0)</f>
        <v>0</v>
      </c>
      <c r="AY374" s="2" cm="1">
        <f t="array" ref="AY374">VLOOKUP($A374,Table_ship_components[],COLUMN(AY:AY),0)</f>
        <v>0</v>
      </c>
      <c r="AZ374" s="2" t="str" cm="1">
        <f t="array" ref="AZ374">VLOOKUP($A374,Table_ship_components[],COLUMN(AZ:AZ),0)</f>
        <v>C</v>
      </c>
      <c r="BA374" s="14" cm="1">
        <f t="array" ref="BA374">VLOOKUP($A374,Table_ship_components[],COLUMN(BA:BA),0)</f>
        <v>0</v>
      </c>
      <c r="BB374" s="14" cm="1">
        <f t="array" ref="BB374">(VLOOKUP($A374,Table_ship_components[],COLUMN(BA:BA),0)+(W374*C374))</f>
        <v>0</v>
      </c>
      <c r="BC374" s="2" cm="1">
        <f t="array" ref="BC374">VLOOKUP($A374,Table_ship_components[],COLUMN(BC:BC),0)</f>
        <v>0</v>
      </c>
      <c r="BD374" s="2" cm="1">
        <f t="array" ref="BD374">VLOOKUP($A374,Table_ship_components[],COLUMN(BD:BD),0)</f>
        <v>0</v>
      </c>
    </row>
    <row r="375" spans="1:56" outlineLevel="1" x14ac:dyDescent="0.35">
      <c r="A375" t="s">
        <v>288</v>
      </c>
      <c r="B375" t="str" cm="1">
        <f t="array" ref="B375">VLOOKUP($A375,Table_ship_components[],COLUMN(B:B),0)</f>
        <v>PICK A COMPONENT</v>
      </c>
      <c r="D375" cm="1">
        <f t="array" ref="D375">VLOOKUP($A375,Table_ship_components[],COLUMN(D:D),0)</f>
        <v>0</v>
      </c>
      <c r="E375" cm="1">
        <f t="array" ref="E375">ROUND(VLOOKUP($A375,Table_ship_components[],COLUMN(D:D),0)+(V375*C375),0)</f>
        <v>0</v>
      </c>
      <c r="F375" cm="1">
        <f t="array" ref="F375">VLOOKUP($A375,Table_ship_components[],COLUMN(F:F),0)</f>
        <v>0</v>
      </c>
      <c r="G375" cm="1">
        <f t="array" ref="G375">ROUND(VLOOKUP($A375,Table_ship_components[],COLUMN(G:G),0)+(X375*C375),0)</f>
        <v>0</v>
      </c>
      <c r="H375" cm="1">
        <f t="array" ref="H375">VLOOKUP($A375,Table_ship_components[],COLUMN(H:H),0)</f>
        <v>0</v>
      </c>
      <c r="I375" cm="1">
        <f t="array" ref="I375">VLOOKUP($A375,Table_ship_components[],COLUMN(I:I),0)</f>
        <v>0</v>
      </c>
      <c r="J375" cm="1">
        <f t="array" ref="J375">VLOOKUP($A375,Table_ship_components[],COLUMN(J:J),0)</f>
        <v>0</v>
      </c>
      <c r="K375" cm="1">
        <f t="array" ref="K375">VLOOKUP($A375,Table_ship_components[],COLUMN(K:K),0)</f>
        <v>0</v>
      </c>
      <c r="L375" cm="1">
        <f t="array" ref="L375">VLOOKUP($A375,Table_ship_components[],COLUMN(L:L),0)</f>
        <v>0</v>
      </c>
      <c r="M375" cm="1">
        <f t="array" ref="M375">VLOOKUP($A375,Table_ship_components[],COLUMN(M:M),0)</f>
        <v>0</v>
      </c>
      <c r="N375" cm="1">
        <f t="array" ref="N375">VLOOKUP($A375,Table_ship_components[],COLUMN(N:N),0)</f>
        <v>0</v>
      </c>
      <c r="O375" cm="1">
        <f t="array" ref="O375">VLOOKUP($A375,Table_ship_components[],COLUMN(O:O),0)</f>
        <v>0</v>
      </c>
      <c r="P375" cm="1">
        <f t="array" ref="P375">VLOOKUP($A375,Table_ship_components[],COLUMN(P:P),0)</f>
        <v>0</v>
      </c>
      <c r="Q375" cm="1">
        <f t="array" ref="Q375">VLOOKUP($A375,Table_ship_components[],COLUMN(Q:Q),0)</f>
        <v>0</v>
      </c>
      <c r="R375" cm="1">
        <f t="array" ref="R375">VLOOKUP($A375,Table_ship_components[],COLUMN(R:R),0)</f>
        <v>0</v>
      </c>
      <c r="S375" cm="1">
        <f t="array" ref="S375">VLOOKUP($A375,Table_ship_components[],COLUMN(S:S),0)</f>
        <v>0</v>
      </c>
      <c r="T375" cm="1">
        <f t="array" ref="T375">VLOOKUP($A375,Table_ship_components[],COLUMN(T:T),0)</f>
        <v>0</v>
      </c>
      <c r="U375" cm="1">
        <f t="array" ref="U375">VLOOKUP($A375,Table_ship_components[],COLUMN(U:U),0)</f>
        <v>0</v>
      </c>
      <c r="V375" cm="1">
        <f t="array" ref="V375">VLOOKUP($A375,Table_ship_components[],COLUMN(V:V),0)</f>
        <v>0</v>
      </c>
      <c r="W375" s="15" cm="1">
        <f t="array" ref="W375">VLOOKUP($A375,Table_ship_components[],COLUMN(W:W),0)</f>
        <v>0</v>
      </c>
      <c r="X375" cm="1">
        <f t="array" ref="X375">VLOOKUP($A375,Table_ship_components[],COLUMN(X:X),0)</f>
        <v>0</v>
      </c>
      <c r="Y375" cm="1">
        <f t="array" ref="Y375">VLOOKUP($A375,Table_ship_components[],COLUMN(Y:Y),0)</f>
        <v>0</v>
      </c>
      <c r="Z375" cm="1">
        <f t="array" ref="Z375">VLOOKUP($A375,Table_ship_components[],COLUMN(Z:Z),0)</f>
        <v>0</v>
      </c>
      <c r="AA375" cm="1">
        <f t="array" ref="AA375">VLOOKUP($A375,Table_ship_components[],COLUMN(AA:AA),0)*C375</f>
        <v>0</v>
      </c>
      <c r="AB375">
        <f t="shared" si="25"/>
        <v>0</v>
      </c>
      <c r="AC375" cm="1">
        <f t="array" ref="AC375">VLOOKUP($A375,Table_ship_components[],COLUMN(AC:AC),0)*C375</f>
        <v>0</v>
      </c>
      <c r="AD375" cm="1">
        <f t="array" ref="AD375">VLOOKUP($A375,Table_ship_components[],COLUMN(AD:AD),0)</f>
        <v>0</v>
      </c>
      <c r="AE375" cm="1">
        <f t="array" ref="AE375">VLOOKUP($A375,Table_ship_components[],COLUMN(AE:AE),0)</f>
        <v>0</v>
      </c>
      <c r="AF375" cm="1">
        <f t="array" ref="AF375">VLOOKUP($A375,Table_ship_components[],COLUMN(AF:AF),0)</f>
        <v>0</v>
      </c>
      <c r="AG375" cm="1">
        <f t="array" ref="AG375">VLOOKUP($A375,Table_ship_components[],COLUMN(AG:AG),0)</f>
        <v>0</v>
      </c>
      <c r="AH375" cm="1">
        <f t="array" ref="AH375">VLOOKUP($A375,Table_ship_components[],COLUMN(AH:AH),0)</f>
        <v>0</v>
      </c>
      <c r="AI375" cm="1">
        <f t="array" ref="AI375">VLOOKUP($A375,Table_ship_components[],COLUMN(AI:AI),0)</f>
        <v>0</v>
      </c>
      <c r="AJ375" cm="1">
        <f t="array" ref="AJ375">VLOOKUP($A375,Table_ship_components[],COLUMN(AJ:AJ),0)</f>
        <v>0</v>
      </c>
      <c r="AK375" cm="1">
        <f t="array" ref="AK375">VLOOKUP($A375,Table_ship_components[],COLUMN(AK:AK),0)</f>
        <v>0</v>
      </c>
      <c r="AL375" cm="1">
        <f t="array" ref="AL375">VLOOKUP($A375,Table_ship_components[],COLUMN(AL:AL),0)</f>
        <v>0</v>
      </c>
      <c r="AM375" cm="1">
        <f t="array" ref="AM375">VLOOKUP($A375,Table_ship_components[],COLUMN(AM:AM),0)</f>
        <v>0</v>
      </c>
      <c r="AN375" cm="1">
        <f t="array" ref="AN375">VLOOKUP($A375,Table_ship_components[],COLUMN(AN:AN),0)</f>
        <v>0</v>
      </c>
      <c r="AO375" cm="1">
        <f t="array" ref="AO375">VLOOKUP($A375,Table_ship_components[],COLUMN(AO:AO),0)</f>
        <v>0</v>
      </c>
      <c r="AP375" cm="1">
        <f t="array" ref="AP375">VLOOKUP($A375,Table_ship_components[],COLUMN(AP:AP),0)</f>
        <v>0</v>
      </c>
      <c r="AQ375" cm="1">
        <f t="array" ref="AQ375">VLOOKUP($A375,Table_ship_components[],COLUMN(AQ:AQ),0)</f>
        <v>0</v>
      </c>
      <c r="AR375" cm="1">
        <f t="array" ref="AR375">VLOOKUP($A375,Table_ship_components[],COLUMN(AR:AR),0)</f>
        <v>0</v>
      </c>
      <c r="AS375" cm="1">
        <f t="array" ref="AS375">VLOOKUP($A375,Table_ship_components[],COLUMN(AS:AS),0)</f>
        <v>0</v>
      </c>
      <c r="AT375" cm="1">
        <f t="array" ref="AT375">VLOOKUP($A375,Table_ship_components[],COLUMN(AT:AT),0)</f>
        <v>0</v>
      </c>
      <c r="AU375" s="2" cm="1">
        <f t="array" ref="AU375">VLOOKUP($A375,Table_ship_components[],COLUMN(AU:AU),0)</f>
        <v>0</v>
      </c>
      <c r="AV375" s="2" cm="1">
        <f t="array" ref="AV375">VLOOKUP($A375,Table_ship_components[],COLUMN(AV:AV),0)</f>
        <v>0</v>
      </c>
      <c r="AW375" s="2" cm="1">
        <f t="array" ref="AW375">VLOOKUP($A375,Table_ship_components[],COLUMN(AW:AW),0)</f>
        <v>0</v>
      </c>
      <c r="AX375" s="2" cm="1">
        <f t="array" ref="AX375">VLOOKUP($A375,Table_ship_components[],COLUMN(AX:AX),0)</f>
        <v>0</v>
      </c>
      <c r="AY375" s="2" cm="1">
        <f t="array" ref="AY375">VLOOKUP($A375,Table_ship_components[],COLUMN(AY:AY),0)</f>
        <v>0</v>
      </c>
      <c r="AZ375" s="2" t="str" cm="1">
        <f t="array" ref="AZ375">VLOOKUP($A375,Table_ship_components[],COLUMN(AZ:AZ),0)</f>
        <v>C</v>
      </c>
      <c r="BA375" s="14" cm="1">
        <f t="array" ref="BA375">VLOOKUP($A375,Table_ship_components[],COLUMN(BA:BA),0)</f>
        <v>0</v>
      </c>
      <c r="BB375" s="14" cm="1">
        <f t="array" ref="BB375">(VLOOKUP($A375,Table_ship_components[],COLUMN(BA:BA),0)+(W375*C375))</f>
        <v>0</v>
      </c>
      <c r="BC375" s="2" cm="1">
        <f t="array" ref="BC375">VLOOKUP($A375,Table_ship_components[],COLUMN(BC:BC),0)</f>
        <v>0</v>
      </c>
      <c r="BD375" s="2" cm="1">
        <f t="array" ref="BD375">VLOOKUP($A375,Table_ship_components[],COLUMN(BD:BD),0)</f>
        <v>0</v>
      </c>
    </row>
    <row r="376" spans="1:56" outlineLevel="1" x14ac:dyDescent="0.35">
      <c r="A376" t="s">
        <v>288</v>
      </c>
      <c r="B376" t="str" cm="1">
        <f t="array" ref="B376">VLOOKUP($A376,Table_ship_components[],COLUMN(B:B),0)</f>
        <v>PICK A COMPONENT</v>
      </c>
      <c r="D376" cm="1">
        <f t="array" ref="D376">VLOOKUP($A376,Table_ship_components[],COLUMN(D:D),0)</f>
        <v>0</v>
      </c>
      <c r="E376" cm="1">
        <f t="array" ref="E376">ROUND(VLOOKUP($A376,Table_ship_components[],COLUMN(D:D),0)+(V376*C376),0)</f>
        <v>0</v>
      </c>
      <c r="F376" cm="1">
        <f t="array" ref="F376">VLOOKUP($A376,Table_ship_components[],COLUMN(F:F),0)</f>
        <v>0</v>
      </c>
      <c r="G376" cm="1">
        <f t="array" ref="G376">ROUND(VLOOKUP($A376,Table_ship_components[],COLUMN(G:G),0)+(X376*C376),0)</f>
        <v>0</v>
      </c>
      <c r="H376" cm="1">
        <f t="array" ref="H376">VLOOKUP($A376,Table_ship_components[],COLUMN(H:H),0)</f>
        <v>0</v>
      </c>
      <c r="I376" cm="1">
        <f t="array" ref="I376">VLOOKUP($A376,Table_ship_components[],COLUMN(I:I),0)</f>
        <v>0</v>
      </c>
      <c r="J376" cm="1">
        <f t="array" ref="J376">VLOOKUP($A376,Table_ship_components[],COLUMN(J:J),0)</f>
        <v>0</v>
      </c>
      <c r="K376" cm="1">
        <f t="array" ref="K376">VLOOKUP($A376,Table_ship_components[],COLUMN(K:K),0)</f>
        <v>0</v>
      </c>
      <c r="L376" cm="1">
        <f t="array" ref="L376">VLOOKUP($A376,Table_ship_components[],COLUMN(L:L),0)</f>
        <v>0</v>
      </c>
      <c r="M376" cm="1">
        <f t="array" ref="M376">VLOOKUP($A376,Table_ship_components[],COLUMN(M:M),0)</f>
        <v>0</v>
      </c>
      <c r="N376" cm="1">
        <f t="array" ref="N376">VLOOKUP($A376,Table_ship_components[],COLUMN(N:N),0)</f>
        <v>0</v>
      </c>
      <c r="O376" cm="1">
        <f t="array" ref="O376">VLOOKUP($A376,Table_ship_components[],COLUMN(O:O),0)</f>
        <v>0</v>
      </c>
      <c r="P376" cm="1">
        <f t="array" ref="P376">VLOOKUP($A376,Table_ship_components[],COLUMN(P:P),0)</f>
        <v>0</v>
      </c>
      <c r="Q376" cm="1">
        <f t="array" ref="Q376">VLOOKUP($A376,Table_ship_components[],COLUMN(Q:Q),0)</f>
        <v>0</v>
      </c>
      <c r="R376" cm="1">
        <f t="array" ref="R376">VLOOKUP($A376,Table_ship_components[],COLUMN(R:R),0)</f>
        <v>0</v>
      </c>
      <c r="S376" cm="1">
        <f t="array" ref="S376">VLOOKUP($A376,Table_ship_components[],COLUMN(S:S),0)</f>
        <v>0</v>
      </c>
      <c r="T376" cm="1">
        <f t="array" ref="T376">VLOOKUP($A376,Table_ship_components[],COLUMN(T:T),0)</f>
        <v>0</v>
      </c>
      <c r="U376" cm="1">
        <f t="array" ref="U376">VLOOKUP($A376,Table_ship_components[],COLUMN(U:U),0)</f>
        <v>0</v>
      </c>
      <c r="V376" cm="1">
        <f t="array" ref="V376">VLOOKUP($A376,Table_ship_components[],COLUMN(V:V),0)</f>
        <v>0</v>
      </c>
      <c r="W376" s="15" cm="1">
        <f t="array" ref="W376">VLOOKUP($A376,Table_ship_components[],COLUMN(W:W),0)</f>
        <v>0</v>
      </c>
      <c r="X376" cm="1">
        <f t="array" ref="X376">VLOOKUP($A376,Table_ship_components[],COLUMN(X:X),0)</f>
        <v>0</v>
      </c>
      <c r="Y376" cm="1">
        <f t="array" ref="Y376">VLOOKUP($A376,Table_ship_components[],COLUMN(Y:Y),0)</f>
        <v>0</v>
      </c>
      <c r="Z376" cm="1">
        <f t="array" ref="Z376">VLOOKUP($A376,Table_ship_components[],COLUMN(Z:Z),0)</f>
        <v>0</v>
      </c>
      <c r="AA376" cm="1">
        <f t="array" ref="AA376">VLOOKUP($A376,Table_ship_components[],COLUMN(AA:AA),0)*C376</f>
        <v>0</v>
      </c>
      <c r="AB376">
        <f>IF(A376="CARGOSPACE_0-ALL_0-UNIVERSAL",C376,0)</f>
        <v>0</v>
      </c>
      <c r="AC376" cm="1">
        <f t="array" ref="AC376">VLOOKUP($A376,Table_ship_components[],COLUMN(AC:AC),0)*C376</f>
        <v>0</v>
      </c>
      <c r="AD376" cm="1">
        <f t="array" ref="AD376">VLOOKUP($A376,Table_ship_components[],COLUMN(AD:AD),0)</f>
        <v>0</v>
      </c>
      <c r="AE376" cm="1">
        <f t="array" ref="AE376">VLOOKUP($A376,Table_ship_components[],COLUMN(AE:AE),0)</f>
        <v>0</v>
      </c>
      <c r="AF376" cm="1">
        <f t="array" ref="AF376">VLOOKUP($A376,Table_ship_components[],COLUMN(AF:AF),0)</f>
        <v>0</v>
      </c>
      <c r="AG376" cm="1">
        <f t="array" ref="AG376">VLOOKUP($A376,Table_ship_components[],COLUMN(AG:AG),0)</f>
        <v>0</v>
      </c>
      <c r="AH376" cm="1">
        <f t="array" ref="AH376">VLOOKUP($A376,Table_ship_components[],COLUMN(AH:AH),0)</f>
        <v>0</v>
      </c>
      <c r="AI376" cm="1">
        <f t="array" ref="AI376">VLOOKUP($A376,Table_ship_components[],COLUMN(AI:AI),0)</f>
        <v>0</v>
      </c>
      <c r="AJ376" cm="1">
        <f t="array" ref="AJ376">VLOOKUP($A376,Table_ship_components[],COLUMN(AJ:AJ),0)</f>
        <v>0</v>
      </c>
      <c r="AK376" cm="1">
        <f t="array" ref="AK376">VLOOKUP($A376,Table_ship_components[],COLUMN(AK:AK),0)</f>
        <v>0</v>
      </c>
      <c r="AL376" cm="1">
        <f t="array" ref="AL376">VLOOKUP($A376,Table_ship_components[],COLUMN(AL:AL),0)</f>
        <v>0</v>
      </c>
      <c r="AM376" cm="1">
        <f t="array" ref="AM376">VLOOKUP($A376,Table_ship_components[],COLUMN(AM:AM),0)</f>
        <v>0</v>
      </c>
      <c r="AN376" cm="1">
        <f t="array" ref="AN376">VLOOKUP($A376,Table_ship_components[],COLUMN(AN:AN),0)</f>
        <v>0</v>
      </c>
      <c r="AO376" cm="1">
        <f t="array" ref="AO376">VLOOKUP($A376,Table_ship_components[],COLUMN(AO:AO),0)</f>
        <v>0</v>
      </c>
      <c r="AP376" cm="1">
        <f t="array" ref="AP376">VLOOKUP($A376,Table_ship_components[],COLUMN(AP:AP),0)</f>
        <v>0</v>
      </c>
      <c r="AQ376" cm="1">
        <f t="array" ref="AQ376">VLOOKUP($A376,Table_ship_components[],COLUMN(AQ:AQ),0)</f>
        <v>0</v>
      </c>
      <c r="AR376" cm="1">
        <f t="array" ref="AR376">VLOOKUP($A376,Table_ship_components[],COLUMN(AR:AR),0)</f>
        <v>0</v>
      </c>
      <c r="AS376" cm="1">
        <f t="array" ref="AS376">VLOOKUP($A376,Table_ship_components[],COLUMN(AS:AS),0)</f>
        <v>0</v>
      </c>
      <c r="AT376" cm="1">
        <f t="array" ref="AT376">VLOOKUP($A376,Table_ship_components[],COLUMN(AT:AT),0)</f>
        <v>0</v>
      </c>
      <c r="AU376" s="2" cm="1">
        <f t="array" ref="AU376">VLOOKUP($A376,Table_ship_components[],COLUMN(AU:AU),0)</f>
        <v>0</v>
      </c>
      <c r="AV376" s="2" cm="1">
        <f t="array" ref="AV376">VLOOKUP($A376,Table_ship_components[],COLUMN(AV:AV),0)</f>
        <v>0</v>
      </c>
      <c r="AW376" s="2" cm="1">
        <f t="array" ref="AW376">VLOOKUP($A376,Table_ship_components[],COLUMN(AW:AW),0)</f>
        <v>0</v>
      </c>
      <c r="AX376" s="2" cm="1">
        <f t="array" ref="AX376">VLOOKUP($A376,Table_ship_components[],COLUMN(AX:AX),0)</f>
        <v>0</v>
      </c>
      <c r="AY376" s="2" cm="1">
        <f t="array" ref="AY376">VLOOKUP($A376,Table_ship_components[],COLUMN(AY:AY),0)</f>
        <v>0</v>
      </c>
      <c r="AZ376" s="2" t="str" cm="1">
        <f t="array" ref="AZ376">VLOOKUP($A376,Table_ship_components[],COLUMN(AZ:AZ),0)</f>
        <v>C</v>
      </c>
      <c r="BA376" s="14" cm="1">
        <f t="array" ref="BA376">VLOOKUP($A376,Table_ship_components[],COLUMN(BA:BA),0)</f>
        <v>0</v>
      </c>
      <c r="BB376" s="14" cm="1">
        <f t="array" ref="BB376">(VLOOKUP($A376,Table_ship_components[],COLUMN(BA:BA),0)+(W376*C376))</f>
        <v>0</v>
      </c>
      <c r="BC376" s="2" cm="1">
        <f t="array" ref="BC376">VLOOKUP($A376,Table_ship_components[],COLUMN(BC:BC),0)</f>
        <v>0</v>
      </c>
      <c r="BD376" s="2" cm="1">
        <f t="array" ref="BD376">VLOOKUP($A376,Table_ship_components[],COLUMN(BD:BD),0)</f>
        <v>0</v>
      </c>
    </row>
    <row r="377" spans="1:56" outlineLevel="1" x14ac:dyDescent="0.35">
      <c r="A377" s="18" t="s">
        <v>425</v>
      </c>
      <c r="B377" s="19" t="str">
        <f>CONCATENATE("SIZE ",(SUM(E378:E385)),"/",AY356,"  POWER ",(SUM(G378:G385)))</f>
        <v>SIZE 60/60  POWER 39</v>
      </c>
      <c r="AU377" s="2"/>
      <c r="AV377" s="2"/>
      <c r="AW377" s="2"/>
      <c r="AX377" s="2"/>
      <c r="AY377" s="2"/>
      <c r="AZ377" s="2"/>
      <c r="BA377" s="14"/>
      <c r="BB377" s="14"/>
      <c r="BC377" s="2"/>
      <c r="BD377" s="2"/>
    </row>
    <row r="378" spans="1:56" outlineLevel="1" x14ac:dyDescent="0.35">
      <c r="A378" t="s">
        <v>375</v>
      </c>
      <c r="B378" t="str" cm="1">
        <f t="array" ref="B378">VLOOKUP($A378,Table_ship_components[],COLUMN(B:B),0)</f>
        <v>basic shield for a corvette</v>
      </c>
      <c r="D378" cm="1">
        <f t="array" ref="D378">VLOOKUP($A378,Table_ship_components[],COLUMN(D:D),0)</f>
        <v>6</v>
      </c>
      <c r="E378" cm="1">
        <f t="array" ref="E378">ROUND(VLOOKUP($A378,Table_ship_components[],COLUMN(D:D),0)+(V378*C378),0)</f>
        <v>6</v>
      </c>
      <c r="F378" cm="1">
        <f t="array" ref="F378">VLOOKUP($A378,Table_ship_components[],COLUMN(F:F),0)</f>
        <v>6</v>
      </c>
      <c r="G378" cm="1">
        <f t="array" ref="G378">ROUND(VLOOKUP($A378,Table_ship_components[],COLUMN(G:G),0)+(X378*C378),0)</f>
        <v>6</v>
      </c>
      <c r="H378" cm="1">
        <f t="array" ref="H378">VLOOKUP($A378,Table_ship_components[],COLUMN(H:H),0)</f>
        <v>0</v>
      </c>
      <c r="I378" cm="1">
        <f t="array" ref="I378">VLOOKUP($A378,Table_ship_components[],COLUMN(I:I),0)</f>
        <v>0</v>
      </c>
      <c r="J378" cm="1">
        <f t="array" ref="J378">VLOOKUP($A378,Table_ship_components[],COLUMN(J:J),0)</f>
        <v>0</v>
      </c>
      <c r="K378" cm="1">
        <f t="array" ref="K378">VLOOKUP($A378,Table_ship_components[],COLUMN(K:K),0)</f>
        <v>35</v>
      </c>
      <c r="L378" cm="1">
        <f t="array" ref="L378">VLOOKUP($A378,Table_ship_components[],COLUMN(L:L),0)</f>
        <v>3</v>
      </c>
      <c r="M378" cm="1">
        <f t="array" ref="M378">VLOOKUP($A378,Table_ship_components[],COLUMN(M:M),0)</f>
        <v>0</v>
      </c>
      <c r="N378" cm="1">
        <f t="array" ref="N378">VLOOKUP($A378,Table_ship_components[],COLUMN(N:N),0)</f>
        <v>0</v>
      </c>
      <c r="O378" cm="1">
        <f t="array" ref="O378">VLOOKUP($A378,Table_ship_components[],COLUMN(O:O),0)</f>
        <v>1</v>
      </c>
      <c r="P378" cm="1">
        <f t="array" ref="P378">VLOOKUP($A378,Table_ship_components[],COLUMN(P:P),0)</f>
        <v>0</v>
      </c>
      <c r="Q378" cm="1">
        <f t="array" ref="Q378">VLOOKUP($A378,Table_ship_components[],COLUMN(Q:Q),0)</f>
        <v>0</v>
      </c>
      <c r="R378" cm="1">
        <f t="array" ref="R378">VLOOKUP($A378,Table_ship_components[],COLUMN(R:R),0)</f>
        <v>0</v>
      </c>
      <c r="S378" cm="1">
        <f t="array" ref="S378">VLOOKUP($A378,Table_ship_components[],COLUMN(S:S),0)</f>
        <v>0</v>
      </c>
      <c r="T378" cm="1">
        <f t="array" ref="T378">VLOOKUP($A378,Table_ship_components[],COLUMN(T:T),0)</f>
        <v>0</v>
      </c>
      <c r="U378" cm="1">
        <f t="array" ref="U378">VLOOKUP($A378,Table_ship_components[],COLUMN(U:U),0)</f>
        <v>0</v>
      </c>
      <c r="V378" cm="1">
        <f t="array" ref="V378">VLOOKUP($A378,Table_ship_components[],COLUMN(V:V),0)</f>
        <v>0</v>
      </c>
      <c r="W378" s="15" cm="1">
        <f t="array" ref="W378">VLOOKUP($A378,Table_ship_components[],COLUMN(W:W),0)</f>
        <v>0</v>
      </c>
      <c r="X378" cm="1">
        <f t="array" ref="X378">VLOOKUP($A378,Table_ship_components[],COLUMN(X:X),0)</f>
        <v>0</v>
      </c>
      <c r="Y378" cm="1">
        <f t="array" ref="Y378">VLOOKUP($A378,Table_ship_components[],COLUMN(Y:Y),0)</f>
        <v>0</v>
      </c>
      <c r="Z378" cm="1">
        <f t="array" ref="Z378">VLOOKUP($A378,Table_ship_components[],COLUMN(Z:Z),0)</f>
        <v>0</v>
      </c>
      <c r="AA378" cm="1">
        <f t="array" ref="AA378">VLOOKUP($A378,Table_ship_components[],COLUMN(AA:AA),0)*C378</f>
        <v>0</v>
      </c>
      <c r="AB378">
        <f t="shared" ref="AB378:AB385" si="26">IF(A378="CARGOSPACE_0-ALL_0-UNIVERSAL",C378,0)</f>
        <v>0</v>
      </c>
      <c r="AC378" cm="1">
        <f t="array" ref="AC378">VLOOKUP($A378,Table_ship_components[],COLUMN(AC:AC),0)*C378</f>
        <v>0</v>
      </c>
      <c r="AD378" cm="1">
        <f t="array" ref="AD378">VLOOKUP($A378,Table_ship_components[],COLUMN(AD:AD),0)</f>
        <v>0</v>
      </c>
      <c r="AE378" cm="1">
        <f t="array" ref="AE378">VLOOKUP($A378,Table_ship_components[],COLUMN(AE:AE),0)</f>
        <v>0</v>
      </c>
      <c r="AF378" cm="1">
        <f t="array" ref="AF378">VLOOKUP($A378,Table_ship_components[],COLUMN(AF:AF),0)</f>
        <v>0</v>
      </c>
      <c r="AG378" cm="1">
        <f t="array" ref="AG378">VLOOKUP($A378,Table_ship_components[],COLUMN(AG:AG),0)</f>
        <v>0</v>
      </c>
      <c r="AH378" cm="1">
        <f t="array" ref="AH378">VLOOKUP($A378,Table_ship_components[],COLUMN(AH:AH),0)</f>
        <v>0</v>
      </c>
      <c r="AI378" cm="1">
        <f t="array" ref="AI378">VLOOKUP($A378,Table_ship_components[],COLUMN(AI:AI),0)</f>
        <v>0</v>
      </c>
      <c r="AJ378" cm="1">
        <f t="array" ref="AJ378">VLOOKUP($A378,Table_ship_components[],COLUMN(AJ:AJ),0)</f>
        <v>0</v>
      </c>
      <c r="AK378" cm="1">
        <f t="array" ref="AK378">VLOOKUP($A378,Table_ship_components[],COLUMN(AK:AK),0)</f>
        <v>0</v>
      </c>
      <c r="AL378" cm="1">
        <f t="array" ref="AL378">VLOOKUP($A378,Table_ship_components[],COLUMN(AL:AL),0)</f>
        <v>0</v>
      </c>
      <c r="AM378" cm="1">
        <f t="array" ref="AM378">VLOOKUP($A378,Table_ship_components[],COLUMN(AM:AM),0)</f>
        <v>0</v>
      </c>
      <c r="AN378" cm="1">
        <f t="array" ref="AN378">VLOOKUP($A378,Table_ship_components[],COLUMN(AN:AN),0)</f>
        <v>0</v>
      </c>
      <c r="AO378" cm="1">
        <f t="array" ref="AO378">VLOOKUP($A378,Table_ship_components[],COLUMN(AO:AO),0)</f>
        <v>0</v>
      </c>
      <c r="AP378" cm="1">
        <f t="array" ref="AP378">VLOOKUP($A378,Table_ship_components[],COLUMN(AP:AP),0)</f>
        <v>0</v>
      </c>
      <c r="AQ378" cm="1">
        <f t="array" ref="AQ378">VLOOKUP($A378,Table_ship_components[],COLUMN(AQ:AQ),0)</f>
        <v>0</v>
      </c>
      <c r="AR378" cm="1">
        <f t="array" ref="AR378">VLOOKUP($A378,Table_ship_components[],COLUMN(AR:AR),0)</f>
        <v>0</v>
      </c>
      <c r="AS378" cm="1">
        <f t="array" ref="AS378">VLOOKUP($A378,Table_ship_components[],COLUMN(AS:AS),0)</f>
        <v>0</v>
      </c>
      <c r="AT378" cm="1">
        <f t="array" ref="AT378">VLOOKUP($A378,Table_ship_components[],COLUMN(AT:AT),0)</f>
        <v>0</v>
      </c>
      <c r="AU378" s="2" cm="1">
        <f t="array" ref="AU378">VLOOKUP($A378,Table_ship_components[],COLUMN(AU:AU),0)</f>
        <v>0</v>
      </c>
      <c r="AV378" s="2" cm="1">
        <f t="array" ref="AV378">VLOOKUP($A378,Table_ship_components[],COLUMN(AV:AV),0)</f>
        <v>0</v>
      </c>
      <c r="AW378" s="2" cm="1">
        <f t="array" ref="AW378">VLOOKUP($A378,Table_ship_components[],COLUMN(AW:AW),0)</f>
        <v>0</v>
      </c>
      <c r="AX378" s="2" cm="1">
        <f t="array" ref="AX378">VLOOKUP($A378,Table_ship_components[],COLUMN(AX:AX),0)</f>
        <v>0</v>
      </c>
      <c r="AY378" s="2" cm="1">
        <f t="array" ref="AY378">VLOOKUP($A378,Table_ship_components[],COLUMN(AY:AY),0)</f>
        <v>0</v>
      </c>
      <c r="AZ378" s="2" t="str" cm="1">
        <f t="array" ref="AZ378">VLOOKUP($A378,Table_ship_components[],COLUMN(AZ:AZ),0)</f>
        <v>C</v>
      </c>
      <c r="BA378" s="14" cm="1">
        <f t="array" ref="BA378">VLOOKUP($A378,Table_ship_components[],COLUMN(BA:BA),0)</f>
        <v>800000</v>
      </c>
      <c r="BB378" s="14" cm="1">
        <f t="array" ref="BB378">(VLOOKUP($A378,Table_ship_components[],COLUMN(BA:BA),0)+(W378*C378))</f>
        <v>800000</v>
      </c>
      <c r="BC378" s="2" cm="1">
        <f t="array" ref="BC378">VLOOKUP($A378,Table_ship_components[],COLUMN(BC:BC),0)</f>
        <v>0</v>
      </c>
      <c r="BD378" s="2" cm="1">
        <f t="array" ref="BD378">VLOOKUP($A378,Table_ship_components[],COLUMN(BD:BD),0)</f>
        <v>0</v>
      </c>
    </row>
    <row r="379" spans="1:56" outlineLevel="1" x14ac:dyDescent="0.35">
      <c r="A379" t="s">
        <v>372</v>
      </c>
      <c r="B379" t="str" cm="1">
        <f t="array" ref="B379">VLOOKUP($A379,Table_ship_components[],COLUMN(B:B),0)</f>
        <v>basic corvette radar</v>
      </c>
      <c r="D379" cm="1">
        <f t="array" ref="D379">VLOOKUP($A379,Table_ship_components[],COLUMN(D:D),0)</f>
        <v>4</v>
      </c>
      <c r="E379" cm="1">
        <f t="array" ref="E379">ROUND(VLOOKUP($A379,Table_ship_components[],COLUMN(D:D),0)+(V379*C379),0)</f>
        <v>4</v>
      </c>
      <c r="F379" cm="1">
        <f t="array" ref="F379">VLOOKUP($A379,Table_ship_components[],COLUMN(F:F),0)</f>
        <v>5</v>
      </c>
      <c r="G379" cm="1">
        <f t="array" ref="G379">ROUND(VLOOKUP($A379,Table_ship_components[],COLUMN(G:G),0)+(X379*C379),0)</f>
        <v>5</v>
      </c>
      <c r="H379" cm="1">
        <f t="array" ref="H379">VLOOKUP($A379,Table_ship_components[],COLUMN(H:H),0)</f>
        <v>0</v>
      </c>
      <c r="I379" cm="1">
        <f t="array" ref="I379">VLOOKUP($A379,Table_ship_components[],COLUMN(I:I),0)</f>
        <v>0</v>
      </c>
      <c r="J379" cm="1">
        <f t="array" ref="J379">VLOOKUP($A379,Table_ship_components[],COLUMN(J:J),0)</f>
        <v>0</v>
      </c>
      <c r="K379" cm="1">
        <f t="array" ref="K379">VLOOKUP($A379,Table_ship_components[],COLUMN(K:K),0)</f>
        <v>0</v>
      </c>
      <c r="L379" cm="1">
        <f t="array" ref="L379">VLOOKUP($A379,Table_ship_components[],COLUMN(L:L),0)</f>
        <v>0</v>
      </c>
      <c r="M379" cm="1">
        <f t="array" ref="M379">VLOOKUP($A379,Table_ship_components[],COLUMN(M:M),0)</f>
        <v>0</v>
      </c>
      <c r="N379" cm="1">
        <f t="array" ref="N379">VLOOKUP($A379,Table_ship_components[],COLUMN(N:N),0)</f>
        <v>0</v>
      </c>
      <c r="O379" cm="1">
        <f t="array" ref="O379">VLOOKUP($A379,Table_ship_components[],COLUMN(O:O),0)</f>
        <v>1</v>
      </c>
      <c r="P379" cm="1">
        <f t="array" ref="P379">VLOOKUP($A379,Table_ship_components[],COLUMN(P:P),0)</f>
        <v>0</v>
      </c>
      <c r="Q379" cm="1">
        <f t="array" ref="Q379">VLOOKUP($A379,Table_ship_components[],COLUMN(Q:Q),0)</f>
        <v>0</v>
      </c>
      <c r="R379" cm="1">
        <f t="array" ref="R379">VLOOKUP($A379,Table_ship_components[],COLUMN(R:R),0)</f>
        <v>0</v>
      </c>
      <c r="S379" cm="1">
        <f t="array" ref="S379">VLOOKUP($A379,Table_ship_components[],COLUMN(S:S),0)</f>
        <v>0</v>
      </c>
      <c r="T379" cm="1">
        <f t="array" ref="T379">VLOOKUP($A379,Table_ship_components[],COLUMN(T:T),0)</f>
        <v>0</v>
      </c>
      <c r="U379" cm="1">
        <f t="array" ref="U379">VLOOKUP($A379,Table_ship_components[],COLUMN(U:U),0)</f>
        <v>0</v>
      </c>
      <c r="V379" cm="1">
        <f t="array" ref="V379">VLOOKUP($A379,Table_ship_components[],COLUMN(V:V),0)</f>
        <v>0</v>
      </c>
      <c r="W379" s="15" cm="1">
        <f t="array" ref="W379">VLOOKUP($A379,Table_ship_components[],COLUMN(W:W),0)</f>
        <v>0</v>
      </c>
      <c r="X379" cm="1">
        <f t="array" ref="X379">VLOOKUP($A379,Table_ship_components[],COLUMN(X:X),0)</f>
        <v>0</v>
      </c>
      <c r="Y379" cm="1">
        <f t="array" ref="Y379">VLOOKUP($A379,Table_ship_components[],COLUMN(Y:Y),0)</f>
        <v>0</v>
      </c>
      <c r="Z379" cm="1">
        <f t="array" ref="Z379">VLOOKUP($A379,Table_ship_components[],COLUMN(Z:Z),0)</f>
        <v>0</v>
      </c>
      <c r="AA379" cm="1">
        <f t="array" ref="AA379">VLOOKUP($A379,Table_ship_components[],COLUMN(AA:AA),0)*C379</f>
        <v>0</v>
      </c>
      <c r="AB379">
        <f t="shared" si="26"/>
        <v>0</v>
      </c>
      <c r="AC379" cm="1">
        <f t="array" ref="AC379">VLOOKUP($A379,Table_ship_components[],COLUMN(AC:AC),0)*C379</f>
        <v>0</v>
      </c>
      <c r="AD379" cm="1">
        <f t="array" ref="AD379">VLOOKUP($A379,Table_ship_components[],COLUMN(AD:AD),0)</f>
        <v>0</v>
      </c>
      <c r="AE379" cm="1">
        <f t="array" ref="AE379">VLOOKUP($A379,Table_ship_components[],COLUMN(AE:AE),0)</f>
        <v>0</v>
      </c>
      <c r="AF379" cm="1">
        <f t="array" ref="AF379">VLOOKUP($A379,Table_ship_components[],COLUMN(AF:AF),0)</f>
        <v>0</v>
      </c>
      <c r="AG379" cm="1">
        <f t="array" ref="AG379">VLOOKUP($A379,Table_ship_components[],COLUMN(AG:AG),0)</f>
        <v>0</v>
      </c>
      <c r="AH379" cm="1">
        <f t="array" ref="AH379">VLOOKUP($A379,Table_ship_components[],COLUMN(AH:AH),0)</f>
        <v>100</v>
      </c>
      <c r="AI379" cm="1">
        <f t="array" ref="AI379">VLOOKUP($A379,Table_ship_components[],COLUMN(AI:AI),0)</f>
        <v>1000</v>
      </c>
      <c r="AJ379" cm="1">
        <f t="array" ref="AJ379">VLOOKUP($A379,Table_ship_components[],COLUMN(AJ:AJ),0)</f>
        <v>10000</v>
      </c>
      <c r="AK379" cm="1">
        <f t="array" ref="AK379">VLOOKUP($A379,Table_ship_components[],COLUMN(AK:AK),0)</f>
        <v>0</v>
      </c>
      <c r="AL379" cm="1">
        <f t="array" ref="AL379">VLOOKUP($A379,Table_ship_components[],COLUMN(AL:AL),0)</f>
        <v>0</v>
      </c>
      <c r="AM379" cm="1">
        <f t="array" ref="AM379">VLOOKUP($A379,Table_ship_components[],COLUMN(AM:AM),0)</f>
        <v>0</v>
      </c>
      <c r="AN379" cm="1">
        <f t="array" ref="AN379">VLOOKUP($A379,Table_ship_components[],COLUMN(AN:AN),0)</f>
        <v>0</v>
      </c>
      <c r="AO379" cm="1">
        <f t="array" ref="AO379">VLOOKUP($A379,Table_ship_components[],COLUMN(AO:AO),0)</f>
        <v>0</v>
      </c>
      <c r="AP379" cm="1">
        <f t="array" ref="AP379">VLOOKUP($A379,Table_ship_components[],COLUMN(AP:AP),0)</f>
        <v>0</v>
      </c>
      <c r="AQ379" cm="1">
        <f t="array" ref="AQ379">VLOOKUP($A379,Table_ship_components[],COLUMN(AQ:AQ),0)</f>
        <v>0</v>
      </c>
      <c r="AR379" cm="1">
        <f t="array" ref="AR379">VLOOKUP($A379,Table_ship_components[],COLUMN(AR:AR),0)</f>
        <v>0</v>
      </c>
      <c r="AS379" cm="1">
        <f t="array" ref="AS379">VLOOKUP($A379,Table_ship_components[],COLUMN(AS:AS),0)</f>
        <v>-1</v>
      </c>
      <c r="AT379" cm="1">
        <f t="array" ref="AT379">VLOOKUP($A379,Table_ship_components[],COLUMN(AT:AT),0)</f>
        <v>0</v>
      </c>
      <c r="AU379" s="2" cm="1">
        <f t="array" ref="AU379">VLOOKUP($A379,Table_ship_components[],COLUMN(AU:AU),0)</f>
        <v>0</v>
      </c>
      <c r="AV379" s="2" cm="1">
        <f t="array" ref="AV379">VLOOKUP($A379,Table_ship_components[],COLUMN(AV:AV),0)</f>
        <v>0</v>
      </c>
      <c r="AW379" s="2" cm="1">
        <f t="array" ref="AW379">VLOOKUP($A379,Table_ship_components[],COLUMN(AW:AW),0)</f>
        <v>0</v>
      </c>
      <c r="AX379" s="2" cm="1">
        <f t="array" ref="AX379">VLOOKUP($A379,Table_ship_components[],COLUMN(AX:AX),0)</f>
        <v>0</v>
      </c>
      <c r="AY379" s="2" cm="1">
        <f t="array" ref="AY379">VLOOKUP($A379,Table_ship_components[],COLUMN(AY:AY),0)</f>
        <v>0</v>
      </c>
      <c r="AZ379" s="2" t="str" cm="1">
        <f t="array" ref="AZ379">VLOOKUP($A379,Table_ship_components[],COLUMN(AZ:AZ),0)</f>
        <v>C</v>
      </c>
      <c r="BA379" s="14" cm="1">
        <f t="array" ref="BA379">VLOOKUP($A379,Table_ship_components[],COLUMN(BA:BA),0)</f>
        <v>450000</v>
      </c>
      <c r="BB379" s="14" cm="1">
        <f t="array" ref="BB379">(VLOOKUP($A379,Table_ship_components[],COLUMN(BA:BA),0)+(W379*C379))</f>
        <v>450000</v>
      </c>
      <c r="BC379" s="2" cm="1">
        <f t="array" ref="BC379">VLOOKUP($A379,Table_ship_components[],COLUMN(BC:BC),0)</f>
        <v>0</v>
      </c>
      <c r="BD379" s="2" cm="1">
        <f t="array" ref="BD379">VLOOKUP($A379,Table_ship_components[],COLUMN(BD:BD),0)</f>
        <v>0</v>
      </c>
    </row>
    <row r="380" spans="1:56" outlineLevel="1" x14ac:dyDescent="0.35">
      <c r="A380" t="s">
        <v>672</v>
      </c>
      <c r="B380" t="str" cm="1">
        <f t="array" ref="B380">VLOOKUP($A380,Table_ship_components[],COLUMN(B:B),0)</f>
        <v>low speed corvette handling engine</v>
      </c>
      <c r="D380" cm="1">
        <f t="array" ref="D380">VLOOKUP($A380,Table_ship_components[],COLUMN(D:D),0)</f>
        <v>9</v>
      </c>
      <c r="E380" cm="1">
        <f t="array" ref="E380">ROUND(VLOOKUP($A380,Table_ship_components[],COLUMN(D:D),0)+(V380*C380),0)</f>
        <v>9</v>
      </c>
      <c r="F380" cm="1">
        <f t="array" ref="F380">VLOOKUP($A380,Table_ship_components[],COLUMN(F:F),0)</f>
        <v>10</v>
      </c>
      <c r="G380" cm="1">
        <f t="array" ref="G380">ROUND(VLOOKUP($A380,Table_ship_components[],COLUMN(G:G),0)+(X380*C380),0)</f>
        <v>10</v>
      </c>
      <c r="H380" cm="1">
        <f t="array" ref="H380">VLOOKUP($A380,Table_ship_components[],COLUMN(H:H),0)</f>
        <v>0</v>
      </c>
      <c r="I380" cm="1">
        <f t="array" ref="I380">VLOOKUP($A380,Table_ship_components[],COLUMN(I:I),0)</f>
        <v>0</v>
      </c>
      <c r="J380" cm="1">
        <f t="array" ref="J380">VLOOKUP($A380,Table_ship_components[],COLUMN(J:J),0)</f>
        <v>0</v>
      </c>
      <c r="K380" cm="1">
        <f t="array" ref="K380">VLOOKUP($A380,Table_ship_components[],COLUMN(K:K),0)</f>
        <v>0</v>
      </c>
      <c r="L380" cm="1">
        <f t="array" ref="L380">VLOOKUP($A380,Table_ship_components[],COLUMN(L:L),0)</f>
        <v>0</v>
      </c>
      <c r="M380" cm="1">
        <f t="array" ref="M380">VLOOKUP($A380,Table_ship_components[],COLUMN(M:M),0)</f>
        <v>0</v>
      </c>
      <c r="N380" cm="1">
        <f t="array" ref="N380">VLOOKUP($A380,Table_ship_components[],COLUMN(N:N),0)</f>
        <v>0</v>
      </c>
      <c r="O380" cm="1">
        <f t="array" ref="O380">VLOOKUP($A380,Table_ship_components[],COLUMN(O:O),0)</f>
        <v>1</v>
      </c>
      <c r="P380" cm="1">
        <f t="array" ref="P380">VLOOKUP($A380,Table_ship_components[],COLUMN(P:P),0)</f>
        <v>0</v>
      </c>
      <c r="Q380" cm="1">
        <f t="array" ref="Q380">VLOOKUP($A380,Table_ship_components[],COLUMN(Q:Q),0)</f>
        <v>0</v>
      </c>
      <c r="R380" cm="1">
        <f t="array" ref="R380">VLOOKUP($A380,Table_ship_components[],COLUMN(R:R),0)</f>
        <v>0</v>
      </c>
      <c r="S380" cm="1">
        <f t="array" ref="S380">VLOOKUP($A380,Table_ship_components[],COLUMN(S:S),0)</f>
        <v>0</v>
      </c>
      <c r="T380" cm="1">
        <f t="array" ref="T380">VLOOKUP($A380,Table_ship_components[],COLUMN(T:T),0)</f>
        <v>0</v>
      </c>
      <c r="U380" cm="1">
        <f t="array" ref="U380">VLOOKUP($A380,Table_ship_components[],COLUMN(U:U),0)</f>
        <v>0</v>
      </c>
      <c r="V380" cm="1">
        <f t="array" ref="V380">VLOOKUP($A380,Table_ship_components[],COLUMN(V:V),0)</f>
        <v>0</v>
      </c>
      <c r="W380" s="15" cm="1">
        <f t="array" ref="W380">VLOOKUP($A380,Table_ship_components[],COLUMN(W:W),0)</f>
        <v>0</v>
      </c>
      <c r="X380" cm="1">
        <f t="array" ref="X380">VLOOKUP($A380,Table_ship_components[],COLUMN(X:X),0)</f>
        <v>0</v>
      </c>
      <c r="Y380" cm="1">
        <f t="array" ref="Y380">VLOOKUP($A380,Table_ship_components[],COLUMN(Y:Y),0)</f>
        <v>0</v>
      </c>
      <c r="Z380" cm="1">
        <f t="array" ref="Z380">VLOOKUP($A380,Table_ship_components[],COLUMN(Z:Z),0)</f>
        <v>0</v>
      </c>
      <c r="AA380" cm="1">
        <f t="array" ref="AA380">VLOOKUP($A380,Table_ship_components[],COLUMN(AA:AA),0)*C380</f>
        <v>0</v>
      </c>
      <c r="AB380">
        <f t="shared" si="26"/>
        <v>0</v>
      </c>
      <c r="AC380" cm="1">
        <f t="array" ref="AC380">VLOOKUP($A380,Table_ship_components[],COLUMN(AC:AC),0)*C380</f>
        <v>0</v>
      </c>
      <c r="AD380" cm="1">
        <f t="array" ref="AD380">VLOOKUP($A380,Table_ship_components[],COLUMN(AD:AD),0)</f>
        <v>0</v>
      </c>
      <c r="AE380" cm="1">
        <f t="array" ref="AE380">VLOOKUP($A380,Table_ship_components[],COLUMN(AE:AE),0)</f>
        <v>0</v>
      </c>
      <c r="AF380" cm="1">
        <f t="array" ref="AF380">VLOOKUP($A380,Table_ship_components[],COLUMN(AF:AF),0)</f>
        <v>0</v>
      </c>
      <c r="AG380" cm="1">
        <f t="array" ref="AG380">VLOOKUP($A380,Table_ship_components[],COLUMN(AG:AG),0)</f>
        <v>0</v>
      </c>
      <c r="AH380" cm="1">
        <f t="array" ref="AH380">VLOOKUP($A380,Table_ship_components[],COLUMN(AH:AH),0)</f>
        <v>0</v>
      </c>
      <c r="AI380" cm="1">
        <f t="array" ref="AI380">VLOOKUP($A380,Table_ship_components[],COLUMN(AI:AI),0)</f>
        <v>0</v>
      </c>
      <c r="AJ380" cm="1">
        <f t="array" ref="AJ380">VLOOKUP($A380,Table_ship_components[],COLUMN(AJ:AJ),0)</f>
        <v>0</v>
      </c>
      <c r="AK380" cm="1">
        <f t="array" ref="AK380">VLOOKUP($A380,Table_ship_components[],COLUMN(AK:AK),0)</f>
        <v>0</v>
      </c>
      <c r="AL380" cm="1">
        <f t="array" ref="AL380">VLOOKUP($A380,Table_ship_components[],COLUMN(AL:AL),0)</f>
        <v>1</v>
      </c>
      <c r="AM380" cm="1">
        <f t="array" ref="AM380">VLOOKUP($A380,Table_ship_components[],COLUMN(AM:AM),0)</f>
        <v>0</v>
      </c>
      <c r="AN380" cm="1">
        <f t="array" ref="AN380">VLOOKUP($A380,Table_ship_components[],COLUMN(AN:AN),0)</f>
        <v>0</v>
      </c>
      <c r="AO380" cm="1">
        <f t="array" ref="AO380">VLOOKUP($A380,Table_ship_components[],COLUMN(AO:AO),0)</f>
        <v>0</v>
      </c>
      <c r="AP380" cm="1">
        <f t="array" ref="AP380">VLOOKUP($A380,Table_ship_components[],COLUMN(AP:AP),0)</f>
        <v>0</v>
      </c>
      <c r="AQ380" cm="1">
        <f t="array" ref="AQ380">VLOOKUP($A380,Table_ship_components[],COLUMN(AQ:AQ),0)</f>
        <v>0</v>
      </c>
      <c r="AR380" cm="1">
        <f t="array" ref="AR380">VLOOKUP($A380,Table_ship_components[],COLUMN(AR:AR),0)</f>
        <v>2</v>
      </c>
      <c r="AS380" cm="1">
        <f t="array" ref="AS380">VLOOKUP($A380,Table_ship_components[],COLUMN(AS:AS),0)</f>
        <v>0</v>
      </c>
      <c r="AT380" cm="1">
        <f t="array" ref="AT380">VLOOKUP($A380,Table_ship_components[],COLUMN(AT:AT),0)</f>
        <v>0</v>
      </c>
      <c r="AU380" s="2" cm="1">
        <f t="array" ref="AU380">VLOOKUP($A380,Table_ship_components[],COLUMN(AU:AU),0)</f>
        <v>0</v>
      </c>
      <c r="AV380" s="2" cm="1">
        <f t="array" ref="AV380">VLOOKUP($A380,Table_ship_components[],COLUMN(AV:AV),0)</f>
        <v>0</v>
      </c>
      <c r="AW380" s="2" cm="1">
        <f t="array" ref="AW380">VLOOKUP($A380,Table_ship_components[],COLUMN(AW:AW),0)</f>
        <v>0</v>
      </c>
      <c r="AX380" s="2" cm="1">
        <f t="array" ref="AX380">VLOOKUP($A380,Table_ship_components[],COLUMN(AX:AX),0)</f>
        <v>0</v>
      </c>
      <c r="AY380" s="2" cm="1">
        <f t="array" ref="AY380">VLOOKUP($A380,Table_ship_components[],COLUMN(AY:AY),0)</f>
        <v>0</v>
      </c>
      <c r="AZ380" s="2" t="str" cm="1">
        <f t="array" ref="AZ380">VLOOKUP($A380,Table_ship_components[],COLUMN(AZ:AZ),0)</f>
        <v>C</v>
      </c>
      <c r="BA380" s="14" cm="1">
        <f t="array" ref="BA380">VLOOKUP($A380,Table_ship_components[],COLUMN(BA:BA),0)</f>
        <v>500000</v>
      </c>
      <c r="BB380" s="14" cm="1">
        <f t="array" ref="BB380">(VLOOKUP($A380,Table_ship_components[],COLUMN(BA:BA),0)+(W380*C380))</f>
        <v>500000</v>
      </c>
      <c r="BC380" s="2" cm="1">
        <f t="array" ref="BC380">VLOOKUP($A380,Table_ship_components[],COLUMN(BC:BC),0)</f>
        <v>0</v>
      </c>
      <c r="BD380" s="2" cm="1">
        <f t="array" ref="BD380">VLOOKUP($A380,Table_ship_components[],COLUMN(BD:BD),0)</f>
        <v>0</v>
      </c>
    </row>
    <row r="381" spans="1:56" outlineLevel="1" x14ac:dyDescent="0.35">
      <c r="A381" t="s">
        <v>315</v>
      </c>
      <c r="B381" t="str" cm="1">
        <f t="array" ref="B381">VLOOKUP($A381,Table_ship_components[],COLUMN(B:B),0)</f>
        <v>cargo space (1 HUGE item per unit)</v>
      </c>
      <c r="C381" s="2">
        <v>13</v>
      </c>
      <c r="D381" cm="1">
        <f t="array" ref="D381">VLOOKUP($A381,Table_ship_components[],COLUMN(D:D),0)</f>
        <v>0</v>
      </c>
      <c r="E381" cm="1">
        <f t="array" ref="E381">ROUND(VLOOKUP($A381,Table_ship_components[],COLUMN(D:D),0)+(V381*C381),0)</f>
        <v>13</v>
      </c>
      <c r="F381" cm="1">
        <f t="array" ref="F381">VLOOKUP($A381,Table_ship_components[],COLUMN(F:F),0)</f>
        <v>0</v>
      </c>
      <c r="G381" cm="1">
        <f t="array" ref="G381">ROUND(VLOOKUP($A381,Table_ship_components[],COLUMN(G:G),0)+(X381*C381),0)</f>
        <v>0</v>
      </c>
      <c r="H381" cm="1">
        <f t="array" ref="H381">VLOOKUP($A381,Table_ship_components[],COLUMN(H:H),0)</f>
        <v>0</v>
      </c>
      <c r="I381" cm="1">
        <f t="array" ref="I381">VLOOKUP($A381,Table_ship_components[],COLUMN(I:I),0)</f>
        <v>0</v>
      </c>
      <c r="J381" cm="1">
        <f t="array" ref="J381">VLOOKUP($A381,Table_ship_components[],COLUMN(J:J),0)</f>
        <v>0</v>
      </c>
      <c r="K381" cm="1">
        <f t="array" ref="K381">VLOOKUP($A381,Table_ship_components[],COLUMN(K:K),0)</f>
        <v>0</v>
      </c>
      <c r="L381" cm="1">
        <f t="array" ref="L381">VLOOKUP($A381,Table_ship_components[],COLUMN(L:L),0)</f>
        <v>0</v>
      </c>
      <c r="M381" cm="1">
        <f t="array" ref="M381">VLOOKUP($A381,Table_ship_components[],COLUMN(M:M),0)</f>
        <v>0</v>
      </c>
      <c r="N381" cm="1">
        <f t="array" ref="N381">VLOOKUP($A381,Table_ship_components[],COLUMN(N:N),0)</f>
        <v>1</v>
      </c>
      <c r="O381" cm="1">
        <f t="array" ref="O381">VLOOKUP($A381,Table_ship_components[],COLUMN(O:O),0)</f>
        <v>1</v>
      </c>
      <c r="P381" cm="1">
        <f t="array" ref="P381">VLOOKUP($A381,Table_ship_components[],COLUMN(P:P),0)</f>
        <v>1</v>
      </c>
      <c r="Q381" cm="1">
        <f t="array" ref="Q381">VLOOKUP($A381,Table_ship_components[],COLUMN(Q:Q),0)</f>
        <v>1</v>
      </c>
      <c r="R381" cm="1">
        <f t="array" ref="R381">VLOOKUP($A381,Table_ship_components[],COLUMN(R:R),0)</f>
        <v>1</v>
      </c>
      <c r="S381" cm="1">
        <f t="array" ref="S381">VLOOKUP($A381,Table_ship_components[],COLUMN(S:S),0)</f>
        <v>1</v>
      </c>
      <c r="T381" cm="1">
        <f t="array" ref="T381">VLOOKUP($A381,Table_ship_components[],COLUMN(T:T),0)</f>
        <v>1</v>
      </c>
      <c r="U381" cm="1">
        <f t="array" ref="U381">VLOOKUP($A381,Table_ship_components[],COLUMN(U:U),0)</f>
        <v>1</v>
      </c>
      <c r="V381" cm="1">
        <f t="array" ref="V381">VLOOKUP($A381,Table_ship_components[],COLUMN(V:V),0)</f>
        <v>1</v>
      </c>
      <c r="W381" s="15" cm="1">
        <f t="array" ref="W381">VLOOKUP($A381,Table_ship_components[],COLUMN(W:W),0)</f>
        <v>5000</v>
      </c>
      <c r="X381" cm="1">
        <f t="array" ref="X381">VLOOKUP($A381,Table_ship_components[],COLUMN(X:X),0)</f>
        <v>0</v>
      </c>
      <c r="Y381" cm="1">
        <f t="array" ref="Y381">VLOOKUP($A381,Table_ship_components[],COLUMN(Y:Y),0)</f>
        <v>0</v>
      </c>
      <c r="Z381" cm="1">
        <f t="array" ref="Z381">VLOOKUP($A381,Table_ship_components[],COLUMN(Z:Z),0)</f>
        <v>0</v>
      </c>
      <c r="AA381" cm="1">
        <f t="array" ref="AA381">VLOOKUP($A381,Table_ship_components[],COLUMN(AA:AA),0)*C381</f>
        <v>0</v>
      </c>
      <c r="AB381">
        <f t="shared" si="26"/>
        <v>13</v>
      </c>
      <c r="AC381" cm="1">
        <f t="array" ref="AC381">VLOOKUP($A381,Table_ship_components[],COLUMN(AC:AC),0)*C381</f>
        <v>0</v>
      </c>
      <c r="AD381" cm="1">
        <f t="array" ref="AD381">VLOOKUP($A381,Table_ship_components[],COLUMN(AD:AD),0)</f>
        <v>0</v>
      </c>
      <c r="AE381" cm="1">
        <f t="array" ref="AE381">VLOOKUP($A381,Table_ship_components[],COLUMN(AE:AE),0)</f>
        <v>0</v>
      </c>
      <c r="AF381" cm="1">
        <f t="array" ref="AF381">VLOOKUP($A381,Table_ship_components[],COLUMN(AF:AF),0)</f>
        <v>0</v>
      </c>
      <c r="AG381" cm="1">
        <f t="array" ref="AG381">VLOOKUP($A381,Table_ship_components[],COLUMN(AG:AG),0)</f>
        <v>0</v>
      </c>
      <c r="AH381" cm="1">
        <f t="array" ref="AH381">VLOOKUP($A381,Table_ship_components[],COLUMN(AH:AH),0)</f>
        <v>0</v>
      </c>
      <c r="AI381" cm="1">
        <f t="array" ref="AI381">VLOOKUP($A381,Table_ship_components[],COLUMN(AI:AI),0)</f>
        <v>0</v>
      </c>
      <c r="AJ381" cm="1">
        <f t="array" ref="AJ381">VLOOKUP($A381,Table_ship_components[],COLUMN(AJ:AJ),0)</f>
        <v>0</v>
      </c>
      <c r="AK381" cm="1">
        <f t="array" ref="AK381">VLOOKUP($A381,Table_ship_components[],COLUMN(AK:AK),0)</f>
        <v>0</v>
      </c>
      <c r="AL381" cm="1">
        <f t="array" ref="AL381">VLOOKUP($A381,Table_ship_components[],COLUMN(AL:AL),0)</f>
        <v>0</v>
      </c>
      <c r="AM381" cm="1">
        <f t="array" ref="AM381">VLOOKUP($A381,Table_ship_components[],COLUMN(AM:AM),0)</f>
        <v>0</v>
      </c>
      <c r="AN381" cm="1">
        <f t="array" ref="AN381">VLOOKUP($A381,Table_ship_components[],COLUMN(AN:AN),0)</f>
        <v>0</v>
      </c>
      <c r="AO381" cm="1">
        <f t="array" ref="AO381">VLOOKUP($A381,Table_ship_components[],COLUMN(AO:AO),0)</f>
        <v>0</v>
      </c>
      <c r="AP381" cm="1">
        <f t="array" ref="AP381">VLOOKUP($A381,Table_ship_components[],COLUMN(AP:AP),0)</f>
        <v>0</v>
      </c>
      <c r="AQ381" cm="1">
        <f t="array" ref="AQ381">VLOOKUP($A381,Table_ship_components[],COLUMN(AQ:AQ),0)</f>
        <v>0</v>
      </c>
      <c r="AR381" cm="1">
        <f t="array" ref="AR381">VLOOKUP($A381,Table_ship_components[],COLUMN(AR:AR),0)</f>
        <v>0</v>
      </c>
      <c r="AS381" cm="1">
        <f t="array" ref="AS381">VLOOKUP($A381,Table_ship_components[],COLUMN(AS:AS),0)</f>
        <v>0</v>
      </c>
      <c r="AT381" cm="1">
        <f t="array" ref="AT381">VLOOKUP($A381,Table_ship_components[],COLUMN(AT:AT),0)</f>
        <v>0</v>
      </c>
      <c r="AU381" s="2" cm="1">
        <f t="array" ref="AU381">VLOOKUP($A381,Table_ship_components[],COLUMN(AU:AU),0)</f>
        <v>0</v>
      </c>
      <c r="AV381" s="2" cm="1">
        <f t="array" ref="AV381">VLOOKUP($A381,Table_ship_components[],COLUMN(AV:AV),0)</f>
        <v>0</v>
      </c>
      <c r="AW381" s="2" cm="1">
        <f t="array" ref="AW381">VLOOKUP($A381,Table_ship_components[],COLUMN(AW:AW),0)</f>
        <v>0</v>
      </c>
      <c r="AX381" s="2" cm="1">
        <f t="array" ref="AX381">VLOOKUP($A381,Table_ship_components[],COLUMN(AX:AX),0)</f>
        <v>0</v>
      </c>
      <c r="AY381" s="2" cm="1">
        <f t="array" ref="AY381">VLOOKUP($A381,Table_ship_components[],COLUMN(AY:AY),0)</f>
        <v>0</v>
      </c>
      <c r="AZ381" s="2" t="str" cm="1">
        <f t="array" ref="AZ381">VLOOKUP($A381,Table_ship_components[],COLUMN(AZ:AZ),0)</f>
        <v>C</v>
      </c>
      <c r="BA381" s="14" cm="1">
        <f t="array" ref="BA381">VLOOKUP($A381,Table_ship_components[],COLUMN(BA:BA),0)</f>
        <v>5000</v>
      </c>
      <c r="BB381" s="14" cm="1">
        <f t="array" ref="BB381">(VLOOKUP($A381,Table_ship_components[],COLUMN(BA:BA),0)+(W381*C381))</f>
        <v>70000</v>
      </c>
      <c r="BC381" s="2" cm="1">
        <f t="array" ref="BC381">VLOOKUP($A381,Table_ship_components[],COLUMN(BC:BC),0)</f>
        <v>0</v>
      </c>
      <c r="BD381" s="2" cm="1">
        <f t="array" ref="BD381">VLOOKUP($A381,Table_ship_components[],COLUMN(BD:BD),0)</f>
        <v>0</v>
      </c>
    </row>
    <row r="382" spans="1:56" outlineLevel="1" x14ac:dyDescent="0.35">
      <c r="A382" t="s">
        <v>288</v>
      </c>
      <c r="B382" t="str" cm="1">
        <f t="array" ref="B382">VLOOKUP($A382,Table_ship_components[],COLUMN(B:B),0)</f>
        <v>PICK A COMPONENT</v>
      </c>
      <c r="D382" cm="1">
        <f t="array" ref="D382">VLOOKUP($A382,Table_ship_components[],COLUMN(D:D),0)</f>
        <v>0</v>
      </c>
      <c r="E382" cm="1">
        <f t="array" ref="E382">ROUND(VLOOKUP($A382,Table_ship_components[],COLUMN(D:D),0)+(V382*C382),0)</f>
        <v>0</v>
      </c>
      <c r="F382" cm="1">
        <f t="array" ref="F382">VLOOKUP($A382,Table_ship_components[],COLUMN(F:F),0)</f>
        <v>0</v>
      </c>
      <c r="G382" cm="1">
        <f t="array" ref="G382">ROUND(VLOOKUP($A382,Table_ship_components[],COLUMN(G:G),0)+(X382*C382),0)</f>
        <v>0</v>
      </c>
      <c r="H382" cm="1">
        <f t="array" ref="H382">VLOOKUP($A382,Table_ship_components[],COLUMN(H:H),0)</f>
        <v>0</v>
      </c>
      <c r="I382" cm="1">
        <f t="array" ref="I382">VLOOKUP($A382,Table_ship_components[],COLUMN(I:I),0)</f>
        <v>0</v>
      </c>
      <c r="J382" cm="1">
        <f t="array" ref="J382">VLOOKUP($A382,Table_ship_components[],COLUMN(J:J),0)</f>
        <v>0</v>
      </c>
      <c r="K382" cm="1">
        <f t="array" ref="K382">VLOOKUP($A382,Table_ship_components[],COLUMN(K:K),0)</f>
        <v>0</v>
      </c>
      <c r="L382" cm="1">
        <f t="array" ref="L382">VLOOKUP($A382,Table_ship_components[],COLUMN(L:L),0)</f>
        <v>0</v>
      </c>
      <c r="M382" cm="1">
        <f t="array" ref="M382">VLOOKUP($A382,Table_ship_components[],COLUMN(M:M),0)</f>
        <v>0</v>
      </c>
      <c r="N382" cm="1">
        <f t="array" ref="N382">VLOOKUP($A382,Table_ship_components[],COLUMN(N:N),0)</f>
        <v>0</v>
      </c>
      <c r="O382" cm="1">
        <f t="array" ref="O382">VLOOKUP($A382,Table_ship_components[],COLUMN(O:O),0)</f>
        <v>0</v>
      </c>
      <c r="P382" cm="1">
        <f t="array" ref="P382">VLOOKUP($A382,Table_ship_components[],COLUMN(P:P),0)</f>
        <v>0</v>
      </c>
      <c r="Q382" cm="1">
        <f t="array" ref="Q382">VLOOKUP($A382,Table_ship_components[],COLUMN(Q:Q),0)</f>
        <v>0</v>
      </c>
      <c r="R382" cm="1">
        <f t="array" ref="R382">VLOOKUP($A382,Table_ship_components[],COLUMN(R:R),0)</f>
        <v>0</v>
      </c>
      <c r="S382" cm="1">
        <f t="array" ref="S382">VLOOKUP($A382,Table_ship_components[],COLUMN(S:S),0)</f>
        <v>0</v>
      </c>
      <c r="T382" cm="1">
        <f t="array" ref="T382">VLOOKUP($A382,Table_ship_components[],COLUMN(T:T),0)</f>
        <v>0</v>
      </c>
      <c r="U382" cm="1">
        <f t="array" ref="U382">VLOOKUP($A382,Table_ship_components[],COLUMN(U:U),0)</f>
        <v>0</v>
      </c>
      <c r="V382" cm="1">
        <f t="array" ref="V382">VLOOKUP($A382,Table_ship_components[],COLUMN(V:V),0)</f>
        <v>0</v>
      </c>
      <c r="W382" s="15" cm="1">
        <f t="array" ref="W382">VLOOKUP($A382,Table_ship_components[],COLUMN(W:W),0)</f>
        <v>0</v>
      </c>
      <c r="X382" cm="1">
        <f t="array" ref="X382">VLOOKUP($A382,Table_ship_components[],COLUMN(X:X),0)</f>
        <v>0</v>
      </c>
      <c r="Y382" cm="1">
        <f t="array" ref="Y382">VLOOKUP($A382,Table_ship_components[],COLUMN(Y:Y),0)</f>
        <v>0</v>
      </c>
      <c r="Z382" cm="1">
        <f t="array" ref="Z382">VLOOKUP($A382,Table_ship_components[],COLUMN(Z:Z),0)</f>
        <v>0</v>
      </c>
      <c r="AA382" cm="1">
        <f t="array" ref="AA382">VLOOKUP($A382,Table_ship_components[],COLUMN(AA:AA),0)*C382</f>
        <v>0</v>
      </c>
      <c r="AB382">
        <f t="shared" si="26"/>
        <v>0</v>
      </c>
      <c r="AC382" cm="1">
        <f t="array" ref="AC382">VLOOKUP($A382,Table_ship_components[],COLUMN(AC:AC),0)*C382</f>
        <v>0</v>
      </c>
      <c r="AD382" cm="1">
        <f t="array" ref="AD382">VLOOKUP($A382,Table_ship_components[],COLUMN(AD:AD),0)</f>
        <v>0</v>
      </c>
      <c r="AE382" cm="1">
        <f t="array" ref="AE382">VLOOKUP($A382,Table_ship_components[],COLUMN(AE:AE),0)</f>
        <v>0</v>
      </c>
      <c r="AF382" cm="1">
        <f t="array" ref="AF382">VLOOKUP($A382,Table_ship_components[],COLUMN(AF:AF),0)</f>
        <v>0</v>
      </c>
      <c r="AG382" cm="1">
        <f t="array" ref="AG382">VLOOKUP($A382,Table_ship_components[],COLUMN(AG:AG),0)</f>
        <v>0</v>
      </c>
      <c r="AH382" cm="1">
        <f t="array" ref="AH382">VLOOKUP($A382,Table_ship_components[],COLUMN(AH:AH),0)</f>
        <v>0</v>
      </c>
      <c r="AI382" cm="1">
        <f t="array" ref="AI382">VLOOKUP($A382,Table_ship_components[],COLUMN(AI:AI),0)</f>
        <v>0</v>
      </c>
      <c r="AJ382" cm="1">
        <f t="array" ref="AJ382">VLOOKUP($A382,Table_ship_components[],COLUMN(AJ:AJ),0)</f>
        <v>0</v>
      </c>
      <c r="AK382" cm="1">
        <f t="array" ref="AK382">VLOOKUP($A382,Table_ship_components[],COLUMN(AK:AK),0)</f>
        <v>0</v>
      </c>
      <c r="AL382" cm="1">
        <f t="array" ref="AL382">VLOOKUP($A382,Table_ship_components[],COLUMN(AL:AL),0)</f>
        <v>0</v>
      </c>
      <c r="AM382" cm="1">
        <f t="array" ref="AM382">VLOOKUP($A382,Table_ship_components[],COLUMN(AM:AM),0)</f>
        <v>0</v>
      </c>
      <c r="AN382" cm="1">
        <f t="array" ref="AN382">VLOOKUP($A382,Table_ship_components[],COLUMN(AN:AN),0)</f>
        <v>0</v>
      </c>
      <c r="AO382" cm="1">
        <f t="array" ref="AO382">VLOOKUP($A382,Table_ship_components[],COLUMN(AO:AO),0)</f>
        <v>0</v>
      </c>
      <c r="AP382" cm="1">
        <f t="array" ref="AP382">VLOOKUP($A382,Table_ship_components[],COLUMN(AP:AP),0)</f>
        <v>0</v>
      </c>
      <c r="AQ382" cm="1">
        <f t="array" ref="AQ382">VLOOKUP($A382,Table_ship_components[],COLUMN(AQ:AQ),0)</f>
        <v>0</v>
      </c>
      <c r="AR382" cm="1">
        <f t="array" ref="AR382">VLOOKUP($A382,Table_ship_components[],COLUMN(AR:AR),0)</f>
        <v>0</v>
      </c>
      <c r="AS382" cm="1">
        <f t="array" ref="AS382">VLOOKUP($A382,Table_ship_components[],COLUMN(AS:AS),0)</f>
        <v>0</v>
      </c>
      <c r="AT382" cm="1">
        <f t="array" ref="AT382">VLOOKUP($A382,Table_ship_components[],COLUMN(AT:AT),0)</f>
        <v>0</v>
      </c>
      <c r="AU382" s="2" cm="1">
        <f t="array" ref="AU382">VLOOKUP($A382,Table_ship_components[],COLUMN(AU:AU),0)</f>
        <v>0</v>
      </c>
      <c r="AV382" s="2" cm="1">
        <f t="array" ref="AV382">VLOOKUP($A382,Table_ship_components[],COLUMN(AV:AV),0)</f>
        <v>0</v>
      </c>
      <c r="AW382" s="2" cm="1">
        <f t="array" ref="AW382">VLOOKUP($A382,Table_ship_components[],COLUMN(AW:AW),0)</f>
        <v>0</v>
      </c>
      <c r="AX382" s="2" cm="1">
        <f t="array" ref="AX382">VLOOKUP($A382,Table_ship_components[],COLUMN(AX:AX),0)</f>
        <v>0</v>
      </c>
      <c r="AY382" s="2" cm="1">
        <f t="array" ref="AY382">VLOOKUP($A382,Table_ship_components[],COLUMN(AY:AY),0)</f>
        <v>0</v>
      </c>
      <c r="AZ382" s="2" t="str" cm="1">
        <f t="array" ref="AZ382">VLOOKUP($A382,Table_ship_components[],COLUMN(AZ:AZ),0)</f>
        <v>C</v>
      </c>
      <c r="BA382" s="14" cm="1">
        <f t="array" ref="BA382">VLOOKUP($A382,Table_ship_components[],COLUMN(BA:BA),0)</f>
        <v>0</v>
      </c>
      <c r="BB382" s="14" cm="1">
        <f t="array" ref="BB382">(VLOOKUP($A382,Table_ship_components[],COLUMN(BA:BA),0)+(W382*C382))</f>
        <v>0</v>
      </c>
      <c r="BC382" s="2" cm="1">
        <f t="array" ref="BC382">VLOOKUP($A382,Table_ship_components[],COLUMN(BC:BC),0)</f>
        <v>0</v>
      </c>
      <c r="BD382" s="2" cm="1">
        <f t="array" ref="BD382">VLOOKUP($A382,Table_ship_components[],COLUMN(BD:BD),0)</f>
        <v>0</v>
      </c>
    </row>
    <row r="383" spans="1:56" outlineLevel="1" x14ac:dyDescent="0.35">
      <c r="A383" t="s">
        <v>288</v>
      </c>
      <c r="B383" t="str" cm="1">
        <f t="array" ref="B383">VLOOKUP($A383,Table_ship_components[],COLUMN(B:B),0)</f>
        <v>PICK A COMPONENT</v>
      </c>
      <c r="D383" cm="1">
        <f t="array" ref="D383">VLOOKUP($A383,Table_ship_components[],COLUMN(D:D),0)</f>
        <v>0</v>
      </c>
      <c r="E383" cm="1">
        <f t="array" ref="E383">ROUND(VLOOKUP($A383,Table_ship_components[],COLUMN(D:D),0)+(V383*C383),0)</f>
        <v>0</v>
      </c>
      <c r="F383" cm="1">
        <f t="array" ref="F383">VLOOKUP($A383,Table_ship_components[],COLUMN(F:F),0)</f>
        <v>0</v>
      </c>
      <c r="G383" cm="1">
        <f t="array" ref="G383">ROUND(VLOOKUP($A383,Table_ship_components[],COLUMN(G:G),0)+(X383*C383),0)</f>
        <v>0</v>
      </c>
      <c r="H383" cm="1">
        <f t="array" ref="H383">VLOOKUP($A383,Table_ship_components[],COLUMN(H:H),0)</f>
        <v>0</v>
      </c>
      <c r="I383" cm="1">
        <f t="array" ref="I383">VLOOKUP($A383,Table_ship_components[],COLUMN(I:I),0)</f>
        <v>0</v>
      </c>
      <c r="J383" cm="1">
        <f t="array" ref="J383">VLOOKUP($A383,Table_ship_components[],COLUMN(J:J),0)</f>
        <v>0</v>
      </c>
      <c r="K383" cm="1">
        <f t="array" ref="K383">VLOOKUP($A383,Table_ship_components[],COLUMN(K:K),0)</f>
        <v>0</v>
      </c>
      <c r="L383" cm="1">
        <f t="array" ref="L383">VLOOKUP($A383,Table_ship_components[],COLUMN(L:L),0)</f>
        <v>0</v>
      </c>
      <c r="M383" cm="1">
        <f t="array" ref="M383">VLOOKUP($A383,Table_ship_components[],COLUMN(M:M),0)</f>
        <v>0</v>
      </c>
      <c r="N383" cm="1">
        <f t="array" ref="N383">VLOOKUP($A383,Table_ship_components[],COLUMN(N:N),0)</f>
        <v>0</v>
      </c>
      <c r="O383" cm="1">
        <f t="array" ref="O383">VLOOKUP($A383,Table_ship_components[],COLUMN(O:O),0)</f>
        <v>0</v>
      </c>
      <c r="P383" cm="1">
        <f t="array" ref="P383">VLOOKUP($A383,Table_ship_components[],COLUMN(P:P),0)</f>
        <v>0</v>
      </c>
      <c r="Q383" cm="1">
        <f t="array" ref="Q383">VLOOKUP($A383,Table_ship_components[],COLUMN(Q:Q),0)</f>
        <v>0</v>
      </c>
      <c r="R383" cm="1">
        <f t="array" ref="R383">VLOOKUP($A383,Table_ship_components[],COLUMN(R:R),0)</f>
        <v>0</v>
      </c>
      <c r="S383" cm="1">
        <f t="array" ref="S383">VLOOKUP($A383,Table_ship_components[],COLUMN(S:S),0)</f>
        <v>0</v>
      </c>
      <c r="T383" cm="1">
        <f t="array" ref="T383">VLOOKUP($A383,Table_ship_components[],COLUMN(T:T),0)</f>
        <v>0</v>
      </c>
      <c r="U383" cm="1">
        <f t="array" ref="U383">VLOOKUP($A383,Table_ship_components[],COLUMN(U:U),0)</f>
        <v>0</v>
      </c>
      <c r="V383" cm="1">
        <f t="array" ref="V383">VLOOKUP($A383,Table_ship_components[],COLUMN(V:V),0)</f>
        <v>0</v>
      </c>
      <c r="W383" s="15" cm="1">
        <f t="array" ref="W383">VLOOKUP($A383,Table_ship_components[],COLUMN(W:W),0)</f>
        <v>0</v>
      </c>
      <c r="X383" cm="1">
        <f t="array" ref="X383">VLOOKUP($A383,Table_ship_components[],COLUMN(X:X),0)</f>
        <v>0</v>
      </c>
      <c r="Y383" cm="1">
        <f t="array" ref="Y383">VLOOKUP($A383,Table_ship_components[],COLUMN(Y:Y),0)</f>
        <v>0</v>
      </c>
      <c r="Z383" cm="1">
        <f t="array" ref="Z383">VLOOKUP($A383,Table_ship_components[],COLUMN(Z:Z),0)</f>
        <v>0</v>
      </c>
      <c r="AA383" cm="1">
        <f t="array" ref="AA383">VLOOKUP($A383,Table_ship_components[],COLUMN(AA:AA),0)*C383</f>
        <v>0</v>
      </c>
      <c r="AB383">
        <f t="shared" si="26"/>
        <v>0</v>
      </c>
      <c r="AC383" cm="1">
        <f t="array" ref="AC383">VLOOKUP($A383,Table_ship_components[],COLUMN(AC:AC),0)*C383</f>
        <v>0</v>
      </c>
      <c r="AD383" cm="1">
        <f t="array" ref="AD383">VLOOKUP($A383,Table_ship_components[],COLUMN(AD:AD),0)</f>
        <v>0</v>
      </c>
      <c r="AE383" cm="1">
        <f t="array" ref="AE383">VLOOKUP($A383,Table_ship_components[],COLUMN(AE:AE),0)</f>
        <v>0</v>
      </c>
      <c r="AF383" cm="1">
        <f t="array" ref="AF383">VLOOKUP($A383,Table_ship_components[],COLUMN(AF:AF),0)</f>
        <v>0</v>
      </c>
      <c r="AG383" cm="1">
        <f t="array" ref="AG383">VLOOKUP($A383,Table_ship_components[],COLUMN(AG:AG),0)</f>
        <v>0</v>
      </c>
      <c r="AH383" cm="1">
        <f t="array" ref="AH383">VLOOKUP($A383,Table_ship_components[],COLUMN(AH:AH),0)</f>
        <v>0</v>
      </c>
      <c r="AI383" cm="1">
        <f t="array" ref="AI383">VLOOKUP($A383,Table_ship_components[],COLUMN(AI:AI),0)</f>
        <v>0</v>
      </c>
      <c r="AJ383" cm="1">
        <f t="array" ref="AJ383">VLOOKUP($A383,Table_ship_components[],COLUMN(AJ:AJ),0)</f>
        <v>0</v>
      </c>
      <c r="AK383" cm="1">
        <f t="array" ref="AK383">VLOOKUP($A383,Table_ship_components[],COLUMN(AK:AK),0)</f>
        <v>0</v>
      </c>
      <c r="AL383" cm="1">
        <f t="array" ref="AL383">VLOOKUP($A383,Table_ship_components[],COLUMN(AL:AL),0)</f>
        <v>0</v>
      </c>
      <c r="AM383" cm="1">
        <f t="array" ref="AM383">VLOOKUP($A383,Table_ship_components[],COLUMN(AM:AM),0)</f>
        <v>0</v>
      </c>
      <c r="AN383" cm="1">
        <f t="array" ref="AN383">VLOOKUP($A383,Table_ship_components[],COLUMN(AN:AN),0)</f>
        <v>0</v>
      </c>
      <c r="AO383" cm="1">
        <f t="array" ref="AO383">VLOOKUP($A383,Table_ship_components[],COLUMN(AO:AO),0)</f>
        <v>0</v>
      </c>
      <c r="AP383" cm="1">
        <f t="array" ref="AP383">VLOOKUP($A383,Table_ship_components[],COLUMN(AP:AP),0)</f>
        <v>0</v>
      </c>
      <c r="AQ383" cm="1">
        <f t="array" ref="AQ383">VLOOKUP($A383,Table_ship_components[],COLUMN(AQ:AQ),0)</f>
        <v>0</v>
      </c>
      <c r="AR383" cm="1">
        <f t="array" ref="AR383">VLOOKUP($A383,Table_ship_components[],COLUMN(AR:AR),0)</f>
        <v>0</v>
      </c>
      <c r="AS383" cm="1">
        <f t="array" ref="AS383">VLOOKUP($A383,Table_ship_components[],COLUMN(AS:AS),0)</f>
        <v>0</v>
      </c>
      <c r="AT383" cm="1">
        <f t="array" ref="AT383">VLOOKUP($A383,Table_ship_components[],COLUMN(AT:AT),0)</f>
        <v>0</v>
      </c>
      <c r="AU383" s="2" cm="1">
        <f t="array" ref="AU383">VLOOKUP($A383,Table_ship_components[],COLUMN(AU:AU),0)</f>
        <v>0</v>
      </c>
      <c r="AV383" s="2" cm="1">
        <f t="array" ref="AV383">VLOOKUP($A383,Table_ship_components[],COLUMN(AV:AV),0)</f>
        <v>0</v>
      </c>
      <c r="AW383" s="2" cm="1">
        <f t="array" ref="AW383">VLOOKUP($A383,Table_ship_components[],COLUMN(AW:AW),0)</f>
        <v>0</v>
      </c>
      <c r="AX383" s="2" cm="1">
        <f t="array" ref="AX383">VLOOKUP($A383,Table_ship_components[],COLUMN(AX:AX),0)</f>
        <v>0</v>
      </c>
      <c r="AY383" s="2" cm="1">
        <f t="array" ref="AY383">VLOOKUP($A383,Table_ship_components[],COLUMN(AY:AY),0)</f>
        <v>0</v>
      </c>
      <c r="AZ383" s="2" t="str" cm="1">
        <f t="array" ref="AZ383">VLOOKUP($A383,Table_ship_components[],COLUMN(AZ:AZ),0)</f>
        <v>C</v>
      </c>
      <c r="BA383" s="14" cm="1">
        <f t="array" ref="BA383">VLOOKUP($A383,Table_ship_components[],COLUMN(BA:BA),0)</f>
        <v>0</v>
      </c>
      <c r="BB383" s="14" cm="1">
        <f t="array" ref="BB383">(VLOOKUP($A383,Table_ship_components[],COLUMN(BA:BA),0)+(W383*C383))</f>
        <v>0</v>
      </c>
      <c r="BC383" s="2" cm="1">
        <f t="array" ref="BC383">VLOOKUP($A383,Table_ship_components[],COLUMN(BC:BC),0)</f>
        <v>0</v>
      </c>
      <c r="BD383" s="2" cm="1">
        <f t="array" ref="BD383">VLOOKUP($A383,Table_ship_components[],COLUMN(BD:BD),0)</f>
        <v>0</v>
      </c>
    </row>
    <row r="384" spans="1:56" outlineLevel="1" x14ac:dyDescent="0.35">
      <c r="A384" t="s">
        <v>288</v>
      </c>
      <c r="B384" t="str" cm="1">
        <f t="array" ref="B384">VLOOKUP($A384,Table_ship_components[],COLUMN(B:B),0)</f>
        <v>PICK A COMPONENT</v>
      </c>
      <c r="D384" cm="1">
        <f t="array" ref="D384">VLOOKUP($A384,Table_ship_components[],COLUMN(D:D),0)</f>
        <v>0</v>
      </c>
      <c r="E384" cm="1">
        <f t="array" ref="E384">ROUND(VLOOKUP($A384,Table_ship_components[],COLUMN(D:D),0)+(V384*C384),0)</f>
        <v>0</v>
      </c>
      <c r="F384" cm="1">
        <f t="array" ref="F384">VLOOKUP($A384,Table_ship_components[],COLUMN(F:F),0)</f>
        <v>0</v>
      </c>
      <c r="G384" cm="1">
        <f t="array" ref="G384">ROUND(VLOOKUP($A384,Table_ship_components[],COLUMN(G:G),0)+(X384*C384),0)</f>
        <v>0</v>
      </c>
      <c r="H384" cm="1">
        <f t="array" ref="H384">VLOOKUP($A384,Table_ship_components[],COLUMN(H:H),0)</f>
        <v>0</v>
      </c>
      <c r="I384" cm="1">
        <f t="array" ref="I384">VLOOKUP($A384,Table_ship_components[],COLUMN(I:I),0)</f>
        <v>0</v>
      </c>
      <c r="J384" cm="1">
        <f t="array" ref="J384">VLOOKUP($A384,Table_ship_components[],COLUMN(J:J),0)</f>
        <v>0</v>
      </c>
      <c r="K384" cm="1">
        <f t="array" ref="K384">VLOOKUP($A384,Table_ship_components[],COLUMN(K:K),0)</f>
        <v>0</v>
      </c>
      <c r="L384" cm="1">
        <f t="array" ref="L384">VLOOKUP($A384,Table_ship_components[],COLUMN(L:L),0)</f>
        <v>0</v>
      </c>
      <c r="M384" cm="1">
        <f t="array" ref="M384">VLOOKUP($A384,Table_ship_components[],COLUMN(M:M),0)</f>
        <v>0</v>
      </c>
      <c r="N384" cm="1">
        <f t="array" ref="N384">VLOOKUP($A384,Table_ship_components[],COLUMN(N:N),0)</f>
        <v>0</v>
      </c>
      <c r="O384" cm="1">
        <f t="array" ref="O384">VLOOKUP($A384,Table_ship_components[],COLUMN(O:O),0)</f>
        <v>0</v>
      </c>
      <c r="P384" cm="1">
        <f t="array" ref="P384">VLOOKUP($A384,Table_ship_components[],COLUMN(P:P),0)</f>
        <v>0</v>
      </c>
      <c r="Q384" cm="1">
        <f t="array" ref="Q384">VLOOKUP($A384,Table_ship_components[],COLUMN(Q:Q),0)</f>
        <v>0</v>
      </c>
      <c r="R384" cm="1">
        <f t="array" ref="R384">VLOOKUP($A384,Table_ship_components[],COLUMN(R:R),0)</f>
        <v>0</v>
      </c>
      <c r="S384" cm="1">
        <f t="array" ref="S384">VLOOKUP($A384,Table_ship_components[],COLUMN(S:S),0)</f>
        <v>0</v>
      </c>
      <c r="T384" cm="1">
        <f t="array" ref="T384">VLOOKUP($A384,Table_ship_components[],COLUMN(T:T),0)</f>
        <v>0</v>
      </c>
      <c r="U384" cm="1">
        <f t="array" ref="U384">VLOOKUP($A384,Table_ship_components[],COLUMN(U:U),0)</f>
        <v>0</v>
      </c>
      <c r="V384" cm="1">
        <f t="array" ref="V384">VLOOKUP($A384,Table_ship_components[],COLUMN(V:V),0)</f>
        <v>0</v>
      </c>
      <c r="W384" s="15" cm="1">
        <f t="array" ref="W384">VLOOKUP($A384,Table_ship_components[],COLUMN(W:W),0)</f>
        <v>0</v>
      </c>
      <c r="X384" cm="1">
        <f t="array" ref="X384">VLOOKUP($A384,Table_ship_components[],COLUMN(X:X),0)</f>
        <v>0</v>
      </c>
      <c r="Y384" cm="1">
        <f t="array" ref="Y384">VLOOKUP($A384,Table_ship_components[],COLUMN(Y:Y),0)</f>
        <v>0</v>
      </c>
      <c r="Z384" cm="1">
        <f t="array" ref="Z384">VLOOKUP($A384,Table_ship_components[],COLUMN(Z:Z),0)</f>
        <v>0</v>
      </c>
      <c r="AA384" cm="1">
        <f t="array" ref="AA384">VLOOKUP($A384,Table_ship_components[],COLUMN(AA:AA),0)*C384</f>
        <v>0</v>
      </c>
      <c r="AB384">
        <f t="shared" si="26"/>
        <v>0</v>
      </c>
      <c r="AC384" cm="1">
        <f t="array" ref="AC384">VLOOKUP($A384,Table_ship_components[],COLUMN(AC:AC),0)*C384</f>
        <v>0</v>
      </c>
      <c r="AD384" cm="1">
        <f t="array" ref="AD384">VLOOKUP($A384,Table_ship_components[],COLUMN(AD:AD),0)</f>
        <v>0</v>
      </c>
      <c r="AE384" cm="1">
        <f t="array" ref="AE384">VLOOKUP($A384,Table_ship_components[],COLUMN(AE:AE),0)</f>
        <v>0</v>
      </c>
      <c r="AF384" cm="1">
        <f t="array" ref="AF384">VLOOKUP($A384,Table_ship_components[],COLUMN(AF:AF),0)</f>
        <v>0</v>
      </c>
      <c r="AG384" cm="1">
        <f t="array" ref="AG384">VLOOKUP($A384,Table_ship_components[],COLUMN(AG:AG),0)</f>
        <v>0</v>
      </c>
      <c r="AH384" cm="1">
        <f t="array" ref="AH384">VLOOKUP($A384,Table_ship_components[],COLUMN(AH:AH),0)</f>
        <v>0</v>
      </c>
      <c r="AI384" cm="1">
        <f t="array" ref="AI384">VLOOKUP($A384,Table_ship_components[],COLUMN(AI:AI),0)</f>
        <v>0</v>
      </c>
      <c r="AJ384" cm="1">
        <f t="array" ref="AJ384">VLOOKUP($A384,Table_ship_components[],COLUMN(AJ:AJ),0)</f>
        <v>0</v>
      </c>
      <c r="AK384" cm="1">
        <f t="array" ref="AK384">VLOOKUP($A384,Table_ship_components[],COLUMN(AK:AK),0)</f>
        <v>0</v>
      </c>
      <c r="AL384" cm="1">
        <f t="array" ref="AL384">VLOOKUP($A384,Table_ship_components[],COLUMN(AL:AL),0)</f>
        <v>0</v>
      </c>
      <c r="AM384" cm="1">
        <f t="array" ref="AM384">VLOOKUP($A384,Table_ship_components[],COLUMN(AM:AM),0)</f>
        <v>0</v>
      </c>
      <c r="AN384" cm="1">
        <f t="array" ref="AN384">VLOOKUP($A384,Table_ship_components[],COLUMN(AN:AN),0)</f>
        <v>0</v>
      </c>
      <c r="AO384" cm="1">
        <f t="array" ref="AO384">VLOOKUP($A384,Table_ship_components[],COLUMN(AO:AO),0)</f>
        <v>0</v>
      </c>
      <c r="AP384" cm="1">
        <f t="array" ref="AP384">VLOOKUP($A384,Table_ship_components[],COLUMN(AP:AP),0)</f>
        <v>0</v>
      </c>
      <c r="AQ384" cm="1">
        <f t="array" ref="AQ384">VLOOKUP($A384,Table_ship_components[],COLUMN(AQ:AQ),0)</f>
        <v>0</v>
      </c>
      <c r="AR384" cm="1">
        <f t="array" ref="AR384">VLOOKUP($A384,Table_ship_components[],COLUMN(AR:AR),0)</f>
        <v>0</v>
      </c>
      <c r="AS384" cm="1">
        <f t="array" ref="AS384">VLOOKUP($A384,Table_ship_components[],COLUMN(AS:AS),0)</f>
        <v>0</v>
      </c>
      <c r="AT384" cm="1">
        <f t="array" ref="AT384">VLOOKUP($A384,Table_ship_components[],COLUMN(AT:AT),0)</f>
        <v>0</v>
      </c>
      <c r="AU384" s="2" cm="1">
        <f t="array" ref="AU384">VLOOKUP($A384,Table_ship_components[],COLUMN(AU:AU),0)</f>
        <v>0</v>
      </c>
      <c r="AV384" s="2" cm="1">
        <f t="array" ref="AV384">VLOOKUP($A384,Table_ship_components[],COLUMN(AV:AV),0)</f>
        <v>0</v>
      </c>
      <c r="AW384" s="2" cm="1">
        <f t="array" ref="AW384">VLOOKUP($A384,Table_ship_components[],COLUMN(AW:AW),0)</f>
        <v>0</v>
      </c>
      <c r="AX384" s="2" cm="1">
        <f t="array" ref="AX384">VLOOKUP($A384,Table_ship_components[],COLUMN(AX:AX),0)</f>
        <v>0</v>
      </c>
      <c r="AY384" s="2" cm="1">
        <f t="array" ref="AY384">VLOOKUP($A384,Table_ship_components[],COLUMN(AY:AY),0)</f>
        <v>0</v>
      </c>
      <c r="AZ384" s="2" t="str" cm="1">
        <f t="array" ref="AZ384">VLOOKUP($A384,Table_ship_components[],COLUMN(AZ:AZ),0)</f>
        <v>C</v>
      </c>
      <c r="BA384" s="14" cm="1">
        <f t="array" ref="BA384">VLOOKUP($A384,Table_ship_components[],COLUMN(BA:BA),0)</f>
        <v>0</v>
      </c>
      <c r="BB384" s="14" cm="1">
        <f t="array" ref="BB384">(VLOOKUP($A384,Table_ship_components[],COLUMN(BA:BA),0)+(W384*C384))</f>
        <v>0</v>
      </c>
      <c r="BC384" s="2" cm="1">
        <f t="array" ref="BC384">VLOOKUP($A384,Table_ship_components[],COLUMN(BC:BC),0)</f>
        <v>0</v>
      </c>
      <c r="BD384" s="2" cm="1">
        <f t="array" ref="BD384">VLOOKUP($A384,Table_ship_components[],COLUMN(BD:BD),0)</f>
        <v>0</v>
      </c>
    </row>
    <row r="385" spans="1:56" outlineLevel="1" x14ac:dyDescent="0.35">
      <c r="A385" t="s">
        <v>753</v>
      </c>
      <c r="B385" t="str" cm="1">
        <f t="array" ref="B385">VLOOKUP($A385,Table_ship_components[],COLUMN(B:B),0)</f>
        <v>good corvette arms for construction/hauling</v>
      </c>
      <c r="D385" cm="1">
        <f t="array" ref="D385">VLOOKUP($A385,Table_ship_components[],COLUMN(D:D),0)</f>
        <v>28</v>
      </c>
      <c r="E385" cm="1">
        <f t="array" ref="E385">ROUND(VLOOKUP($A385,Table_ship_components[],COLUMN(D:D),0)+(V385*C385),0)</f>
        <v>28</v>
      </c>
      <c r="F385" cm="1">
        <f t="array" ref="F385">VLOOKUP($A385,Table_ship_components[],COLUMN(F:F),0)</f>
        <v>18</v>
      </c>
      <c r="G385" cm="1">
        <f t="array" ref="G385">ROUND(VLOOKUP($A385,Table_ship_components[],COLUMN(G:G),0)+(X385*C385),0)</f>
        <v>18</v>
      </c>
      <c r="H385" cm="1">
        <f t="array" ref="H385">VLOOKUP($A385,Table_ship_components[],COLUMN(H:H),0)</f>
        <v>0</v>
      </c>
      <c r="I385" cm="1">
        <f t="array" ref="I385">VLOOKUP($A385,Table_ship_components[],COLUMN(I:I),0)</f>
        <v>0</v>
      </c>
      <c r="J385" cm="1">
        <f t="array" ref="J385">VLOOKUP($A385,Table_ship_components[],COLUMN(J:J),0)</f>
        <v>0</v>
      </c>
      <c r="K385" cm="1">
        <f t="array" ref="K385">VLOOKUP($A385,Table_ship_components[],COLUMN(K:K),0)</f>
        <v>0</v>
      </c>
      <c r="L385" cm="1">
        <f t="array" ref="L385">VLOOKUP($A385,Table_ship_components[],COLUMN(L:L),0)</f>
        <v>0</v>
      </c>
      <c r="M385" cm="1">
        <f t="array" ref="M385">VLOOKUP($A385,Table_ship_components[],COLUMN(M:M),0)</f>
        <v>0</v>
      </c>
      <c r="N385" cm="1">
        <f t="array" ref="N385">VLOOKUP($A385,Table_ship_components[],COLUMN(N:N),0)</f>
        <v>0</v>
      </c>
      <c r="O385" cm="1">
        <f t="array" ref="O385">VLOOKUP($A385,Table_ship_components[],COLUMN(O:O),0)</f>
        <v>1</v>
      </c>
      <c r="P385" cm="1">
        <f t="array" ref="P385">VLOOKUP($A385,Table_ship_components[],COLUMN(P:P),0)</f>
        <v>0</v>
      </c>
      <c r="Q385" cm="1">
        <f t="array" ref="Q385">VLOOKUP($A385,Table_ship_components[],COLUMN(Q:Q),0)</f>
        <v>0</v>
      </c>
      <c r="R385" cm="1">
        <f t="array" ref="R385">VLOOKUP($A385,Table_ship_components[],COLUMN(R:R),0)</f>
        <v>0</v>
      </c>
      <c r="S385" cm="1">
        <f t="array" ref="S385">VLOOKUP($A385,Table_ship_components[],COLUMN(S:S),0)</f>
        <v>0</v>
      </c>
      <c r="T385" cm="1">
        <f t="array" ref="T385">VLOOKUP($A385,Table_ship_components[],COLUMN(T:T),0)</f>
        <v>0</v>
      </c>
      <c r="U385" cm="1">
        <f t="array" ref="U385">VLOOKUP($A385,Table_ship_components[],COLUMN(U:U),0)</f>
        <v>0</v>
      </c>
      <c r="V385" cm="1">
        <f t="array" ref="V385">VLOOKUP($A385,Table_ship_components[],COLUMN(V:V),0)</f>
        <v>0</v>
      </c>
      <c r="W385" s="15" cm="1">
        <f t="array" ref="W385">VLOOKUP($A385,Table_ship_components[],COLUMN(W:W),0)</f>
        <v>0</v>
      </c>
      <c r="X385" cm="1">
        <f t="array" ref="X385">VLOOKUP($A385,Table_ship_components[],COLUMN(X:X),0)</f>
        <v>0</v>
      </c>
      <c r="Y385" cm="1">
        <f t="array" ref="Y385">VLOOKUP($A385,Table_ship_components[],COLUMN(Y:Y),0)</f>
        <v>0</v>
      </c>
      <c r="Z385" cm="1">
        <f t="array" ref="Z385">VLOOKUP($A385,Table_ship_components[],COLUMN(Z:Z),0)</f>
        <v>0</v>
      </c>
      <c r="AA385" cm="1">
        <f t="array" ref="AA385">VLOOKUP($A385,Table_ship_components[],COLUMN(AA:AA),0)*C385</f>
        <v>0</v>
      </c>
      <c r="AB385">
        <f t="shared" si="26"/>
        <v>0</v>
      </c>
      <c r="AC385" cm="1">
        <f t="array" ref="AC385">VLOOKUP($A385,Table_ship_components[],COLUMN(AC:AC),0)*C385</f>
        <v>0</v>
      </c>
      <c r="AD385" cm="1">
        <f t="array" ref="AD385">VLOOKUP($A385,Table_ship_components[],COLUMN(AD:AD),0)</f>
        <v>0</v>
      </c>
      <c r="AE385" cm="1">
        <f t="array" ref="AE385">VLOOKUP($A385,Table_ship_components[],COLUMN(AE:AE),0)</f>
        <v>0</v>
      </c>
      <c r="AF385" cm="1">
        <f t="array" ref="AF385">VLOOKUP($A385,Table_ship_components[],COLUMN(AF:AF),0)</f>
        <v>0</v>
      </c>
      <c r="AG385" cm="1">
        <f t="array" ref="AG385">VLOOKUP($A385,Table_ship_components[],COLUMN(AG:AG),0)</f>
        <v>0</v>
      </c>
      <c r="AH385" cm="1">
        <f t="array" ref="AH385">VLOOKUP($A385,Table_ship_components[],COLUMN(AH:AH),0)</f>
        <v>0</v>
      </c>
      <c r="AI385" cm="1">
        <f t="array" ref="AI385">VLOOKUP($A385,Table_ship_components[],COLUMN(AI:AI),0)</f>
        <v>0</v>
      </c>
      <c r="AJ385" cm="1">
        <f t="array" ref="AJ385">VLOOKUP($A385,Table_ship_components[],COLUMN(AJ:AJ),0)</f>
        <v>0</v>
      </c>
      <c r="AK385" cm="1">
        <f t="array" ref="AK385">VLOOKUP($A385,Table_ship_components[],COLUMN(AK:AK),0)</f>
        <v>0</v>
      </c>
      <c r="AL385" cm="1">
        <f t="array" ref="AL385">VLOOKUP($A385,Table_ship_components[],COLUMN(AL:AL),0)</f>
        <v>0</v>
      </c>
      <c r="AM385" cm="1">
        <f t="array" ref="AM385">VLOOKUP($A385,Table_ship_components[],COLUMN(AM:AM),0)</f>
        <v>0</v>
      </c>
      <c r="AN385" cm="1">
        <f t="array" ref="AN385">VLOOKUP($A385,Table_ship_components[],COLUMN(AN:AN),0)</f>
        <v>0</v>
      </c>
      <c r="AO385" cm="1">
        <f t="array" ref="AO385">VLOOKUP($A385,Table_ship_components[],COLUMN(AO:AO),0)</f>
        <v>0</v>
      </c>
      <c r="AP385" cm="1">
        <f t="array" ref="AP385">VLOOKUP($A385,Table_ship_components[],COLUMN(AP:AP),0)</f>
        <v>0</v>
      </c>
      <c r="AQ385" cm="1">
        <f t="array" ref="AQ385">VLOOKUP($A385,Table_ship_components[],COLUMN(AQ:AQ),0)</f>
        <v>0</v>
      </c>
      <c r="AR385" cm="1">
        <f t="array" ref="AR385">VLOOKUP($A385,Table_ship_components[],COLUMN(AR:AR),0)</f>
        <v>-1</v>
      </c>
      <c r="AS385" cm="1">
        <f t="array" ref="AS385">VLOOKUP($A385,Table_ship_components[],COLUMN(AS:AS),0)</f>
        <v>0</v>
      </c>
      <c r="AT385" cm="1">
        <f t="array" ref="AT385">VLOOKUP($A385,Table_ship_components[],COLUMN(AT:AT),0)</f>
        <v>3</v>
      </c>
      <c r="AU385" s="2" cm="1">
        <f t="array" ref="AU385">VLOOKUP($A385,Table_ship_components[],COLUMN(AU:AU),0)</f>
        <v>0</v>
      </c>
      <c r="AV385" s="2" cm="1">
        <f t="array" ref="AV385">VLOOKUP($A385,Table_ship_components[],COLUMN(AV:AV),0)</f>
        <v>0</v>
      </c>
      <c r="AW385" s="2" cm="1">
        <f t="array" ref="AW385">VLOOKUP($A385,Table_ship_components[],COLUMN(AW:AW),0)</f>
        <v>0</v>
      </c>
      <c r="AX385" s="2" cm="1">
        <f t="array" ref="AX385">VLOOKUP($A385,Table_ship_components[],COLUMN(AX:AX),0)</f>
        <v>0</v>
      </c>
      <c r="AY385" s="2" cm="1">
        <f t="array" ref="AY385">VLOOKUP($A385,Table_ship_components[],COLUMN(AY:AY),0)</f>
        <v>0</v>
      </c>
      <c r="AZ385" s="2" t="str" cm="1">
        <f t="array" ref="AZ385">VLOOKUP($A385,Table_ship_components[],COLUMN(AZ:AZ),0)</f>
        <v>C</v>
      </c>
      <c r="BA385" s="14" cm="1">
        <f t="array" ref="BA385">VLOOKUP($A385,Table_ship_components[],COLUMN(BA:BA),0)</f>
        <v>400000</v>
      </c>
      <c r="BB385" s="14" cm="1">
        <f t="array" ref="BB385">(VLOOKUP($A385,Table_ship_components[],COLUMN(BA:BA),0)+(W385*C385))</f>
        <v>400000</v>
      </c>
      <c r="BC385" s="2" cm="1">
        <f t="array" ref="BC385">VLOOKUP($A385,Table_ship_components[],COLUMN(BC:BC),0)</f>
        <v>0</v>
      </c>
      <c r="BD385" s="2" cm="1">
        <f t="array" ref="BD385">VLOOKUP($A385,Table_ship_components[],COLUMN(BD:BD),0)</f>
        <v>0</v>
      </c>
    </row>
    <row r="386" spans="1:56" ht="15" outlineLevel="1" thickBot="1" x14ac:dyDescent="0.4">
      <c r="D386" s="32"/>
      <c r="E386" s="32">
        <f>SUM(E356:E385)</f>
        <v>125</v>
      </c>
      <c r="F386" s="32"/>
      <c r="G386" s="32">
        <f t="shared" ref="G386:L386" si="27">SUM(G356:G385)</f>
        <v>71</v>
      </c>
      <c r="H386" s="32">
        <f t="shared" si="27"/>
        <v>0</v>
      </c>
      <c r="I386" s="32">
        <f t="shared" si="27"/>
        <v>85</v>
      </c>
      <c r="J386" s="32">
        <f t="shared" si="27"/>
        <v>0</v>
      </c>
      <c r="K386" s="32">
        <f t="shared" si="27"/>
        <v>35</v>
      </c>
      <c r="L386" s="32">
        <f t="shared" si="27"/>
        <v>3</v>
      </c>
      <c r="M386" s="32"/>
      <c r="N386" s="32"/>
      <c r="O386" s="32"/>
      <c r="P386" s="32"/>
      <c r="Q386" s="32"/>
      <c r="R386" s="32"/>
      <c r="S386" s="32"/>
      <c r="T386" s="32"/>
      <c r="U386" s="32"/>
      <c r="V386" s="32"/>
      <c r="W386" s="32"/>
      <c r="X386" s="32"/>
      <c r="Y386" s="32">
        <f t="shared" ref="Y386:AY386" si="28">SUM(Y356:Y385)</f>
        <v>2</v>
      </c>
      <c r="Z386" s="32">
        <f t="shared" si="28"/>
        <v>5</v>
      </c>
      <c r="AA386" s="32">
        <f t="shared" si="28"/>
        <v>0</v>
      </c>
      <c r="AB386" s="32">
        <f t="shared" si="28"/>
        <v>17</v>
      </c>
      <c r="AC386" s="32">
        <f t="shared" si="28"/>
        <v>5</v>
      </c>
      <c r="AD386" s="32">
        <f t="shared" si="28"/>
        <v>100</v>
      </c>
      <c r="AE386" s="32">
        <f t="shared" si="28"/>
        <v>0</v>
      </c>
      <c r="AF386" s="32">
        <f t="shared" si="28"/>
        <v>0</v>
      </c>
      <c r="AG386" s="32">
        <f t="shared" si="28"/>
        <v>0</v>
      </c>
      <c r="AH386" s="32">
        <f t="shared" si="28"/>
        <v>100</v>
      </c>
      <c r="AI386" s="32">
        <f t="shared" si="28"/>
        <v>1000</v>
      </c>
      <c r="AJ386" s="32">
        <f t="shared" si="28"/>
        <v>10000</v>
      </c>
      <c r="AK386" s="32">
        <f t="shared" si="28"/>
        <v>0</v>
      </c>
      <c r="AL386" s="32">
        <f t="shared" si="28"/>
        <v>1</v>
      </c>
      <c r="AM386" s="32">
        <f t="shared" si="28"/>
        <v>3</v>
      </c>
      <c r="AN386" s="32">
        <f t="shared" si="28"/>
        <v>10</v>
      </c>
      <c r="AO386" s="32">
        <f t="shared" si="28"/>
        <v>3</v>
      </c>
      <c r="AP386" s="32">
        <f t="shared" si="28"/>
        <v>10</v>
      </c>
      <c r="AQ386" s="32">
        <f t="shared" si="28"/>
        <v>2</v>
      </c>
      <c r="AR386" s="32">
        <f t="shared" si="28"/>
        <v>3</v>
      </c>
      <c r="AS386" s="32">
        <f t="shared" si="28"/>
        <v>1</v>
      </c>
      <c r="AT386" s="32">
        <f t="shared" si="28"/>
        <v>6</v>
      </c>
      <c r="AU386" s="32">
        <f t="shared" si="28"/>
        <v>2</v>
      </c>
      <c r="AV386" s="32">
        <f t="shared" si="28"/>
        <v>125</v>
      </c>
      <c r="AW386" s="32">
        <f t="shared" si="28"/>
        <v>20</v>
      </c>
      <c r="AX386" s="32">
        <f t="shared" si="28"/>
        <v>45</v>
      </c>
      <c r="AY386" s="32">
        <f t="shared" si="28"/>
        <v>60</v>
      </c>
      <c r="AZ386" s="32"/>
      <c r="BA386" s="33">
        <f>SUM(BA356:BA385)</f>
        <v>7195000</v>
      </c>
      <c r="BB386" s="33">
        <f>SUM(BB356:BB385)</f>
        <v>8155000</v>
      </c>
      <c r="BC386" s="32"/>
      <c r="BD386" s="32"/>
    </row>
    <row r="387" spans="1:56" ht="19" outlineLevel="1" thickTop="1" x14ac:dyDescent="0.45">
      <c r="A387" s="35" t="s">
        <v>691</v>
      </c>
      <c r="B387" s="34">
        <f>BB386</f>
        <v>8155000</v>
      </c>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7"/>
      <c r="BB387" s="37"/>
      <c r="BC387" s="36"/>
      <c r="BD387" s="36"/>
    </row>
    <row r="388" spans="1:56" ht="21" x14ac:dyDescent="0.5">
      <c r="A388" s="38" t="s">
        <v>692</v>
      </c>
      <c r="B388" s="38" t="s">
        <v>712</v>
      </c>
    </row>
    <row r="389" spans="1:56" outlineLevel="1" x14ac:dyDescent="0.35">
      <c r="A389" t="s">
        <v>708</v>
      </c>
      <c r="B389" t="str" cm="1">
        <f t="array" ref="B389">VLOOKUP($A389,Table_ship_components[],COLUMN(B:B),0)</f>
        <v>gunship corvette template</v>
      </c>
      <c r="D389" cm="1">
        <f t="array" ref="D389">VLOOKUP($A389,Table_ship_components[],COLUMN(D:D),0)</f>
        <v>0</v>
      </c>
      <c r="E389" cm="1">
        <f t="array" ref="E389">(VLOOKUP($A389,Table_ship_components[],COLUMN(D:D),0)+(V389*C389))</f>
        <v>0</v>
      </c>
      <c r="F389" cm="1">
        <f t="array" ref="F389">VLOOKUP($A389,Table_ship_components[],COLUMN(F:F),0)</f>
        <v>0</v>
      </c>
      <c r="G389" cm="1">
        <f t="array" ref="G389">(VLOOKUP($A389,Table_ship_components[],COLUMN(G:G),0)+(X389*C389))</f>
        <v>0</v>
      </c>
      <c r="H389" cm="1">
        <f t="array" ref="H389">VLOOKUP($A389,Table_ship_components[],COLUMN(H:H),0)</f>
        <v>0</v>
      </c>
      <c r="I389" cm="1">
        <f t="array" ref="I389">VLOOKUP($A389,Table_ship_components[],COLUMN(I:I),0)</f>
        <v>0</v>
      </c>
      <c r="J389" cm="1">
        <f t="array" ref="J389">VLOOKUP($A389,Table_ship_components[],COLUMN(J:J),0)</f>
        <v>0</v>
      </c>
      <c r="K389" cm="1">
        <f t="array" ref="K389">VLOOKUP($A389,Table_ship_components[],COLUMN(K:K),0)</f>
        <v>0</v>
      </c>
      <c r="L389" cm="1">
        <f t="array" ref="L389">VLOOKUP($A389,Table_ship_components[],COLUMN(L:L),0)</f>
        <v>0</v>
      </c>
      <c r="M389" cm="1">
        <f t="array" ref="M389">VLOOKUP($A389,Table_ship_components[],COLUMN(M:M),0)</f>
        <v>0</v>
      </c>
      <c r="N389" cm="1">
        <f t="array" ref="N389">VLOOKUP($A389,Table_ship_components[],COLUMN(N:N),0)</f>
        <v>0</v>
      </c>
      <c r="O389" cm="1">
        <f t="array" ref="O389">VLOOKUP($A389,Table_ship_components[],COLUMN(O:O),0)</f>
        <v>0</v>
      </c>
      <c r="P389" cm="1">
        <f t="array" ref="P389">VLOOKUP($A389,Table_ship_components[],COLUMN(P:P),0)</f>
        <v>0</v>
      </c>
      <c r="Q389" cm="1">
        <f t="array" ref="Q389">VLOOKUP($A389,Table_ship_components[],COLUMN(Q:Q),0)</f>
        <v>0</v>
      </c>
      <c r="R389" cm="1">
        <f t="array" ref="R389">VLOOKUP($A389,Table_ship_components[],COLUMN(R:R),0)</f>
        <v>0</v>
      </c>
      <c r="S389" cm="1">
        <f t="array" ref="S389">VLOOKUP($A389,Table_ship_components[],COLUMN(S:S),0)</f>
        <v>0</v>
      </c>
      <c r="T389" cm="1">
        <f t="array" ref="T389">VLOOKUP($A389,Table_ship_components[],COLUMN(T:T),0)</f>
        <v>0</v>
      </c>
      <c r="U389" cm="1">
        <f t="array" ref="U389">VLOOKUP($A389,Table_ship_components[],COLUMN(U:U),0)</f>
        <v>0</v>
      </c>
      <c r="V389" cm="1">
        <f t="array" ref="V389">VLOOKUP($A389,Table_ship_components[],COLUMN(V:V),0)</f>
        <v>0</v>
      </c>
      <c r="W389" s="15" cm="1">
        <f t="array" ref="W389">VLOOKUP($A389,Table_ship_components[],COLUMN(W:W),0)</f>
        <v>0</v>
      </c>
      <c r="X389" cm="1">
        <f t="array" ref="X389">VLOOKUP($A389,Table_ship_components[],COLUMN(X:X),0)</f>
        <v>0</v>
      </c>
      <c r="Y389" cm="1">
        <f t="array" ref="Y389">VLOOKUP($A389,Table_ship_components[],COLUMN(Y:Y),0)</f>
        <v>0</v>
      </c>
      <c r="Z389" cm="1">
        <f t="array" ref="Z389">VLOOKUP($A389,Table_ship_components[],COLUMN(Z:Z),0)</f>
        <v>0</v>
      </c>
      <c r="AA389" cm="1">
        <f t="array" ref="AA389">VLOOKUP($A389,Table_ship_components[],COLUMN(AA:AA),0)</f>
        <v>0</v>
      </c>
      <c r="AB389" cm="1">
        <f t="array" ref="AB389">VLOOKUP($A389,Table_ship_components[],COLUMN(AB:AB),0)</f>
        <v>0</v>
      </c>
      <c r="AC389" cm="1">
        <f t="array" ref="AC389">VLOOKUP($A389,Table_ship_components[],COLUMN(AC:AC),0)</f>
        <v>0</v>
      </c>
      <c r="AD389" cm="1">
        <f t="array" ref="AD389">VLOOKUP($A389,Table_ship_components[],COLUMN(AD:AD),0)</f>
        <v>0</v>
      </c>
      <c r="AE389" cm="1">
        <f t="array" ref="AE389">VLOOKUP($A389,Table_ship_components[],COLUMN(AE:AE),0)</f>
        <v>0</v>
      </c>
      <c r="AF389" cm="1">
        <f t="array" ref="AF389">VLOOKUP($A389,Table_ship_components[],COLUMN(AF:AF),0)</f>
        <v>0</v>
      </c>
      <c r="AG389" cm="1">
        <f t="array" ref="AG389">VLOOKUP($A389,Table_ship_components[],COLUMN(AG:AG),0)</f>
        <v>0</v>
      </c>
      <c r="AH389" cm="1">
        <f t="array" ref="AH389">VLOOKUP($A389,Table_ship_components[],COLUMN(AH:AH),0)</f>
        <v>0</v>
      </c>
      <c r="AI389" cm="1">
        <f t="array" ref="AI389">VLOOKUP($A389,Table_ship_components[],COLUMN(AI:AI),0)</f>
        <v>0</v>
      </c>
      <c r="AJ389" cm="1">
        <f t="array" ref="AJ389">VLOOKUP($A389,Table_ship_components[],COLUMN(AJ:AJ),0)</f>
        <v>0</v>
      </c>
      <c r="AK389" cm="1">
        <f t="array" ref="AK389">VLOOKUP($A389,Table_ship_components[],COLUMN(AK:AK),0)</f>
        <v>0</v>
      </c>
      <c r="AL389" cm="1">
        <f t="array" ref="AL389">VLOOKUP($A389,Table_ship_components[],COLUMN(AL:AL),0)</f>
        <v>0</v>
      </c>
      <c r="AM389" cm="1">
        <f t="array" ref="AM389">VLOOKUP($A389,Table_ship_components[],COLUMN(AM:AM),0)</f>
        <v>3</v>
      </c>
      <c r="AN389" cm="1">
        <f t="array" ref="AN389">VLOOKUP($A389,Table_ship_components[],COLUMN(AN:AN),0)</f>
        <v>10</v>
      </c>
      <c r="AO389" cm="1">
        <f t="array" ref="AO389">VLOOKUP($A389,Table_ship_components[],COLUMN(AO:AO),0)</f>
        <v>3</v>
      </c>
      <c r="AP389" cm="1">
        <f t="array" ref="AP389">VLOOKUP($A389,Table_ship_components[],COLUMN(AP:AP),0)</f>
        <v>10</v>
      </c>
      <c r="AQ389" cm="1">
        <f t="array" ref="AQ389">VLOOKUP($A389,Table_ship_components[],COLUMN(AQ:AQ),0)</f>
        <v>2</v>
      </c>
      <c r="AR389" cm="1">
        <f t="array" ref="AR389">VLOOKUP($A389,Table_ship_components[],COLUMN(AR:AR),0)</f>
        <v>2</v>
      </c>
      <c r="AS389" cm="1">
        <f t="array" ref="AS389">VLOOKUP($A389,Table_ship_components[],COLUMN(AS:AS),0)</f>
        <v>2</v>
      </c>
      <c r="AT389" cm="1">
        <f t="array" ref="AT389">VLOOKUP($A389,Table_ship_components[],COLUMN(AT:AT),0)</f>
        <v>2</v>
      </c>
      <c r="AU389" s="2" cm="1">
        <f t="array" ref="AU389">VLOOKUP($A389,Table_ship_components[],COLUMN(AU:AU),0)</f>
        <v>2</v>
      </c>
      <c r="AV389" s="2" cm="1">
        <f t="array" ref="AV389">VLOOKUP($A389,Table_ship_components[],COLUMN(AV:AV),0)</f>
        <v>125</v>
      </c>
      <c r="AW389" s="2" cm="1">
        <f t="array" ref="AW389">VLOOKUP($A389,Table_ship_components[],COLUMN(AW:AW),0)</f>
        <v>70</v>
      </c>
      <c r="AX389" s="2" cm="1">
        <f t="array" ref="AX389">VLOOKUP($A389,Table_ship_components[],COLUMN(AX:AX),0)</f>
        <v>35</v>
      </c>
      <c r="AY389" s="2" cm="1">
        <f t="array" ref="AY389">VLOOKUP($A389,Table_ship_components[],COLUMN(AY:AY),0)</f>
        <v>20</v>
      </c>
      <c r="AZ389" s="2" t="str" cm="1">
        <f t="array" ref="AZ389">VLOOKUP($A389,Table_ship_components[],COLUMN(AZ:AZ),0)</f>
        <v>C</v>
      </c>
      <c r="BA389" s="14" cm="1">
        <f t="array" ref="BA389">VLOOKUP($A389,Table_ship_components[],COLUMN(BA:BA),0)</f>
        <v>3685000</v>
      </c>
      <c r="BB389" s="14" cm="1">
        <f t="array" ref="BB389">(VLOOKUP($A389,Table_ship_components[],COLUMN(BA:BA),0)+(W389*C389))</f>
        <v>3685000</v>
      </c>
      <c r="BC389" s="2" cm="1">
        <f t="array" ref="BC389">VLOOKUP($A389,Table_ship_components[],COLUMN(BC:BC),0)</f>
        <v>0</v>
      </c>
      <c r="BD389" s="2" cm="1">
        <f t="array" ref="BD389">VLOOKUP($A389,Table_ship_components[],COLUMN(BD:BD),0)</f>
        <v>0</v>
      </c>
    </row>
    <row r="390" spans="1:56" outlineLevel="1" x14ac:dyDescent="0.35"/>
    <row r="391" spans="1:56" outlineLevel="1" x14ac:dyDescent="0.35">
      <c r="A391" s="40" t="str">
        <f>CONCATENATE("LIFE SUPPORT VALID : ",IF((SUM(Z420:AA420)&lt;=AC420),"YES","NO"))</f>
        <v>LIFE SUPPORT VALID : YES</v>
      </c>
      <c r="B391" s="39" t="str">
        <f>CONCATENATE("TOTAL SIZE ",(SUM(E393:E419))," TOTAL POWER ",(SUM(G393:G419))," / ",(SUM(I393:I419)))</f>
        <v>TOTAL SIZE 125 TOTAL POWER 65 / 75</v>
      </c>
    </row>
    <row r="392" spans="1:56" outlineLevel="1" x14ac:dyDescent="0.35">
      <c r="A392" s="18" t="s">
        <v>423</v>
      </c>
      <c r="B392" s="19" t="str">
        <f>CONCATENATE("SIZE ",(SUM(E393:E398)),"/", AW389,"  POWER ",(SUM(G393:G398)),)</f>
        <v>SIZE 70/70  POWER 31</v>
      </c>
      <c r="C392" s="31" t="s">
        <v>521</v>
      </c>
    </row>
    <row r="393" spans="1:56" outlineLevel="1" x14ac:dyDescent="0.35">
      <c r="A393" t="s">
        <v>370</v>
      </c>
      <c r="B393" t="str" cm="1">
        <f t="array" ref="B393">VLOOKUP($A393,Table_ship_components[],COLUMN(B:B),0)</f>
        <v>avg corvette power plant</v>
      </c>
      <c r="D393" cm="1">
        <f t="array" ref="D393">VLOOKUP($A393,Table_ship_components[],COLUMN(D:D),0)</f>
        <v>14</v>
      </c>
      <c r="E393" cm="1">
        <f t="array" ref="E393">ROUND(VLOOKUP($A393,Table_ship_components[],COLUMN(D:D),0)+(V393*C393),0)</f>
        <v>14</v>
      </c>
      <c r="F393" cm="1">
        <f t="array" ref="F393">VLOOKUP($A393,Table_ship_components[],COLUMN(F:F),0)</f>
        <v>0</v>
      </c>
      <c r="G393" cm="1">
        <f t="array" ref="G393">ROUND(VLOOKUP($A393,Table_ship_components[],COLUMN(G:G),0)+(X393*C393),0)</f>
        <v>0</v>
      </c>
      <c r="H393" cm="1">
        <f t="array" ref="H393">VLOOKUP($A393,Table_ship_components[],COLUMN(H:H),0)</f>
        <v>0</v>
      </c>
      <c r="I393" cm="1">
        <f t="array" ref="I393">VLOOKUP($A393,Table_ship_components[],COLUMN(I:I),0)</f>
        <v>75</v>
      </c>
      <c r="J393" cm="1">
        <f t="array" ref="J393">VLOOKUP($A393,Table_ship_components[],COLUMN(J:J),0)</f>
        <v>0</v>
      </c>
      <c r="K393" cm="1">
        <f t="array" ref="K393">VLOOKUP($A393,Table_ship_components[],COLUMN(K:K),0)</f>
        <v>0</v>
      </c>
      <c r="L393" cm="1">
        <f t="array" ref="L393">VLOOKUP($A393,Table_ship_components[],COLUMN(L:L),0)</f>
        <v>0</v>
      </c>
      <c r="M393" cm="1">
        <f t="array" ref="M393">VLOOKUP($A393,Table_ship_components[],COLUMN(M:M),0)</f>
        <v>0</v>
      </c>
      <c r="N393" cm="1">
        <f t="array" ref="N393">VLOOKUP($A393,Table_ship_components[],COLUMN(N:N),0)</f>
        <v>0</v>
      </c>
      <c r="O393" cm="1">
        <f t="array" ref="O393">VLOOKUP($A393,Table_ship_components[],COLUMN(O:O),0)</f>
        <v>1</v>
      </c>
      <c r="P393" cm="1">
        <f t="array" ref="P393">VLOOKUP($A393,Table_ship_components[],COLUMN(P:P),0)</f>
        <v>1</v>
      </c>
      <c r="Q393" cm="1">
        <f t="array" ref="Q393">VLOOKUP($A393,Table_ship_components[],COLUMN(Q:Q),0)</f>
        <v>1</v>
      </c>
      <c r="R393" cm="1">
        <f t="array" ref="R393">VLOOKUP($A393,Table_ship_components[],COLUMN(R:R),0)</f>
        <v>1</v>
      </c>
      <c r="S393" cm="1">
        <f t="array" ref="S393">VLOOKUP($A393,Table_ship_components[],COLUMN(S:S),0)</f>
        <v>1</v>
      </c>
      <c r="T393" cm="1">
        <f t="array" ref="T393">VLOOKUP($A393,Table_ship_components[],COLUMN(T:T),0)</f>
        <v>1</v>
      </c>
      <c r="U393" cm="1">
        <f t="array" ref="U393">VLOOKUP($A393,Table_ship_components[],COLUMN(U:U),0)</f>
        <v>0</v>
      </c>
      <c r="V393" cm="1">
        <f t="array" ref="V393">VLOOKUP($A393,Table_ship_components[],COLUMN(V:V),0)</f>
        <v>0</v>
      </c>
      <c r="W393" s="15" cm="1">
        <f t="array" ref="W393">VLOOKUP($A393,Table_ship_components[],COLUMN(W:W),0)</f>
        <v>0</v>
      </c>
      <c r="X393" cm="1">
        <f t="array" ref="X393">VLOOKUP($A393,Table_ship_components[],COLUMN(X:X),0)</f>
        <v>0</v>
      </c>
      <c r="Y393" cm="1">
        <f t="array" ref="Y393">VLOOKUP($A393,Table_ship_components[],COLUMN(Y:Y),0)</f>
        <v>0</v>
      </c>
      <c r="Z393" cm="1">
        <f t="array" ref="Z393">VLOOKUP($A393,Table_ship_components[],COLUMN(Z:Z),0)</f>
        <v>0</v>
      </c>
      <c r="AA393" cm="1">
        <f t="array" ref="AA393">VLOOKUP($A393,Table_ship_components[],COLUMN(AA:AA),0)*C393</f>
        <v>0</v>
      </c>
      <c r="AB393">
        <f>IF(A393="CARGOSPACE_0-ALL_0-UNIVERSAL",C393,0)</f>
        <v>0</v>
      </c>
      <c r="AC393" cm="1">
        <f t="array" ref="AC393">VLOOKUP($A393,Table_ship_components[],COLUMN(AC:AC),0)*C393</f>
        <v>0</v>
      </c>
      <c r="AD393" cm="1">
        <f t="array" ref="AD393">VLOOKUP($A393,Table_ship_components[],COLUMN(AD:AD),0)</f>
        <v>0</v>
      </c>
      <c r="AE393" cm="1">
        <f t="array" ref="AE393">VLOOKUP($A393,Table_ship_components[],COLUMN(AE:AE),0)</f>
        <v>0</v>
      </c>
      <c r="AF393" cm="1">
        <f t="array" ref="AF393">VLOOKUP($A393,Table_ship_components[],COLUMN(AF:AF),0)</f>
        <v>0</v>
      </c>
      <c r="AG393" cm="1">
        <f t="array" ref="AG393">VLOOKUP($A393,Table_ship_components[],COLUMN(AG:AG),0)</f>
        <v>0</v>
      </c>
      <c r="AH393" cm="1">
        <f t="array" ref="AH393">VLOOKUP($A393,Table_ship_components[],COLUMN(AH:AH),0)</f>
        <v>0</v>
      </c>
      <c r="AI393" cm="1">
        <f t="array" ref="AI393">VLOOKUP($A393,Table_ship_components[],COLUMN(AI:AI),0)</f>
        <v>0</v>
      </c>
      <c r="AJ393" cm="1">
        <f t="array" ref="AJ393">VLOOKUP($A393,Table_ship_components[],COLUMN(AJ:AJ),0)</f>
        <v>0</v>
      </c>
      <c r="AK393" cm="1">
        <f t="array" ref="AK393">VLOOKUP($A393,Table_ship_components[],COLUMN(AK:AK),0)</f>
        <v>0</v>
      </c>
      <c r="AL393" cm="1">
        <f t="array" ref="AL393">VLOOKUP($A393,Table_ship_components[],COLUMN(AL:AL),0)</f>
        <v>0</v>
      </c>
      <c r="AM393" cm="1">
        <f t="array" ref="AM393">VLOOKUP($A393,Table_ship_components[],COLUMN(AM:AM),0)</f>
        <v>0</v>
      </c>
      <c r="AN393" cm="1">
        <f t="array" ref="AN393">VLOOKUP($A393,Table_ship_components[],COLUMN(AN:AN),0)</f>
        <v>0</v>
      </c>
      <c r="AO393" cm="1">
        <f t="array" ref="AO393">VLOOKUP($A393,Table_ship_components[],COLUMN(AO:AO),0)</f>
        <v>0</v>
      </c>
      <c r="AP393" cm="1">
        <f t="array" ref="AP393">VLOOKUP($A393,Table_ship_components[],COLUMN(AP:AP),0)</f>
        <v>0</v>
      </c>
      <c r="AQ393" cm="1">
        <f t="array" ref="AQ393">VLOOKUP($A393,Table_ship_components[],COLUMN(AQ:AQ),0)</f>
        <v>0</v>
      </c>
      <c r="AR393" cm="1">
        <f t="array" ref="AR393">VLOOKUP($A393,Table_ship_components[],COLUMN(AR:AR),0)</f>
        <v>0</v>
      </c>
      <c r="AS393" cm="1">
        <f t="array" ref="AS393">VLOOKUP($A393,Table_ship_components[],COLUMN(AS:AS),0)</f>
        <v>0</v>
      </c>
      <c r="AT393" cm="1">
        <f t="array" ref="AT393">VLOOKUP($A393,Table_ship_components[],COLUMN(AT:AT),0)</f>
        <v>0</v>
      </c>
      <c r="AU393" s="2" cm="1">
        <f t="array" ref="AU393">VLOOKUP($A393,Table_ship_components[],COLUMN(AU:AU),0)</f>
        <v>0</v>
      </c>
      <c r="AV393" s="2" cm="1">
        <f t="array" ref="AV393">VLOOKUP($A393,Table_ship_components[],COLUMN(AV:AV),0)</f>
        <v>0</v>
      </c>
      <c r="AW393" s="2" cm="1">
        <f t="array" ref="AW393">VLOOKUP($A393,Table_ship_components[],COLUMN(AW:AW),0)</f>
        <v>0</v>
      </c>
      <c r="AX393" s="2" cm="1">
        <f t="array" ref="AX393">VLOOKUP($A393,Table_ship_components[],COLUMN(AX:AX),0)</f>
        <v>0</v>
      </c>
      <c r="AY393" s="2" cm="1">
        <f t="array" ref="AY393">VLOOKUP($A393,Table_ship_components[],COLUMN(AY:AY),0)</f>
        <v>0</v>
      </c>
      <c r="AZ393" s="2" t="str" cm="1">
        <f t="array" ref="AZ393">VLOOKUP($A393,Table_ship_components[],COLUMN(AZ:AZ),0)</f>
        <v>C</v>
      </c>
      <c r="BA393" s="14" cm="1">
        <f t="array" ref="BA393">VLOOKUP($A393,Table_ship_components[],COLUMN(BA:BA),0)</f>
        <v>500000</v>
      </c>
      <c r="BB393" s="14" cm="1">
        <f t="array" ref="BB393">(VLOOKUP($A393,Table_ship_components[],COLUMN(BA:BA),0)+(W393*C393))</f>
        <v>500000</v>
      </c>
      <c r="BC393" s="2" cm="1">
        <f t="array" ref="BC393">VLOOKUP($A393,Table_ship_components[],COLUMN(BC:BC),0)</f>
        <v>0</v>
      </c>
      <c r="BD393" s="2" cm="1">
        <f t="array" ref="BD393">VLOOKUP($A393,Table_ship_components[],COLUMN(BD:BD),0)</f>
        <v>0</v>
      </c>
    </row>
    <row r="394" spans="1:56" outlineLevel="1" x14ac:dyDescent="0.35">
      <c r="A394" t="s">
        <v>379</v>
      </c>
      <c r="B394" t="str" cm="1">
        <f t="array" ref="B394">VLOOKUP($A394,Table_ship_components[],COLUMN(B:B),0)</f>
        <v>average corvette structure reinforcement</v>
      </c>
      <c r="D394" cm="1">
        <f t="array" ref="D394">VLOOKUP($A394,Table_ship_components[],COLUMN(D:D),0)</f>
        <v>9</v>
      </c>
      <c r="E394" cm="1">
        <f t="array" ref="E394">ROUND(VLOOKUP($A394,Table_ship_components[],COLUMN(D:D),0)+(V394*C394),0)</f>
        <v>9</v>
      </c>
      <c r="F394" cm="1">
        <f t="array" ref="F394">VLOOKUP($A394,Table_ship_components[],COLUMN(F:F),0)</f>
        <v>0</v>
      </c>
      <c r="G394" cm="1">
        <f t="array" ref="G394">ROUND(VLOOKUP($A394,Table_ship_components[],COLUMN(G:G),0)+(X394*C394),0)</f>
        <v>0</v>
      </c>
      <c r="H394" cm="1">
        <f t="array" ref="H394">VLOOKUP($A394,Table_ship_components[],COLUMN(H:H),0)</f>
        <v>0</v>
      </c>
      <c r="I394" cm="1">
        <f t="array" ref="I394">VLOOKUP($A394,Table_ship_components[],COLUMN(I:I),0)</f>
        <v>0</v>
      </c>
      <c r="J394" cm="1">
        <f t="array" ref="J394">VLOOKUP($A394,Table_ship_components[],COLUMN(J:J),0)</f>
        <v>0</v>
      </c>
      <c r="K394" cm="1">
        <f t="array" ref="K394">VLOOKUP($A394,Table_ship_components[],COLUMN(K:K),0)</f>
        <v>0</v>
      </c>
      <c r="L394" cm="1">
        <f t="array" ref="L394">VLOOKUP($A394,Table_ship_components[],COLUMN(L:L),0)</f>
        <v>0</v>
      </c>
      <c r="M394" cm="1">
        <f t="array" ref="M394">VLOOKUP($A394,Table_ship_components[],COLUMN(M:M),0)</f>
        <v>0</v>
      </c>
      <c r="N394" cm="1">
        <f t="array" ref="N394">VLOOKUP($A394,Table_ship_components[],COLUMN(N:N),0)</f>
        <v>0</v>
      </c>
      <c r="O394" cm="1">
        <f t="array" ref="O394">VLOOKUP($A394,Table_ship_components[],COLUMN(O:O),0)</f>
        <v>1</v>
      </c>
      <c r="P394" cm="1">
        <f t="array" ref="P394">VLOOKUP($A394,Table_ship_components[],COLUMN(P:P),0)</f>
        <v>0</v>
      </c>
      <c r="Q394" cm="1">
        <f t="array" ref="Q394">VLOOKUP($A394,Table_ship_components[],COLUMN(Q:Q),0)</f>
        <v>0</v>
      </c>
      <c r="R394" cm="1">
        <f t="array" ref="R394">VLOOKUP($A394,Table_ship_components[],COLUMN(R:R),0)</f>
        <v>0</v>
      </c>
      <c r="S394" cm="1">
        <f t="array" ref="S394">VLOOKUP($A394,Table_ship_components[],COLUMN(S:S),0)</f>
        <v>0</v>
      </c>
      <c r="T394" cm="1">
        <f t="array" ref="T394">VLOOKUP($A394,Table_ship_components[],COLUMN(T:T),0)</f>
        <v>0</v>
      </c>
      <c r="U394" cm="1">
        <f t="array" ref="U394">VLOOKUP($A394,Table_ship_components[],COLUMN(U:U),0)</f>
        <v>0</v>
      </c>
      <c r="V394" cm="1">
        <f t="array" ref="V394">VLOOKUP($A394,Table_ship_components[],COLUMN(V:V),0)</f>
        <v>0</v>
      </c>
      <c r="W394" s="15" cm="1">
        <f t="array" ref="W394">VLOOKUP($A394,Table_ship_components[],COLUMN(W:W),0)</f>
        <v>0</v>
      </c>
      <c r="X394" cm="1">
        <f t="array" ref="X394">VLOOKUP($A394,Table_ship_components[],COLUMN(X:X),0)</f>
        <v>0</v>
      </c>
      <c r="Y394" cm="1">
        <f t="array" ref="Y394">VLOOKUP($A394,Table_ship_components[],COLUMN(Y:Y),0)</f>
        <v>0</v>
      </c>
      <c r="Z394" cm="1">
        <f t="array" ref="Z394">VLOOKUP($A394,Table_ship_components[],COLUMN(Z:Z),0)</f>
        <v>0</v>
      </c>
      <c r="AA394" cm="1">
        <f t="array" ref="AA394">VLOOKUP($A394,Table_ship_components[],COLUMN(AA:AA),0)*C394</f>
        <v>0</v>
      </c>
      <c r="AB394">
        <f t="shared" ref="AB394:AB398" si="29">IF(A394="CARGOSPACE_0-ALL_0-UNIVERSAL",C394,0)</f>
        <v>0</v>
      </c>
      <c r="AC394" cm="1">
        <f t="array" ref="AC394">VLOOKUP($A394,Table_ship_components[],COLUMN(AC:AC),0)*C394</f>
        <v>0</v>
      </c>
      <c r="AD394" cm="1">
        <f t="array" ref="AD394">VLOOKUP($A394,Table_ship_components[],COLUMN(AD:AD),0)</f>
        <v>0</v>
      </c>
      <c r="AE394" cm="1">
        <f t="array" ref="AE394">VLOOKUP($A394,Table_ship_components[],COLUMN(AE:AE),0)</f>
        <v>0</v>
      </c>
      <c r="AF394" cm="1">
        <f t="array" ref="AF394">VLOOKUP($A394,Table_ship_components[],COLUMN(AF:AF),0)</f>
        <v>0</v>
      </c>
      <c r="AG394" cm="1">
        <f t="array" ref="AG394">VLOOKUP($A394,Table_ship_components[],COLUMN(AG:AG),0)</f>
        <v>0</v>
      </c>
      <c r="AH394" cm="1">
        <f t="array" ref="AH394">VLOOKUP($A394,Table_ship_components[],COLUMN(AH:AH),0)</f>
        <v>0</v>
      </c>
      <c r="AI394" cm="1">
        <f t="array" ref="AI394">VLOOKUP($A394,Table_ship_components[],COLUMN(AI:AI),0)</f>
        <v>0</v>
      </c>
      <c r="AJ394" cm="1">
        <f t="array" ref="AJ394">VLOOKUP($A394,Table_ship_components[],COLUMN(AJ:AJ),0)</f>
        <v>0</v>
      </c>
      <c r="AK394" cm="1">
        <f t="array" ref="AK394">VLOOKUP($A394,Table_ship_components[],COLUMN(AK:AK),0)</f>
        <v>0</v>
      </c>
      <c r="AL394" cm="1">
        <f t="array" ref="AL394">VLOOKUP($A394,Table_ship_components[],COLUMN(AL:AL),0)</f>
        <v>0</v>
      </c>
      <c r="AM394" cm="1">
        <f t="array" ref="AM394">VLOOKUP($A394,Table_ship_components[],COLUMN(AM:AM),0)</f>
        <v>2</v>
      </c>
      <c r="AN394" cm="1">
        <f t="array" ref="AN394">VLOOKUP($A394,Table_ship_components[],COLUMN(AN:AN),0)</f>
        <v>0</v>
      </c>
      <c r="AO394" cm="1">
        <f t="array" ref="AO394">VLOOKUP($A394,Table_ship_components[],COLUMN(AO:AO),0)</f>
        <v>0</v>
      </c>
      <c r="AP394" cm="1">
        <f t="array" ref="AP394">VLOOKUP($A394,Table_ship_components[],COLUMN(AP:AP),0)</f>
        <v>0</v>
      </c>
      <c r="AQ394" cm="1">
        <f t="array" ref="AQ394">VLOOKUP($A394,Table_ship_components[],COLUMN(AQ:AQ),0)</f>
        <v>0</v>
      </c>
      <c r="AR394" cm="1">
        <f t="array" ref="AR394">VLOOKUP($A394,Table_ship_components[],COLUMN(AR:AR),0)</f>
        <v>0</v>
      </c>
      <c r="AS394" cm="1">
        <f t="array" ref="AS394">VLOOKUP($A394,Table_ship_components[],COLUMN(AS:AS),0)</f>
        <v>0</v>
      </c>
      <c r="AT394" cm="1">
        <f t="array" ref="AT394">VLOOKUP($A394,Table_ship_components[],COLUMN(AT:AT),0)</f>
        <v>0</v>
      </c>
      <c r="AU394" s="2" cm="1">
        <f t="array" ref="AU394">VLOOKUP($A394,Table_ship_components[],COLUMN(AU:AU),0)</f>
        <v>0</v>
      </c>
      <c r="AV394" s="2" cm="1">
        <f t="array" ref="AV394">VLOOKUP($A394,Table_ship_components[],COLUMN(AV:AV),0)</f>
        <v>0</v>
      </c>
      <c r="AW394" s="2" cm="1">
        <f t="array" ref="AW394">VLOOKUP($A394,Table_ship_components[],COLUMN(AW:AW),0)</f>
        <v>0</v>
      </c>
      <c r="AX394" s="2" cm="1">
        <f t="array" ref="AX394">VLOOKUP($A394,Table_ship_components[],COLUMN(AX:AX),0)</f>
        <v>0</v>
      </c>
      <c r="AY394" s="2" cm="1">
        <f t="array" ref="AY394">VLOOKUP($A394,Table_ship_components[],COLUMN(AY:AY),0)</f>
        <v>0</v>
      </c>
      <c r="AZ394" s="2" t="str" cm="1">
        <f t="array" ref="AZ394">VLOOKUP($A394,Table_ship_components[],COLUMN(AZ:AZ),0)</f>
        <v>C</v>
      </c>
      <c r="BA394" s="14" cm="1">
        <f t="array" ref="BA394">VLOOKUP($A394,Table_ship_components[],COLUMN(BA:BA),0)</f>
        <v>700000</v>
      </c>
      <c r="BB394" s="14" cm="1">
        <f t="array" ref="BB394">(VLOOKUP($A394,Table_ship_components[],COLUMN(BA:BA),0)+(W394*C394))</f>
        <v>700000</v>
      </c>
      <c r="BC394" s="2" cm="1">
        <f t="array" ref="BC394">VLOOKUP($A394,Table_ship_components[],COLUMN(BC:BC),0)</f>
        <v>0</v>
      </c>
      <c r="BD394" s="2" cm="1">
        <f t="array" ref="BD394">VLOOKUP($A394,Table_ship_components[],COLUMN(BD:BD),0)</f>
        <v>0</v>
      </c>
    </row>
    <row r="395" spans="1:56" outlineLevel="1" x14ac:dyDescent="0.35">
      <c r="A395" t="s">
        <v>288</v>
      </c>
      <c r="B395" t="str" cm="1">
        <f t="array" ref="B395">VLOOKUP($A395,Table_ship_components[],COLUMN(B:B),0)</f>
        <v>PICK A COMPONENT</v>
      </c>
      <c r="D395" cm="1">
        <f t="array" ref="D395">VLOOKUP($A395,Table_ship_components[],COLUMN(D:D),0)</f>
        <v>0</v>
      </c>
      <c r="E395" cm="1">
        <f t="array" ref="E395">ROUND(VLOOKUP($A395,Table_ship_components[],COLUMN(D:D),0)+(V395*C395),0)</f>
        <v>0</v>
      </c>
      <c r="F395" cm="1">
        <f t="array" ref="F395">VLOOKUP($A395,Table_ship_components[],COLUMN(F:F),0)</f>
        <v>0</v>
      </c>
      <c r="G395" cm="1">
        <f t="array" ref="G395">ROUND(VLOOKUP($A395,Table_ship_components[],COLUMN(G:G),0)+(X395*C395),0)</f>
        <v>0</v>
      </c>
      <c r="H395" cm="1">
        <f t="array" ref="H395">VLOOKUP($A395,Table_ship_components[],COLUMN(H:H),0)</f>
        <v>0</v>
      </c>
      <c r="I395" cm="1">
        <f t="array" ref="I395">VLOOKUP($A395,Table_ship_components[],COLUMN(I:I),0)</f>
        <v>0</v>
      </c>
      <c r="J395" cm="1">
        <f t="array" ref="J395">VLOOKUP($A395,Table_ship_components[],COLUMN(J:J),0)</f>
        <v>0</v>
      </c>
      <c r="K395" cm="1">
        <f t="array" ref="K395">VLOOKUP($A395,Table_ship_components[],COLUMN(K:K),0)</f>
        <v>0</v>
      </c>
      <c r="L395" cm="1">
        <f t="array" ref="L395">VLOOKUP($A395,Table_ship_components[],COLUMN(L:L),0)</f>
        <v>0</v>
      </c>
      <c r="M395" cm="1">
        <f t="array" ref="M395">VLOOKUP($A395,Table_ship_components[],COLUMN(M:M),0)</f>
        <v>0</v>
      </c>
      <c r="N395" cm="1">
        <f t="array" ref="N395">VLOOKUP($A395,Table_ship_components[],COLUMN(N:N),0)</f>
        <v>0</v>
      </c>
      <c r="O395" cm="1">
        <f t="array" ref="O395">VLOOKUP($A395,Table_ship_components[],COLUMN(O:O),0)</f>
        <v>0</v>
      </c>
      <c r="P395" cm="1">
        <f t="array" ref="P395">VLOOKUP($A395,Table_ship_components[],COLUMN(P:P),0)</f>
        <v>0</v>
      </c>
      <c r="Q395" cm="1">
        <f t="array" ref="Q395">VLOOKUP($A395,Table_ship_components[],COLUMN(Q:Q),0)</f>
        <v>0</v>
      </c>
      <c r="R395" cm="1">
        <f t="array" ref="R395">VLOOKUP($A395,Table_ship_components[],COLUMN(R:R),0)</f>
        <v>0</v>
      </c>
      <c r="S395" cm="1">
        <f t="array" ref="S395">VLOOKUP($A395,Table_ship_components[],COLUMN(S:S),0)</f>
        <v>0</v>
      </c>
      <c r="T395" cm="1">
        <f t="array" ref="T395">VLOOKUP($A395,Table_ship_components[],COLUMN(T:T),0)</f>
        <v>0</v>
      </c>
      <c r="U395" cm="1">
        <f t="array" ref="U395">VLOOKUP($A395,Table_ship_components[],COLUMN(U:U),0)</f>
        <v>0</v>
      </c>
      <c r="V395" cm="1">
        <f t="array" ref="V395">VLOOKUP($A395,Table_ship_components[],COLUMN(V:V),0)</f>
        <v>0</v>
      </c>
      <c r="W395" s="15" cm="1">
        <f t="array" ref="W395">VLOOKUP($A395,Table_ship_components[],COLUMN(W:W),0)</f>
        <v>0</v>
      </c>
      <c r="X395" cm="1">
        <f t="array" ref="X395">VLOOKUP($A395,Table_ship_components[],COLUMN(X:X),0)</f>
        <v>0</v>
      </c>
      <c r="Y395" cm="1">
        <f t="array" ref="Y395">VLOOKUP($A395,Table_ship_components[],COLUMN(Y:Y),0)</f>
        <v>0</v>
      </c>
      <c r="Z395" cm="1">
        <f t="array" ref="Z395">VLOOKUP($A395,Table_ship_components[],COLUMN(Z:Z),0)</f>
        <v>0</v>
      </c>
      <c r="AA395" cm="1">
        <f t="array" ref="AA395">VLOOKUP($A395,Table_ship_components[],COLUMN(AA:AA),0)*C395</f>
        <v>0</v>
      </c>
      <c r="AB395">
        <f t="shared" si="29"/>
        <v>0</v>
      </c>
      <c r="AC395" cm="1">
        <f t="array" ref="AC395">VLOOKUP($A395,Table_ship_components[],COLUMN(AC:AC),0)*C395</f>
        <v>0</v>
      </c>
      <c r="AD395" cm="1">
        <f t="array" ref="AD395">VLOOKUP($A395,Table_ship_components[],COLUMN(AD:AD),0)</f>
        <v>0</v>
      </c>
      <c r="AE395" cm="1">
        <f t="array" ref="AE395">VLOOKUP($A395,Table_ship_components[],COLUMN(AE:AE),0)</f>
        <v>0</v>
      </c>
      <c r="AF395" cm="1">
        <f t="array" ref="AF395">VLOOKUP($A395,Table_ship_components[],COLUMN(AF:AF),0)</f>
        <v>0</v>
      </c>
      <c r="AG395" cm="1">
        <f t="array" ref="AG395">VLOOKUP($A395,Table_ship_components[],COLUMN(AG:AG),0)</f>
        <v>0</v>
      </c>
      <c r="AH395" cm="1">
        <f t="array" ref="AH395">VLOOKUP($A395,Table_ship_components[],COLUMN(AH:AH),0)</f>
        <v>0</v>
      </c>
      <c r="AI395" cm="1">
        <f t="array" ref="AI395">VLOOKUP($A395,Table_ship_components[],COLUMN(AI:AI),0)</f>
        <v>0</v>
      </c>
      <c r="AJ395" cm="1">
        <f t="array" ref="AJ395">VLOOKUP($A395,Table_ship_components[],COLUMN(AJ:AJ),0)</f>
        <v>0</v>
      </c>
      <c r="AK395" cm="1">
        <f t="array" ref="AK395">VLOOKUP($A395,Table_ship_components[],COLUMN(AK:AK),0)</f>
        <v>0</v>
      </c>
      <c r="AL395" cm="1">
        <f t="array" ref="AL395">VLOOKUP($A395,Table_ship_components[],COLUMN(AL:AL),0)</f>
        <v>0</v>
      </c>
      <c r="AM395" cm="1">
        <f t="array" ref="AM395">VLOOKUP($A395,Table_ship_components[],COLUMN(AM:AM),0)</f>
        <v>0</v>
      </c>
      <c r="AN395" cm="1">
        <f t="array" ref="AN395">VLOOKUP($A395,Table_ship_components[],COLUMN(AN:AN),0)</f>
        <v>0</v>
      </c>
      <c r="AO395" cm="1">
        <f t="array" ref="AO395">VLOOKUP($A395,Table_ship_components[],COLUMN(AO:AO),0)</f>
        <v>0</v>
      </c>
      <c r="AP395" cm="1">
        <f t="array" ref="AP395">VLOOKUP($A395,Table_ship_components[],COLUMN(AP:AP),0)</f>
        <v>0</v>
      </c>
      <c r="AQ395" cm="1">
        <f t="array" ref="AQ395">VLOOKUP($A395,Table_ship_components[],COLUMN(AQ:AQ),0)</f>
        <v>0</v>
      </c>
      <c r="AR395" cm="1">
        <f t="array" ref="AR395">VLOOKUP($A395,Table_ship_components[],COLUMN(AR:AR),0)</f>
        <v>0</v>
      </c>
      <c r="AS395" cm="1">
        <f t="array" ref="AS395">VLOOKUP($A395,Table_ship_components[],COLUMN(AS:AS),0)</f>
        <v>0</v>
      </c>
      <c r="AT395" cm="1">
        <f t="array" ref="AT395">VLOOKUP($A395,Table_ship_components[],COLUMN(AT:AT),0)</f>
        <v>0</v>
      </c>
      <c r="AU395" s="2" cm="1">
        <f t="array" ref="AU395">VLOOKUP($A395,Table_ship_components[],COLUMN(AU:AU),0)</f>
        <v>0</v>
      </c>
      <c r="AV395" s="2" cm="1">
        <f t="array" ref="AV395">VLOOKUP($A395,Table_ship_components[],COLUMN(AV:AV),0)</f>
        <v>0</v>
      </c>
      <c r="AW395" s="2" cm="1">
        <f t="array" ref="AW395">VLOOKUP($A395,Table_ship_components[],COLUMN(AW:AW),0)</f>
        <v>0</v>
      </c>
      <c r="AX395" s="2" cm="1">
        <f t="array" ref="AX395">VLOOKUP($A395,Table_ship_components[],COLUMN(AX:AX),0)</f>
        <v>0</v>
      </c>
      <c r="AY395" s="2" cm="1">
        <f t="array" ref="AY395">VLOOKUP($A395,Table_ship_components[],COLUMN(AY:AY),0)</f>
        <v>0</v>
      </c>
      <c r="AZ395" s="2" t="str" cm="1">
        <f t="array" ref="AZ395">VLOOKUP($A395,Table_ship_components[],COLUMN(AZ:AZ),0)</f>
        <v>C</v>
      </c>
      <c r="BA395" s="14" cm="1">
        <f t="array" ref="BA395">VLOOKUP($A395,Table_ship_components[],COLUMN(BA:BA),0)</f>
        <v>0</v>
      </c>
      <c r="BB395" s="14" cm="1">
        <f t="array" ref="BB395">(VLOOKUP($A395,Table_ship_components[],COLUMN(BA:BA),0)+(W395*C395))</f>
        <v>0</v>
      </c>
      <c r="BC395" s="2" cm="1">
        <f t="array" ref="BC395">VLOOKUP($A395,Table_ship_components[],COLUMN(BC:BC),0)</f>
        <v>0</v>
      </c>
      <c r="BD395" s="2" cm="1">
        <f t="array" ref="BD395">VLOOKUP($A395,Table_ship_components[],COLUMN(BD:BD),0)</f>
        <v>0</v>
      </c>
    </row>
    <row r="396" spans="1:56" outlineLevel="1" x14ac:dyDescent="0.35">
      <c r="A396" t="s">
        <v>404</v>
      </c>
      <c r="B396" t="str" cm="1">
        <f t="array" ref="B396">VLOOKUP($A396,Table_ship_components[],COLUMN(B:B),0)</f>
        <v>basic crew quatrters and accomodations</v>
      </c>
      <c r="C396" s="2">
        <v>6</v>
      </c>
      <c r="D396" cm="1">
        <f t="array" ref="D396">VLOOKUP($A396,Table_ship_components[],COLUMN(D:D),0)</f>
        <v>5</v>
      </c>
      <c r="E396" cm="1">
        <f t="array" ref="E396">ROUND(VLOOKUP($A396,Table_ship_components[],COLUMN(D:D),0)+(V396*C396),0)</f>
        <v>23</v>
      </c>
      <c r="F396" cm="1">
        <f t="array" ref="F396">VLOOKUP($A396,Table_ship_components[],COLUMN(F:F),0)</f>
        <v>2</v>
      </c>
      <c r="G396" cm="1">
        <f t="array" ref="G396">ROUND(VLOOKUP($A396,Table_ship_components[],COLUMN(G:G),0)+(X396*C396),0)</f>
        <v>8</v>
      </c>
      <c r="H396" cm="1">
        <f t="array" ref="H396">VLOOKUP($A396,Table_ship_components[],COLUMN(H:H),0)</f>
        <v>0</v>
      </c>
      <c r="I396" cm="1">
        <f t="array" ref="I396">VLOOKUP($A396,Table_ship_components[],COLUMN(I:I),0)</f>
        <v>0</v>
      </c>
      <c r="J396" cm="1">
        <f t="array" ref="J396">VLOOKUP($A396,Table_ship_components[],COLUMN(J:J),0)</f>
        <v>0</v>
      </c>
      <c r="K396" cm="1">
        <f t="array" ref="K396">VLOOKUP($A396,Table_ship_components[],COLUMN(K:K),0)</f>
        <v>0</v>
      </c>
      <c r="L396" cm="1">
        <f t="array" ref="L396">VLOOKUP($A396,Table_ship_components[],COLUMN(L:L),0)</f>
        <v>0</v>
      </c>
      <c r="M396" cm="1">
        <f t="array" ref="M396">VLOOKUP($A396,Table_ship_components[],COLUMN(M:M),0)</f>
        <v>0</v>
      </c>
      <c r="N396" cm="1">
        <f t="array" ref="N396">VLOOKUP($A396,Table_ship_components[],COLUMN(N:N),0)</f>
        <v>0</v>
      </c>
      <c r="O396" cm="1">
        <f t="array" ref="O396">VLOOKUP($A396,Table_ship_components[],COLUMN(O:O),0)</f>
        <v>1</v>
      </c>
      <c r="P396" cm="1">
        <f t="array" ref="P396">VLOOKUP($A396,Table_ship_components[],COLUMN(P:P),0)</f>
        <v>1</v>
      </c>
      <c r="Q396" cm="1">
        <f t="array" ref="Q396">VLOOKUP($A396,Table_ship_components[],COLUMN(Q:Q),0)</f>
        <v>1</v>
      </c>
      <c r="R396" cm="1">
        <f t="array" ref="R396">VLOOKUP($A396,Table_ship_components[],COLUMN(R:R),0)</f>
        <v>1</v>
      </c>
      <c r="S396" cm="1">
        <f t="array" ref="S396">VLOOKUP($A396,Table_ship_components[],COLUMN(S:S),0)</f>
        <v>1</v>
      </c>
      <c r="T396" cm="1">
        <f t="array" ref="T396">VLOOKUP($A396,Table_ship_components[],COLUMN(T:T),0)</f>
        <v>1</v>
      </c>
      <c r="U396" cm="1">
        <f t="array" ref="U396">VLOOKUP($A396,Table_ship_components[],COLUMN(U:U),0)</f>
        <v>1</v>
      </c>
      <c r="V396" cm="1">
        <f t="array" ref="V396">VLOOKUP($A396,Table_ship_components[],COLUMN(V:V),0)</f>
        <v>3</v>
      </c>
      <c r="W396" s="15" cm="1">
        <f t="array" ref="W396">VLOOKUP($A396,Table_ship_components[],COLUMN(W:W),0)</f>
        <v>50000</v>
      </c>
      <c r="X396" cm="1">
        <f t="array" ref="X396">VLOOKUP($A396,Table_ship_components[],COLUMN(X:X),0)</f>
        <v>1</v>
      </c>
      <c r="Y396" cm="1">
        <f t="array" ref="Y396">VLOOKUP($A396,Table_ship_components[],COLUMN(Y:Y),0)</f>
        <v>0</v>
      </c>
      <c r="Z396" cm="1">
        <f t="array" ref="Z396">VLOOKUP($A396,Table_ship_components[],COLUMN(Z:Z),0)</f>
        <v>0</v>
      </c>
      <c r="AA396" cm="1">
        <f t="array" ref="AA396">VLOOKUP($A396,Table_ship_components[],COLUMN(AA:AA),0)*C396</f>
        <v>0</v>
      </c>
      <c r="AB396">
        <f t="shared" si="29"/>
        <v>0</v>
      </c>
      <c r="AC396" cm="1">
        <f t="array" ref="AC396">VLOOKUP($A396,Table_ship_components[],COLUMN(AC:AC),0)*C396</f>
        <v>0</v>
      </c>
      <c r="AD396" cm="1">
        <f t="array" ref="AD396">VLOOKUP($A396,Table_ship_components[],COLUMN(AD:AD),0)</f>
        <v>0</v>
      </c>
      <c r="AE396" cm="1">
        <f t="array" ref="AE396">VLOOKUP($A396,Table_ship_components[],COLUMN(AE:AE),0)</f>
        <v>0</v>
      </c>
      <c r="AF396" cm="1">
        <f t="array" ref="AF396">VLOOKUP($A396,Table_ship_components[],COLUMN(AF:AF),0)</f>
        <v>0</v>
      </c>
      <c r="AG396" cm="1">
        <f t="array" ref="AG396">VLOOKUP($A396,Table_ship_components[],COLUMN(AG:AG),0)</f>
        <v>0</v>
      </c>
      <c r="AH396" cm="1">
        <f t="array" ref="AH396">VLOOKUP($A396,Table_ship_components[],COLUMN(AH:AH),0)</f>
        <v>0</v>
      </c>
      <c r="AI396" cm="1">
        <f t="array" ref="AI396">VLOOKUP($A396,Table_ship_components[],COLUMN(AI:AI),0)</f>
        <v>0</v>
      </c>
      <c r="AJ396" cm="1">
        <f t="array" ref="AJ396">VLOOKUP($A396,Table_ship_components[],COLUMN(AJ:AJ),0)</f>
        <v>0</v>
      </c>
      <c r="AK396" cm="1">
        <f t="array" ref="AK396">VLOOKUP($A396,Table_ship_components[],COLUMN(AK:AK),0)</f>
        <v>0</v>
      </c>
      <c r="AL396" cm="1">
        <f t="array" ref="AL396">VLOOKUP($A396,Table_ship_components[],COLUMN(AL:AL),0)</f>
        <v>0</v>
      </c>
      <c r="AM396" cm="1">
        <f t="array" ref="AM396">VLOOKUP($A396,Table_ship_components[],COLUMN(AM:AM),0)</f>
        <v>0</v>
      </c>
      <c r="AN396" cm="1">
        <f t="array" ref="AN396">VLOOKUP($A396,Table_ship_components[],COLUMN(AN:AN),0)</f>
        <v>0</v>
      </c>
      <c r="AO396" cm="1">
        <f t="array" ref="AO396">VLOOKUP($A396,Table_ship_components[],COLUMN(AO:AO),0)</f>
        <v>0</v>
      </c>
      <c r="AP396" cm="1">
        <f t="array" ref="AP396">VLOOKUP($A396,Table_ship_components[],COLUMN(AP:AP),0)</f>
        <v>0</v>
      </c>
      <c r="AQ396" cm="1">
        <f t="array" ref="AQ396">VLOOKUP($A396,Table_ship_components[],COLUMN(AQ:AQ),0)</f>
        <v>0</v>
      </c>
      <c r="AR396" cm="1">
        <f t="array" ref="AR396">VLOOKUP($A396,Table_ship_components[],COLUMN(AR:AR),0)</f>
        <v>0</v>
      </c>
      <c r="AS396" cm="1">
        <f t="array" ref="AS396">VLOOKUP($A396,Table_ship_components[],COLUMN(AS:AS),0)</f>
        <v>0</v>
      </c>
      <c r="AT396" cm="1">
        <f t="array" ref="AT396">VLOOKUP($A396,Table_ship_components[],COLUMN(AT:AT),0)</f>
        <v>0</v>
      </c>
      <c r="AU396" s="2" cm="1">
        <f t="array" ref="AU396">VLOOKUP($A396,Table_ship_components[],COLUMN(AU:AU),0)</f>
        <v>0</v>
      </c>
      <c r="AV396" s="2" cm="1">
        <f t="array" ref="AV396">VLOOKUP($A396,Table_ship_components[],COLUMN(AV:AV),0)</f>
        <v>0</v>
      </c>
      <c r="AW396" s="2" cm="1">
        <f t="array" ref="AW396">VLOOKUP($A396,Table_ship_components[],COLUMN(AW:AW),0)</f>
        <v>0</v>
      </c>
      <c r="AX396" s="2" cm="1">
        <f t="array" ref="AX396">VLOOKUP($A396,Table_ship_components[],COLUMN(AX:AX),0)</f>
        <v>0</v>
      </c>
      <c r="AY396" s="2" cm="1">
        <f t="array" ref="AY396">VLOOKUP($A396,Table_ship_components[],COLUMN(AY:AY),0)</f>
        <v>0</v>
      </c>
      <c r="AZ396" s="2" t="str" cm="1">
        <f t="array" ref="AZ396">VLOOKUP($A396,Table_ship_components[],COLUMN(AZ:AZ),0)</f>
        <v>C</v>
      </c>
      <c r="BA396" s="14" cm="1">
        <f t="array" ref="BA396">VLOOKUP($A396,Table_ship_components[],COLUMN(BA:BA),0)</f>
        <v>80000</v>
      </c>
      <c r="BB396" s="14" cm="1">
        <f t="array" ref="BB396">(VLOOKUP($A396,Table_ship_components[],COLUMN(BA:BA),0)+(W396*C396))</f>
        <v>380000</v>
      </c>
      <c r="BC396" s="2" cm="1">
        <f t="array" ref="BC396">VLOOKUP($A396,Table_ship_components[],COLUMN(BC:BC),0)</f>
        <v>0</v>
      </c>
      <c r="BD396" s="2" cm="1">
        <f t="array" ref="BD396">VLOOKUP($A396,Table_ship_components[],COLUMN(BD:BD),0)</f>
        <v>0</v>
      </c>
    </row>
    <row r="397" spans="1:56" outlineLevel="1" x14ac:dyDescent="0.35">
      <c r="A397" t="s">
        <v>365</v>
      </c>
      <c r="B397" t="str" cm="1">
        <f t="array" ref="B397">VLOOKUP($A397,Table_ship_components[],COLUMN(B:B),0)</f>
        <v>good life support for a corvette</v>
      </c>
      <c r="C397" s="2">
        <v>6</v>
      </c>
      <c r="D397" cm="1">
        <f t="array" ref="D397">VLOOKUP($A397,Table_ship_components[],COLUMN(D:D),0)</f>
        <v>8</v>
      </c>
      <c r="E397" cm="1">
        <f t="array" ref="E397">ROUND(VLOOKUP($A397,Table_ship_components[],COLUMN(D:D),0)+(V397*C397),0)</f>
        <v>14</v>
      </c>
      <c r="F397" cm="1">
        <f t="array" ref="F397">VLOOKUP($A397,Table_ship_components[],COLUMN(F:F),0)</f>
        <v>7</v>
      </c>
      <c r="G397" cm="1">
        <f t="array" ref="G397">ROUND(VLOOKUP($A397,Table_ship_components[],COLUMN(G:G),0)+(X397*C397),0)</f>
        <v>13</v>
      </c>
      <c r="H397" cm="1">
        <f t="array" ref="H397">VLOOKUP($A397,Table_ship_components[],COLUMN(H:H),0)</f>
        <v>0</v>
      </c>
      <c r="I397" cm="1">
        <f t="array" ref="I397">VLOOKUP($A397,Table_ship_components[],COLUMN(I:I),0)</f>
        <v>0</v>
      </c>
      <c r="J397" cm="1">
        <f t="array" ref="J397">VLOOKUP($A397,Table_ship_components[],COLUMN(J:J),0)</f>
        <v>0</v>
      </c>
      <c r="K397" cm="1">
        <f t="array" ref="K397">VLOOKUP($A397,Table_ship_components[],COLUMN(K:K),0)</f>
        <v>0</v>
      </c>
      <c r="L397" cm="1">
        <f t="array" ref="L397">VLOOKUP($A397,Table_ship_components[],COLUMN(L:L),0)</f>
        <v>0</v>
      </c>
      <c r="M397" cm="1">
        <f t="array" ref="M397">VLOOKUP($A397,Table_ship_components[],COLUMN(M:M),0)</f>
        <v>0</v>
      </c>
      <c r="N397" cm="1">
        <f t="array" ref="N397">VLOOKUP($A397,Table_ship_components[],COLUMN(N:N),0)</f>
        <v>0</v>
      </c>
      <c r="O397" cm="1">
        <f t="array" ref="O397">VLOOKUP($A397,Table_ship_components[],COLUMN(O:O),0)</f>
        <v>1</v>
      </c>
      <c r="P397" cm="1">
        <f t="array" ref="P397">VLOOKUP($A397,Table_ship_components[],COLUMN(P:P),0)</f>
        <v>0</v>
      </c>
      <c r="Q397" cm="1">
        <f t="array" ref="Q397">VLOOKUP($A397,Table_ship_components[],COLUMN(Q:Q),0)</f>
        <v>0</v>
      </c>
      <c r="R397" cm="1">
        <f t="array" ref="R397">VLOOKUP($A397,Table_ship_components[],COLUMN(R:R),0)</f>
        <v>0</v>
      </c>
      <c r="S397" cm="1">
        <f t="array" ref="S397">VLOOKUP($A397,Table_ship_components[],COLUMN(S:S),0)</f>
        <v>0</v>
      </c>
      <c r="T397" cm="1">
        <f t="array" ref="T397">VLOOKUP($A397,Table_ship_components[],COLUMN(T:T),0)</f>
        <v>0</v>
      </c>
      <c r="U397" cm="1">
        <f t="array" ref="U397">VLOOKUP($A397,Table_ship_components[],COLUMN(U:U),0)</f>
        <v>1</v>
      </c>
      <c r="V397" cm="1">
        <f t="array" ref="V397">VLOOKUP($A397,Table_ship_components[],COLUMN(V:V),0)</f>
        <v>1</v>
      </c>
      <c r="W397" s="15" cm="1">
        <f t="array" ref="W397">VLOOKUP($A397,Table_ship_components[],COLUMN(W:W),0)</f>
        <v>125000</v>
      </c>
      <c r="X397" cm="1">
        <f t="array" ref="X397">VLOOKUP($A397,Table_ship_components[],COLUMN(X:X),0)</f>
        <v>1</v>
      </c>
      <c r="Y397" cm="1">
        <f t="array" ref="Y397">VLOOKUP($A397,Table_ship_components[],COLUMN(Y:Y),0)</f>
        <v>0</v>
      </c>
      <c r="Z397" cm="1">
        <f t="array" ref="Z397">VLOOKUP($A397,Table_ship_components[],COLUMN(Z:Z),0)</f>
        <v>0</v>
      </c>
      <c r="AA397" cm="1">
        <f t="array" ref="AA397">VLOOKUP($A397,Table_ship_components[],COLUMN(AA:AA),0)*C397</f>
        <v>0</v>
      </c>
      <c r="AB397">
        <f t="shared" ref="AB397" si="30">IF(A397="CARGOSPACE_0-ALL_0-UNIVERSAL",C397,0)</f>
        <v>0</v>
      </c>
      <c r="AC397" cm="1">
        <f t="array" ref="AC397">VLOOKUP($A397,Table_ship_components[],COLUMN(AC:AC),0)*C397</f>
        <v>6</v>
      </c>
      <c r="AD397" cm="1">
        <f t="array" ref="AD397">VLOOKUP($A397,Table_ship_components[],COLUMN(AD:AD),0)</f>
        <v>100</v>
      </c>
      <c r="AE397" cm="1">
        <f t="array" ref="AE397">VLOOKUP($A397,Table_ship_components[],COLUMN(AE:AE),0)</f>
        <v>0</v>
      </c>
      <c r="AF397" cm="1">
        <f t="array" ref="AF397">VLOOKUP($A397,Table_ship_components[],COLUMN(AF:AF),0)</f>
        <v>0</v>
      </c>
      <c r="AG397" cm="1">
        <f t="array" ref="AG397">VLOOKUP($A397,Table_ship_components[],COLUMN(AG:AG),0)</f>
        <v>0</v>
      </c>
      <c r="AH397" cm="1">
        <f t="array" ref="AH397">VLOOKUP($A397,Table_ship_components[],COLUMN(AH:AH),0)</f>
        <v>0</v>
      </c>
      <c r="AI397" cm="1">
        <f t="array" ref="AI397">VLOOKUP($A397,Table_ship_components[],COLUMN(AI:AI),0)</f>
        <v>0</v>
      </c>
      <c r="AJ397" cm="1">
        <f t="array" ref="AJ397">VLOOKUP($A397,Table_ship_components[],COLUMN(AJ:AJ),0)</f>
        <v>0</v>
      </c>
      <c r="AK397" cm="1">
        <f t="array" ref="AK397">VLOOKUP($A397,Table_ship_components[],COLUMN(AK:AK),0)</f>
        <v>0</v>
      </c>
      <c r="AL397" cm="1">
        <f t="array" ref="AL397">VLOOKUP($A397,Table_ship_components[],COLUMN(AL:AL),0)</f>
        <v>0</v>
      </c>
      <c r="AM397" cm="1">
        <f t="array" ref="AM397">VLOOKUP($A397,Table_ship_components[],COLUMN(AM:AM),0)</f>
        <v>0</v>
      </c>
      <c r="AN397" cm="1">
        <f t="array" ref="AN397">VLOOKUP($A397,Table_ship_components[],COLUMN(AN:AN),0)</f>
        <v>0</v>
      </c>
      <c r="AO397" cm="1">
        <f t="array" ref="AO397">VLOOKUP($A397,Table_ship_components[],COLUMN(AO:AO),0)</f>
        <v>0</v>
      </c>
      <c r="AP397" cm="1">
        <f t="array" ref="AP397">VLOOKUP($A397,Table_ship_components[],COLUMN(AP:AP),0)</f>
        <v>0</v>
      </c>
      <c r="AQ397" cm="1">
        <f t="array" ref="AQ397">VLOOKUP($A397,Table_ship_components[],COLUMN(AQ:AQ),0)</f>
        <v>0</v>
      </c>
      <c r="AR397" cm="1">
        <f t="array" ref="AR397">VLOOKUP($A397,Table_ship_components[],COLUMN(AR:AR),0)</f>
        <v>0</v>
      </c>
      <c r="AS397" cm="1">
        <f t="array" ref="AS397">VLOOKUP($A397,Table_ship_components[],COLUMN(AS:AS),0)</f>
        <v>0</v>
      </c>
      <c r="AT397" cm="1">
        <f t="array" ref="AT397">VLOOKUP($A397,Table_ship_components[],COLUMN(AT:AT),0)</f>
        <v>0</v>
      </c>
      <c r="AU397" s="2" cm="1">
        <f t="array" ref="AU397">VLOOKUP($A397,Table_ship_components[],COLUMN(AU:AU),0)</f>
        <v>0</v>
      </c>
      <c r="AV397" s="2" cm="1">
        <f t="array" ref="AV397">VLOOKUP($A397,Table_ship_components[],COLUMN(AV:AV),0)</f>
        <v>0</v>
      </c>
      <c r="AW397" s="2" cm="1">
        <f t="array" ref="AW397">VLOOKUP($A397,Table_ship_components[],COLUMN(AW:AW),0)</f>
        <v>0</v>
      </c>
      <c r="AX397" s="2" cm="1">
        <f t="array" ref="AX397">VLOOKUP($A397,Table_ship_components[],COLUMN(AX:AX),0)</f>
        <v>0</v>
      </c>
      <c r="AY397" s="2" cm="1">
        <f t="array" ref="AY397">VLOOKUP($A397,Table_ship_components[],COLUMN(AY:AY),0)</f>
        <v>0</v>
      </c>
      <c r="AZ397" s="2" t="str" cm="1">
        <f t="array" ref="AZ397">VLOOKUP($A397,Table_ship_components[],COLUMN(AZ:AZ),0)</f>
        <v>C</v>
      </c>
      <c r="BA397" s="14" cm="1">
        <f t="array" ref="BA397">VLOOKUP($A397,Table_ship_components[],COLUMN(BA:BA),0)</f>
        <v>1250000</v>
      </c>
      <c r="BB397" s="14" cm="1">
        <f t="array" ref="BB397">(VLOOKUP($A397,Table_ship_components[],COLUMN(BA:BA),0)+(W397*C397))</f>
        <v>2000000</v>
      </c>
      <c r="BC397" s="2" cm="1">
        <f t="array" ref="BC397">VLOOKUP($A397,Table_ship_components[],COLUMN(BC:BC),0)</f>
        <v>0</v>
      </c>
      <c r="BD397" s="2" cm="1">
        <f t="array" ref="BD397">VLOOKUP($A397,Table_ship_components[],COLUMN(BD:BD),0)</f>
        <v>0</v>
      </c>
    </row>
    <row r="398" spans="1:56" outlineLevel="1" x14ac:dyDescent="0.35">
      <c r="A398" t="s">
        <v>376</v>
      </c>
      <c r="B398" t="str" cm="1">
        <f t="array" ref="B398">VLOOKUP($A398,Table_ship_components[],COLUMN(B:B),0)</f>
        <v>average shield for a corvette</v>
      </c>
      <c r="D398" cm="1">
        <f t="array" ref="D398">VLOOKUP($A398,Table_ship_components[],COLUMN(D:D),0)</f>
        <v>10</v>
      </c>
      <c r="E398" cm="1">
        <f t="array" ref="E398">ROUND(VLOOKUP($A398,Table_ship_components[],COLUMN(D:D),0)+(V398*C398),0)</f>
        <v>10</v>
      </c>
      <c r="F398" cm="1">
        <f t="array" ref="F398">VLOOKUP($A398,Table_ship_components[],COLUMN(F:F),0)</f>
        <v>10</v>
      </c>
      <c r="G398" cm="1">
        <f t="array" ref="G398">ROUND(VLOOKUP($A398,Table_ship_components[],COLUMN(G:G),0)+(X398*C398),0)</f>
        <v>10</v>
      </c>
      <c r="H398" cm="1">
        <f t="array" ref="H398">VLOOKUP($A398,Table_ship_components[],COLUMN(H:H),0)</f>
        <v>0</v>
      </c>
      <c r="I398" cm="1">
        <f t="array" ref="I398">VLOOKUP($A398,Table_ship_components[],COLUMN(I:I),0)</f>
        <v>0</v>
      </c>
      <c r="J398" cm="1">
        <f t="array" ref="J398">VLOOKUP($A398,Table_ship_components[],COLUMN(J:J),0)</f>
        <v>0</v>
      </c>
      <c r="K398" cm="1">
        <f t="array" ref="K398">VLOOKUP($A398,Table_ship_components[],COLUMN(K:K),0)</f>
        <v>40</v>
      </c>
      <c r="L398" cm="1">
        <f t="array" ref="L398">VLOOKUP($A398,Table_ship_components[],COLUMN(L:L),0)</f>
        <v>5</v>
      </c>
      <c r="M398" cm="1">
        <f t="array" ref="M398">VLOOKUP($A398,Table_ship_components[],COLUMN(M:M),0)</f>
        <v>0</v>
      </c>
      <c r="N398" cm="1">
        <f t="array" ref="N398">VLOOKUP($A398,Table_ship_components[],COLUMN(N:N),0)</f>
        <v>0</v>
      </c>
      <c r="O398" cm="1">
        <f t="array" ref="O398">VLOOKUP($A398,Table_ship_components[],COLUMN(O:O),0)</f>
        <v>1</v>
      </c>
      <c r="P398" cm="1">
        <f t="array" ref="P398">VLOOKUP($A398,Table_ship_components[],COLUMN(P:P),0)</f>
        <v>0</v>
      </c>
      <c r="Q398" cm="1">
        <f t="array" ref="Q398">VLOOKUP($A398,Table_ship_components[],COLUMN(Q:Q),0)</f>
        <v>0</v>
      </c>
      <c r="R398" cm="1">
        <f t="array" ref="R398">VLOOKUP($A398,Table_ship_components[],COLUMN(R:R),0)</f>
        <v>0</v>
      </c>
      <c r="S398" cm="1">
        <f t="array" ref="S398">VLOOKUP($A398,Table_ship_components[],COLUMN(S:S),0)</f>
        <v>0</v>
      </c>
      <c r="T398" cm="1">
        <f t="array" ref="T398">VLOOKUP($A398,Table_ship_components[],COLUMN(T:T),0)</f>
        <v>0</v>
      </c>
      <c r="U398" cm="1">
        <f t="array" ref="U398">VLOOKUP($A398,Table_ship_components[],COLUMN(U:U),0)</f>
        <v>0</v>
      </c>
      <c r="V398" cm="1">
        <f t="array" ref="V398">VLOOKUP($A398,Table_ship_components[],COLUMN(V:V),0)</f>
        <v>0</v>
      </c>
      <c r="W398" s="15" cm="1">
        <f t="array" ref="W398">VLOOKUP($A398,Table_ship_components[],COLUMN(W:W),0)</f>
        <v>0</v>
      </c>
      <c r="X398" cm="1">
        <f t="array" ref="X398">VLOOKUP($A398,Table_ship_components[],COLUMN(X:X),0)</f>
        <v>0</v>
      </c>
      <c r="Y398" cm="1">
        <f t="array" ref="Y398">VLOOKUP($A398,Table_ship_components[],COLUMN(Y:Y),0)</f>
        <v>0</v>
      </c>
      <c r="Z398" cm="1">
        <f t="array" ref="Z398">VLOOKUP($A398,Table_ship_components[],COLUMN(Z:Z),0)</f>
        <v>0</v>
      </c>
      <c r="AA398" cm="1">
        <f t="array" ref="AA398">VLOOKUP($A398,Table_ship_components[],COLUMN(AA:AA),0)*C398</f>
        <v>0</v>
      </c>
      <c r="AB398">
        <f t="shared" si="29"/>
        <v>0</v>
      </c>
      <c r="AC398" cm="1">
        <f t="array" ref="AC398">VLOOKUP($A398,Table_ship_components[],COLUMN(AC:AC),0)*C398</f>
        <v>0</v>
      </c>
      <c r="AD398" cm="1">
        <f t="array" ref="AD398">VLOOKUP($A398,Table_ship_components[],COLUMN(AD:AD),0)</f>
        <v>0</v>
      </c>
      <c r="AE398" cm="1">
        <f t="array" ref="AE398">VLOOKUP($A398,Table_ship_components[],COLUMN(AE:AE),0)</f>
        <v>0</v>
      </c>
      <c r="AF398" cm="1">
        <f t="array" ref="AF398">VLOOKUP($A398,Table_ship_components[],COLUMN(AF:AF),0)</f>
        <v>0</v>
      </c>
      <c r="AG398" cm="1">
        <f t="array" ref="AG398">VLOOKUP($A398,Table_ship_components[],COLUMN(AG:AG),0)</f>
        <v>0</v>
      </c>
      <c r="AH398" cm="1">
        <f t="array" ref="AH398">VLOOKUP($A398,Table_ship_components[],COLUMN(AH:AH),0)</f>
        <v>0</v>
      </c>
      <c r="AI398" cm="1">
        <f t="array" ref="AI398">VLOOKUP($A398,Table_ship_components[],COLUMN(AI:AI),0)</f>
        <v>0</v>
      </c>
      <c r="AJ398" cm="1">
        <f t="array" ref="AJ398">VLOOKUP($A398,Table_ship_components[],COLUMN(AJ:AJ),0)</f>
        <v>0</v>
      </c>
      <c r="AK398" cm="1">
        <f t="array" ref="AK398">VLOOKUP($A398,Table_ship_components[],COLUMN(AK:AK),0)</f>
        <v>0</v>
      </c>
      <c r="AL398" cm="1">
        <f t="array" ref="AL398">VLOOKUP($A398,Table_ship_components[],COLUMN(AL:AL),0)</f>
        <v>0</v>
      </c>
      <c r="AM398" cm="1">
        <f t="array" ref="AM398">VLOOKUP($A398,Table_ship_components[],COLUMN(AM:AM),0)</f>
        <v>0</v>
      </c>
      <c r="AN398" cm="1">
        <f t="array" ref="AN398">VLOOKUP($A398,Table_ship_components[],COLUMN(AN:AN),0)</f>
        <v>0</v>
      </c>
      <c r="AO398" cm="1">
        <f t="array" ref="AO398">VLOOKUP($A398,Table_ship_components[],COLUMN(AO:AO),0)</f>
        <v>0</v>
      </c>
      <c r="AP398" cm="1">
        <f t="array" ref="AP398">VLOOKUP($A398,Table_ship_components[],COLUMN(AP:AP),0)</f>
        <v>0</v>
      </c>
      <c r="AQ398" cm="1">
        <f t="array" ref="AQ398">VLOOKUP($A398,Table_ship_components[],COLUMN(AQ:AQ),0)</f>
        <v>0</v>
      </c>
      <c r="AR398" cm="1">
        <f t="array" ref="AR398">VLOOKUP($A398,Table_ship_components[],COLUMN(AR:AR),0)</f>
        <v>0</v>
      </c>
      <c r="AS398" cm="1">
        <f t="array" ref="AS398">VLOOKUP($A398,Table_ship_components[],COLUMN(AS:AS),0)</f>
        <v>0</v>
      </c>
      <c r="AT398" cm="1">
        <f t="array" ref="AT398">VLOOKUP($A398,Table_ship_components[],COLUMN(AT:AT),0)</f>
        <v>0</v>
      </c>
      <c r="AU398" s="2" cm="1">
        <f t="array" ref="AU398">VLOOKUP($A398,Table_ship_components[],COLUMN(AU:AU),0)</f>
        <v>0</v>
      </c>
      <c r="AV398" s="2" cm="1">
        <f t="array" ref="AV398">VLOOKUP($A398,Table_ship_components[],COLUMN(AV:AV),0)</f>
        <v>0</v>
      </c>
      <c r="AW398" s="2" cm="1">
        <f t="array" ref="AW398">VLOOKUP($A398,Table_ship_components[],COLUMN(AW:AW),0)</f>
        <v>0</v>
      </c>
      <c r="AX398" s="2" cm="1">
        <f t="array" ref="AX398">VLOOKUP($A398,Table_ship_components[],COLUMN(AX:AX),0)</f>
        <v>0</v>
      </c>
      <c r="AY398" s="2" cm="1">
        <f t="array" ref="AY398">VLOOKUP($A398,Table_ship_components[],COLUMN(AY:AY),0)</f>
        <v>0</v>
      </c>
      <c r="AZ398" s="2" t="str" cm="1">
        <f t="array" ref="AZ398">VLOOKUP($A398,Table_ship_components[],COLUMN(AZ:AZ),0)</f>
        <v>C</v>
      </c>
      <c r="BA398" s="14" cm="1">
        <f t="array" ref="BA398">VLOOKUP($A398,Table_ship_components[],COLUMN(BA:BA),0)</f>
        <v>1200000</v>
      </c>
      <c r="BB398" s="14" cm="1">
        <f t="array" ref="BB398">(VLOOKUP($A398,Table_ship_components[],COLUMN(BA:BA),0)+(W398*C398))</f>
        <v>1200000</v>
      </c>
      <c r="BC398" s="2" cm="1">
        <f t="array" ref="BC398">VLOOKUP($A398,Table_ship_components[],COLUMN(BC:BC),0)</f>
        <v>0</v>
      </c>
      <c r="BD398" s="2" cm="1">
        <f t="array" ref="BD398">VLOOKUP($A398,Table_ship_components[],COLUMN(BD:BD),0)</f>
        <v>0</v>
      </c>
    </row>
    <row r="399" spans="1:56" outlineLevel="1" x14ac:dyDescent="0.35">
      <c r="A399" s="18" t="s">
        <v>424</v>
      </c>
      <c r="B399" s="19" t="str">
        <f>CONCATENATE("SIZE ",(SUM(E400:E410)),"/",AX389,"  POWER ",(SUM(G400:G410)))</f>
        <v>SIZE 35/35  POWER 34</v>
      </c>
      <c r="AU399" s="2"/>
      <c r="AV399" s="2"/>
      <c r="AW399" s="2"/>
      <c r="AX399" s="2"/>
      <c r="AY399" s="2"/>
      <c r="AZ399" s="2"/>
      <c r="BA399" s="14"/>
      <c r="BB399" s="14"/>
      <c r="BC399" s="2"/>
      <c r="BD399" s="2"/>
    </row>
    <row r="400" spans="1:56" outlineLevel="1" x14ac:dyDescent="0.35">
      <c r="A400" t="s">
        <v>386</v>
      </c>
      <c r="B400" t="str" cm="1">
        <f t="array" ref="B400">VLOOKUP($A400,Table_ship_components[],COLUMN(B:B),0)</f>
        <v>good corvette warfare assistance</v>
      </c>
      <c r="D400" cm="1">
        <f t="array" ref="D400">VLOOKUP($A400,Table_ship_components[],COLUMN(D:D),0)</f>
        <v>6</v>
      </c>
      <c r="E400" cm="1">
        <f t="array" ref="E400">ROUND(VLOOKUP($A400,Table_ship_components[],COLUMN(D:D),0)+(V400*C400),0)</f>
        <v>6</v>
      </c>
      <c r="F400" cm="1">
        <f t="array" ref="F400">VLOOKUP($A400,Table_ship_components[],COLUMN(F:F),0)</f>
        <v>6</v>
      </c>
      <c r="G400" cm="1">
        <f t="array" ref="G400">ROUND(VLOOKUP($A400,Table_ship_components[],COLUMN(G:G),0)+(X400*C400),0)</f>
        <v>6</v>
      </c>
      <c r="H400" cm="1">
        <f t="array" ref="H400">VLOOKUP($A400,Table_ship_components[],COLUMN(H:H),0)</f>
        <v>0</v>
      </c>
      <c r="I400" cm="1">
        <f t="array" ref="I400">VLOOKUP($A400,Table_ship_components[],COLUMN(I:I),0)</f>
        <v>0</v>
      </c>
      <c r="J400" cm="1">
        <f t="array" ref="J400">VLOOKUP($A400,Table_ship_components[],COLUMN(J:J),0)</f>
        <v>0</v>
      </c>
      <c r="K400" cm="1">
        <f t="array" ref="K400">VLOOKUP($A400,Table_ship_components[],COLUMN(K:K),0)</f>
        <v>0</v>
      </c>
      <c r="L400" cm="1">
        <f t="array" ref="L400">VLOOKUP($A400,Table_ship_components[],COLUMN(L:L),0)</f>
        <v>0</v>
      </c>
      <c r="M400" cm="1">
        <f t="array" ref="M400">VLOOKUP($A400,Table_ship_components[],COLUMN(M:M),0)</f>
        <v>0</v>
      </c>
      <c r="N400" cm="1">
        <f t="array" ref="N400">VLOOKUP($A400,Table_ship_components[],COLUMN(N:N),0)</f>
        <v>0</v>
      </c>
      <c r="O400" cm="1">
        <f t="array" ref="O400">VLOOKUP($A400,Table_ship_components[],COLUMN(O:O),0)</f>
        <v>1</v>
      </c>
      <c r="P400" cm="1">
        <f t="array" ref="P400">VLOOKUP($A400,Table_ship_components[],COLUMN(P:P),0)</f>
        <v>0</v>
      </c>
      <c r="Q400" cm="1">
        <f t="array" ref="Q400">VLOOKUP($A400,Table_ship_components[],COLUMN(Q:Q),0)</f>
        <v>0</v>
      </c>
      <c r="R400" cm="1">
        <f t="array" ref="R400">VLOOKUP($A400,Table_ship_components[],COLUMN(R:R),0)</f>
        <v>0</v>
      </c>
      <c r="S400" cm="1">
        <f t="array" ref="S400">VLOOKUP($A400,Table_ship_components[],COLUMN(S:S),0)</f>
        <v>0</v>
      </c>
      <c r="T400" cm="1">
        <f t="array" ref="T400">VLOOKUP($A400,Table_ship_components[],COLUMN(T:T),0)</f>
        <v>0</v>
      </c>
      <c r="U400" cm="1">
        <f t="array" ref="U400">VLOOKUP($A400,Table_ship_components[],COLUMN(U:U),0)</f>
        <v>0</v>
      </c>
      <c r="V400" cm="1">
        <f t="array" ref="V400">VLOOKUP($A400,Table_ship_components[],COLUMN(V:V),0)</f>
        <v>0</v>
      </c>
      <c r="W400" s="15" cm="1">
        <f t="array" ref="W400">VLOOKUP($A400,Table_ship_components[],COLUMN(W:W),0)</f>
        <v>0</v>
      </c>
      <c r="X400" cm="1">
        <f t="array" ref="X400">VLOOKUP($A400,Table_ship_components[],COLUMN(X:X),0)</f>
        <v>0</v>
      </c>
      <c r="Y400" cm="1">
        <f t="array" ref="Y400">VLOOKUP($A400,Table_ship_components[],COLUMN(Y:Y),0)</f>
        <v>0</v>
      </c>
      <c r="Z400" cm="1">
        <f t="array" ref="Z400">VLOOKUP($A400,Table_ship_components[],COLUMN(Z:Z),0)</f>
        <v>0</v>
      </c>
      <c r="AA400" cm="1">
        <f t="array" ref="AA400">VLOOKUP($A400,Table_ship_components[],COLUMN(AA:AA),0)*C400</f>
        <v>0</v>
      </c>
      <c r="AB400">
        <f t="shared" ref="AB400:AB409" si="31">IF(A400="CARGOSPACE_0-ALL_0-UNIVERSAL",C400,0)</f>
        <v>0</v>
      </c>
      <c r="AC400" cm="1">
        <f t="array" ref="AC400">VLOOKUP($A400,Table_ship_components[],COLUMN(AC:AC),0)*C400</f>
        <v>0</v>
      </c>
      <c r="AD400" cm="1">
        <f t="array" ref="AD400">VLOOKUP($A400,Table_ship_components[],COLUMN(AD:AD),0)</f>
        <v>0</v>
      </c>
      <c r="AE400" cm="1">
        <f t="array" ref="AE400">VLOOKUP($A400,Table_ship_components[],COLUMN(AE:AE),0)</f>
        <v>0</v>
      </c>
      <c r="AF400" cm="1">
        <f t="array" ref="AF400">VLOOKUP($A400,Table_ship_components[],COLUMN(AF:AF),0)</f>
        <v>0</v>
      </c>
      <c r="AG400" cm="1">
        <f t="array" ref="AG400">VLOOKUP($A400,Table_ship_components[],COLUMN(AG:AG),0)</f>
        <v>0</v>
      </c>
      <c r="AH400" cm="1">
        <f t="array" ref="AH400">VLOOKUP($A400,Table_ship_components[],COLUMN(AH:AH),0)</f>
        <v>0</v>
      </c>
      <c r="AI400" cm="1">
        <f t="array" ref="AI400">VLOOKUP($A400,Table_ship_components[],COLUMN(AI:AI),0)</f>
        <v>0</v>
      </c>
      <c r="AJ400" cm="1">
        <f t="array" ref="AJ400">VLOOKUP($A400,Table_ship_components[],COLUMN(AJ:AJ),0)</f>
        <v>0</v>
      </c>
      <c r="AK400" cm="1">
        <f t="array" ref="AK400">VLOOKUP($A400,Table_ship_components[],COLUMN(AK:AK),0)</f>
        <v>0</v>
      </c>
      <c r="AL400" cm="1">
        <f t="array" ref="AL400">VLOOKUP($A400,Table_ship_components[],COLUMN(AL:AL),0)</f>
        <v>0</v>
      </c>
      <c r="AM400" cm="1">
        <f t="array" ref="AM400">VLOOKUP($A400,Table_ship_components[],COLUMN(AM:AM),0)</f>
        <v>0</v>
      </c>
      <c r="AN400" cm="1">
        <f t="array" ref="AN400">VLOOKUP($A400,Table_ship_components[],COLUMN(AN:AN),0)</f>
        <v>0</v>
      </c>
      <c r="AO400" cm="1">
        <f t="array" ref="AO400">VLOOKUP($A400,Table_ship_components[],COLUMN(AO:AO),0)</f>
        <v>0</v>
      </c>
      <c r="AP400" cm="1">
        <f t="array" ref="AP400">VLOOKUP($A400,Table_ship_components[],COLUMN(AP:AP),0)</f>
        <v>0</v>
      </c>
      <c r="AQ400" cm="1">
        <f t="array" ref="AQ400">VLOOKUP($A400,Table_ship_components[],COLUMN(AQ:AQ),0)</f>
        <v>0</v>
      </c>
      <c r="AR400" cm="1">
        <f t="array" ref="AR400">VLOOKUP($A400,Table_ship_components[],COLUMN(AR:AR),0)</f>
        <v>0</v>
      </c>
      <c r="AS400" cm="1">
        <f t="array" ref="AS400">VLOOKUP($A400,Table_ship_components[],COLUMN(AS:AS),0)</f>
        <v>0</v>
      </c>
      <c r="AT400" cm="1">
        <f t="array" ref="AT400">VLOOKUP($A400,Table_ship_components[],COLUMN(AT:AT),0)</f>
        <v>0</v>
      </c>
      <c r="AU400" s="2" cm="1">
        <f t="array" ref="AU400">VLOOKUP($A400,Table_ship_components[],COLUMN(AU:AU),0)</f>
        <v>1</v>
      </c>
      <c r="AV400" s="2" cm="1">
        <f t="array" ref="AV400">VLOOKUP($A400,Table_ship_components[],COLUMN(AV:AV),0)</f>
        <v>0</v>
      </c>
      <c r="AW400" s="2" cm="1">
        <f t="array" ref="AW400">VLOOKUP($A400,Table_ship_components[],COLUMN(AW:AW),0)</f>
        <v>0</v>
      </c>
      <c r="AX400" s="2" cm="1">
        <f t="array" ref="AX400">VLOOKUP($A400,Table_ship_components[],COLUMN(AX:AX),0)</f>
        <v>0</v>
      </c>
      <c r="AY400" s="2" cm="1">
        <f t="array" ref="AY400">VLOOKUP($A400,Table_ship_components[],COLUMN(AY:AY),0)</f>
        <v>0</v>
      </c>
      <c r="AZ400" s="2" t="str" cm="1">
        <f t="array" ref="AZ400">VLOOKUP($A400,Table_ship_components[],COLUMN(AZ:AZ),0)</f>
        <v>C</v>
      </c>
      <c r="BA400" s="14" cm="1">
        <f t="array" ref="BA400">VLOOKUP($A400,Table_ship_components[],COLUMN(BA:BA),0)</f>
        <v>480000</v>
      </c>
      <c r="BB400" s="14" cm="1">
        <f t="array" ref="BB400">(VLOOKUP($A400,Table_ship_components[],COLUMN(BA:BA),0)+(W400*C400))</f>
        <v>480000</v>
      </c>
      <c r="BC400" s="2" cm="1">
        <f t="array" ref="BC400">VLOOKUP($A400,Table_ship_components[],COLUMN(BC:BC),0)</f>
        <v>0</v>
      </c>
      <c r="BD400" s="2" cm="1">
        <f t="array" ref="BD400">VLOOKUP($A400,Table_ship_components[],COLUMN(BD:BD),0)</f>
        <v>0</v>
      </c>
    </row>
    <row r="401" spans="1:56" outlineLevel="1" x14ac:dyDescent="0.35">
      <c r="A401" t="s">
        <v>372</v>
      </c>
      <c r="B401" t="str" cm="1">
        <f t="array" ref="B401">VLOOKUP($A401,Table_ship_components[],COLUMN(B:B),0)</f>
        <v>basic corvette radar</v>
      </c>
      <c r="D401" cm="1">
        <f t="array" ref="D401">VLOOKUP($A401,Table_ship_components[],COLUMN(D:D),0)</f>
        <v>4</v>
      </c>
      <c r="E401" cm="1">
        <f t="array" ref="E401">ROUND(VLOOKUP($A401,Table_ship_components[],COLUMN(D:D),0)+(V401*C401),0)</f>
        <v>4</v>
      </c>
      <c r="F401" cm="1">
        <f t="array" ref="F401">VLOOKUP($A401,Table_ship_components[],COLUMN(F:F),0)</f>
        <v>5</v>
      </c>
      <c r="G401" cm="1">
        <f t="array" ref="G401">ROUND(VLOOKUP($A401,Table_ship_components[],COLUMN(G:G),0)+(X401*C401),0)</f>
        <v>5</v>
      </c>
      <c r="H401" cm="1">
        <f t="array" ref="H401">VLOOKUP($A401,Table_ship_components[],COLUMN(H:H),0)</f>
        <v>0</v>
      </c>
      <c r="I401" cm="1">
        <f t="array" ref="I401">VLOOKUP($A401,Table_ship_components[],COLUMN(I:I),0)</f>
        <v>0</v>
      </c>
      <c r="J401" cm="1">
        <f t="array" ref="J401">VLOOKUP($A401,Table_ship_components[],COLUMN(J:J),0)</f>
        <v>0</v>
      </c>
      <c r="K401" cm="1">
        <f t="array" ref="K401">VLOOKUP($A401,Table_ship_components[],COLUMN(K:K),0)</f>
        <v>0</v>
      </c>
      <c r="L401" cm="1">
        <f t="array" ref="L401">VLOOKUP($A401,Table_ship_components[],COLUMN(L:L),0)</f>
        <v>0</v>
      </c>
      <c r="M401" cm="1">
        <f t="array" ref="M401">VLOOKUP($A401,Table_ship_components[],COLUMN(M:M),0)</f>
        <v>0</v>
      </c>
      <c r="N401" cm="1">
        <f t="array" ref="N401">VLOOKUP($A401,Table_ship_components[],COLUMN(N:N),0)</f>
        <v>0</v>
      </c>
      <c r="O401" cm="1">
        <f t="array" ref="O401">VLOOKUP($A401,Table_ship_components[],COLUMN(O:O),0)</f>
        <v>1</v>
      </c>
      <c r="P401" cm="1">
        <f t="array" ref="P401">VLOOKUP($A401,Table_ship_components[],COLUMN(P:P),0)</f>
        <v>0</v>
      </c>
      <c r="Q401" cm="1">
        <f t="array" ref="Q401">VLOOKUP($A401,Table_ship_components[],COLUMN(Q:Q),0)</f>
        <v>0</v>
      </c>
      <c r="R401" cm="1">
        <f t="array" ref="R401">VLOOKUP($A401,Table_ship_components[],COLUMN(R:R),0)</f>
        <v>0</v>
      </c>
      <c r="S401" cm="1">
        <f t="array" ref="S401">VLOOKUP($A401,Table_ship_components[],COLUMN(S:S),0)</f>
        <v>0</v>
      </c>
      <c r="T401" cm="1">
        <f t="array" ref="T401">VLOOKUP($A401,Table_ship_components[],COLUMN(T:T),0)</f>
        <v>0</v>
      </c>
      <c r="U401" cm="1">
        <f t="array" ref="U401">VLOOKUP($A401,Table_ship_components[],COLUMN(U:U),0)</f>
        <v>0</v>
      </c>
      <c r="V401" cm="1">
        <f t="array" ref="V401">VLOOKUP($A401,Table_ship_components[],COLUMN(V:V),0)</f>
        <v>0</v>
      </c>
      <c r="W401" s="15" cm="1">
        <f t="array" ref="W401">VLOOKUP($A401,Table_ship_components[],COLUMN(W:W),0)</f>
        <v>0</v>
      </c>
      <c r="X401" cm="1">
        <f t="array" ref="X401">VLOOKUP($A401,Table_ship_components[],COLUMN(X:X),0)</f>
        <v>0</v>
      </c>
      <c r="Y401" cm="1">
        <f t="array" ref="Y401">VLOOKUP($A401,Table_ship_components[],COLUMN(Y:Y),0)</f>
        <v>0</v>
      </c>
      <c r="Z401" cm="1">
        <f t="array" ref="Z401">VLOOKUP($A401,Table_ship_components[],COLUMN(Z:Z),0)</f>
        <v>0</v>
      </c>
      <c r="AA401" cm="1">
        <f t="array" ref="AA401">VLOOKUP($A401,Table_ship_components[],COLUMN(AA:AA),0)*C401</f>
        <v>0</v>
      </c>
      <c r="AB401">
        <f t="shared" si="31"/>
        <v>0</v>
      </c>
      <c r="AC401" cm="1">
        <f t="array" ref="AC401">VLOOKUP($A401,Table_ship_components[],COLUMN(AC:AC),0)*C401</f>
        <v>0</v>
      </c>
      <c r="AD401" cm="1">
        <f t="array" ref="AD401">VLOOKUP($A401,Table_ship_components[],COLUMN(AD:AD),0)</f>
        <v>0</v>
      </c>
      <c r="AE401" cm="1">
        <f t="array" ref="AE401">VLOOKUP($A401,Table_ship_components[],COLUMN(AE:AE),0)</f>
        <v>0</v>
      </c>
      <c r="AF401" cm="1">
        <f t="array" ref="AF401">VLOOKUP($A401,Table_ship_components[],COLUMN(AF:AF),0)</f>
        <v>0</v>
      </c>
      <c r="AG401" cm="1">
        <f t="array" ref="AG401">VLOOKUP($A401,Table_ship_components[],COLUMN(AG:AG),0)</f>
        <v>0</v>
      </c>
      <c r="AH401" cm="1">
        <f t="array" ref="AH401">VLOOKUP($A401,Table_ship_components[],COLUMN(AH:AH),0)</f>
        <v>100</v>
      </c>
      <c r="AI401" cm="1">
        <f t="array" ref="AI401">VLOOKUP($A401,Table_ship_components[],COLUMN(AI:AI),0)</f>
        <v>1000</v>
      </c>
      <c r="AJ401" cm="1">
        <f t="array" ref="AJ401">VLOOKUP($A401,Table_ship_components[],COLUMN(AJ:AJ),0)</f>
        <v>10000</v>
      </c>
      <c r="AK401" cm="1">
        <f t="array" ref="AK401">VLOOKUP($A401,Table_ship_components[],COLUMN(AK:AK),0)</f>
        <v>0</v>
      </c>
      <c r="AL401" cm="1">
        <f t="array" ref="AL401">VLOOKUP($A401,Table_ship_components[],COLUMN(AL:AL),0)</f>
        <v>0</v>
      </c>
      <c r="AM401" cm="1">
        <f t="array" ref="AM401">VLOOKUP($A401,Table_ship_components[],COLUMN(AM:AM),0)</f>
        <v>0</v>
      </c>
      <c r="AN401" cm="1">
        <f t="array" ref="AN401">VLOOKUP($A401,Table_ship_components[],COLUMN(AN:AN),0)</f>
        <v>0</v>
      </c>
      <c r="AO401" cm="1">
        <f t="array" ref="AO401">VLOOKUP($A401,Table_ship_components[],COLUMN(AO:AO),0)</f>
        <v>0</v>
      </c>
      <c r="AP401" cm="1">
        <f t="array" ref="AP401">VLOOKUP($A401,Table_ship_components[],COLUMN(AP:AP),0)</f>
        <v>0</v>
      </c>
      <c r="AQ401" cm="1">
        <f t="array" ref="AQ401">VLOOKUP($A401,Table_ship_components[],COLUMN(AQ:AQ),0)</f>
        <v>0</v>
      </c>
      <c r="AR401" cm="1">
        <f t="array" ref="AR401">VLOOKUP($A401,Table_ship_components[],COLUMN(AR:AR),0)</f>
        <v>0</v>
      </c>
      <c r="AS401" cm="1">
        <f t="array" ref="AS401">VLOOKUP($A401,Table_ship_components[],COLUMN(AS:AS),0)</f>
        <v>-1</v>
      </c>
      <c r="AT401" cm="1">
        <f t="array" ref="AT401">VLOOKUP($A401,Table_ship_components[],COLUMN(AT:AT),0)</f>
        <v>0</v>
      </c>
      <c r="AU401" s="2" cm="1">
        <f t="array" ref="AU401">VLOOKUP($A401,Table_ship_components[],COLUMN(AU:AU),0)</f>
        <v>0</v>
      </c>
      <c r="AV401" s="2" cm="1">
        <f t="array" ref="AV401">VLOOKUP($A401,Table_ship_components[],COLUMN(AV:AV),0)</f>
        <v>0</v>
      </c>
      <c r="AW401" s="2" cm="1">
        <f t="array" ref="AW401">VLOOKUP($A401,Table_ship_components[],COLUMN(AW:AW),0)</f>
        <v>0</v>
      </c>
      <c r="AX401" s="2" cm="1">
        <f t="array" ref="AX401">VLOOKUP($A401,Table_ship_components[],COLUMN(AX:AX),0)</f>
        <v>0</v>
      </c>
      <c r="AY401" s="2" cm="1">
        <f t="array" ref="AY401">VLOOKUP($A401,Table_ship_components[],COLUMN(AY:AY),0)</f>
        <v>0</v>
      </c>
      <c r="AZ401" s="2" t="str" cm="1">
        <f t="array" ref="AZ401">VLOOKUP($A401,Table_ship_components[],COLUMN(AZ:AZ),0)</f>
        <v>C</v>
      </c>
      <c r="BA401" s="14" cm="1">
        <f t="array" ref="BA401">VLOOKUP($A401,Table_ship_components[],COLUMN(BA:BA),0)</f>
        <v>450000</v>
      </c>
      <c r="BB401" s="14" cm="1">
        <f t="array" ref="BB401">(VLOOKUP($A401,Table_ship_components[],COLUMN(BA:BA),0)+(W401*C401))</f>
        <v>450000</v>
      </c>
      <c r="BC401" s="2" cm="1">
        <f t="array" ref="BC401">VLOOKUP($A401,Table_ship_components[],COLUMN(BC:BC),0)</f>
        <v>0</v>
      </c>
      <c r="BD401" s="2" cm="1">
        <f t="array" ref="BD401">VLOOKUP($A401,Table_ship_components[],COLUMN(BD:BD),0)</f>
        <v>0</v>
      </c>
    </row>
    <row r="402" spans="1:56" outlineLevel="1" x14ac:dyDescent="0.35">
      <c r="A402" t="s">
        <v>358</v>
      </c>
      <c r="B402" t="str" cm="1">
        <f t="array" ref="B402">VLOOKUP($A402,Table_ship_components[],COLUMN(B:B),0)</f>
        <v>average corvette hull</v>
      </c>
      <c r="D402" cm="1">
        <f t="array" ref="D402">VLOOKUP($A402,Table_ship_components[],COLUMN(D:D),0)</f>
        <v>0</v>
      </c>
      <c r="E402" cm="1">
        <f t="array" ref="E402">ROUND(VLOOKUP($A402,Table_ship_components[],COLUMN(D:D),0)+(V402*C402),0)</f>
        <v>0</v>
      </c>
      <c r="F402" cm="1">
        <f t="array" ref="F402">VLOOKUP($A402,Table_ship_components[],COLUMN(F:F),0)</f>
        <v>0</v>
      </c>
      <c r="G402" cm="1">
        <f t="array" ref="G402">ROUND(VLOOKUP($A402,Table_ship_components[],COLUMN(G:G),0)+(X402*C402),0)</f>
        <v>0</v>
      </c>
      <c r="H402" cm="1">
        <f t="array" ref="H402">VLOOKUP($A402,Table_ship_components[],COLUMN(H:H),0)</f>
        <v>0</v>
      </c>
      <c r="I402" cm="1">
        <f t="array" ref="I402">VLOOKUP($A402,Table_ship_components[],COLUMN(I:I),0)</f>
        <v>0</v>
      </c>
      <c r="J402" cm="1">
        <f t="array" ref="J402">VLOOKUP($A402,Table_ship_components[],COLUMN(J:J),0)</f>
        <v>0</v>
      </c>
      <c r="K402" cm="1">
        <f t="array" ref="K402">VLOOKUP($A402,Table_ship_components[],COLUMN(K:K),0)</f>
        <v>0</v>
      </c>
      <c r="L402" cm="1">
        <f t="array" ref="L402">VLOOKUP($A402,Table_ship_components[],COLUMN(L:L),0)</f>
        <v>0</v>
      </c>
      <c r="M402" cm="1">
        <f t="array" ref="M402">VLOOKUP($A402,Table_ship_components[],COLUMN(M:M),0)</f>
        <v>0</v>
      </c>
      <c r="N402" cm="1">
        <f t="array" ref="N402">VLOOKUP($A402,Table_ship_components[],COLUMN(N:N),0)</f>
        <v>0</v>
      </c>
      <c r="O402" cm="1">
        <f t="array" ref="O402">VLOOKUP($A402,Table_ship_components[],COLUMN(O:O),0)</f>
        <v>1</v>
      </c>
      <c r="P402" cm="1">
        <f t="array" ref="P402">VLOOKUP($A402,Table_ship_components[],COLUMN(P:P),0)</f>
        <v>0</v>
      </c>
      <c r="Q402" cm="1">
        <f t="array" ref="Q402">VLOOKUP($A402,Table_ship_components[],COLUMN(Q:Q),0)</f>
        <v>0</v>
      </c>
      <c r="R402" cm="1">
        <f t="array" ref="R402">VLOOKUP($A402,Table_ship_components[],COLUMN(R:R),0)</f>
        <v>0</v>
      </c>
      <c r="S402" cm="1">
        <f t="array" ref="S402">VLOOKUP($A402,Table_ship_components[],COLUMN(S:S),0)</f>
        <v>0</v>
      </c>
      <c r="T402" cm="1">
        <f t="array" ref="T402">VLOOKUP($A402,Table_ship_components[],COLUMN(T:T),0)</f>
        <v>0</v>
      </c>
      <c r="U402" cm="1">
        <f t="array" ref="U402">VLOOKUP($A402,Table_ship_components[],COLUMN(U:U),0)</f>
        <v>0</v>
      </c>
      <c r="V402" cm="1">
        <f t="array" ref="V402">VLOOKUP($A402,Table_ship_components[],COLUMN(V:V),0)</f>
        <v>0</v>
      </c>
      <c r="W402" s="15" cm="1">
        <f t="array" ref="W402">VLOOKUP($A402,Table_ship_components[],COLUMN(W:W),0)</f>
        <v>0</v>
      </c>
      <c r="X402" cm="1">
        <f t="array" ref="X402">VLOOKUP($A402,Table_ship_components[],COLUMN(X:X),0)</f>
        <v>0</v>
      </c>
      <c r="Y402" cm="1">
        <f t="array" ref="Y402">VLOOKUP($A402,Table_ship_components[],COLUMN(Y:Y),0)</f>
        <v>0</v>
      </c>
      <c r="Z402" cm="1">
        <f t="array" ref="Z402">VLOOKUP($A402,Table_ship_components[],COLUMN(Z:Z),0)</f>
        <v>0</v>
      </c>
      <c r="AA402" cm="1">
        <f t="array" ref="AA402">VLOOKUP($A402,Table_ship_components[],COLUMN(AA:AA),0)*C402</f>
        <v>0</v>
      </c>
      <c r="AB402">
        <f t="shared" si="31"/>
        <v>0</v>
      </c>
      <c r="AC402" cm="1">
        <f t="array" ref="AC402">VLOOKUP($A402,Table_ship_components[],COLUMN(AC:AC),0)*C402</f>
        <v>0</v>
      </c>
      <c r="AD402" cm="1">
        <f t="array" ref="AD402">VLOOKUP($A402,Table_ship_components[],COLUMN(AD:AD),0)</f>
        <v>0</v>
      </c>
      <c r="AE402" cm="1">
        <f t="array" ref="AE402">VLOOKUP($A402,Table_ship_components[],COLUMN(AE:AE),0)</f>
        <v>0</v>
      </c>
      <c r="AF402" cm="1">
        <f t="array" ref="AF402">VLOOKUP($A402,Table_ship_components[],COLUMN(AF:AF),0)</f>
        <v>0</v>
      </c>
      <c r="AG402" cm="1">
        <f t="array" ref="AG402">VLOOKUP($A402,Table_ship_components[],COLUMN(AG:AG),0)</f>
        <v>0</v>
      </c>
      <c r="AH402" cm="1">
        <f t="array" ref="AH402">VLOOKUP($A402,Table_ship_components[],COLUMN(AH:AH),0)</f>
        <v>0</v>
      </c>
      <c r="AI402" cm="1">
        <f t="array" ref="AI402">VLOOKUP($A402,Table_ship_components[],COLUMN(AI:AI),0)</f>
        <v>0</v>
      </c>
      <c r="AJ402" cm="1">
        <f t="array" ref="AJ402">VLOOKUP($A402,Table_ship_components[],COLUMN(AJ:AJ),0)</f>
        <v>0</v>
      </c>
      <c r="AK402" cm="1">
        <f t="array" ref="AK402">VLOOKUP($A402,Table_ship_components[],COLUMN(AK:AK),0)</f>
        <v>0</v>
      </c>
      <c r="AL402" cm="1">
        <f t="array" ref="AL402">VLOOKUP($A402,Table_ship_components[],COLUMN(AL:AL),0)</f>
        <v>0</v>
      </c>
      <c r="AM402" cm="1">
        <f t="array" ref="AM402">VLOOKUP($A402,Table_ship_components[],COLUMN(AM:AM),0)</f>
        <v>0</v>
      </c>
      <c r="AN402" cm="1">
        <f t="array" ref="AN402">VLOOKUP($A402,Table_ship_components[],COLUMN(AN:AN),0)</f>
        <v>0</v>
      </c>
      <c r="AO402" cm="1">
        <f t="array" ref="AO402">VLOOKUP($A402,Table_ship_components[],COLUMN(AO:AO),0)</f>
        <v>0</v>
      </c>
      <c r="AP402" cm="1">
        <f t="array" ref="AP402">VLOOKUP($A402,Table_ship_components[],COLUMN(AP:AP),0)</f>
        <v>0</v>
      </c>
      <c r="AQ402" cm="1">
        <f t="array" ref="AQ402">VLOOKUP($A402,Table_ship_components[],COLUMN(AQ:AQ),0)</f>
        <v>0</v>
      </c>
      <c r="AR402" cm="1">
        <f t="array" ref="AR402">VLOOKUP($A402,Table_ship_components[],COLUMN(AR:AR),0)</f>
        <v>0</v>
      </c>
      <c r="AS402" cm="1">
        <f t="array" ref="AS402">VLOOKUP($A402,Table_ship_components[],COLUMN(AS:AS),0)</f>
        <v>0</v>
      </c>
      <c r="AT402" cm="1">
        <f t="array" ref="AT402">VLOOKUP($A402,Table_ship_components[],COLUMN(AT:AT),0)</f>
        <v>0</v>
      </c>
      <c r="AU402" s="2" cm="1">
        <f t="array" ref="AU402">VLOOKUP($A402,Table_ship_components[],COLUMN(AU:AU),0)</f>
        <v>0</v>
      </c>
      <c r="AV402" s="2" cm="1">
        <f t="array" ref="AV402">VLOOKUP($A402,Table_ship_components[],COLUMN(AV:AV),0)</f>
        <v>0</v>
      </c>
      <c r="AW402" s="2" cm="1">
        <f t="array" ref="AW402">VLOOKUP($A402,Table_ship_components[],COLUMN(AW:AW),0)</f>
        <v>0</v>
      </c>
      <c r="AX402" s="2" cm="1">
        <f t="array" ref="AX402">VLOOKUP($A402,Table_ship_components[],COLUMN(AX:AX),0)</f>
        <v>0</v>
      </c>
      <c r="AY402" s="2" cm="1">
        <f t="array" ref="AY402">VLOOKUP($A402,Table_ship_components[],COLUMN(AY:AY),0)</f>
        <v>0</v>
      </c>
      <c r="AZ402" s="2" t="str" cm="1">
        <f t="array" ref="AZ402">VLOOKUP($A402,Table_ship_components[],COLUMN(AZ:AZ),0)</f>
        <v>C</v>
      </c>
      <c r="BA402" s="14" cm="1">
        <f t="array" ref="BA402">VLOOKUP($A402,Table_ship_components[],COLUMN(BA:BA),0)</f>
        <v>1000000</v>
      </c>
      <c r="BB402" s="14" cm="1">
        <f t="array" ref="BB402">(VLOOKUP($A402,Table_ship_components[],COLUMN(BA:BA),0)+(W402*C402))</f>
        <v>1000000</v>
      </c>
      <c r="BC402" s="2" cm="1">
        <f t="array" ref="BC402">VLOOKUP($A402,Table_ship_components[],COLUMN(BC:BC),0)</f>
        <v>0</v>
      </c>
      <c r="BD402" s="2" cm="1">
        <f t="array" ref="BD402">VLOOKUP($A402,Table_ship_components[],COLUMN(BD:BD),0)</f>
        <v>0</v>
      </c>
    </row>
    <row r="403" spans="1:56" outlineLevel="1" x14ac:dyDescent="0.35">
      <c r="A403" t="s">
        <v>315</v>
      </c>
      <c r="B403" t="str" cm="1">
        <f t="array" ref="B403">VLOOKUP($A403,Table_ship_components[],COLUMN(B:B),0)</f>
        <v>cargo space (1 HUGE item per unit)</v>
      </c>
      <c r="C403" s="2">
        <v>1</v>
      </c>
      <c r="D403" cm="1">
        <f t="array" ref="D403">VLOOKUP($A403,Table_ship_components[],COLUMN(D:D),0)</f>
        <v>0</v>
      </c>
      <c r="E403" cm="1">
        <f t="array" ref="E403">ROUND(VLOOKUP($A403,Table_ship_components[],COLUMN(D:D),0)+(V403*C403),0)</f>
        <v>1</v>
      </c>
      <c r="F403" cm="1">
        <f t="array" ref="F403">VLOOKUP($A403,Table_ship_components[],COLUMN(F:F),0)</f>
        <v>0</v>
      </c>
      <c r="G403" cm="1">
        <f t="array" ref="G403">ROUND(VLOOKUP($A403,Table_ship_components[],COLUMN(G:G),0)+(X403*C403),0)</f>
        <v>0</v>
      </c>
      <c r="H403" cm="1">
        <f t="array" ref="H403">VLOOKUP($A403,Table_ship_components[],COLUMN(H:H),0)</f>
        <v>0</v>
      </c>
      <c r="I403" cm="1">
        <f t="array" ref="I403">VLOOKUP($A403,Table_ship_components[],COLUMN(I:I),0)</f>
        <v>0</v>
      </c>
      <c r="J403" cm="1">
        <f t="array" ref="J403">VLOOKUP($A403,Table_ship_components[],COLUMN(J:J),0)</f>
        <v>0</v>
      </c>
      <c r="K403" cm="1">
        <f t="array" ref="K403">VLOOKUP($A403,Table_ship_components[],COLUMN(K:K),0)</f>
        <v>0</v>
      </c>
      <c r="L403" cm="1">
        <f t="array" ref="L403">VLOOKUP($A403,Table_ship_components[],COLUMN(L:L),0)</f>
        <v>0</v>
      </c>
      <c r="M403" cm="1">
        <f t="array" ref="M403">VLOOKUP($A403,Table_ship_components[],COLUMN(M:M),0)</f>
        <v>0</v>
      </c>
      <c r="N403" cm="1">
        <f t="array" ref="N403">VLOOKUP($A403,Table_ship_components[],COLUMN(N:N),0)</f>
        <v>1</v>
      </c>
      <c r="O403" cm="1">
        <f t="array" ref="O403">VLOOKUP($A403,Table_ship_components[],COLUMN(O:O),0)</f>
        <v>1</v>
      </c>
      <c r="P403" cm="1">
        <f t="array" ref="P403">VLOOKUP($A403,Table_ship_components[],COLUMN(P:P),0)</f>
        <v>1</v>
      </c>
      <c r="Q403" cm="1">
        <f t="array" ref="Q403">VLOOKUP($A403,Table_ship_components[],COLUMN(Q:Q),0)</f>
        <v>1</v>
      </c>
      <c r="R403" cm="1">
        <f t="array" ref="R403">VLOOKUP($A403,Table_ship_components[],COLUMN(R:R),0)</f>
        <v>1</v>
      </c>
      <c r="S403" cm="1">
        <f t="array" ref="S403">VLOOKUP($A403,Table_ship_components[],COLUMN(S:S),0)</f>
        <v>1</v>
      </c>
      <c r="T403" cm="1">
        <f t="array" ref="T403">VLOOKUP($A403,Table_ship_components[],COLUMN(T:T),0)</f>
        <v>1</v>
      </c>
      <c r="U403" cm="1">
        <f t="array" ref="U403">VLOOKUP($A403,Table_ship_components[],COLUMN(U:U),0)</f>
        <v>1</v>
      </c>
      <c r="V403" cm="1">
        <f t="array" ref="V403">VLOOKUP($A403,Table_ship_components[],COLUMN(V:V),0)</f>
        <v>1</v>
      </c>
      <c r="W403" s="15" cm="1">
        <f t="array" ref="W403">VLOOKUP($A403,Table_ship_components[],COLUMN(W:W),0)</f>
        <v>5000</v>
      </c>
      <c r="X403" cm="1">
        <f t="array" ref="X403">VLOOKUP($A403,Table_ship_components[],COLUMN(X:X),0)</f>
        <v>0</v>
      </c>
      <c r="Y403" cm="1">
        <f t="array" ref="Y403">VLOOKUP($A403,Table_ship_components[],COLUMN(Y:Y),0)</f>
        <v>0</v>
      </c>
      <c r="Z403" cm="1">
        <f t="array" ref="Z403">VLOOKUP($A403,Table_ship_components[],COLUMN(Z:Z),0)</f>
        <v>0</v>
      </c>
      <c r="AA403" cm="1">
        <f t="array" ref="AA403">VLOOKUP($A403,Table_ship_components[],COLUMN(AA:AA),0)*C403</f>
        <v>0</v>
      </c>
      <c r="AB403">
        <f t="shared" si="31"/>
        <v>1</v>
      </c>
      <c r="AC403" cm="1">
        <f t="array" ref="AC403">VLOOKUP($A403,Table_ship_components[],COLUMN(AC:AC),0)*C403</f>
        <v>0</v>
      </c>
      <c r="AD403" cm="1">
        <f t="array" ref="AD403">VLOOKUP($A403,Table_ship_components[],COLUMN(AD:AD),0)</f>
        <v>0</v>
      </c>
      <c r="AE403" cm="1">
        <f t="array" ref="AE403">VLOOKUP($A403,Table_ship_components[],COLUMN(AE:AE),0)</f>
        <v>0</v>
      </c>
      <c r="AF403" cm="1">
        <f t="array" ref="AF403">VLOOKUP($A403,Table_ship_components[],COLUMN(AF:AF),0)</f>
        <v>0</v>
      </c>
      <c r="AG403" cm="1">
        <f t="array" ref="AG403">VLOOKUP($A403,Table_ship_components[],COLUMN(AG:AG),0)</f>
        <v>0</v>
      </c>
      <c r="AH403" cm="1">
        <f t="array" ref="AH403">VLOOKUP($A403,Table_ship_components[],COLUMN(AH:AH),0)</f>
        <v>0</v>
      </c>
      <c r="AI403" cm="1">
        <f t="array" ref="AI403">VLOOKUP($A403,Table_ship_components[],COLUMN(AI:AI),0)</f>
        <v>0</v>
      </c>
      <c r="AJ403" cm="1">
        <f t="array" ref="AJ403">VLOOKUP($A403,Table_ship_components[],COLUMN(AJ:AJ),0)</f>
        <v>0</v>
      </c>
      <c r="AK403" cm="1">
        <f t="array" ref="AK403">VLOOKUP($A403,Table_ship_components[],COLUMN(AK:AK),0)</f>
        <v>0</v>
      </c>
      <c r="AL403" cm="1">
        <f t="array" ref="AL403">VLOOKUP($A403,Table_ship_components[],COLUMN(AL:AL),0)</f>
        <v>0</v>
      </c>
      <c r="AM403" cm="1">
        <f t="array" ref="AM403">VLOOKUP($A403,Table_ship_components[],COLUMN(AM:AM),0)</f>
        <v>0</v>
      </c>
      <c r="AN403" cm="1">
        <f t="array" ref="AN403">VLOOKUP($A403,Table_ship_components[],COLUMN(AN:AN),0)</f>
        <v>0</v>
      </c>
      <c r="AO403" cm="1">
        <f t="array" ref="AO403">VLOOKUP($A403,Table_ship_components[],COLUMN(AO:AO),0)</f>
        <v>0</v>
      </c>
      <c r="AP403" cm="1">
        <f t="array" ref="AP403">VLOOKUP($A403,Table_ship_components[],COLUMN(AP:AP),0)</f>
        <v>0</v>
      </c>
      <c r="AQ403" cm="1">
        <f t="array" ref="AQ403">VLOOKUP($A403,Table_ship_components[],COLUMN(AQ:AQ),0)</f>
        <v>0</v>
      </c>
      <c r="AR403" cm="1">
        <f t="array" ref="AR403">VLOOKUP($A403,Table_ship_components[],COLUMN(AR:AR),0)</f>
        <v>0</v>
      </c>
      <c r="AS403" cm="1">
        <f t="array" ref="AS403">VLOOKUP($A403,Table_ship_components[],COLUMN(AS:AS),0)</f>
        <v>0</v>
      </c>
      <c r="AT403" cm="1">
        <f t="array" ref="AT403">VLOOKUP($A403,Table_ship_components[],COLUMN(AT:AT),0)</f>
        <v>0</v>
      </c>
      <c r="AU403" s="2" cm="1">
        <f t="array" ref="AU403">VLOOKUP($A403,Table_ship_components[],COLUMN(AU:AU),0)</f>
        <v>0</v>
      </c>
      <c r="AV403" s="2" cm="1">
        <f t="array" ref="AV403">VLOOKUP($A403,Table_ship_components[],COLUMN(AV:AV),0)</f>
        <v>0</v>
      </c>
      <c r="AW403" s="2" cm="1">
        <f t="array" ref="AW403">VLOOKUP($A403,Table_ship_components[],COLUMN(AW:AW),0)</f>
        <v>0</v>
      </c>
      <c r="AX403" s="2" cm="1">
        <f t="array" ref="AX403">VLOOKUP($A403,Table_ship_components[],COLUMN(AX:AX),0)</f>
        <v>0</v>
      </c>
      <c r="AY403" s="2" cm="1">
        <f t="array" ref="AY403">VLOOKUP($A403,Table_ship_components[],COLUMN(AY:AY),0)</f>
        <v>0</v>
      </c>
      <c r="AZ403" s="2" t="str" cm="1">
        <f t="array" ref="AZ403">VLOOKUP($A403,Table_ship_components[],COLUMN(AZ:AZ),0)</f>
        <v>C</v>
      </c>
      <c r="BA403" s="14" cm="1">
        <f t="array" ref="BA403">VLOOKUP($A403,Table_ship_components[],COLUMN(BA:BA),0)</f>
        <v>5000</v>
      </c>
      <c r="BB403" s="14" cm="1">
        <f t="array" ref="BB403">(VLOOKUP($A403,Table_ship_components[],COLUMN(BA:BA),0)+(W403*C403))</f>
        <v>10000</v>
      </c>
      <c r="BC403" s="2" cm="1">
        <f t="array" ref="BC403">VLOOKUP($A403,Table_ship_components[],COLUMN(BC:BC),0)</f>
        <v>0</v>
      </c>
      <c r="BD403" s="2" cm="1">
        <f t="array" ref="BD403">VLOOKUP($A403,Table_ship_components[],COLUMN(BD:BD),0)</f>
        <v>0</v>
      </c>
    </row>
    <row r="404" spans="1:56" outlineLevel="1" x14ac:dyDescent="0.35">
      <c r="A404" t="s">
        <v>348</v>
      </c>
      <c r="B404" t="str" cm="1">
        <f t="array" ref="B404">VLOOKUP($A404,Table_ship_components[],COLUMN(B:B),0)</f>
        <v>basic automation of crew functions</v>
      </c>
      <c r="D404" cm="1">
        <f t="array" ref="D404">VLOOKUP($A404,Table_ship_components[],COLUMN(D:D),0)</f>
        <v>2</v>
      </c>
      <c r="E404" cm="1">
        <f t="array" ref="E404">ROUND(VLOOKUP($A404,Table_ship_components[],COLUMN(D:D),0)+(V404*C404),0)</f>
        <v>2</v>
      </c>
      <c r="F404" cm="1">
        <f t="array" ref="F404">VLOOKUP($A404,Table_ship_components[],COLUMN(F:F),0)</f>
        <v>3</v>
      </c>
      <c r="G404" cm="1">
        <f t="array" ref="G404">ROUND(VLOOKUP($A404,Table_ship_components[],COLUMN(G:G),0)+(X404*C404),0)</f>
        <v>3</v>
      </c>
      <c r="H404" cm="1">
        <f t="array" ref="H404">VLOOKUP($A404,Table_ship_components[],COLUMN(H:H),0)</f>
        <v>0</v>
      </c>
      <c r="I404" cm="1">
        <f t="array" ref="I404">VLOOKUP($A404,Table_ship_components[],COLUMN(I:I),0)</f>
        <v>0</v>
      </c>
      <c r="J404" cm="1">
        <f t="array" ref="J404">VLOOKUP($A404,Table_ship_components[],COLUMN(J:J),0)</f>
        <v>0</v>
      </c>
      <c r="K404" cm="1">
        <f t="array" ref="K404">VLOOKUP($A404,Table_ship_components[],COLUMN(K:K),0)</f>
        <v>0</v>
      </c>
      <c r="L404" cm="1">
        <f t="array" ref="L404">VLOOKUP($A404,Table_ship_components[],COLUMN(L:L),0)</f>
        <v>0</v>
      </c>
      <c r="M404" cm="1">
        <f t="array" ref="M404">VLOOKUP($A404,Table_ship_components[],COLUMN(M:M),0)</f>
        <v>0</v>
      </c>
      <c r="N404" cm="1">
        <f t="array" ref="N404">VLOOKUP($A404,Table_ship_components[],COLUMN(N:N),0)</f>
        <v>0</v>
      </c>
      <c r="O404" cm="1">
        <f t="array" ref="O404">VLOOKUP($A404,Table_ship_components[],COLUMN(O:O),0)</f>
        <v>1</v>
      </c>
      <c r="P404" cm="1">
        <f t="array" ref="P404">VLOOKUP($A404,Table_ship_components[],COLUMN(P:P),0)</f>
        <v>0</v>
      </c>
      <c r="Q404" cm="1">
        <f t="array" ref="Q404">VLOOKUP($A404,Table_ship_components[],COLUMN(Q:Q),0)</f>
        <v>0</v>
      </c>
      <c r="R404" cm="1">
        <f t="array" ref="R404">VLOOKUP($A404,Table_ship_components[],COLUMN(R:R),0)</f>
        <v>0</v>
      </c>
      <c r="S404" cm="1">
        <f t="array" ref="S404">VLOOKUP($A404,Table_ship_components[],COLUMN(S:S),0)</f>
        <v>0</v>
      </c>
      <c r="T404" cm="1">
        <f t="array" ref="T404">VLOOKUP($A404,Table_ship_components[],COLUMN(T:T),0)</f>
        <v>0</v>
      </c>
      <c r="U404" cm="1">
        <f t="array" ref="U404">VLOOKUP($A404,Table_ship_components[],COLUMN(U:U),0)</f>
        <v>0</v>
      </c>
      <c r="V404" cm="1">
        <f t="array" ref="V404">VLOOKUP($A404,Table_ship_components[],COLUMN(V:V),0)</f>
        <v>0</v>
      </c>
      <c r="W404" s="15" cm="1">
        <f t="array" ref="W404">VLOOKUP($A404,Table_ship_components[],COLUMN(W:W),0)</f>
        <v>0</v>
      </c>
      <c r="X404" cm="1">
        <f t="array" ref="X404">VLOOKUP($A404,Table_ship_components[],COLUMN(X:X),0)</f>
        <v>0</v>
      </c>
      <c r="Y404" cm="1">
        <f t="array" ref="Y404">VLOOKUP($A404,Table_ship_components[],COLUMN(Y:Y),0)</f>
        <v>3</v>
      </c>
      <c r="Z404" cm="1">
        <f t="array" ref="Z404">VLOOKUP($A404,Table_ship_components[],COLUMN(Z:Z),0)</f>
        <v>6</v>
      </c>
      <c r="AA404" cm="1">
        <f t="array" ref="AA404">VLOOKUP($A404,Table_ship_components[],COLUMN(AA:AA),0)*C404</f>
        <v>0</v>
      </c>
      <c r="AB404">
        <f t="shared" si="31"/>
        <v>0</v>
      </c>
      <c r="AC404" cm="1">
        <f t="array" ref="AC404">VLOOKUP($A404,Table_ship_components[],COLUMN(AC:AC),0)*C404</f>
        <v>0</v>
      </c>
      <c r="AD404" cm="1">
        <f t="array" ref="AD404">VLOOKUP($A404,Table_ship_components[],COLUMN(AD:AD),0)</f>
        <v>0</v>
      </c>
      <c r="AE404" cm="1">
        <f t="array" ref="AE404">VLOOKUP($A404,Table_ship_components[],COLUMN(AE:AE),0)</f>
        <v>0</v>
      </c>
      <c r="AF404" cm="1">
        <f t="array" ref="AF404">VLOOKUP($A404,Table_ship_components[],COLUMN(AF:AF),0)</f>
        <v>0</v>
      </c>
      <c r="AG404" cm="1">
        <f t="array" ref="AG404">VLOOKUP($A404,Table_ship_components[],COLUMN(AG:AG),0)</f>
        <v>0</v>
      </c>
      <c r="AH404" cm="1">
        <f t="array" ref="AH404">VLOOKUP($A404,Table_ship_components[],COLUMN(AH:AH),0)</f>
        <v>0</v>
      </c>
      <c r="AI404" cm="1">
        <f t="array" ref="AI404">VLOOKUP($A404,Table_ship_components[],COLUMN(AI:AI),0)</f>
        <v>0</v>
      </c>
      <c r="AJ404" cm="1">
        <f t="array" ref="AJ404">VLOOKUP($A404,Table_ship_components[],COLUMN(AJ:AJ),0)</f>
        <v>0</v>
      </c>
      <c r="AK404" cm="1">
        <f t="array" ref="AK404">VLOOKUP($A404,Table_ship_components[],COLUMN(AK:AK),0)</f>
        <v>0</v>
      </c>
      <c r="AL404" cm="1">
        <f t="array" ref="AL404">VLOOKUP($A404,Table_ship_components[],COLUMN(AL:AL),0)</f>
        <v>0</v>
      </c>
      <c r="AM404" cm="1">
        <f t="array" ref="AM404">VLOOKUP($A404,Table_ship_components[],COLUMN(AM:AM),0)</f>
        <v>0</v>
      </c>
      <c r="AN404" cm="1">
        <f t="array" ref="AN404">VLOOKUP($A404,Table_ship_components[],COLUMN(AN:AN),0)</f>
        <v>0</v>
      </c>
      <c r="AO404" cm="1">
        <f t="array" ref="AO404">VLOOKUP($A404,Table_ship_components[],COLUMN(AO:AO),0)</f>
        <v>0</v>
      </c>
      <c r="AP404" cm="1">
        <f t="array" ref="AP404">VLOOKUP($A404,Table_ship_components[],COLUMN(AP:AP),0)</f>
        <v>0</v>
      </c>
      <c r="AQ404" cm="1">
        <f t="array" ref="AQ404">VLOOKUP($A404,Table_ship_components[],COLUMN(AQ:AQ),0)</f>
        <v>0</v>
      </c>
      <c r="AR404" cm="1">
        <f t="array" ref="AR404">VLOOKUP($A404,Table_ship_components[],COLUMN(AR:AR),0)</f>
        <v>0</v>
      </c>
      <c r="AS404" cm="1">
        <f t="array" ref="AS404">VLOOKUP($A404,Table_ship_components[],COLUMN(AS:AS),0)</f>
        <v>0</v>
      </c>
      <c r="AT404" cm="1">
        <f t="array" ref="AT404">VLOOKUP($A404,Table_ship_components[],COLUMN(AT:AT),0)</f>
        <v>0</v>
      </c>
      <c r="AU404" s="2" cm="1">
        <f t="array" ref="AU404">VLOOKUP($A404,Table_ship_components[],COLUMN(AU:AU),0)</f>
        <v>0</v>
      </c>
      <c r="AV404" s="2" cm="1">
        <f t="array" ref="AV404">VLOOKUP($A404,Table_ship_components[],COLUMN(AV:AV),0)</f>
        <v>0</v>
      </c>
      <c r="AW404" s="2" cm="1">
        <f t="array" ref="AW404">VLOOKUP($A404,Table_ship_components[],COLUMN(AW:AW),0)</f>
        <v>0</v>
      </c>
      <c r="AX404" s="2" cm="1">
        <f t="array" ref="AX404">VLOOKUP($A404,Table_ship_components[],COLUMN(AX:AX),0)</f>
        <v>0</v>
      </c>
      <c r="AY404" s="2" cm="1">
        <f t="array" ref="AY404">VLOOKUP($A404,Table_ship_components[],COLUMN(AY:AY),0)</f>
        <v>0</v>
      </c>
      <c r="AZ404" s="2" t="str" cm="1">
        <f t="array" ref="AZ404">VLOOKUP($A404,Table_ship_components[],COLUMN(AZ:AZ),0)</f>
        <v>C</v>
      </c>
      <c r="BA404" s="14" cm="1">
        <f t="array" ref="BA404">VLOOKUP($A404,Table_ship_components[],COLUMN(BA:BA),0)</f>
        <v>40000</v>
      </c>
      <c r="BB404" s="14" cm="1">
        <f t="array" ref="BB404">(VLOOKUP($A404,Table_ship_components[],COLUMN(BA:BA),0)+(W404*C404))</f>
        <v>40000</v>
      </c>
      <c r="BC404" s="2" cm="1">
        <f t="array" ref="BC404">VLOOKUP($A404,Table_ship_components[],COLUMN(BC:BC),0)</f>
        <v>0</v>
      </c>
      <c r="BD404" s="2" cm="1">
        <f t="array" ref="BD404">VLOOKUP($A404,Table_ship_components[],COLUMN(BD:BD),0)</f>
        <v>0</v>
      </c>
    </row>
    <row r="405" spans="1:56" outlineLevel="1" x14ac:dyDescent="0.35">
      <c r="A405" t="s">
        <v>345</v>
      </c>
      <c r="B405" t="str" cm="1">
        <f t="array" ref="B405">VLOOKUP($A405,Table_ship_components[],COLUMN(B:B),0)</f>
        <v>barebones command bridge</v>
      </c>
      <c r="D405" cm="1">
        <f t="array" ref="D405">VLOOKUP($A405,Table_ship_components[],COLUMN(D:D),0)</f>
        <v>4</v>
      </c>
      <c r="E405" cm="1">
        <f t="array" ref="E405">ROUND(VLOOKUP($A405,Table_ship_components[],COLUMN(D:D),0)+(V405*C405),0)</f>
        <v>4</v>
      </c>
      <c r="F405" cm="1">
        <f t="array" ref="F405">VLOOKUP($A405,Table_ship_components[],COLUMN(F:F),0)</f>
        <v>4</v>
      </c>
      <c r="G405" cm="1">
        <f t="array" ref="G405">ROUND(VLOOKUP($A405,Table_ship_components[],COLUMN(G:G),0)+(X405*C405),0)</f>
        <v>4</v>
      </c>
      <c r="H405" cm="1">
        <f t="array" ref="H405">VLOOKUP($A405,Table_ship_components[],COLUMN(H:H),0)</f>
        <v>0</v>
      </c>
      <c r="I405" cm="1">
        <f t="array" ref="I405">VLOOKUP($A405,Table_ship_components[],COLUMN(I:I),0)</f>
        <v>0</v>
      </c>
      <c r="J405" cm="1">
        <f t="array" ref="J405">VLOOKUP($A405,Table_ship_components[],COLUMN(J:J),0)</f>
        <v>0</v>
      </c>
      <c r="K405" cm="1">
        <f t="array" ref="K405">VLOOKUP($A405,Table_ship_components[],COLUMN(K:K),0)</f>
        <v>0</v>
      </c>
      <c r="L405" cm="1">
        <f t="array" ref="L405">VLOOKUP($A405,Table_ship_components[],COLUMN(L:L),0)</f>
        <v>0</v>
      </c>
      <c r="M405" cm="1">
        <f t="array" ref="M405">VLOOKUP($A405,Table_ship_components[],COLUMN(M:M),0)</f>
        <v>0</v>
      </c>
      <c r="N405" cm="1">
        <f t="array" ref="N405">VLOOKUP($A405,Table_ship_components[],COLUMN(N:N),0)</f>
        <v>0</v>
      </c>
      <c r="O405" cm="1">
        <f t="array" ref="O405">VLOOKUP($A405,Table_ship_components[],COLUMN(O:O),0)</f>
        <v>1</v>
      </c>
      <c r="P405" cm="1">
        <f t="array" ref="P405">VLOOKUP($A405,Table_ship_components[],COLUMN(P:P),0)</f>
        <v>0</v>
      </c>
      <c r="Q405" cm="1">
        <f t="array" ref="Q405">VLOOKUP($A405,Table_ship_components[],COLUMN(Q:Q),0)</f>
        <v>0</v>
      </c>
      <c r="R405" cm="1">
        <f t="array" ref="R405">VLOOKUP($A405,Table_ship_components[],COLUMN(R:R),0)</f>
        <v>0</v>
      </c>
      <c r="S405" cm="1">
        <f t="array" ref="S405">VLOOKUP($A405,Table_ship_components[],COLUMN(S:S),0)</f>
        <v>0</v>
      </c>
      <c r="T405" cm="1">
        <f t="array" ref="T405">VLOOKUP($A405,Table_ship_components[],COLUMN(T:T),0)</f>
        <v>0</v>
      </c>
      <c r="U405" cm="1">
        <f t="array" ref="U405">VLOOKUP($A405,Table_ship_components[],COLUMN(U:U),0)</f>
        <v>0</v>
      </c>
      <c r="V405" cm="1">
        <f t="array" ref="V405">VLOOKUP($A405,Table_ship_components[],COLUMN(V:V),0)</f>
        <v>0</v>
      </c>
      <c r="W405" s="15" cm="1">
        <f t="array" ref="W405">VLOOKUP($A405,Table_ship_components[],COLUMN(W:W),0)</f>
        <v>0</v>
      </c>
      <c r="X405" cm="1">
        <f t="array" ref="X405">VLOOKUP($A405,Table_ship_components[],COLUMN(X:X),0)</f>
        <v>0</v>
      </c>
      <c r="Y405" cm="1">
        <f t="array" ref="Y405">VLOOKUP($A405,Table_ship_components[],COLUMN(Y:Y),0)</f>
        <v>0</v>
      </c>
      <c r="Z405" cm="1">
        <f t="array" ref="Z405">VLOOKUP($A405,Table_ship_components[],COLUMN(Z:Z),0)</f>
        <v>0</v>
      </c>
      <c r="AA405" cm="1">
        <f t="array" ref="AA405">VLOOKUP($A405,Table_ship_components[],COLUMN(AA:AA),0)*C405</f>
        <v>0</v>
      </c>
      <c r="AB405">
        <f t="shared" si="31"/>
        <v>0</v>
      </c>
      <c r="AC405" cm="1">
        <f t="array" ref="AC405">VLOOKUP($A405,Table_ship_components[],COLUMN(AC:AC),0)*C405</f>
        <v>0</v>
      </c>
      <c r="AD405" cm="1">
        <f t="array" ref="AD405">VLOOKUP($A405,Table_ship_components[],COLUMN(AD:AD),0)</f>
        <v>0</v>
      </c>
      <c r="AE405" cm="1">
        <f t="array" ref="AE405">VLOOKUP($A405,Table_ship_components[],COLUMN(AE:AE),0)</f>
        <v>0</v>
      </c>
      <c r="AF405" cm="1">
        <f t="array" ref="AF405">VLOOKUP($A405,Table_ship_components[],COLUMN(AF:AF),0)</f>
        <v>0</v>
      </c>
      <c r="AG405" cm="1">
        <f t="array" ref="AG405">VLOOKUP($A405,Table_ship_components[],COLUMN(AG:AG),0)</f>
        <v>0</v>
      </c>
      <c r="AH405" cm="1">
        <f t="array" ref="AH405">VLOOKUP($A405,Table_ship_components[],COLUMN(AH:AH),0)</f>
        <v>0</v>
      </c>
      <c r="AI405" cm="1">
        <f t="array" ref="AI405">VLOOKUP($A405,Table_ship_components[],COLUMN(AI:AI),0)</f>
        <v>0</v>
      </c>
      <c r="AJ405" cm="1">
        <f t="array" ref="AJ405">VLOOKUP($A405,Table_ship_components[],COLUMN(AJ:AJ),0)</f>
        <v>0</v>
      </c>
      <c r="AK405" cm="1">
        <f t="array" ref="AK405">VLOOKUP($A405,Table_ship_components[],COLUMN(AK:AK),0)</f>
        <v>0</v>
      </c>
      <c r="AL405" cm="1">
        <f t="array" ref="AL405">VLOOKUP($A405,Table_ship_components[],COLUMN(AL:AL),0)</f>
        <v>0</v>
      </c>
      <c r="AM405" cm="1">
        <f t="array" ref="AM405">VLOOKUP($A405,Table_ship_components[],COLUMN(AM:AM),0)</f>
        <v>0</v>
      </c>
      <c r="AN405" cm="1">
        <f t="array" ref="AN405">VLOOKUP($A405,Table_ship_components[],COLUMN(AN:AN),0)</f>
        <v>0</v>
      </c>
      <c r="AO405" cm="1">
        <f t="array" ref="AO405">VLOOKUP($A405,Table_ship_components[],COLUMN(AO:AO),0)</f>
        <v>0</v>
      </c>
      <c r="AP405" cm="1">
        <f t="array" ref="AP405">VLOOKUP($A405,Table_ship_components[],COLUMN(AP:AP),0)</f>
        <v>0</v>
      </c>
      <c r="AQ405" cm="1">
        <f t="array" ref="AQ405">VLOOKUP($A405,Table_ship_components[],COLUMN(AQ:AQ),0)</f>
        <v>-1</v>
      </c>
      <c r="AR405" cm="1">
        <f t="array" ref="AR405">VLOOKUP($A405,Table_ship_components[],COLUMN(AR:AR),0)</f>
        <v>0</v>
      </c>
      <c r="AS405" cm="1">
        <f t="array" ref="AS405">VLOOKUP($A405,Table_ship_components[],COLUMN(AS:AS),0)</f>
        <v>0</v>
      </c>
      <c r="AT405" cm="1">
        <f t="array" ref="AT405">VLOOKUP($A405,Table_ship_components[],COLUMN(AT:AT),0)</f>
        <v>0</v>
      </c>
      <c r="AU405" s="2" cm="1">
        <f t="array" ref="AU405">VLOOKUP($A405,Table_ship_components[],COLUMN(AU:AU),0)</f>
        <v>0</v>
      </c>
      <c r="AV405" s="2" cm="1">
        <f t="array" ref="AV405">VLOOKUP($A405,Table_ship_components[],COLUMN(AV:AV),0)</f>
        <v>0</v>
      </c>
      <c r="AW405" s="2" cm="1">
        <f t="array" ref="AW405">VLOOKUP($A405,Table_ship_components[],COLUMN(AW:AW),0)</f>
        <v>0</v>
      </c>
      <c r="AX405" s="2" cm="1">
        <f t="array" ref="AX405">VLOOKUP($A405,Table_ship_components[],COLUMN(AX:AX),0)</f>
        <v>0</v>
      </c>
      <c r="AY405" s="2" cm="1">
        <f t="array" ref="AY405">VLOOKUP($A405,Table_ship_components[],COLUMN(AY:AY),0)</f>
        <v>0</v>
      </c>
      <c r="AZ405" s="2" t="str" cm="1">
        <f t="array" ref="AZ405">VLOOKUP($A405,Table_ship_components[],COLUMN(AZ:AZ),0)</f>
        <v>C</v>
      </c>
      <c r="BA405" s="14" cm="1">
        <f t="array" ref="BA405">VLOOKUP($A405,Table_ship_components[],COLUMN(BA:BA),0)</f>
        <v>125000</v>
      </c>
      <c r="BB405" s="14" cm="1">
        <f t="array" ref="BB405">(VLOOKUP($A405,Table_ship_components[],COLUMN(BA:BA),0)+(W405*C405))</f>
        <v>125000</v>
      </c>
      <c r="BC405" s="2" cm="1">
        <f t="array" ref="BC405">VLOOKUP($A405,Table_ship_components[],COLUMN(BC:BC),0)</f>
        <v>0</v>
      </c>
      <c r="BD405" s="2" cm="1">
        <f t="array" ref="BD405">VLOOKUP($A405,Table_ship_components[],COLUMN(BD:BD),0)</f>
        <v>0</v>
      </c>
    </row>
    <row r="406" spans="1:56" outlineLevel="1" x14ac:dyDescent="0.35">
      <c r="A406" t="s">
        <v>288</v>
      </c>
      <c r="B406" t="str" cm="1">
        <f t="array" ref="B406">VLOOKUP($A406,Table_ship_components[],COLUMN(B:B),0)</f>
        <v>PICK A COMPONENT</v>
      </c>
      <c r="D406" cm="1">
        <f t="array" ref="D406">VLOOKUP($A406,Table_ship_components[],COLUMN(D:D),0)</f>
        <v>0</v>
      </c>
      <c r="E406" cm="1">
        <f t="array" ref="E406">ROUND(VLOOKUP($A406,Table_ship_components[],COLUMN(D:D),0)+(V406*C406),0)</f>
        <v>0</v>
      </c>
      <c r="F406" cm="1">
        <f t="array" ref="F406">VLOOKUP($A406,Table_ship_components[],COLUMN(F:F),0)</f>
        <v>0</v>
      </c>
      <c r="G406" cm="1">
        <f t="array" ref="G406">ROUND(VLOOKUP($A406,Table_ship_components[],COLUMN(G:G),0)+(X406*C406),0)</f>
        <v>0</v>
      </c>
      <c r="H406" cm="1">
        <f t="array" ref="H406">VLOOKUP($A406,Table_ship_components[],COLUMN(H:H),0)</f>
        <v>0</v>
      </c>
      <c r="I406" cm="1">
        <f t="array" ref="I406">VLOOKUP($A406,Table_ship_components[],COLUMN(I:I),0)</f>
        <v>0</v>
      </c>
      <c r="J406" cm="1">
        <f t="array" ref="J406">VLOOKUP($A406,Table_ship_components[],COLUMN(J:J),0)</f>
        <v>0</v>
      </c>
      <c r="K406" cm="1">
        <f t="array" ref="K406">VLOOKUP($A406,Table_ship_components[],COLUMN(K:K),0)</f>
        <v>0</v>
      </c>
      <c r="L406" cm="1">
        <f t="array" ref="L406">VLOOKUP($A406,Table_ship_components[],COLUMN(L:L),0)</f>
        <v>0</v>
      </c>
      <c r="M406" cm="1">
        <f t="array" ref="M406">VLOOKUP($A406,Table_ship_components[],COLUMN(M:M),0)</f>
        <v>0</v>
      </c>
      <c r="N406" cm="1">
        <f t="array" ref="N406">VLOOKUP($A406,Table_ship_components[],COLUMN(N:N),0)</f>
        <v>0</v>
      </c>
      <c r="O406" cm="1">
        <f t="array" ref="O406">VLOOKUP($A406,Table_ship_components[],COLUMN(O:O),0)</f>
        <v>0</v>
      </c>
      <c r="P406" cm="1">
        <f t="array" ref="P406">VLOOKUP($A406,Table_ship_components[],COLUMN(P:P),0)</f>
        <v>0</v>
      </c>
      <c r="Q406" cm="1">
        <f t="array" ref="Q406">VLOOKUP($A406,Table_ship_components[],COLUMN(Q:Q),0)</f>
        <v>0</v>
      </c>
      <c r="R406" cm="1">
        <f t="array" ref="R406">VLOOKUP($A406,Table_ship_components[],COLUMN(R:R),0)</f>
        <v>0</v>
      </c>
      <c r="S406" cm="1">
        <f t="array" ref="S406">VLOOKUP($A406,Table_ship_components[],COLUMN(S:S),0)</f>
        <v>0</v>
      </c>
      <c r="T406" cm="1">
        <f t="array" ref="T406">VLOOKUP($A406,Table_ship_components[],COLUMN(T:T),0)</f>
        <v>0</v>
      </c>
      <c r="U406" cm="1">
        <f t="array" ref="U406">VLOOKUP($A406,Table_ship_components[],COLUMN(U:U),0)</f>
        <v>0</v>
      </c>
      <c r="V406" cm="1">
        <f t="array" ref="V406">VLOOKUP($A406,Table_ship_components[],COLUMN(V:V),0)</f>
        <v>0</v>
      </c>
      <c r="W406" s="15" cm="1">
        <f t="array" ref="W406">VLOOKUP($A406,Table_ship_components[],COLUMN(W:W),0)</f>
        <v>0</v>
      </c>
      <c r="X406" cm="1">
        <f t="array" ref="X406">VLOOKUP($A406,Table_ship_components[],COLUMN(X:X),0)</f>
        <v>0</v>
      </c>
      <c r="Y406" cm="1">
        <f t="array" ref="Y406">VLOOKUP($A406,Table_ship_components[],COLUMN(Y:Y),0)</f>
        <v>0</v>
      </c>
      <c r="Z406" cm="1">
        <f t="array" ref="Z406">VLOOKUP($A406,Table_ship_components[],COLUMN(Z:Z),0)</f>
        <v>0</v>
      </c>
      <c r="AA406" cm="1">
        <f t="array" ref="AA406">VLOOKUP($A406,Table_ship_components[],COLUMN(AA:AA),0)*C406</f>
        <v>0</v>
      </c>
      <c r="AB406">
        <f t="shared" si="31"/>
        <v>0</v>
      </c>
      <c r="AC406" cm="1">
        <f t="array" ref="AC406">VLOOKUP($A406,Table_ship_components[],COLUMN(AC:AC),0)*C406</f>
        <v>0</v>
      </c>
      <c r="AD406" cm="1">
        <f t="array" ref="AD406">VLOOKUP($A406,Table_ship_components[],COLUMN(AD:AD),0)</f>
        <v>0</v>
      </c>
      <c r="AE406" cm="1">
        <f t="array" ref="AE406">VLOOKUP($A406,Table_ship_components[],COLUMN(AE:AE),0)</f>
        <v>0</v>
      </c>
      <c r="AF406" cm="1">
        <f t="array" ref="AF406">VLOOKUP($A406,Table_ship_components[],COLUMN(AF:AF),0)</f>
        <v>0</v>
      </c>
      <c r="AG406" cm="1">
        <f t="array" ref="AG406">VLOOKUP($A406,Table_ship_components[],COLUMN(AG:AG),0)</f>
        <v>0</v>
      </c>
      <c r="AH406" cm="1">
        <f t="array" ref="AH406">VLOOKUP($A406,Table_ship_components[],COLUMN(AH:AH),0)</f>
        <v>0</v>
      </c>
      <c r="AI406" cm="1">
        <f t="array" ref="AI406">VLOOKUP($A406,Table_ship_components[],COLUMN(AI:AI),0)</f>
        <v>0</v>
      </c>
      <c r="AJ406" cm="1">
        <f t="array" ref="AJ406">VLOOKUP($A406,Table_ship_components[],COLUMN(AJ:AJ),0)</f>
        <v>0</v>
      </c>
      <c r="AK406" cm="1">
        <f t="array" ref="AK406">VLOOKUP($A406,Table_ship_components[],COLUMN(AK:AK),0)</f>
        <v>0</v>
      </c>
      <c r="AL406" cm="1">
        <f t="array" ref="AL406">VLOOKUP($A406,Table_ship_components[],COLUMN(AL:AL),0)</f>
        <v>0</v>
      </c>
      <c r="AM406" cm="1">
        <f t="array" ref="AM406">VLOOKUP($A406,Table_ship_components[],COLUMN(AM:AM),0)</f>
        <v>0</v>
      </c>
      <c r="AN406" cm="1">
        <f t="array" ref="AN406">VLOOKUP($A406,Table_ship_components[],COLUMN(AN:AN),0)</f>
        <v>0</v>
      </c>
      <c r="AO406" cm="1">
        <f t="array" ref="AO406">VLOOKUP($A406,Table_ship_components[],COLUMN(AO:AO),0)</f>
        <v>0</v>
      </c>
      <c r="AP406" cm="1">
        <f t="array" ref="AP406">VLOOKUP($A406,Table_ship_components[],COLUMN(AP:AP),0)</f>
        <v>0</v>
      </c>
      <c r="AQ406" cm="1">
        <f t="array" ref="AQ406">VLOOKUP($A406,Table_ship_components[],COLUMN(AQ:AQ),0)</f>
        <v>0</v>
      </c>
      <c r="AR406" cm="1">
        <f t="array" ref="AR406">VLOOKUP($A406,Table_ship_components[],COLUMN(AR:AR),0)</f>
        <v>0</v>
      </c>
      <c r="AS406" cm="1">
        <f t="array" ref="AS406">VLOOKUP($A406,Table_ship_components[],COLUMN(AS:AS),0)</f>
        <v>0</v>
      </c>
      <c r="AT406" cm="1">
        <f t="array" ref="AT406">VLOOKUP($A406,Table_ship_components[],COLUMN(AT:AT),0)</f>
        <v>0</v>
      </c>
      <c r="AU406" s="2" cm="1">
        <f t="array" ref="AU406">VLOOKUP($A406,Table_ship_components[],COLUMN(AU:AU),0)</f>
        <v>0</v>
      </c>
      <c r="AV406" s="2" cm="1">
        <f t="array" ref="AV406">VLOOKUP($A406,Table_ship_components[],COLUMN(AV:AV),0)</f>
        <v>0</v>
      </c>
      <c r="AW406" s="2" cm="1">
        <f t="array" ref="AW406">VLOOKUP($A406,Table_ship_components[],COLUMN(AW:AW),0)</f>
        <v>0</v>
      </c>
      <c r="AX406" s="2" cm="1">
        <f t="array" ref="AX406">VLOOKUP($A406,Table_ship_components[],COLUMN(AX:AX),0)</f>
        <v>0</v>
      </c>
      <c r="AY406" s="2" cm="1">
        <f t="array" ref="AY406">VLOOKUP($A406,Table_ship_components[],COLUMN(AY:AY),0)</f>
        <v>0</v>
      </c>
      <c r="AZ406" s="2" t="str" cm="1">
        <f t="array" ref="AZ406">VLOOKUP($A406,Table_ship_components[],COLUMN(AZ:AZ),0)</f>
        <v>C</v>
      </c>
      <c r="BA406" s="14" cm="1">
        <f t="array" ref="BA406">VLOOKUP($A406,Table_ship_components[],COLUMN(BA:BA),0)</f>
        <v>0</v>
      </c>
      <c r="BB406" s="14" cm="1">
        <f t="array" ref="BB406">(VLOOKUP($A406,Table_ship_components[],COLUMN(BA:BA),0)+(W406*C406))</f>
        <v>0</v>
      </c>
      <c r="BC406" s="2" cm="1">
        <f t="array" ref="BC406">VLOOKUP($A406,Table_ship_components[],COLUMN(BC:BC),0)</f>
        <v>0</v>
      </c>
      <c r="BD406" s="2" cm="1">
        <f t="array" ref="BD406">VLOOKUP($A406,Table_ship_components[],COLUMN(BD:BD),0)</f>
        <v>0</v>
      </c>
    </row>
    <row r="407" spans="1:56" outlineLevel="1" x14ac:dyDescent="0.35">
      <c r="A407" t="s">
        <v>324</v>
      </c>
      <c r="B407" t="str" cm="1">
        <f t="array" ref="B407">VLOOKUP($A407,Table_ship_components[],COLUMN(B:B),0)</f>
        <v>huge fixed weapon mount</v>
      </c>
      <c r="D407" cm="1">
        <f t="array" ref="D407">VLOOKUP($A407,Table_ship_components[],COLUMN(D:D),0)</f>
        <v>5</v>
      </c>
      <c r="E407" cm="1">
        <f t="array" ref="E407">ROUND(VLOOKUP($A407,Table_ship_components[],COLUMN(D:D),0)+(V407*C407),0)</f>
        <v>5</v>
      </c>
      <c r="F407" cm="1">
        <f t="array" ref="F407">VLOOKUP($A407,Table_ship_components[],COLUMN(F:F),0)</f>
        <v>0</v>
      </c>
      <c r="G407" cm="1">
        <f t="array" ref="G407">ROUND(VLOOKUP($A407,Table_ship_components[],COLUMN(G:G),0)+(X407*C407),0)</f>
        <v>0</v>
      </c>
      <c r="H407" cm="1">
        <f t="array" ref="H407">VLOOKUP($A407,Table_ship_components[],COLUMN(H:H),0)</f>
        <v>0</v>
      </c>
      <c r="I407" cm="1">
        <f t="array" ref="I407">VLOOKUP($A407,Table_ship_components[],COLUMN(I:I),0)</f>
        <v>0</v>
      </c>
      <c r="J407" cm="1">
        <f t="array" ref="J407">VLOOKUP($A407,Table_ship_components[],COLUMN(J:J),0)</f>
        <v>0</v>
      </c>
      <c r="K407" cm="1">
        <f t="array" ref="K407">VLOOKUP($A407,Table_ship_components[],COLUMN(K:K),0)</f>
        <v>0</v>
      </c>
      <c r="L407" cm="1">
        <f t="array" ref="L407">VLOOKUP($A407,Table_ship_components[],COLUMN(L:L),0)</f>
        <v>0</v>
      </c>
      <c r="M407" cm="1">
        <f t="array" ref="M407">VLOOKUP($A407,Table_ship_components[],COLUMN(M:M),0)</f>
        <v>0</v>
      </c>
      <c r="N407" cm="1">
        <f t="array" ref="N407">VLOOKUP($A407,Table_ship_components[],COLUMN(N:N),0)</f>
        <v>1</v>
      </c>
      <c r="O407" cm="1">
        <f t="array" ref="O407">VLOOKUP($A407,Table_ship_components[],COLUMN(O:O),0)</f>
        <v>1</v>
      </c>
      <c r="P407" cm="1">
        <f t="array" ref="P407">VLOOKUP($A407,Table_ship_components[],COLUMN(P:P),0)</f>
        <v>1</v>
      </c>
      <c r="Q407" cm="1">
        <f t="array" ref="Q407">VLOOKUP($A407,Table_ship_components[],COLUMN(Q:Q),0)</f>
        <v>1</v>
      </c>
      <c r="R407" cm="1">
        <f t="array" ref="R407">VLOOKUP($A407,Table_ship_components[],COLUMN(R:R),0)</f>
        <v>1</v>
      </c>
      <c r="S407" cm="1">
        <f t="array" ref="S407">VLOOKUP($A407,Table_ship_components[],COLUMN(S:S),0)</f>
        <v>1</v>
      </c>
      <c r="T407" cm="1">
        <f t="array" ref="T407">VLOOKUP($A407,Table_ship_components[],COLUMN(T:T),0)</f>
        <v>1</v>
      </c>
      <c r="U407" cm="1">
        <f t="array" ref="U407">VLOOKUP($A407,Table_ship_components[],COLUMN(U:U),0)</f>
        <v>0</v>
      </c>
      <c r="V407" cm="1">
        <f t="array" ref="V407">VLOOKUP($A407,Table_ship_components[],COLUMN(V:V),0)</f>
        <v>0</v>
      </c>
      <c r="W407" s="15" cm="1">
        <f t="array" ref="W407">VLOOKUP($A407,Table_ship_components[],COLUMN(W:W),0)</f>
        <v>0</v>
      </c>
      <c r="X407" cm="1">
        <f t="array" ref="X407">VLOOKUP($A407,Table_ship_components[],COLUMN(X:X),0)</f>
        <v>0</v>
      </c>
      <c r="Y407" cm="1">
        <f t="array" ref="Y407">VLOOKUP($A407,Table_ship_components[],COLUMN(Y:Y),0)</f>
        <v>0</v>
      </c>
      <c r="Z407" cm="1">
        <f t="array" ref="Z407">VLOOKUP($A407,Table_ship_components[],COLUMN(Z:Z),0)</f>
        <v>0</v>
      </c>
      <c r="AA407" cm="1">
        <f t="array" ref="AA407">VLOOKUP($A407,Table_ship_components[],COLUMN(AA:AA),0)*C407</f>
        <v>0</v>
      </c>
      <c r="AB407">
        <f t="shared" si="31"/>
        <v>0</v>
      </c>
      <c r="AC407" cm="1">
        <f t="array" ref="AC407">VLOOKUP($A407,Table_ship_components[],COLUMN(AC:AC),0)*C407</f>
        <v>0</v>
      </c>
      <c r="AD407" cm="1">
        <f t="array" ref="AD407">VLOOKUP($A407,Table_ship_components[],COLUMN(AD:AD),0)</f>
        <v>0</v>
      </c>
      <c r="AE407" cm="1">
        <f t="array" ref="AE407">VLOOKUP($A407,Table_ship_components[],COLUMN(AE:AE),0)</f>
        <v>0</v>
      </c>
      <c r="AF407" cm="1">
        <f t="array" ref="AF407">VLOOKUP($A407,Table_ship_components[],COLUMN(AF:AF),0)</f>
        <v>0</v>
      </c>
      <c r="AG407" cm="1">
        <f t="array" ref="AG407">VLOOKUP($A407,Table_ship_components[],COLUMN(AG:AG),0)</f>
        <v>0</v>
      </c>
      <c r="AH407" cm="1">
        <f t="array" ref="AH407">VLOOKUP($A407,Table_ship_components[],COLUMN(AH:AH),0)</f>
        <v>0</v>
      </c>
      <c r="AI407" cm="1">
        <f t="array" ref="AI407">VLOOKUP($A407,Table_ship_components[],COLUMN(AI:AI),0)</f>
        <v>0</v>
      </c>
      <c r="AJ407" cm="1">
        <f t="array" ref="AJ407">VLOOKUP($A407,Table_ship_components[],COLUMN(AJ:AJ),0)</f>
        <v>0</v>
      </c>
      <c r="AK407" cm="1">
        <f t="array" ref="AK407">VLOOKUP($A407,Table_ship_components[],COLUMN(AK:AK),0)</f>
        <v>0</v>
      </c>
      <c r="AL407" cm="1">
        <f t="array" ref="AL407">VLOOKUP($A407,Table_ship_components[],COLUMN(AL:AL),0)</f>
        <v>0</v>
      </c>
      <c r="AM407" cm="1">
        <f t="array" ref="AM407">VLOOKUP($A407,Table_ship_components[],COLUMN(AM:AM),0)</f>
        <v>0</v>
      </c>
      <c r="AN407" cm="1">
        <f t="array" ref="AN407">VLOOKUP($A407,Table_ship_components[],COLUMN(AN:AN),0)</f>
        <v>0</v>
      </c>
      <c r="AO407" cm="1">
        <f t="array" ref="AO407">VLOOKUP($A407,Table_ship_components[],COLUMN(AO:AO),0)</f>
        <v>0</v>
      </c>
      <c r="AP407" cm="1">
        <f t="array" ref="AP407">VLOOKUP($A407,Table_ship_components[],COLUMN(AP:AP),0)</f>
        <v>0</v>
      </c>
      <c r="AQ407" cm="1">
        <f t="array" ref="AQ407">VLOOKUP($A407,Table_ship_components[],COLUMN(AQ:AQ),0)</f>
        <v>0</v>
      </c>
      <c r="AR407" cm="1">
        <f t="array" ref="AR407">VLOOKUP($A407,Table_ship_components[],COLUMN(AR:AR),0)</f>
        <v>0</v>
      </c>
      <c r="AS407" cm="1">
        <f t="array" ref="AS407">VLOOKUP($A407,Table_ship_components[],COLUMN(AS:AS),0)</f>
        <v>0</v>
      </c>
      <c r="AT407" cm="1">
        <f t="array" ref="AT407">VLOOKUP($A407,Table_ship_components[],COLUMN(AT:AT),0)</f>
        <v>0</v>
      </c>
      <c r="AU407" s="2" cm="1">
        <f t="array" ref="AU407">VLOOKUP($A407,Table_ship_components[],COLUMN(AU:AU),0)</f>
        <v>0</v>
      </c>
      <c r="AV407" s="2" cm="1">
        <f t="array" ref="AV407">VLOOKUP($A407,Table_ship_components[],COLUMN(AV:AV),0)</f>
        <v>0</v>
      </c>
      <c r="AW407" s="2" cm="1">
        <f t="array" ref="AW407">VLOOKUP($A407,Table_ship_components[],COLUMN(AW:AW),0)</f>
        <v>0</v>
      </c>
      <c r="AX407" s="2" cm="1">
        <f t="array" ref="AX407">VLOOKUP($A407,Table_ship_components[],COLUMN(AX:AX),0)</f>
        <v>0</v>
      </c>
      <c r="AY407" s="2" cm="1">
        <f t="array" ref="AY407">VLOOKUP($A407,Table_ship_components[],COLUMN(AY:AY),0)</f>
        <v>0</v>
      </c>
      <c r="AZ407" s="2" t="str" cm="1">
        <f t="array" ref="AZ407">VLOOKUP($A407,Table_ship_components[],COLUMN(AZ:AZ),0)</f>
        <v>C</v>
      </c>
      <c r="BA407" s="14" cm="1">
        <f t="array" ref="BA407">VLOOKUP($A407,Table_ship_components[],COLUMN(BA:BA),0)</f>
        <v>200000</v>
      </c>
      <c r="BB407" s="14" cm="1">
        <f t="array" ref="BB407">(VLOOKUP($A407,Table_ship_components[],COLUMN(BA:BA),0)+(W407*C407))</f>
        <v>200000</v>
      </c>
      <c r="BC407" s="2" cm="1">
        <f t="array" ref="BC407">VLOOKUP($A407,Table_ship_components[],COLUMN(BC:BC),0)</f>
        <v>0</v>
      </c>
      <c r="BD407" s="2" cm="1">
        <f t="array" ref="BD407">VLOOKUP($A407,Table_ship_components[],COLUMN(BD:BD),0)</f>
        <v>0</v>
      </c>
    </row>
    <row r="408" spans="1:56" outlineLevel="1" x14ac:dyDescent="0.35">
      <c r="A408" t="s">
        <v>351</v>
      </c>
      <c r="B408" t="str" cm="1">
        <f t="array" ref="B408">VLOOKUP($A408,Table_ship_components[],COLUMN(B:B),0)</f>
        <v>basic corvette ecm upgrade</v>
      </c>
      <c r="D408" cm="1">
        <f t="array" ref="D408">VLOOKUP($A408,Table_ship_components[],COLUMN(D:D),0)</f>
        <v>2</v>
      </c>
      <c r="E408" cm="1">
        <f t="array" ref="E408">ROUND(VLOOKUP($A408,Table_ship_components[],COLUMN(D:D),0)+(V408*C408),0)</f>
        <v>2</v>
      </c>
      <c r="F408" cm="1">
        <f t="array" ref="F408">VLOOKUP($A408,Table_ship_components[],COLUMN(F:F),0)</f>
        <v>4</v>
      </c>
      <c r="G408" cm="1">
        <f t="array" ref="G408">ROUND(VLOOKUP($A408,Table_ship_components[],COLUMN(G:G),0)+(X408*C408),0)</f>
        <v>4</v>
      </c>
      <c r="H408" cm="1">
        <f t="array" ref="H408">VLOOKUP($A408,Table_ship_components[],COLUMN(H:H),0)</f>
        <v>0</v>
      </c>
      <c r="I408" cm="1">
        <f t="array" ref="I408">VLOOKUP($A408,Table_ship_components[],COLUMN(I:I),0)</f>
        <v>0</v>
      </c>
      <c r="J408" cm="1">
        <f t="array" ref="J408">VLOOKUP($A408,Table_ship_components[],COLUMN(J:J),0)</f>
        <v>0</v>
      </c>
      <c r="K408" cm="1">
        <f t="array" ref="K408">VLOOKUP($A408,Table_ship_components[],COLUMN(K:K),0)</f>
        <v>0</v>
      </c>
      <c r="L408" cm="1">
        <f t="array" ref="L408">VLOOKUP($A408,Table_ship_components[],COLUMN(L:L),0)</f>
        <v>0</v>
      </c>
      <c r="M408" cm="1">
        <f t="array" ref="M408">VLOOKUP($A408,Table_ship_components[],COLUMN(M:M),0)</f>
        <v>0</v>
      </c>
      <c r="N408" cm="1">
        <f t="array" ref="N408">VLOOKUP($A408,Table_ship_components[],COLUMN(N:N),0)</f>
        <v>0</v>
      </c>
      <c r="O408" cm="1">
        <f t="array" ref="O408">VLOOKUP($A408,Table_ship_components[],COLUMN(O:O),0)</f>
        <v>1</v>
      </c>
      <c r="P408" cm="1">
        <f t="array" ref="P408">VLOOKUP($A408,Table_ship_components[],COLUMN(P:P),0)</f>
        <v>0</v>
      </c>
      <c r="Q408" cm="1">
        <f t="array" ref="Q408">VLOOKUP($A408,Table_ship_components[],COLUMN(Q:Q),0)</f>
        <v>0</v>
      </c>
      <c r="R408" cm="1">
        <f t="array" ref="R408">VLOOKUP($A408,Table_ship_components[],COLUMN(R:R),0)</f>
        <v>0</v>
      </c>
      <c r="S408" cm="1">
        <f t="array" ref="S408">VLOOKUP($A408,Table_ship_components[],COLUMN(S:S),0)</f>
        <v>0</v>
      </c>
      <c r="T408" cm="1">
        <f t="array" ref="T408">VLOOKUP($A408,Table_ship_components[],COLUMN(T:T),0)</f>
        <v>0</v>
      </c>
      <c r="U408" cm="1">
        <f t="array" ref="U408">VLOOKUP($A408,Table_ship_components[],COLUMN(U:U),0)</f>
        <v>0</v>
      </c>
      <c r="V408" cm="1">
        <f t="array" ref="V408">VLOOKUP($A408,Table_ship_components[],COLUMN(V:V),0)</f>
        <v>0</v>
      </c>
      <c r="W408" s="15" cm="1">
        <f t="array" ref="W408">VLOOKUP($A408,Table_ship_components[],COLUMN(W:W),0)</f>
        <v>0</v>
      </c>
      <c r="X408" cm="1">
        <f t="array" ref="X408">VLOOKUP($A408,Table_ship_components[],COLUMN(X:X),0)</f>
        <v>0</v>
      </c>
      <c r="Y408" cm="1">
        <f t="array" ref="Y408">VLOOKUP($A408,Table_ship_components[],COLUMN(Y:Y),0)</f>
        <v>0</v>
      </c>
      <c r="Z408" cm="1">
        <f t="array" ref="Z408">VLOOKUP($A408,Table_ship_components[],COLUMN(Z:Z),0)</f>
        <v>0</v>
      </c>
      <c r="AA408" cm="1">
        <f t="array" ref="AA408">VLOOKUP($A408,Table_ship_components[],COLUMN(AA:AA),0)*C408</f>
        <v>0</v>
      </c>
      <c r="AB408">
        <f t="shared" si="31"/>
        <v>0</v>
      </c>
      <c r="AC408" cm="1">
        <f t="array" ref="AC408">VLOOKUP($A408,Table_ship_components[],COLUMN(AC:AC),0)*C408</f>
        <v>0</v>
      </c>
      <c r="AD408" cm="1">
        <f t="array" ref="AD408">VLOOKUP($A408,Table_ship_components[],COLUMN(AD:AD),0)</f>
        <v>0</v>
      </c>
      <c r="AE408" cm="1">
        <f t="array" ref="AE408">VLOOKUP($A408,Table_ship_components[],COLUMN(AE:AE),0)</f>
        <v>0</v>
      </c>
      <c r="AF408" cm="1">
        <f t="array" ref="AF408">VLOOKUP($A408,Table_ship_components[],COLUMN(AF:AF),0)</f>
        <v>0</v>
      </c>
      <c r="AG408" cm="1">
        <f t="array" ref="AG408">VLOOKUP($A408,Table_ship_components[],COLUMN(AG:AG),0)</f>
        <v>0</v>
      </c>
      <c r="AH408" cm="1">
        <f t="array" ref="AH408">VLOOKUP($A408,Table_ship_components[],COLUMN(AH:AH),0)</f>
        <v>0</v>
      </c>
      <c r="AI408" cm="1">
        <f t="array" ref="AI408">VLOOKUP($A408,Table_ship_components[],COLUMN(AI:AI),0)</f>
        <v>0</v>
      </c>
      <c r="AJ408" cm="1">
        <f t="array" ref="AJ408">VLOOKUP($A408,Table_ship_components[],COLUMN(AJ:AJ),0)</f>
        <v>0</v>
      </c>
      <c r="AK408" cm="1">
        <f t="array" ref="AK408">VLOOKUP($A408,Table_ship_components[],COLUMN(AK:AK),0)</f>
        <v>0</v>
      </c>
      <c r="AL408" cm="1">
        <f t="array" ref="AL408">VLOOKUP($A408,Table_ship_components[],COLUMN(AL:AL),0)</f>
        <v>0</v>
      </c>
      <c r="AM408" cm="1">
        <f t="array" ref="AM408">VLOOKUP($A408,Table_ship_components[],COLUMN(AM:AM),0)</f>
        <v>0</v>
      </c>
      <c r="AN408" cm="1">
        <f t="array" ref="AN408">VLOOKUP($A408,Table_ship_components[],COLUMN(AN:AN),0)</f>
        <v>0</v>
      </c>
      <c r="AO408" cm="1">
        <f t="array" ref="AO408">VLOOKUP($A408,Table_ship_components[],COLUMN(AO:AO),0)</f>
        <v>1</v>
      </c>
      <c r="AP408" cm="1">
        <f t="array" ref="AP408">VLOOKUP($A408,Table_ship_components[],COLUMN(AP:AP),0)</f>
        <v>0</v>
      </c>
      <c r="AQ408" cm="1">
        <f t="array" ref="AQ408">VLOOKUP($A408,Table_ship_components[],COLUMN(AQ:AQ),0)</f>
        <v>0</v>
      </c>
      <c r="AR408" cm="1">
        <f t="array" ref="AR408">VLOOKUP($A408,Table_ship_components[],COLUMN(AR:AR),0)</f>
        <v>0</v>
      </c>
      <c r="AS408" cm="1">
        <f t="array" ref="AS408">VLOOKUP($A408,Table_ship_components[],COLUMN(AS:AS),0)</f>
        <v>0</v>
      </c>
      <c r="AT408" cm="1">
        <f t="array" ref="AT408">VLOOKUP($A408,Table_ship_components[],COLUMN(AT:AT),0)</f>
        <v>0</v>
      </c>
      <c r="AU408" s="2" cm="1">
        <f t="array" ref="AU408">VLOOKUP($A408,Table_ship_components[],COLUMN(AU:AU),0)</f>
        <v>0</v>
      </c>
      <c r="AV408" s="2" cm="1">
        <f t="array" ref="AV408">VLOOKUP($A408,Table_ship_components[],COLUMN(AV:AV),0)</f>
        <v>0</v>
      </c>
      <c r="AW408" s="2" cm="1">
        <f t="array" ref="AW408">VLOOKUP($A408,Table_ship_components[],COLUMN(AW:AW),0)</f>
        <v>0</v>
      </c>
      <c r="AX408" s="2" cm="1">
        <f t="array" ref="AX408">VLOOKUP($A408,Table_ship_components[],COLUMN(AX:AX),0)</f>
        <v>0</v>
      </c>
      <c r="AY408" s="2" cm="1">
        <f t="array" ref="AY408">VLOOKUP($A408,Table_ship_components[],COLUMN(AY:AY),0)</f>
        <v>0</v>
      </c>
      <c r="AZ408" s="2" t="str" cm="1">
        <f t="array" ref="AZ408">VLOOKUP($A408,Table_ship_components[],COLUMN(AZ:AZ),0)</f>
        <v>C</v>
      </c>
      <c r="BA408" s="14" cm="1">
        <f t="array" ref="BA408">VLOOKUP($A408,Table_ship_components[],COLUMN(BA:BA),0)</f>
        <v>80000</v>
      </c>
      <c r="BB408" s="14" cm="1">
        <f t="array" ref="BB408">(VLOOKUP($A408,Table_ship_components[],COLUMN(BA:BA),0)+(W408*C408))</f>
        <v>80000</v>
      </c>
      <c r="BC408" s="2" cm="1">
        <f t="array" ref="BC408">VLOOKUP($A408,Table_ship_components[],COLUMN(BC:BC),0)</f>
        <v>0</v>
      </c>
      <c r="BD408" s="2" cm="1">
        <f t="array" ref="BD408">VLOOKUP($A408,Table_ship_components[],COLUMN(BD:BD),0)</f>
        <v>0</v>
      </c>
    </row>
    <row r="409" spans="1:56" outlineLevel="1" x14ac:dyDescent="0.35">
      <c r="A409" t="s">
        <v>646</v>
      </c>
      <c r="B409" t="str" cm="1">
        <f t="array" ref="B409">VLOOKUP($A409,Table_ship_components[],COLUMN(B:B),0)</f>
        <v>med speed corvette combat engine</v>
      </c>
      <c r="D409" cm="1">
        <f t="array" ref="D409">VLOOKUP($A409,Table_ship_components[],COLUMN(D:D),0)</f>
        <v>11</v>
      </c>
      <c r="E409" cm="1">
        <f t="array" ref="E409">ROUND(VLOOKUP($A409,Table_ship_components[],COLUMN(D:D),0)+(V409*C409),0)</f>
        <v>11</v>
      </c>
      <c r="F409" cm="1">
        <f t="array" ref="F409">VLOOKUP($A409,Table_ship_components[],COLUMN(F:F),0)</f>
        <v>12</v>
      </c>
      <c r="G409" cm="1">
        <f t="array" ref="G409">ROUND(VLOOKUP($A409,Table_ship_components[],COLUMN(G:G),0)+(X409*C409),0)</f>
        <v>12</v>
      </c>
      <c r="H409" cm="1">
        <f t="array" ref="H409">VLOOKUP($A409,Table_ship_components[],COLUMN(H:H),0)</f>
        <v>0</v>
      </c>
      <c r="I409" cm="1">
        <f t="array" ref="I409">VLOOKUP($A409,Table_ship_components[],COLUMN(I:I),0)</f>
        <v>0</v>
      </c>
      <c r="J409" cm="1">
        <f t="array" ref="J409">VLOOKUP($A409,Table_ship_components[],COLUMN(J:J),0)</f>
        <v>0</v>
      </c>
      <c r="K409" cm="1">
        <f t="array" ref="K409">VLOOKUP($A409,Table_ship_components[],COLUMN(K:K),0)</f>
        <v>0</v>
      </c>
      <c r="L409" cm="1">
        <f t="array" ref="L409">VLOOKUP($A409,Table_ship_components[],COLUMN(L:L),0)</f>
        <v>0</v>
      </c>
      <c r="M409" cm="1">
        <f t="array" ref="M409">VLOOKUP($A409,Table_ship_components[],COLUMN(M:M),0)</f>
        <v>0</v>
      </c>
      <c r="N409" cm="1">
        <f t="array" ref="N409">VLOOKUP($A409,Table_ship_components[],COLUMN(N:N),0)</f>
        <v>0</v>
      </c>
      <c r="O409" cm="1">
        <f t="array" ref="O409">VLOOKUP($A409,Table_ship_components[],COLUMN(O:O),0)</f>
        <v>1</v>
      </c>
      <c r="P409" cm="1">
        <f t="array" ref="P409">VLOOKUP($A409,Table_ship_components[],COLUMN(P:P),0)</f>
        <v>0</v>
      </c>
      <c r="Q409" cm="1">
        <f t="array" ref="Q409">VLOOKUP($A409,Table_ship_components[],COLUMN(Q:Q),0)</f>
        <v>0</v>
      </c>
      <c r="R409" cm="1">
        <f t="array" ref="R409">VLOOKUP($A409,Table_ship_components[],COLUMN(R:R),0)</f>
        <v>0</v>
      </c>
      <c r="S409" cm="1">
        <f t="array" ref="S409">VLOOKUP($A409,Table_ship_components[],COLUMN(S:S),0)</f>
        <v>0</v>
      </c>
      <c r="T409" cm="1">
        <f t="array" ref="T409">VLOOKUP($A409,Table_ship_components[],COLUMN(T:T),0)</f>
        <v>0</v>
      </c>
      <c r="U409" cm="1">
        <f t="array" ref="U409">VLOOKUP($A409,Table_ship_components[],COLUMN(U:U),0)</f>
        <v>0</v>
      </c>
      <c r="V409" cm="1">
        <f t="array" ref="V409">VLOOKUP($A409,Table_ship_components[],COLUMN(V:V),0)</f>
        <v>0</v>
      </c>
      <c r="W409" s="15" cm="1">
        <f t="array" ref="W409">VLOOKUP($A409,Table_ship_components[],COLUMN(W:W),0)</f>
        <v>0</v>
      </c>
      <c r="X409" cm="1">
        <f t="array" ref="X409">VLOOKUP($A409,Table_ship_components[],COLUMN(X:X),0)</f>
        <v>0</v>
      </c>
      <c r="Y409" cm="1">
        <f t="array" ref="Y409">VLOOKUP($A409,Table_ship_components[],COLUMN(Y:Y),0)</f>
        <v>0</v>
      </c>
      <c r="Z409" cm="1">
        <f t="array" ref="Z409">VLOOKUP($A409,Table_ship_components[],COLUMN(Z:Z),0)</f>
        <v>0</v>
      </c>
      <c r="AA409" cm="1">
        <f t="array" ref="AA409">VLOOKUP($A409,Table_ship_components[],COLUMN(AA:AA),0)*C409</f>
        <v>0</v>
      </c>
      <c r="AB409">
        <f t="shared" si="31"/>
        <v>0</v>
      </c>
      <c r="AC409" cm="1">
        <f t="array" ref="AC409">VLOOKUP($A409,Table_ship_components[],COLUMN(AC:AC),0)*C409</f>
        <v>0</v>
      </c>
      <c r="AD409" cm="1">
        <f t="array" ref="AD409">VLOOKUP($A409,Table_ship_components[],COLUMN(AD:AD),0)</f>
        <v>0</v>
      </c>
      <c r="AE409" cm="1">
        <f t="array" ref="AE409">VLOOKUP($A409,Table_ship_components[],COLUMN(AE:AE),0)</f>
        <v>0</v>
      </c>
      <c r="AF409" cm="1">
        <f t="array" ref="AF409">VLOOKUP($A409,Table_ship_components[],COLUMN(AF:AF),0)</f>
        <v>0</v>
      </c>
      <c r="AG409" cm="1">
        <f t="array" ref="AG409">VLOOKUP($A409,Table_ship_components[],COLUMN(AG:AG),0)</f>
        <v>0</v>
      </c>
      <c r="AH409" cm="1">
        <f t="array" ref="AH409">VLOOKUP($A409,Table_ship_components[],COLUMN(AH:AH),0)</f>
        <v>0</v>
      </c>
      <c r="AI409" cm="1">
        <f t="array" ref="AI409">VLOOKUP($A409,Table_ship_components[],COLUMN(AI:AI),0)</f>
        <v>0</v>
      </c>
      <c r="AJ409" cm="1">
        <f t="array" ref="AJ409">VLOOKUP($A409,Table_ship_components[],COLUMN(AJ:AJ),0)</f>
        <v>0</v>
      </c>
      <c r="AK409" cm="1">
        <f t="array" ref="AK409">VLOOKUP($A409,Table_ship_components[],COLUMN(AK:AK),0)</f>
        <v>0</v>
      </c>
      <c r="AL409" cm="1">
        <f t="array" ref="AL409">VLOOKUP($A409,Table_ship_components[],COLUMN(AL:AL),0)</f>
        <v>2</v>
      </c>
      <c r="AM409" cm="1">
        <f t="array" ref="AM409">VLOOKUP($A409,Table_ship_components[],COLUMN(AM:AM),0)</f>
        <v>0</v>
      </c>
      <c r="AN409" cm="1">
        <f t="array" ref="AN409">VLOOKUP($A409,Table_ship_components[],COLUMN(AN:AN),0)</f>
        <v>0</v>
      </c>
      <c r="AO409" cm="1">
        <f t="array" ref="AO409">VLOOKUP($A409,Table_ship_components[],COLUMN(AO:AO),0)</f>
        <v>0</v>
      </c>
      <c r="AP409" cm="1">
        <f t="array" ref="AP409">VLOOKUP($A409,Table_ship_components[],COLUMN(AP:AP),0)</f>
        <v>0</v>
      </c>
      <c r="AQ409" cm="1">
        <f t="array" ref="AQ409">VLOOKUP($A409,Table_ship_components[],COLUMN(AQ:AQ),0)</f>
        <v>0</v>
      </c>
      <c r="AR409" cm="1">
        <f t="array" ref="AR409">VLOOKUP($A409,Table_ship_components[],COLUMN(AR:AR),0)</f>
        <v>0</v>
      </c>
      <c r="AS409" cm="1">
        <f t="array" ref="AS409">VLOOKUP($A409,Table_ship_components[],COLUMN(AS:AS),0)</f>
        <v>0</v>
      </c>
      <c r="AT409" cm="1">
        <f t="array" ref="AT409">VLOOKUP($A409,Table_ship_components[],COLUMN(AT:AT),0)</f>
        <v>0</v>
      </c>
      <c r="AU409" s="2" cm="1">
        <f t="array" ref="AU409">VLOOKUP($A409,Table_ship_components[],COLUMN(AU:AU),0)</f>
        <v>2</v>
      </c>
      <c r="AV409" s="2" cm="1">
        <f t="array" ref="AV409">VLOOKUP($A409,Table_ship_components[],COLUMN(AV:AV),0)</f>
        <v>0</v>
      </c>
      <c r="AW409" s="2" cm="1">
        <f t="array" ref="AW409">VLOOKUP($A409,Table_ship_components[],COLUMN(AW:AW),0)</f>
        <v>0</v>
      </c>
      <c r="AX409" s="2" cm="1">
        <f t="array" ref="AX409">VLOOKUP($A409,Table_ship_components[],COLUMN(AX:AX),0)</f>
        <v>0</v>
      </c>
      <c r="AY409" s="2" cm="1">
        <f t="array" ref="AY409">VLOOKUP($A409,Table_ship_components[],COLUMN(AY:AY),0)</f>
        <v>0</v>
      </c>
      <c r="AZ409" s="2" t="str" cm="1">
        <f t="array" ref="AZ409">VLOOKUP($A409,Table_ship_components[],COLUMN(AZ:AZ),0)</f>
        <v>C</v>
      </c>
      <c r="BA409" s="14" cm="1">
        <f t="array" ref="BA409">VLOOKUP($A409,Table_ship_components[],COLUMN(BA:BA),0)</f>
        <v>1000000</v>
      </c>
      <c r="BB409" s="14" cm="1">
        <f t="array" ref="BB409">(VLOOKUP($A409,Table_ship_components[],COLUMN(BA:BA),0)+(W409*C409))</f>
        <v>1000000</v>
      </c>
      <c r="BC409" s="2" cm="1">
        <f t="array" ref="BC409">VLOOKUP($A409,Table_ship_components[],COLUMN(BC:BC),0)</f>
        <v>0</v>
      </c>
      <c r="BD409" s="2" cm="1">
        <f t="array" ref="BD409">VLOOKUP($A409,Table_ship_components[],COLUMN(BD:BD),0)</f>
        <v>0</v>
      </c>
    </row>
    <row r="410" spans="1:56" outlineLevel="1" x14ac:dyDescent="0.35">
      <c r="A410" t="s">
        <v>288</v>
      </c>
      <c r="B410" t="str" cm="1">
        <f t="array" ref="B410">VLOOKUP($A410,Table_ship_components[],COLUMN(B:B),0)</f>
        <v>PICK A COMPONENT</v>
      </c>
      <c r="D410" cm="1">
        <f t="array" ref="D410">VLOOKUP($A410,Table_ship_components[],COLUMN(D:D),0)</f>
        <v>0</v>
      </c>
      <c r="E410" cm="1">
        <f t="array" ref="E410">ROUND(VLOOKUP($A410,Table_ship_components[],COLUMN(D:D),0)+(V410*C410),0)</f>
        <v>0</v>
      </c>
      <c r="F410" cm="1">
        <f t="array" ref="F410">VLOOKUP($A410,Table_ship_components[],COLUMN(F:F),0)</f>
        <v>0</v>
      </c>
      <c r="G410" cm="1">
        <f t="array" ref="G410">ROUND(VLOOKUP($A410,Table_ship_components[],COLUMN(G:G),0)+(X410*C410),0)</f>
        <v>0</v>
      </c>
      <c r="H410" cm="1">
        <f t="array" ref="H410">VLOOKUP($A410,Table_ship_components[],COLUMN(H:H),0)</f>
        <v>0</v>
      </c>
      <c r="I410" cm="1">
        <f t="array" ref="I410">VLOOKUP($A410,Table_ship_components[],COLUMN(I:I),0)</f>
        <v>0</v>
      </c>
      <c r="J410" cm="1">
        <f t="array" ref="J410">VLOOKUP($A410,Table_ship_components[],COLUMN(J:J),0)</f>
        <v>0</v>
      </c>
      <c r="K410" cm="1">
        <f t="array" ref="K410">VLOOKUP($A410,Table_ship_components[],COLUMN(K:K),0)</f>
        <v>0</v>
      </c>
      <c r="L410" cm="1">
        <f t="array" ref="L410">VLOOKUP($A410,Table_ship_components[],COLUMN(L:L),0)</f>
        <v>0</v>
      </c>
      <c r="M410" cm="1">
        <f t="array" ref="M410">VLOOKUP($A410,Table_ship_components[],COLUMN(M:M),0)</f>
        <v>0</v>
      </c>
      <c r="N410" cm="1">
        <f t="array" ref="N410">VLOOKUP($A410,Table_ship_components[],COLUMN(N:N),0)</f>
        <v>0</v>
      </c>
      <c r="O410" cm="1">
        <f t="array" ref="O410">VLOOKUP($A410,Table_ship_components[],COLUMN(O:O),0)</f>
        <v>0</v>
      </c>
      <c r="P410" cm="1">
        <f t="array" ref="P410">VLOOKUP($A410,Table_ship_components[],COLUMN(P:P),0)</f>
        <v>0</v>
      </c>
      <c r="Q410" cm="1">
        <f t="array" ref="Q410">VLOOKUP($A410,Table_ship_components[],COLUMN(Q:Q),0)</f>
        <v>0</v>
      </c>
      <c r="R410" cm="1">
        <f t="array" ref="R410">VLOOKUP($A410,Table_ship_components[],COLUMN(R:R),0)</f>
        <v>0</v>
      </c>
      <c r="S410" cm="1">
        <f t="array" ref="S410">VLOOKUP($A410,Table_ship_components[],COLUMN(S:S),0)</f>
        <v>0</v>
      </c>
      <c r="T410" cm="1">
        <f t="array" ref="T410">VLOOKUP($A410,Table_ship_components[],COLUMN(T:T),0)</f>
        <v>0</v>
      </c>
      <c r="U410" cm="1">
        <f t="array" ref="U410">VLOOKUP($A410,Table_ship_components[],COLUMN(U:U),0)</f>
        <v>0</v>
      </c>
      <c r="V410" cm="1">
        <f t="array" ref="V410">VLOOKUP($A410,Table_ship_components[],COLUMN(V:V),0)</f>
        <v>0</v>
      </c>
      <c r="W410" s="15" cm="1">
        <f t="array" ref="W410">VLOOKUP($A410,Table_ship_components[],COLUMN(W:W),0)</f>
        <v>0</v>
      </c>
      <c r="X410" cm="1">
        <f t="array" ref="X410">VLOOKUP($A410,Table_ship_components[],COLUMN(X:X),0)</f>
        <v>0</v>
      </c>
      <c r="Y410" cm="1">
        <f t="array" ref="Y410">VLOOKUP($A410,Table_ship_components[],COLUMN(Y:Y),0)</f>
        <v>0</v>
      </c>
      <c r="Z410" cm="1">
        <f t="array" ref="Z410">VLOOKUP($A410,Table_ship_components[],COLUMN(Z:Z),0)</f>
        <v>0</v>
      </c>
      <c r="AA410" cm="1">
        <f t="array" ref="AA410">VLOOKUP($A410,Table_ship_components[],COLUMN(AA:AA),0)*C410</f>
        <v>0</v>
      </c>
      <c r="AB410">
        <f>IF(A410="CARGOSPACE_0-ALL_0-UNIVERSAL",C410,0)</f>
        <v>0</v>
      </c>
      <c r="AC410" cm="1">
        <f t="array" ref="AC410">VLOOKUP($A410,Table_ship_components[],COLUMN(AC:AC),0)*C410</f>
        <v>0</v>
      </c>
      <c r="AD410" cm="1">
        <f t="array" ref="AD410">VLOOKUP($A410,Table_ship_components[],COLUMN(AD:AD),0)</f>
        <v>0</v>
      </c>
      <c r="AE410" cm="1">
        <f t="array" ref="AE410">VLOOKUP($A410,Table_ship_components[],COLUMN(AE:AE),0)</f>
        <v>0</v>
      </c>
      <c r="AF410" cm="1">
        <f t="array" ref="AF410">VLOOKUP($A410,Table_ship_components[],COLUMN(AF:AF),0)</f>
        <v>0</v>
      </c>
      <c r="AG410" cm="1">
        <f t="array" ref="AG410">VLOOKUP($A410,Table_ship_components[],COLUMN(AG:AG),0)</f>
        <v>0</v>
      </c>
      <c r="AH410" cm="1">
        <f t="array" ref="AH410">VLOOKUP($A410,Table_ship_components[],COLUMN(AH:AH),0)</f>
        <v>0</v>
      </c>
      <c r="AI410" cm="1">
        <f t="array" ref="AI410">VLOOKUP($A410,Table_ship_components[],COLUMN(AI:AI),0)</f>
        <v>0</v>
      </c>
      <c r="AJ410" cm="1">
        <f t="array" ref="AJ410">VLOOKUP($A410,Table_ship_components[],COLUMN(AJ:AJ),0)</f>
        <v>0</v>
      </c>
      <c r="AK410" cm="1">
        <f t="array" ref="AK410">VLOOKUP($A410,Table_ship_components[],COLUMN(AK:AK),0)</f>
        <v>0</v>
      </c>
      <c r="AL410" cm="1">
        <f t="array" ref="AL410">VLOOKUP($A410,Table_ship_components[],COLUMN(AL:AL),0)</f>
        <v>0</v>
      </c>
      <c r="AM410" cm="1">
        <f t="array" ref="AM410">VLOOKUP($A410,Table_ship_components[],COLUMN(AM:AM),0)</f>
        <v>0</v>
      </c>
      <c r="AN410" cm="1">
        <f t="array" ref="AN410">VLOOKUP($A410,Table_ship_components[],COLUMN(AN:AN),0)</f>
        <v>0</v>
      </c>
      <c r="AO410" cm="1">
        <f t="array" ref="AO410">VLOOKUP($A410,Table_ship_components[],COLUMN(AO:AO),0)</f>
        <v>0</v>
      </c>
      <c r="AP410" cm="1">
        <f t="array" ref="AP410">VLOOKUP($A410,Table_ship_components[],COLUMN(AP:AP),0)</f>
        <v>0</v>
      </c>
      <c r="AQ410" cm="1">
        <f t="array" ref="AQ410">VLOOKUP($A410,Table_ship_components[],COLUMN(AQ:AQ),0)</f>
        <v>0</v>
      </c>
      <c r="AR410" cm="1">
        <f t="array" ref="AR410">VLOOKUP($A410,Table_ship_components[],COLUMN(AR:AR),0)</f>
        <v>0</v>
      </c>
      <c r="AS410" cm="1">
        <f t="array" ref="AS410">VLOOKUP($A410,Table_ship_components[],COLUMN(AS:AS),0)</f>
        <v>0</v>
      </c>
      <c r="AT410" cm="1">
        <f t="array" ref="AT410">VLOOKUP($A410,Table_ship_components[],COLUMN(AT:AT),0)</f>
        <v>0</v>
      </c>
      <c r="AU410" s="2" cm="1">
        <f t="array" ref="AU410">VLOOKUP($A410,Table_ship_components[],COLUMN(AU:AU),0)</f>
        <v>0</v>
      </c>
      <c r="AV410" s="2" cm="1">
        <f t="array" ref="AV410">VLOOKUP($A410,Table_ship_components[],COLUMN(AV:AV),0)</f>
        <v>0</v>
      </c>
      <c r="AW410" s="2" cm="1">
        <f t="array" ref="AW410">VLOOKUP($A410,Table_ship_components[],COLUMN(AW:AW),0)</f>
        <v>0</v>
      </c>
      <c r="AX410" s="2" cm="1">
        <f t="array" ref="AX410">VLOOKUP($A410,Table_ship_components[],COLUMN(AX:AX),0)</f>
        <v>0</v>
      </c>
      <c r="AY410" s="2" cm="1">
        <f t="array" ref="AY410">VLOOKUP($A410,Table_ship_components[],COLUMN(AY:AY),0)</f>
        <v>0</v>
      </c>
      <c r="AZ410" s="2" t="str" cm="1">
        <f t="array" ref="AZ410">VLOOKUP($A410,Table_ship_components[],COLUMN(AZ:AZ),0)</f>
        <v>C</v>
      </c>
      <c r="BA410" s="14" cm="1">
        <f t="array" ref="BA410">VLOOKUP($A410,Table_ship_components[],COLUMN(BA:BA),0)</f>
        <v>0</v>
      </c>
      <c r="BB410" s="14" cm="1">
        <f t="array" ref="BB410">(VLOOKUP($A410,Table_ship_components[],COLUMN(BA:BA),0)+(W410*C410))</f>
        <v>0</v>
      </c>
      <c r="BC410" s="2" cm="1">
        <f t="array" ref="BC410">VLOOKUP($A410,Table_ship_components[],COLUMN(BC:BC),0)</f>
        <v>0</v>
      </c>
      <c r="BD410" s="2" cm="1">
        <f t="array" ref="BD410">VLOOKUP($A410,Table_ship_components[],COLUMN(BD:BD),0)</f>
        <v>0</v>
      </c>
    </row>
    <row r="411" spans="1:56" outlineLevel="1" x14ac:dyDescent="0.35">
      <c r="A411" s="18" t="s">
        <v>425</v>
      </c>
      <c r="B411" s="19" t="str">
        <f>CONCATENATE("SIZE ",(SUM(E412:E419)),"/",AY389,"  POWER ",(SUM(G412:G419)))</f>
        <v>SIZE 20/20  POWER 0</v>
      </c>
      <c r="AU411" s="2"/>
      <c r="AV411" s="2"/>
      <c r="AW411" s="2"/>
      <c r="AX411" s="2"/>
      <c r="AY411" s="2"/>
      <c r="AZ411" s="2"/>
      <c r="BA411" s="14"/>
      <c r="BB411" s="14"/>
      <c r="BC411" s="2"/>
      <c r="BD411" s="2"/>
    </row>
    <row r="412" spans="1:56" outlineLevel="1" x14ac:dyDescent="0.35">
      <c r="A412" t="s">
        <v>317</v>
      </c>
      <c r="B412" t="str" cm="1">
        <f t="array" ref="B412">VLOOKUP($A412,Table_ship_components[],COLUMN(B:B),0)</f>
        <v>huge ordonnance bay</v>
      </c>
      <c r="D412" cm="1">
        <f t="array" ref="D412">VLOOKUP($A412,Table_ship_components[],COLUMN(D:D),0)</f>
        <v>5</v>
      </c>
      <c r="E412" cm="1">
        <f t="array" ref="E412">ROUND(VLOOKUP($A412,Table_ship_components[],COLUMN(D:D),0)+(V412*C412),0)</f>
        <v>5</v>
      </c>
      <c r="F412" cm="1">
        <f t="array" ref="F412">VLOOKUP($A412,Table_ship_components[],COLUMN(F:F),0)</f>
        <v>0</v>
      </c>
      <c r="G412" cm="1">
        <f t="array" ref="G412">ROUND(VLOOKUP($A412,Table_ship_components[],COLUMN(G:G),0)+(X412*C412),0)</f>
        <v>0</v>
      </c>
      <c r="H412" cm="1">
        <f t="array" ref="H412">VLOOKUP($A412,Table_ship_components[],COLUMN(H:H),0)</f>
        <v>0</v>
      </c>
      <c r="I412" cm="1">
        <f t="array" ref="I412">VLOOKUP($A412,Table_ship_components[],COLUMN(I:I),0)</f>
        <v>0</v>
      </c>
      <c r="J412" cm="1">
        <f t="array" ref="J412">VLOOKUP($A412,Table_ship_components[],COLUMN(J:J),0)</f>
        <v>0</v>
      </c>
      <c r="K412" cm="1">
        <f t="array" ref="K412">VLOOKUP($A412,Table_ship_components[],COLUMN(K:K),0)</f>
        <v>0</v>
      </c>
      <c r="L412" cm="1">
        <f t="array" ref="L412">VLOOKUP($A412,Table_ship_components[],COLUMN(L:L),0)</f>
        <v>0</v>
      </c>
      <c r="M412" cm="1">
        <f t="array" ref="M412">VLOOKUP($A412,Table_ship_components[],COLUMN(M:M),0)</f>
        <v>0</v>
      </c>
      <c r="N412" cm="1">
        <f t="array" ref="N412">VLOOKUP($A412,Table_ship_components[],COLUMN(N:N),0)</f>
        <v>1</v>
      </c>
      <c r="O412" cm="1">
        <f t="array" ref="O412">VLOOKUP($A412,Table_ship_components[],COLUMN(O:O),0)</f>
        <v>1</v>
      </c>
      <c r="P412" cm="1">
        <f t="array" ref="P412">VLOOKUP($A412,Table_ship_components[],COLUMN(P:P),0)</f>
        <v>1</v>
      </c>
      <c r="Q412" cm="1">
        <f t="array" ref="Q412">VLOOKUP($A412,Table_ship_components[],COLUMN(Q:Q),0)</f>
        <v>1</v>
      </c>
      <c r="R412" cm="1">
        <f t="array" ref="R412">VLOOKUP($A412,Table_ship_components[],COLUMN(R:R),0)</f>
        <v>1</v>
      </c>
      <c r="S412" cm="1">
        <f t="array" ref="S412">VLOOKUP($A412,Table_ship_components[],COLUMN(S:S),0)</f>
        <v>1</v>
      </c>
      <c r="T412" cm="1">
        <f t="array" ref="T412">VLOOKUP($A412,Table_ship_components[],COLUMN(T:T),0)</f>
        <v>1</v>
      </c>
      <c r="U412" cm="1">
        <f t="array" ref="U412">VLOOKUP($A412,Table_ship_components[],COLUMN(U:U),0)</f>
        <v>0</v>
      </c>
      <c r="V412" cm="1">
        <f t="array" ref="V412">VLOOKUP($A412,Table_ship_components[],COLUMN(V:V),0)</f>
        <v>0</v>
      </c>
      <c r="W412" s="15" cm="1">
        <f t="array" ref="W412">VLOOKUP($A412,Table_ship_components[],COLUMN(W:W),0)</f>
        <v>0</v>
      </c>
      <c r="X412" cm="1">
        <f t="array" ref="X412">VLOOKUP($A412,Table_ship_components[],COLUMN(X:X),0)</f>
        <v>0</v>
      </c>
      <c r="Y412" cm="1">
        <f t="array" ref="Y412">VLOOKUP($A412,Table_ship_components[],COLUMN(Y:Y),0)</f>
        <v>0</v>
      </c>
      <c r="Z412" cm="1">
        <f t="array" ref="Z412">VLOOKUP($A412,Table_ship_components[],COLUMN(Z:Z),0)</f>
        <v>0</v>
      </c>
      <c r="AA412" cm="1">
        <f t="array" ref="AA412">VLOOKUP($A412,Table_ship_components[],COLUMN(AA:AA),0)*C412</f>
        <v>0</v>
      </c>
      <c r="AB412">
        <f t="shared" ref="AB412:AB419" si="32">IF(A412="CARGOSPACE_0-ALL_0-UNIVERSAL",C412,0)</f>
        <v>0</v>
      </c>
      <c r="AC412" cm="1">
        <f t="array" ref="AC412">VLOOKUP($A412,Table_ship_components[],COLUMN(AC:AC),0)*C412</f>
        <v>0</v>
      </c>
      <c r="AD412" cm="1">
        <f t="array" ref="AD412">VLOOKUP($A412,Table_ship_components[],COLUMN(AD:AD),0)</f>
        <v>0</v>
      </c>
      <c r="AE412" cm="1">
        <f t="array" ref="AE412">VLOOKUP($A412,Table_ship_components[],COLUMN(AE:AE),0)</f>
        <v>0</v>
      </c>
      <c r="AF412" cm="1">
        <f t="array" ref="AF412">VLOOKUP($A412,Table_ship_components[],COLUMN(AF:AF),0)</f>
        <v>0</v>
      </c>
      <c r="AG412" cm="1">
        <f t="array" ref="AG412">VLOOKUP($A412,Table_ship_components[],COLUMN(AG:AG),0)</f>
        <v>0</v>
      </c>
      <c r="AH412" cm="1">
        <f t="array" ref="AH412">VLOOKUP($A412,Table_ship_components[],COLUMN(AH:AH),0)</f>
        <v>0</v>
      </c>
      <c r="AI412" cm="1">
        <f t="array" ref="AI412">VLOOKUP($A412,Table_ship_components[],COLUMN(AI:AI),0)</f>
        <v>0</v>
      </c>
      <c r="AJ412" cm="1">
        <f t="array" ref="AJ412">VLOOKUP($A412,Table_ship_components[],COLUMN(AJ:AJ),0)</f>
        <v>0</v>
      </c>
      <c r="AK412" cm="1">
        <f t="array" ref="AK412">VLOOKUP($A412,Table_ship_components[],COLUMN(AK:AK),0)</f>
        <v>0</v>
      </c>
      <c r="AL412" cm="1">
        <f t="array" ref="AL412">VLOOKUP($A412,Table_ship_components[],COLUMN(AL:AL),0)</f>
        <v>0</v>
      </c>
      <c r="AM412" cm="1">
        <f t="array" ref="AM412">VLOOKUP($A412,Table_ship_components[],COLUMN(AM:AM),0)</f>
        <v>0</v>
      </c>
      <c r="AN412" cm="1">
        <f t="array" ref="AN412">VLOOKUP($A412,Table_ship_components[],COLUMN(AN:AN),0)</f>
        <v>0</v>
      </c>
      <c r="AO412" cm="1">
        <f t="array" ref="AO412">VLOOKUP($A412,Table_ship_components[],COLUMN(AO:AO),0)</f>
        <v>0</v>
      </c>
      <c r="AP412" cm="1">
        <f t="array" ref="AP412">VLOOKUP($A412,Table_ship_components[],COLUMN(AP:AP),0)</f>
        <v>0</v>
      </c>
      <c r="AQ412" cm="1">
        <f t="array" ref="AQ412">VLOOKUP($A412,Table_ship_components[],COLUMN(AQ:AQ),0)</f>
        <v>0</v>
      </c>
      <c r="AR412" cm="1">
        <f t="array" ref="AR412">VLOOKUP($A412,Table_ship_components[],COLUMN(AR:AR),0)</f>
        <v>0</v>
      </c>
      <c r="AS412" cm="1">
        <f t="array" ref="AS412">VLOOKUP($A412,Table_ship_components[],COLUMN(AS:AS),0)</f>
        <v>0</v>
      </c>
      <c r="AT412" cm="1">
        <f t="array" ref="AT412">VLOOKUP($A412,Table_ship_components[],COLUMN(AT:AT),0)</f>
        <v>0</v>
      </c>
      <c r="AU412" s="2" cm="1">
        <f t="array" ref="AU412">VLOOKUP($A412,Table_ship_components[],COLUMN(AU:AU),0)</f>
        <v>0</v>
      </c>
      <c r="AV412" s="2" cm="1">
        <f t="array" ref="AV412">VLOOKUP($A412,Table_ship_components[],COLUMN(AV:AV),0)</f>
        <v>0</v>
      </c>
      <c r="AW412" s="2" cm="1">
        <f t="array" ref="AW412">VLOOKUP($A412,Table_ship_components[],COLUMN(AW:AW),0)</f>
        <v>0</v>
      </c>
      <c r="AX412" s="2" cm="1">
        <f t="array" ref="AX412">VLOOKUP($A412,Table_ship_components[],COLUMN(AX:AX),0)</f>
        <v>0</v>
      </c>
      <c r="AY412" s="2" cm="1">
        <f t="array" ref="AY412">VLOOKUP($A412,Table_ship_components[],COLUMN(AY:AY),0)</f>
        <v>0</v>
      </c>
      <c r="AZ412" s="2" t="str" cm="1">
        <f t="array" ref="AZ412">VLOOKUP($A412,Table_ship_components[],COLUMN(AZ:AZ),0)</f>
        <v>C</v>
      </c>
      <c r="BA412" s="14" cm="1">
        <f t="array" ref="BA412">VLOOKUP($A412,Table_ship_components[],COLUMN(BA:BA),0)</f>
        <v>100000</v>
      </c>
      <c r="BB412" s="14" cm="1">
        <f t="array" ref="BB412">(VLOOKUP($A412,Table_ship_components[],COLUMN(BA:BA),0)+(W412*C412))</f>
        <v>100000</v>
      </c>
      <c r="BC412" s="2" cm="1">
        <f t="array" ref="BC412">VLOOKUP($A412,Table_ship_components[],COLUMN(BC:BC),0)</f>
        <v>0</v>
      </c>
      <c r="BD412" s="2" cm="1">
        <f t="array" ref="BD412">VLOOKUP($A412,Table_ship_components[],COLUMN(BD:BD),0)</f>
        <v>0</v>
      </c>
    </row>
    <row r="413" spans="1:56" outlineLevel="1" x14ac:dyDescent="0.35">
      <c r="A413" t="s">
        <v>392</v>
      </c>
      <c r="B413" t="str" cm="1">
        <f t="array" ref="B413">VLOOKUP($A413,Table_ship_components[],COLUMN(B:B),0)</f>
        <v>corvette landing package</v>
      </c>
      <c r="D413" cm="1">
        <f t="array" ref="D413">VLOOKUP($A413,Table_ship_components[],COLUMN(D:D),0)</f>
        <v>10</v>
      </c>
      <c r="E413" cm="1">
        <f t="array" ref="E413">ROUND(VLOOKUP($A413,Table_ship_components[],COLUMN(D:D),0)+(V413*C413),0)</f>
        <v>10</v>
      </c>
      <c r="F413" cm="1">
        <f t="array" ref="F413">VLOOKUP($A413,Table_ship_components[],COLUMN(F:F),0)</f>
        <v>0</v>
      </c>
      <c r="G413" cm="1">
        <f t="array" ref="G413">ROUND(VLOOKUP($A413,Table_ship_components[],COLUMN(G:G),0)+(X413*C413),0)</f>
        <v>0</v>
      </c>
      <c r="H413" cm="1">
        <f t="array" ref="H413">VLOOKUP($A413,Table_ship_components[],COLUMN(H:H),0)</f>
        <v>4</v>
      </c>
      <c r="I413" cm="1">
        <f t="array" ref="I413">VLOOKUP($A413,Table_ship_components[],COLUMN(I:I),0)</f>
        <v>0</v>
      </c>
      <c r="J413" cm="1">
        <f t="array" ref="J413">VLOOKUP($A413,Table_ship_components[],COLUMN(J:J),0)</f>
        <v>0</v>
      </c>
      <c r="K413" cm="1">
        <f t="array" ref="K413">VLOOKUP($A413,Table_ship_components[],COLUMN(K:K),0)</f>
        <v>0</v>
      </c>
      <c r="L413" cm="1">
        <f t="array" ref="L413">VLOOKUP($A413,Table_ship_components[],COLUMN(L:L),0)</f>
        <v>0</v>
      </c>
      <c r="M413" cm="1">
        <f t="array" ref="M413">VLOOKUP($A413,Table_ship_components[],COLUMN(M:M),0)</f>
        <v>0</v>
      </c>
      <c r="N413" cm="1">
        <f t="array" ref="N413">VLOOKUP($A413,Table_ship_components[],COLUMN(N:N),0)</f>
        <v>1</v>
      </c>
      <c r="O413" cm="1">
        <f t="array" ref="O413">VLOOKUP($A413,Table_ship_components[],COLUMN(O:O),0)</f>
        <v>0</v>
      </c>
      <c r="P413" cm="1">
        <f t="array" ref="P413">VLOOKUP($A413,Table_ship_components[],COLUMN(P:P),0)</f>
        <v>0</v>
      </c>
      <c r="Q413" cm="1">
        <f t="array" ref="Q413">VLOOKUP($A413,Table_ship_components[],COLUMN(Q:Q),0)</f>
        <v>0</v>
      </c>
      <c r="R413" cm="1">
        <f t="array" ref="R413">VLOOKUP($A413,Table_ship_components[],COLUMN(R:R),0)</f>
        <v>0</v>
      </c>
      <c r="S413" cm="1">
        <f t="array" ref="S413">VLOOKUP($A413,Table_ship_components[],COLUMN(S:S),0)</f>
        <v>0</v>
      </c>
      <c r="T413" cm="1">
        <f t="array" ref="T413">VLOOKUP($A413,Table_ship_components[],COLUMN(T:T),0)</f>
        <v>0</v>
      </c>
      <c r="U413" cm="1">
        <f t="array" ref="U413">VLOOKUP($A413,Table_ship_components[],COLUMN(U:U),0)</f>
        <v>0</v>
      </c>
      <c r="V413" cm="1">
        <f t="array" ref="V413">VLOOKUP($A413,Table_ship_components[],COLUMN(V:V),0)</f>
        <v>0</v>
      </c>
      <c r="W413" s="15" cm="1">
        <f t="array" ref="W413">VLOOKUP($A413,Table_ship_components[],COLUMN(W:W),0)</f>
        <v>0</v>
      </c>
      <c r="X413" cm="1">
        <f t="array" ref="X413">VLOOKUP($A413,Table_ship_components[],COLUMN(X:X),0)</f>
        <v>0</v>
      </c>
      <c r="Y413" cm="1">
        <f t="array" ref="Y413">VLOOKUP($A413,Table_ship_components[],COLUMN(Y:Y),0)</f>
        <v>0</v>
      </c>
      <c r="Z413" cm="1">
        <f t="array" ref="Z413">VLOOKUP($A413,Table_ship_components[],COLUMN(Z:Z),0)</f>
        <v>0</v>
      </c>
      <c r="AA413" cm="1">
        <f t="array" ref="AA413">VLOOKUP($A413,Table_ship_components[],COLUMN(AA:AA),0)*C413</f>
        <v>0</v>
      </c>
      <c r="AB413">
        <f t="shared" si="32"/>
        <v>0</v>
      </c>
      <c r="AC413" cm="1">
        <f t="array" ref="AC413">VLOOKUP($A413,Table_ship_components[],COLUMN(AC:AC),0)*C413</f>
        <v>0</v>
      </c>
      <c r="AD413" cm="1">
        <f t="array" ref="AD413">VLOOKUP($A413,Table_ship_components[],COLUMN(AD:AD),0)</f>
        <v>0</v>
      </c>
      <c r="AE413" cm="1">
        <f t="array" ref="AE413">VLOOKUP($A413,Table_ship_components[],COLUMN(AE:AE),0)</f>
        <v>0</v>
      </c>
      <c r="AF413" cm="1">
        <f t="array" ref="AF413">VLOOKUP($A413,Table_ship_components[],COLUMN(AF:AF),0)</f>
        <v>0</v>
      </c>
      <c r="AG413" cm="1">
        <f t="array" ref="AG413">VLOOKUP($A413,Table_ship_components[],COLUMN(AG:AG),0)</f>
        <v>1</v>
      </c>
      <c r="AH413" cm="1">
        <f t="array" ref="AH413">VLOOKUP($A413,Table_ship_components[],COLUMN(AH:AH),0)</f>
        <v>0</v>
      </c>
      <c r="AI413" cm="1">
        <f t="array" ref="AI413">VLOOKUP($A413,Table_ship_components[],COLUMN(AI:AI),0)</f>
        <v>0</v>
      </c>
      <c r="AJ413" cm="1">
        <f t="array" ref="AJ413">VLOOKUP($A413,Table_ship_components[],COLUMN(AJ:AJ),0)</f>
        <v>0</v>
      </c>
      <c r="AK413" cm="1">
        <f t="array" ref="AK413">VLOOKUP($A413,Table_ship_components[],COLUMN(AK:AK),0)</f>
        <v>0</v>
      </c>
      <c r="AL413" cm="1">
        <f t="array" ref="AL413">VLOOKUP($A413,Table_ship_components[],COLUMN(AL:AL),0)</f>
        <v>0</v>
      </c>
      <c r="AM413" cm="1">
        <f t="array" ref="AM413">VLOOKUP($A413,Table_ship_components[],COLUMN(AM:AM),0)</f>
        <v>0</v>
      </c>
      <c r="AN413" cm="1">
        <f t="array" ref="AN413">VLOOKUP($A413,Table_ship_components[],COLUMN(AN:AN),0)</f>
        <v>0</v>
      </c>
      <c r="AO413" cm="1">
        <f t="array" ref="AO413">VLOOKUP($A413,Table_ship_components[],COLUMN(AO:AO),0)</f>
        <v>0</v>
      </c>
      <c r="AP413" cm="1">
        <f t="array" ref="AP413">VLOOKUP($A413,Table_ship_components[],COLUMN(AP:AP),0)</f>
        <v>0</v>
      </c>
      <c r="AQ413" cm="1">
        <f t="array" ref="AQ413">VLOOKUP($A413,Table_ship_components[],COLUMN(AQ:AQ),0)</f>
        <v>0</v>
      </c>
      <c r="AR413" cm="1">
        <f t="array" ref="AR413">VLOOKUP($A413,Table_ship_components[],COLUMN(AR:AR),0)</f>
        <v>0</v>
      </c>
      <c r="AS413" cm="1">
        <f t="array" ref="AS413">VLOOKUP($A413,Table_ship_components[],COLUMN(AS:AS),0)</f>
        <v>0</v>
      </c>
      <c r="AT413" cm="1">
        <f t="array" ref="AT413">VLOOKUP($A413,Table_ship_components[],COLUMN(AT:AT),0)</f>
        <v>0</v>
      </c>
      <c r="AU413" s="2" cm="1">
        <f t="array" ref="AU413">VLOOKUP($A413,Table_ship_components[],COLUMN(AU:AU),0)</f>
        <v>0</v>
      </c>
      <c r="AV413" s="2" cm="1">
        <f t="array" ref="AV413">VLOOKUP($A413,Table_ship_components[],COLUMN(AV:AV),0)</f>
        <v>0</v>
      </c>
      <c r="AW413" s="2" cm="1">
        <f t="array" ref="AW413">VLOOKUP($A413,Table_ship_components[],COLUMN(AW:AW),0)</f>
        <v>0</v>
      </c>
      <c r="AX413" s="2" cm="1">
        <f t="array" ref="AX413">VLOOKUP($A413,Table_ship_components[],COLUMN(AX:AX),0)</f>
        <v>0</v>
      </c>
      <c r="AY413" s="2" cm="1">
        <f t="array" ref="AY413">VLOOKUP($A413,Table_ship_components[],COLUMN(AY:AY),0)</f>
        <v>0</v>
      </c>
      <c r="AZ413" s="2" t="str" cm="1">
        <f t="array" ref="AZ413">VLOOKUP($A413,Table_ship_components[],COLUMN(AZ:AZ),0)</f>
        <v>C</v>
      </c>
      <c r="BA413" s="14" cm="1">
        <f t="array" ref="BA413">VLOOKUP($A413,Table_ship_components[],COLUMN(BA:BA),0)</f>
        <v>1000000</v>
      </c>
      <c r="BB413" s="14" cm="1">
        <f t="array" ref="BB413">(VLOOKUP($A413,Table_ship_components[],COLUMN(BA:BA),0)+(W413*C413))</f>
        <v>1000000</v>
      </c>
      <c r="BC413" s="2" cm="1">
        <f t="array" ref="BC413">VLOOKUP($A413,Table_ship_components[],COLUMN(BC:BC),0)</f>
        <v>0</v>
      </c>
      <c r="BD413" s="2" cm="1">
        <f t="array" ref="BD413">VLOOKUP($A413,Table_ship_components[],COLUMN(BD:BD),0)</f>
        <v>0</v>
      </c>
    </row>
    <row r="414" spans="1:56" outlineLevel="1" x14ac:dyDescent="0.35">
      <c r="A414" t="s">
        <v>324</v>
      </c>
      <c r="B414" t="str" cm="1">
        <f t="array" ref="B414">VLOOKUP($A414,Table_ship_components[],COLUMN(B:B),0)</f>
        <v>huge fixed weapon mount</v>
      </c>
      <c r="D414" cm="1">
        <f t="array" ref="D414">VLOOKUP($A414,Table_ship_components[],COLUMN(D:D),0)</f>
        <v>5</v>
      </c>
      <c r="E414" cm="1">
        <f t="array" ref="E414">ROUND(VLOOKUP($A414,Table_ship_components[],COLUMN(D:D),0)+(V414*C414),0)</f>
        <v>5</v>
      </c>
      <c r="F414" cm="1">
        <f t="array" ref="F414">VLOOKUP($A414,Table_ship_components[],COLUMN(F:F),0)</f>
        <v>0</v>
      </c>
      <c r="G414" cm="1">
        <f t="array" ref="G414">ROUND(VLOOKUP($A414,Table_ship_components[],COLUMN(G:G),0)+(X414*C414),0)</f>
        <v>0</v>
      </c>
      <c r="H414" cm="1">
        <f t="array" ref="H414">VLOOKUP($A414,Table_ship_components[],COLUMN(H:H),0)</f>
        <v>0</v>
      </c>
      <c r="I414" cm="1">
        <f t="array" ref="I414">VLOOKUP($A414,Table_ship_components[],COLUMN(I:I),0)</f>
        <v>0</v>
      </c>
      <c r="J414" cm="1">
        <f t="array" ref="J414">VLOOKUP($A414,Table_ship_components[],COLUMN(J:J),0)</f>
        <v>0</v>
      </c>
      <c r="K414" cm="1">
        <f t="array" ref="K414">VLOOKUP($A414,Table_ship_components[],COLUMN(K:K),0)</f>
        <v>0</v>
      </c>
      <c r="L414" cm="1">
        <f t="array" ref="L414">VLOOKUP($A414,Table_ship_components[],COLUMN(L:L),0)</f>
        <v>0</v>
      </c>
      <c r="M414" cm="1">
        <f t="array" ref="M414">VLOOKUP($A414,Table_ship_components[],COLUMN(M:M),0)</f>
        <v>0</v>
      </c>
      <c r="N414" cm="1">
        <f t="array" ref="N414">VLOOKUP($A414,Table_ship_components[],COLUMN(N:N),0)</f>
        <v>1</v>
      </c>
      <c r="O414" cm="1">
        <f t="array" ref="O414">VLOOKUP($A414,Table_ship_components[],COLUMN(O:O),0)</f>
        <v>1</v>
      </c>
      <c r="P414" cm="1">
        <f t="array" ref="P414">VLOOKUP($A414,Table_ship_components[],COLUMN(P:P),0)</f>
        <v>1</v>
      </c>
      <c r="Q414" cm="1">
        <f t="array" ref="Q414">VLOOKUP($A414,Table_ship_components[],COLUMN(Q:Q),0)</f>
        <v>1</v>
      </c>
      <c r="R414" cm="1">
        <f t="array" ref="R414">VLOOKUP($A414,Table_ship_components[],COLUMN(R:R),0)</f>
        <v>1</v>
      </c>
      <c r="S414" cm="1">
        <f t="array" ref="S414">VLOOKUP($A414,Table_ship_components[],COLUMN(S:S),0)</f>
        <v>1</v>
      </c>
      <c r="T414" cm="1">
        <f t="array" ref="T414">VLOOKUP($A414,Table_ship_components[],COLUMN(T:T),0)</f>
        <v>1</v>
      </c>
      <c r="U414" cm="1">
        <f t="array" ref="U414">VLOOKUP($A414,Table_ship_components[],COLUMN(U:U),0)</f>
        <v>0</v>
      </c>
      <c r="V414" cm="1">
        <f t="array" ref="V414">VLOOKUP($A414,Table_ship_components[],COLUMN(V:V),0)</f>
        <v>0</v>
      </c>
      <c r="W414" s="15" cm="1">
        <f t="array" ref="W414">VLOOKUP($A414,Table_ship_components[],COLUMN(W:W),0)</f>
        <v>0</v>
      </c>
      <c r="X414" cm="1">
        <f t="array" ref="X414">VLOOKUP($A414,Table_ship_components[],COLUMN(X:X),0)</f>
        <v>0</v>
      </c>
      <c r="Y414" cm="1">
        <f t="array" ref="Y414">VLOOKUP($A414,Table_ship_components[],COLUMN(Y:Y),0)</f>
        <v>0</v>
      </c>
      <c r="Z414" cm="1">
        <f t="array" ref="Z414">VLOOKUP($A414,Table_ship_components[],COLUMN(Z:Z),0)</f>
        <v>0</v>
      </c>
      <c r="AA414" cm="1">
        <f t="array" ref="AA414">VLOOKUP($A414,Table_ship_components[],COLUMN(AA:AA),0)*C414</f>
        <v>0</v>
      </c>
      <c r="AB414">
        <f t="shared" si="32"/>
        <v>0</v>
      </c>
      <c r="AC414" cm="1">
        <f t="array" ref="AC414">VLOOKUP($A414,Table_ship_components[],COLUMN(AC:AC),0)*C414</f>
        <v>0</v>
      </c>
      <c r="AD414" cm="1">
        <f t="array" ref="AD414">VLOOKUP($A414,Table_ship_components[],COLUMN(AD:AD),0)</f>
        <v>0</v>
      </c>
      <c r="AE414" cm="1">
        <f t="array" ref="AE414">VLOOKUP($A414,Table_ship_components[],COLUMN(AE:AE),0)</f>
        <v>0</v>
      </c>
      <c r="AF414" cm="1">
        <f t="array" ref="AF414">VLOOKUP($A414,Table_ship_components[],COLUMN(AF:AF),0)</f>
        <v>0</v>
      </c>
      <c r="AG414" cm="1">
        <f t="array" ref="AG414">VLOOKUP($A414,Table_ship_components[],COLUMN(AG:AG),0)</f>
        <v>0</v>
      </c>
      <c r="AH414" cm="1">
        <f t="array" ref="AH414">VLOOKUP($A414,Table_ship_components[],COLUMN(AH:AH),0)</f>
        <v>0</v>
      </c>
      <c r="AI414" cm="1">
        <f t="array" ref="AI414">VLOOKUP($A414,Table_ship_components[],COLUMN(AI:AI),0)</f>
        <v>0</v>
      </c>
      <c r="AJ414" cm="1">
        <f t="array" ref="AJ414">VLOOKUP($A414,Table_ship_components[],COLUMN(AJ:AJ),0)</f>
        <v>0</v>
      </c>
      <c r="AK414" cm="1">
        <f t="array" ref="AK414">VLOOKUP($A414,Table_ship_components[],COLUMN(AK:AK),0)</f>
        <v>0</v>
      </c>
      <c r="AL414" cm="1">
        <f t="array" ref="AL414">VLOOKUP($A414,Table_ship_components[],COLUMN(AL:AL),0)</f>
        <v>0</v>
      </c>
      <c r="AM414" cm="1">
        <f t="array" ref="AM414">VLOOKUP($A414,Table_ship_components[],COLUMN(AM:AM),0)</f>
        <v>0</v>
      </c>
      <c r="AN414" cm="1">
        <f t="array" ref="AN414">VLOOKUP($A414,Table_ship_components[],COLUMN(AN:AN),0)</f>
        <v>0</v>
      </c>
      <c r="AO414" cm="1">
        <f t="array" ref="AO414">VLOOKUP($A414,Table_ship_components[],COLUMN(AO:AO),0)</f>
        <v>0</v>
      </c>
      <c r="AP414" cm="1">
        <f t="array" ref="AP414">VLOOKUP($A414,Table_ship_components[],COLUMN(AP:AP),0)</f>
        <v>0</v>
      </c>
      <c r="AQ414" cm="1">
        <f t="array" ref="AQ414">VLOOKUP($A414,Table_ship_components[],COLUMN(AQ:AQ),0)</f>
        <v>0</v>
      </c>
      <c r="AR414" cm="1">
        <f t="array" ref="AR414">VLOOKUP($A414,Table_ship_components[],COLUMN(AR:AR),0)</f>
        <v>0</v>
      </c>
      <c r="AS414" cm="1">
        <f t="array" ref="AS414">VLOOKUP($A414,Table_ship_components[],COLUMN(AS:AS),0)</f>
        <v>0</v>
      </c>
      <c r="AT414" cm="1">
        <f t="array" ref="AT414">VLOOKUP($A414,Table_ship_components[],COLUMN(AT:AT),0)</f>
        <v>0</v>
      </c>
      <c r="AU414" s="2" cm="1">
        <f t="array" ref="AU414">VLOOKUP($A414,Table_ship_components[],COLUMN(AU:AU),0)</f>
        <v>0</v>
      </c>
      <c r="AV414" s="2" cm="1">
        <f t="array" ref="AV414">VLOOKUP($A414,Table_ship_components[],COLUMN(AV:AV),0)</f>
        <v>0</v>
      </c>
      <c r="AW414" s="2" cm="1">
        <f t="array" ref="AW414">VLOOKUP($A414,Table_ship_components[],COLUMN(AW:AW),0)</f>
        <v>0</v>
      </c>
      <c r="AX414" s="2" cm="1">
        <f t="array" ref="AX414">VLOOKUP($A414,Table_ship_components[],COLUMN(AX:AX),0)</f>
        <v>0</v>
      </c>
      <c r="AY414" s="2" cm="1">
        <f t="array" ref="AY414">VLOOKUP($A414,Table_ship_components[],COLUMN(AY:AY),0)</f>
        <v>0</v>
      </c>
      <c r="AZ414" s="2" t="str" cm="1">
        <f t="array" ref="AZ414">VLOOKUP($A414,Table_ship_components[],COLUMN(AZ:AZ),0)</f>
        <v>C</v>
      </c>
      <c r="BA414" s="14" cm="1">
        <f t="array" ref="BA414">VLOOKUP($A414,Table_ship_components[],COLUMN(BA:BA),0)</f>
        <v>200000</v>
      </c>
      <c r="BB414" s="14" cm="1">
        <f t="array" ref="BB414">(VLOOKUP($A414,Table_ship_components[],COLUMN(BA:BA),0)+(W414*C414))</f>
        <v>200000</v>
      </c>
      <c r="BC414" s="2" cm="1">
        <f t="array" ref="BC414">VLOOKUP($A414,Table_ship_components[],COLUMN(BC:BC),0)</f>
        <v>0</v>
      </c>
      <c r="BD414" s="2" cm="1">
        <f t="array" ref="BD414">VLOOKUP($A414,Table_ship_components[],COLUMN(BD:BD),0)</f>
        <v>0</v>
      </c>
    </row>
    <row r="415" spans="1:56" outlineLevel="1" x14ac:dyDescent="0.35">
      <c r="A415" t="s">
        <v>288</v>
      </c>
      <c r="B415" t="str" cm="1">
        <f t="array" ref="B415">VLOOKUP($A415,Table_ship_components[],COLUMN(B:B),0)</f>
        <v>PICK A COMPONENT</v>
      </c>
      <c r="D415" cm="1">
        <f t="array" ref="D415">VLOOKUP($A415,Table_ship_components[],COLUMN(D:D),0)</f>
        <v>0</v>
      </c>
      <c r="E415" cm="1">
        <f t="array" ref="E415">ROUND(VLOOKUP($A415,Table_ship_components[],COLUMN(D:D),0)+(V415*C415),0)</f>
        <v>0</v>
      </c>
      <c r="F415" cm="1">
        <f t="array" ref="F415">VLOOKUP($A415,Table_ship_components[],COLUMN(F:F),0)</f>
        <v>0</v>
      </c>
      <c r="G415" cm="1">
        <f t="array" ref="G415">ROUND(VLOOKUP($A415,Table_ship_components[],COLUMN(G:G),0)+(X415*C415),0)</f>
        <v>0</v>
      </c>
      <c r="H415" cm="1">
        <f t="array" ref="H415">VLOOKUP($A415,Table_ship_components[],COLUMN(H:H),0)</f>
        <v>0</v>
      </c>
      <c r="I415" cm="1">
        <f t="array" ref="I415">VLOOKUP($A415,Table_ship_components[],COLUMN(I:I),0)</f>
        <v>0</v>
      </c>
      <c r="J415" cm="1">
        <f t="array" ref="J415">VLOOKUP($A415,Table_ship_components[],COLUMN(J:J),0)</f>
        <v>0</v>
      </c>
      <c r="K415" cm="1">
        <f t="array" ref="K415">VLOOKUP($A415,Table_ship_components[],COLUMN(K:K),0)</f>
        <v>0</v>
      </c>
      <c r="L415" cm="1">
        <f t="array" ref="L415">VLOOKUP($A415,Table_ship_components[],COLUMN(L:L),0)</f>
        <v>0</v>
      </c>
      <c r="M415" cm="1">
        <f t="array" ref="M415">VLOOKUP($A415,Table_ship_components[],COLUMN(M:M),0)</f>
        <v>0</v>
      </c>
      <c r="N415" cm="1">
        <f t="array" ref="N415">VLOOKUP($A415,Table_ship_components[],COLUMN(N:N),0)</f>
        <v>0</v>
      </c>
      <c r="O415" cm="1">
        <f t="array" ref="O415">VLOOKUP($A415,Table_ship_components[],COLUMN(O:O),0)</f>
        <v>0</v>
      </c>
      <c r="P415" cm="1">
        <f t="array" ref="P415">VLOOKUP($A415,Table_ship_components[],COLUMN(P:P),0)</f>
        <v>0</v>
      </c>
      <c r="Q415" cm="1">
        <f t="array" ref="Q415">VLOOKUP($A415,Table_ship_components[],COLUMN(Q:Q),0)</f>
        <v>0</v>
      </c>
      <c r="R415" cm="1">
        <f t="array" ref="R415">VLOOKUP($A415,Table_ship_components[],COLUMN(R:R),0)</f>
        <v>0</v>
      </c>
      <c r="S415" cm="1">
        <f t="array" ref="S415">VLOOKUP($A415,Table_ship_components[],COLUMN(S:S),0)</f>
        <v>0</v>
      </c>
      <c r="T415" cm="1">
        <f t="array" ref="T415">VLOOKUP($A415,Table_ship_components[],COLUMN(T:T),0)</f>
        <v>0</v>
      </c>
      <c r="U415" cm="1">
        <f t="array" ref="U415">VLOOKUP($A415,Table_ship_components[],COLUMN(U:U),0)</f>
        <v>0</v>
      </c>
      <c r="V415" cm="1">
        <f t="array" ref="V415">VLOOKUP($A415,Table_ship_components[],COLUMN(V:V),0)</f>
        <v>0</v>
      </c>
      <c r="W415" s="15" cm="1">
        <f t="array" ref="W415">VLOOKUP($A415,Table_ship_components[],COLUMN(W:W),0)</f>
        <v>0</v>
      </c>
      <c r="X415" cm="1">
        <f t="array" ref="X415">VLOOKUP($A415,Table_ship_components[],COLUMN(X:X),0)</f>
        <v>0</v>
      </c>
      <c r="Y415" cm="1">
        <f t="array" ref="Y415">VLOOKUP($A415,Table_ship_components[],COLUMN(Y:Y),0)</f>
        <v>0</v>
      </c>
      <c r="Z415" cm="1">
        <f t="array" ref="Z415">VLOOKUP($A415,Table_ship_components[],COLUMN(Z:Z),0)</f>
        <v>0</v>
      </c>
      <c r="AA415" cm="1">
        <f t="array" ref="AA415">VLOOKUP($A415,Table_ship_components[],COLUMN(AA:AA),0)*C415</f>
        <v>0</v>
      </c>
      <c r="AB415">
        <f t="shared" si="32"/>
        <v>0</v>
      </c>
      <c r="AC415" cm="1">
        <f t="array" ref="AC415">VLOOKUP($A415,Table_ship_components[],COLUMN(AC:AC),0)*C415</f>
        <v>0</v>
      </c>
      <c r="AD415" cm="1">
        <f t="array" ref="AD415">VLOOKUP($A415,Table_ship_components[],COLUMN(AD:AD),0)</f>
        <v>0</v>
      </c>
      <c r="AE415" cm="1">
        <f t="array" ref="AE415">VLOOKUP($A415,Table_ship_components[],COLUMN(AE:AE),0)</f>
        <v>0</v>
      </c>
      <c r="AF415" cm="1">
        <f t="array" ref="AF415">VLOOKUP($A415,Table_ship_components[],COLUMN(AF:AF),0)</f>
        <v>0</v>
      </c>
      <c r="AG415" cm="1">
        <f t="array" ref="AG415">VLOOKUP($A415,Table_ship_components[],COLUMN(AG:AG),0)</f>
        <v>0</v>
      </c>
      <c r="AH415" cm="1">
        <f t="array" ref="AH415">VLOOKUP($A415,Table_ship_components[],COLUMN(AH:AH),0)</f>
        <v>0</v>
      </c>
      <c r="AI415" cm="1">
        <f t="array" ref="AI415">VLOOKUP($A415,Table_ship_components[],COLUMN(AI:AI),0)</f>
        <v>0</v>
      </c>
      <c r="AJ415" cm="1">
        <f t="array" ref="AJ415">VLOOKUP($A415,Table_ship_components[],COLUMN(AJ:AJ),0)</f>
        <v>0</v>
      </c>
      <c r="AK415" cm="1">
        <f t="array" ref="AK415">VLOOKUP($A415,Table_ship_components[],COLUMN(AK:AK),0)</f>
        <v>0</v>
      </c>
      <c r="AL415" cm="1">
        <f t="array" ref="AL415">VLOOKUP($A415,Table_ship_components[],COLUMN(AL:AL),0)</f>
        <v>0</v>
      </c>
      <c r="AM415" cm="1">
        <f t="array" ref="AM415">VLOOKUP($A415,Table_ship_components[],COLUMN(AM:AM),0)</f>
        <v>0</v>
      </c>
      <c r="AN415" cm="1">
        <f t="array" ref="AN415">VLOOKUP($A415,Table_ship_components[],COLUMN(AN:AN),0)</f>
        <v>0</v>
      </c>
      <c r="AO415" cm="1">
        <f t="array" ref="AO415">VLOOKUP($A415,Table_ship_components[],COLUMN(AO:AO),0)</f>
        <v>0</v>
      </c>
      <c r="AP415" cm="1">
        <f t="array" ref="AP415">VLOOKUP($A415,Table_ship_components[],COLUMN(AP:AP),0)</f>
        <v>0</v>
      </c>
      <c r="AQ415" cm="1">
        <f t="array" ref="AQ415">VLOOKUP($A415,Table_ship_components[],COLUMN(AQ:AQ),0)</f>
        <v>0</v>
      </c>
      <c r="AR415" cm="1">
        <f t="array" ref="AR415">VLOOKUP($A415,Table_ship_components[],COLUMN(AR:AR),0)</f>
        <v>0</v>
      </c>
      <c r="AS415" cm="1">
        <f t="array" ref="AS415">VLOOKUP($A415,Table_ship_components[],COLUMN(AS:AS),0)</f>
        <v>0</v>
      </c>
      <c r="AT415" cm="1">
        <f t="array" ref="AT415">VLOOKUP($A415,Table_ship_components[],COLUMN(AT:AT),0)</f>
        <v>0</v>
      </c>
      <c r="AU415" s="2" cm="1">
        <f t="array" ref="AU415">VLOOKUP($A415,Table_ship_components[],COLUMN(AU:AU),0)</f>
        <v>0</v>
      </c>
      <c r="AV415" s="2" cm="1">
        <f t="array" ref="AV415">VLOOKUP($A415,Table_ship_components[],COLUMN(AV:AV),0)</f>
        <v>0</v>
      </c>
      <c r="AW415" s="2" cm="1">
        <f t="array" ref="AW415">VLOOKUP($A415,Table_ship_components[],COLUMN(AW:AW),0)</f>
        <v>0</v>
      </c>
      <c r="AX415" s="2" cm="1">
        <f t="array" ref="AX415">VLOOKUP($A415,Table_ship_components[],COLUMN(AX:AX),0)</f>
        <v>0</v>
      </c>
      <c r="AY415" s="2" cm="1">
        <f t="array" ref="AY415">VLOOKUP($A415,Table_ship_components[],COLUMN(AY:AY),0)</f>
        <v>0</v>
      </c>
      <c r="AZ415" s="2" t="str" cm="1">
        <f t="array" ref="AZ415">VLOOKUP($A415,Table_ship_components[],COLUMN(AZ:AZ),0)</f>
        <v>C</v>
      </c>
      <c r="BA415" s="14" cm="1">
        <f t="array" ref="BA415">VLOOKUP($A415,Table_ship_components[],COLUMN(BA:BA),0)</f>
        <v>0</v>
      </c>
      <c r="BB415" s="14" cm="1">
        <f t="array" ref="BB415">(VLOOKUP($A415,Table_ship_components[],COLUMN(BA:BA),0)+(W415*C415))</f>
        <v>0</v>
      </c>
      <c r="BC415" s="2" cm="1">
        <f t="array" ref="BC415">VLOOKUP($A415,Table_ship_components[],COLUMN(BC:BC),0)</f>
        <v>0</v>
      </c>
      <c r="BD415" s="2" cm="1">
        <f t="array" ref="BD415">VLOOKUP($A415,Table_ship_components[],COLUMN(BD:BD),0)</f>
        <v>0</v>
      </c>
    </row>
    <row r="416" spans="1:56" outlineLevel="1" x14ac:dyDescent="0.35">
      <c r="A416" t="s">
        <v>288</v>
      </c>
      <c r="B416" t="str" cm="1">
        <f t="array" ref="B416">VLOOKUP($A416,Table_ship_components[],COLUMN(B:B),0)</f>
        <v>PICK A COMPONENT</v>
      </c>
      <c r="D416" cm="1">
        <f t="array" ref="D416">VLOOKUP($A416,Table_ship_components[],COLUMN(D:D),0)</f>
        <v>0</v>
      </c>
      <c r="E416" cm="1">
        <f t="array" ref="E416">ROUND(VLOOKUP($A416,Table_ship_components[],COLUMN(D:D),0)+(V416*C416),0)</f>
        <v>0</v>
      </c>
      <c r="F416" cm="1">
        <f t="array" ref="F416">VLOOKUP($A416,Table_ship_components[],COLUMN(F:F),0)</f>
        <v>0</v>
      </c>
      <c r="G416" cm="1">
        <f t="array" ref="G416">ROUND(VLOOKUP($A416,Table_ship_components[],COLUMN(G:G),0)+(X416*C416),0)</f>
        <v>0</v>
      </c>
      <c r="H416" cm="1">
        <f t="array" ref="H416">VLOOKUP($A416,Table_ship_components[],COLUMN(H:H),0)</f>
        <v>0</v>
      </c>
      <c r="I416" cm="1">
        <f t="array" ref="I416">VLOOKUP($A416,Table_ship_components[],COLUMN(I:I),0)</f>
        <v>0</v>
      </c>
      <c r="J416" cm="1">
        <f t="array" ref="J416">VLOOKUP($A416,Table_ship_components[],COLUMN(J:J),0)</f>
        <v>0</v>
      </c>
      <c r="K416" cm="1">
        <f t="array" ref="K416">VLOOKUP($A416,Table_ship_components[],COLUMN(K:K),0)</f>
        <v>0</v>
      </c>
      <c r="L416" cm="1">
        <f t="array" ref="L416">VLOOKUP($A416,Table_ship_components[],COLUMN(L:L),0)</f>
        <v>0</v>
      </c>
      <c r="M416" cm="1">
        <f t="array" ref="M416">VLOOKUP($A416,Table_ship_components[],COLUMN(M:M),0)</f>
        <v>0</v>
      </c>
      <c r="N416" cm="1">
        <f t="array" ref="N416">VLOOKUP($A416,Table_ship_components[],COLUMN(N:N),0)</f>
        <v>0</v>
      </c>
      <c r="O416" cm="1">
        <f t="array" ref="O416">VLOOKUP($A416,Table_ship_components[],COLUMN(O:O),0)</f>
        <v>0</v>
      </c>
      <c r="P416" cm="1">
        <f t="array" ref="P416">VLOOKUP($A416,Table_ship_components[],COLUMN(P:P),0)</f>
        <v>0</v>
      </c>
      <c r="Q416" cm="1">
        <f t="array" ref="Q416">VLOOKUP($A416,Table_ship_components[],COLUMN(Q:Q),0)</f>
        <v>0</v>
      </c>
      <c r="R416" cm="1">
        <f t="array" ref="R416">VLOOKUP($A416,Table_ship_components[],COLUMN(R:R),0)</f>
        <v>0</v>
      </c>
      <c r="S416" cm="1">
        <f t="array" ref="S416">VLOOKUP($A416,Table_ship_components[],COLUMN(S:S),0)</f>
        <v>0</v>
      </c>
      <c r="T416" cm="1">
        <f t="array" ref="T416">VLOOKUP($A416,Table_ship_components[],COLUMN(T:T),0)</f>
        <v>0</v>
      </c>
      <c r="U416" cm="1">
        <f t="array" ref="U416">VLOOKUP($A416,Table_ship_components[],COLUMN(U:U),0)</f>
        <v>0</v>
      </c>
      <c r="V416" cm="1">
        <f t="array" ref="V416">VLOOKUP($A416,Table_ship_components[],COLUMN(V:V),0)</f>
        <v>0</v>
      </c>
      <c r="W416" s="15" cm="1">
        <f t="array" ref="W416">VLOOKUP($A416,Table_ship_components[],COLUMN(W:W),0)</f>
        <v>0</v>
      </c>
      <c r="X416" cm="1">
        <f t="array" ref="X416">VLOOKUP($A416,Table_ship_components[],COLUMN(X:X),0)</f>
        <v>0</v>
      </c>
      <c r="Y416" cm="1">
        <f t="array" ref="Y416">VLOOKUP($A416,Table_ship_components[],COLUMN(Y:Y),0)</f>
        <v>0</v>
      </c>
      <c r="Z416" cm="1">
        <f t="array" ref="Z416">VLOOKUP($A416,Table_ship_components[],COLUMN(Z:Z),0)</f>
        <v>0</v>
      </c>
      <c r="AA416" cm="1">
        <f t="array" ref="AA416">VLOOKUP($A416,Table_ship_components[],COLUMN(AA:AA),0)*C416</f>
        <v>0</v>
      </c>
      <c r="AB416">
        <f t="shared" si="32"/>
        <v>0</v>
      </c>
      <c r="AC416" cm="1">
        <f t="array" ref="AC416">VLOOKUP($A416,Table_ship_components[],COLUMN(AC:AC),0)*C416</f>
        <v>0</v>
      </c>
      <c r="AD416" cm="1">
        <f t="array" ref="AD416">VLOOKUP($A416,Table_ship_components[],COLUMN(AD:AD),0)</f>
        <v>0</v>
      </c>
      <c r="AE416" cm="1">
        <f t="array" ref="AE416">VLOOKUP($A416,Table_ship_components[],COLUMN(AE:AE),0)</f>
        <v>0</v>
      </c>
      <c r="AF416" cm="1">
        <f t="array" ref="AF416">VLOOKUP($A416,Table_ship_components[],COLUMN(AF:AF),0)</f>
        <v>0</v>
      </c>
      <c r="AG416" cm="1">
        <f t="array" ref="AG416">VLOOKUP($A416,Table_ship_components[],COLUMN(AG:AG),0)</f>
        <v>0</v>
      </c>
      <c r="AH416" cm="1">
        <f t="array" ref="AH416">VLOOKUP($A416,Table_ship_components[],COLUMN(AH:AH),0)</f>
        <v>0</v>
      </c>
      <c r="AI416" cm="1">
        <f t="array" ref="AI416">VLOOKUP($A416,Table_ship_components[],COLUMN(AI:AI),0)</f>
        <v>0</v>
      </c>
      <c r="AJ416" cm="1">
        <f t="array" ref="AJ416">VLOOKUP($A416,Table_ship_components[],COLUMN(AJ:AJ),0)</f>
        <v>0</v>
      </c>
      <c r="AK416" cm="1">
        <f t="array" ref="AK416">VLOOKUP($A416,Table_ship_components[],COLUMN(AK:AK),0)</f>
        <v>0</v>
      </c>
      <c r="AL416" cm="1">
        <f t="array" ref="AL416">VLOOKUP($A416,Table_ship_components[],COLUMN(AL:AL),0)</f>
        <v>0</v>
      </c>
      <c r="AM416" cm="1">
        <f t="array" ref="AM416">VLOOKUP($A416,Table_ship_components[],COLUMN(AM:AM),0)</f>
        <v>0</v>
      </c>
      <c r="AN416" cm="1">
        <f t="array" ref="AN416">VLOOKUP($A416,Table_ship_components[],COLUMN(AN:AN),0)</f>
        <v>0</v>
      </c>
      <c r="AO416" cm="1">
        <f t="array" ref="AO416">VLOOKUP($A416,Table_ship_components[],COLUMN(AO:AO),0)</f>
        <v>0</v>
      </c>
      <c r="AP416" cm="1">
        <f t="array" ref="AP416">VLOOKUP($A416,Table_ship_components[],COLUMN(AP:AP),0)</f>
        <v>0</v>
      </c>
      <c r="AQ416" cm="1">
        <f t="array" ref="AQ416">VLOOKUP($A416,Table_ship_components[],COLUMN(AQ:AQ),0)</f>
        <v>0</v>
      </c>
      <c r="AR416" cm="1">
        <f t="array" ref="AR416">VLOOKUP($A416,Table_ship_components[],COLUMN(AR:AR),0)</f>
        <v>0</v>
      </c>
      <c r="AS416" cm="1">
        <f t="array" ref="AS416">VLOOKUP($A416,Table_ship_components[],COLUMN(AS:AS),0)</f>
        <v>0</v>
      </c>
      <c r="AT416" cm="1">
        <f t="array" ref="AT416">VLOOKUP($A416,Table_ship_components[],COLUMN(AT:AT),0)</f>
        <v>0</v>
      </c>
      <c r="AU416" s="2" cm="1">
        <f t="array" ref="AU416">VLOOKUP($A416,Table_ship_components[],COLUMN(AU:AU),0)</f>
        <v>0</v>
      </c>
      <c r="AV416" s="2" cm="1">
        <f t="array" ref="AV416">VLOOKUP($A416,Table_ship_components[],COLUMN(AV:AV),0)</f>
        <v>0</v>
      </c>
      <c r="AW416" s="2" cm="1">
        <f t="array" ref="AW416">VLOOKUP($A416,Table_ship_components[],COLUMN(AW:AW),0)</f>
        <v>0</v>
      </c>
      <c r="AX416" s="2" cm="1">
        <f t="array" ref="AX416">VLOOKUP($A416,Table_ship_components[],COLUMN(AX:AX),0)</f>
        <v>0</v>
      </c>
      <c r="AY416" s="2" cm="1">
        <f t="array" ref="AY416">VLOOKUP($A416,Table_ship_components[],COLUMN(AY:AY),0)</f>
        <v>0</v>
      </c>
      <c r="AZ416" s="2" t="str" cm="1">
        <f t="array" ref="AZ416">VLOOKUP($A416,Table_ship_components[],COLUMN(AZ:AZ),0)</f>
        <v>C</v>
      </c>
      <c r="BA416" s="14" cm="1">
        <f t="array" ref="BA416">VLOOKUP($A416,Table_ship_components[],COLUMN(BA:BA),0)</f>
        <v>0</v>
      </c>
      <c r="BB416" s="14" cm="1">
        <f t="array" ref="BB416">(VLOOKUP($A416,Table_ship_components[],COLUMN(BA:BA),0)+(W416*C416))</f>
        <v>0</v>
      </c>
      <c r="BC416" s="2" cm="1">
        <f t="array" ref="BC416">VLOOKUP($A416,Table_ship_components[],COLUMN(BC:BC),0)</f>
        <v>0</v>
      </c>
      <c r="BD416" s="2" cm="1">
        <f t="array" ref="BD416">VLOOKUP($A416,Table_ship_components[],COLUMN(BD:BD),0)</f>
        <v>0</v>
      </c>
    </row>
    <row r="417" spans="1:56" outlineLevel="1" x14ac:dyDescent="0.35">
      <c r="A417" t="s">
        <v>288</v>
      </c>
      <c r="B417" t="str" cm="1">
        <f t="array" ref="B417">VLOOKUP($A417,Table_ship_components[],COLUMN(B:B),0)</f>
        <v>PICK A COMPONENT</v>
      </c>
      <c r="D417" cm="1">
        <f t="array" ref="D417">VLOOKUP($A417,Table_ship_components[],COLUMN(D:D),0)</f>
        <v>0</v>
      </c>
      <c r="E417" cm="1">
        <f t="array" ref="E417">ROUND(VLOOKUP($A417,Table_ship_components[],COLUMN(D:D),0)+(V417*C417),0)</f>
        <v>0</v>
      </c>
      <c r="F417" cm="1">
        <f t="array" ref="F417">VLOOKUP($A417,Table_ship_components[],COLUMN(F:F),0)</f>
        <v>0</v>
      </c>
      <c r="G417" cm="1">
        <f t="array" ref="G417">ROUND(VLOOKUP($A417,Table_ship_components[],COLUMN(G:G),0)+(X417*C417),0)</f>
        <v>0</v>
      </c>
      <c r="H417" cm="1">
        <f t="array" ref="H417">VLOOKUP($A417,Table_ship_components[],COLUMN(H:H),0)</f>
        <v>0</v>
      </c>
      <c r="I417" cm="1">
        <f t="array" ref="I417">VLOOKUP($A417,Table_ship_components[],COLUMN(I:I),0)</f>
        <v>0</v>
      </c>
      <c r="J417" cm="1">
        <f t="array" ref="J417">VLOOKUP($A417,Table_ship_components[],COLUMN(J:J),0)</f>
        <v>0</v>
      </c>
      <c r="K417" cm="1">
        <f t="array" ref="K417">VLOOKUP($A417,Table_ship_components[],COLUMN(K:K),0)</f>
        <v>0</v>
      </c>
      <c r="L417" cm="1">
        <f t="array" ref="L417">VLOOKUP($A417,Table_ship_components[],COLUMN(L:L),0)</f>
        <v>0</v>
      </c>
      <c r="M417" cm="1">
        <f t="array" ref="M417">VLOOKUP($A417,Table_ship_components[],COLUMN(M:M),0)</f>
        <v>0</v>
      </c>
      <c r="N417" cm="1">
        <f t="array" ref="N417">VLOOKUP($A417,Table_ship_components[],COLUMN(N:N),0)</f>
        <v>0</v>
      </c>
      <c r="O417" cm="1">
        <f t="array" ref="O417">VLOOKUP($A417,Table_ship_components[],COLUMN(O:O),0)</f>
        <v>0</v>
      </c>
      <c r="P417" cm="1">
        <f t="array" ref="P417">VLOOKUP($A417,Table_ship_components[],COLUMN(P:P),0)</f>
        <v>0</v>
      </c>
      <c r="Q417" cm="1">
        <f t="array" ref="Q417">VLOOKUP($A417,Table_ship_components[],COLUMN(Q:Q),0)</f>
        <v>0</v>
      </c>
      <c r="R417" cm="1">
        <f t="array" ref="R417">VLOOKUP($A417,Table_ship_components[],COLUMN(R:R),0)</f>
        <v>0</v>
      </c>
      <c r="S417" cm="1">
        <f t="array" ref="S417">VLOOKUP($A417,Table_ship_components[],COLUMN(S:S),0)</f>
        <v>0</v>
      </c>
      <c r="T417" cm="1">
        <f t="array" ref="T417">VLOOKUP($A417,Table_ship_components[],COLUMN(T:T),0)</f>
        <v>0</v>
      </c>
      <c r="U417" cm="1">
        <f t="array" ref="U417">VLOOKUP($A417,Table_ship_components[],COLUMN(U:U),0)</f>
        <v>0</v>
      </c>
      <c r="V417" cm="1">
        <f t="array" ref="V417">VLOOKUP($A417,Table_ship_components[],COLUMN(V:V),0)</f>
        <v>0</v>
      </c>
      <c r="W417" s="15" cm="1">
        <f t="array" ref="W417">VLOOKUP($A417,Table_ship_components[],COLUMN(W:W),0)</f>
        <v>0</v>
      </c>
      <c r="X417" cm="1">
        <f t="array" ref="X417">VLOOKUP($A417,Table_ship_components[],COLUMN(X:X),0)</f>
        <v>0</v>
      </c>
      <c r="Y417" cm="1">
        <f t="array" ref="Y417">VLOOKUP($A417,Table_ship_components[],COLUMN(Y:Y),0)</f>
        <v>0</v>
      </c>
      <c r="Z417" cm="1">
        <f t="array" ref="Z417">VLOOKUP($A417,Table_ship_components[],COLUMN(Z:Z),0)</f>
        <v>0</v>
      </c>
      <c r="AA417" cm="1">
        <f t="array" ref="AA417">VLOOKUP($A417,Table_ship_components[],COLUMN(AA:AA),0)*C417</f>
        <v>0</v>
      </c>
      <c r="AB417">
        <f t="shared" si="32"/>
        <v>0</v>
      </c>
      <c r="AC417" cm="1">
        <f t="array" ref="AC417">VLOOKUP($A417,Table_ship_components[],COLUMN(AC:AC),0)*C417</f>
        <v>0</v>
      </c>
      <c r="AD417" cm="1">
        <f t="array" ref="AD417">VLOOKUP($A417,Table_ship_components[],COLUMN(AD:AD),0)</f>
        <v>0</v>
      </c>
      <c r="AE417" cm="1">
        <f t="array" ref="AE417">VLOOKUP($A417,Table_ship_components[],COLUMN(AE:AE),0)</f>
        <v>0</v>
      </c>
      <c r="AF417" cm="1">
        <f t="array" ref="AF417">VLOOKUP($A417,Table_ship_components[],COLUMN(AF:AF),0)</f>
        <v>0</v>
      </c>
      <c r="AG417" cm="1">
        <f t="array" ref="AG417">VLOOKUP($A417,Table_ship_components[],COLUMN(AG:AG),0)</f>
        <v>0</v>
      </c>
      <c r="AH417" cm="1">
        <f t="array" ref="AH417">VLOOKUP($A417,Table_ship_components[],COLUMN(AH:AH),0)</f>
        <v>0</v>
      </c>
      <c r="AI417" cm="1">
        <f t="array" ref="AI417">VLOOKUP($A417,Table_ship_components[],COLUMN(AI:AI),0)</f>
        <v>0</v>
      </c>
      <c r="AJ417" cm="1">
        <f t="array" ref="AJ417">VLOOKUP($A417,Table_ship_components[],COLUMN(AJ:AJ),0)</f>
        <v>0</v>
      </c>
      <c r="AK417" cm="1">
        <f t="array" ref="AK417">VLOOKUP($A417,Table_ship_components[],COLUMN(AK:AK),0)</f>
        <v>0</v>
      </c>
      <c r="AL417" cm="1">
        <f t="array" ref="AL417">VLOOKUP($A417,Table_ship_components[],COLUMN(AL:AL),0)</f>
        <v>0</v>
      </c>
      <c r="AM417" cm="1">
        <f t="array" ref="AM417">VLOOKUP($A417,Table_ship_components[],COLUMN(AM:AM),0)</f>
        <v>0</v>
      </c>
      <c r="AN417" cm="1">
        <f t="array" ref="AN417">VLOOKUP($A417,Table_ship_components[],COLUMN(AN:AN),0)</f>
        <v>0</v>
      </c>
      <c r="AO417" cm="1">
        <f t="array" ref="AO417">VLOOKUP($A417,Table_ship_components[],COLUMN(AO:AO),0)</f>
        <v>0</v>
      </c>
      <c r="AP417" cm="1">
        <f t="array" ref="AP417">VLOOKUP($A417,Table_ship_components[],COLUMN(AP:AP),0)</f>
        <v>0</v>
      </c>
      <c r="AQ417" cm="1">
        <f t="array" ref="AQ417">VLOOKUP($A417,Table_ship_components[],COLUMN(AQ:AQ),0)</f>
        <v>0</v>
      </c>
      <c r="AR417" cm="1">
        <f t="array" ref="AR417">VLOOKUP($A417,Table_ship_components[],COLUMN(AR:AR),0)</f>
        <v>0</v>
      </c>
      <c r="AS417" cm="1">
        <f t="array" ref="AS417">VLOOKUP($A417,Table_ship_components[],COLUMN(AS:AS),0)</f>
        <v>0</v>
      </c>
      <c r="AT417" cm="1">
        <f t="array" ref="AT417">VLOOKUP($A417,Table_ship_components[],COLUMN(AT:AT),0)</f>
        <v>0</v>
      </c>
      <c r="AU417" s="2" cm="1">
        <f t="array" ref="AU417">VLOOKUP($A417,Table_ship_components[],COLUMN(AU:AU),0)</f>
        <v>0</v>
      </c>
      <c r="AV417" s="2" cm="1">
        <f t="array" ref="AV417">VLOOKUP($A417,Table_ship_components[],COLUMN(AV:AV),0)</f>
        <v>0</v>
      </c>
      <c r="AW417" s="2" cm="1">
        <f t="array" ref="AW417">VLOOKUP($A417,Table_ship_components[],COLUMN(AW:AW),0)</f>
        <v>0</v>
      </c>
      <c r="AX417" s="2" cm="1">
        <f t="array" ref="AX417">VLOOKUP($A417,Table_ship_components[],COLUMN(AX:AX),0)</f>
        <v>0</v>
      </c>
      <c r="AY417" s="2" cm="1">
        <f t="array" ref="AY417">VLOOKUP($A417,Table_ship_components[],COLUMN(AY:AY),0)</f>
        <v>0</v>
      </c>
      <c r="AZ417" s="2" t="str" cm="1">
        <f t="array" ref="AZ417">VLOOKUP($A417,Table_ship_components[],COLUMN(AZ:AZ),0)</f>
        <v>C</v>
      </c>
      <c r="BA417" s="14" cm="1">
        <f t="array" ref="BA417">VLOOKUP($A417,Table_ship_components[],COLUMN(BA:BA),0)</f>
        <v>0</v>
      </c>
      <c r="BB417" s="14" cm="1">
        <f t="array" ref="BB417">(VLOOKUP($A417,Table_ship_components[],COLUMN(BA:BA),0)+(W417*C417))</f>
        <v>0</v>
      </c>
      <c r="BC417" s="2" cm="1">
        <f t="array" ref="BC417">VLOOKUP($A417,Table_ship_components[],COLUMN(BC:BC),0)</f>
        <v>0</v>
      </c>
      <c r="BD417" s="2" cm="1">
        <f t="array" ref="BD417">VLOOKUP($A417,Table_ship_components[],COLUMN(BD:BD),0)</f>
        <v>0</v>
      </c>
    </row>
    <row r="418" spans="1:56" outlineLevel="1" x14ac:dyDescent="0.35">
      <c r="A418" t="s">
        <v>288</v>
      </c>
      <c r="B418" t="str" cm="1">
        <f t="array" ref="B418">VLOOKUP($A418,Table_ship_components[],COLUMN(B:B),0)</f>
        <v>PICK A COMPONENT</v>
      </c>
      <c r="D418" cm="1">
        <f t="array" ref="D418">VLOOKUP($A418,Table_ship_components[],COLUMN(D:D),0)</f>
        <v>0</v>
      </c>
      <c r="E418" cm="1">
        <f t="array" ref="E418">ROUND(VLOOKUP($A418,Table_ship_components[],COLUMN(D:D),0)+(V418*C418),0)</f>
        <v>0</v>
      </c>
      <c r="F418" cm="1">
        <f t="array" ref="F418">VLOOKUP($A418,Table_ship_components[],COLUMN(F:F),0)</f>
        <v>0</v>
      </c>
      <c r="G418" cm="1">
        <f t="array" ref="G418">ROUND(VLOOKUP($A418,Table_ship_components[],COLUMN(G:G),0)+(X418*C418),0)</f>
        <v>0</v>
      </c>
      <c r="H418" cm="1">
        <f t="array" ref="H418">VLOOKUP($A418,Table_ship_components[],COLUMN(H:H),0)</f>
        <v>0</v>
      </c>
      <c r="I418" cm="1">
        <f t="array" ref="I418">VLOOKUP($A418,Table_ship_components[],COLUMN(I:I),0)</f>
        <v>0</v>
      </c>
      <c r="J418" cm="1">
        <f t="array" ref="J418">VLOOKUP($A418,Table_ship_components[],COLUMN(J:J),0)</f>
        <v>0</v>
      </c>
      <c r="K418" cm="1">
        <f t="array" ref="K418">VLOOKUP($A418,Table_ship_components[],COLUMN(K:K),0)</f>
        <v>0</v>
      </c>
      <c r="L418" cm="1">
        <f t="array" ref="L418">VLOOKUP($A418,Table_ship_components[],COLUMN(L:L),0)</f>
        <v>0</v>
      </c>
      <c r="M418" cm="1">
        <f t="array" ref="M418">VLOOKUP($A418,Table_ship_components[],COLUMN(M:M),0)</f>
        <v>0</v>
      </c>
      <c r="N418" cm="1">
        <f t="array" ref="N418">VLOOKUP($A418,Table_ship_components[],COLUMN(N:N),0)</f>
        <v>0</v>
      </c>
      <c r="O418" cm="1">
        <f t="array" ref="O418">VLOOKUP($A418,Table_ship_components[],COLUMN(O:O),0)</f>
        <v>0</v>
      </c>
      <c r="P418" cm="1">
        <f t="array" ref="P418">VLOOKUP($A418,Table_ship_components[],COLUMN(P:P),0)</f>
        <v>0</v>
      </c>
      <c r="Q418" cm="1">
        <f t="array" ref="Q418">VLOOKUP($A418,Table_ship_components[],COLUMN(Q:Q),0)</f>
        <v>0</v>
      </c>
      <c r="R418" cm="1">
        <f t="array" ref="R418">VLOOKUP($A418,Table_ship_components[],COLUMN(R:R),0)</f>
        <v>0</v>
      </c>
      <c r="S418" cm="1">
        <f t="array" ref="S418">VLOOKUP($A418,Table_ship_components[],COLUMN(S:S),0)</f>
        <v>0</v>
      </c>
      <c r="T418" cm="1">
        <f t="array" ref="T418">VLOOKUP($A418,Table_ship_components[],COLUMN(T:T),0)</f>
        <v>0</v>
      </c>
      <c r="U418" cm="1">
        <f t="array" ref="U418">VLOOKUP($A418,Table_ship_components[],COLUMN(U:U),0)</f>
        <v>0</v>
      </c>
      <c r="V418" cm="1">
        <f t="array" ref="V418">VLOOKUP($A418,Table_ship_components[],COLUMN(V:V),0)</f>
        <v>0</v>
      </c>
      <c r="W418" s="15" cm="1">
        <f t="array" ref="W418">VLOOKUP($A418,Table_ship_components[],COLUMN(W:W),0)</f>
        <v>0</v>
      </c>
      <c r="X418" cm="1">
        <f t="array" ref="X418">VLOOKUP($A418,Table_ship_components[],COLUMN(X:X),0)</f>
        <v>0</v>
      </c>
      <c r="Y418" cm="1">
        <f t="array" ref="Y418">VLOOKUP($A418,Table_ship_components[],COLUMN(Y:Y),0)</f>
        <v>0</v>
      </c>
      <c r="Z418" cm="1">
        <f t="array" ref="Z418">VLOOKUP($A418,Table_ship_components[],COLUMN(Z:Z),0)</f>
        <v>0</v>
      </c>
      <c r="AA418" cm="1">
        <f t="array" ref="AA418">VLOOKUP($A418,Table_ship_components[],COLUMN(AA:AA),0)*C418</f>
        <v>0</v>
      </c>
      <c r="AB418">
        <f t="shared" si="32"/>
        <v>0</v>
      </c>
      <c r="AC418" cm="1">
        <f t="array" ref="AC418">VLOOKUP($A418,Table_ship_components[],COLUMN(AC:AC),0)*C418</f>
        <v>0</v>
      </c>
      <c r="AD418" cm="1">
        <f t="array" ref="AD418">VLOOKUP($A418,Table_ship_components[],COLUMN(AD:AD),0)</f>
        <v>0</v>
      </c>
      <c r="AE418" cm="1">
        <f t="array" ref="AE418">VLOOKUP($A418,Table_ship_components[],COLUMN(AE:AE),0)</f>
        <v>0</v>
      </c>
      <c r="AF418" cm="1">
        <f t="array" ref="AF418">VLOOKUP($A418,Table_ship_components[],COLUMN(AF:AF),0)</f>
        <v>0</v>
      </c>
      <c r="AG418" cm="1">
        <f t="array" ref="AG418">VLOOKUP($A418,Table_ship_components[],COLUMN(AG:AG),0)</f>
        <v>0</v>
      </c>
      <c r="AH418" cm="1">
        <f t="array" ref="AH418">VLOOKUP($A418,Table_ship_components[],COLUMN(AH:AH),0)</f>
        <v>0</v>
      </c>
      <c r="AI418" cm="1">
        <f t="array" ref="AI418">VLOOKUP($A418,Table_ship_components[],COLUMN(AI:AI),0)</f>
        <v>0</v>
      </c>
      <c r="AJ418" cm="1">
        <f t="array" ref="AJ418">VLOOKUP($A418,Table_ship_components[],COLUMN(AJ:AJ),0)</f>
        <v>0</v>
      </c>
      <c r="AK418" cm="1">
        <f t="array" ref="AK418">VLOOKUP($A418,Table_ship_components[],COLUMN(AK:AK),0)</f>
        <v>0</v>
      </c>
      <c r="AL418" cm="1">
        <f t="array" ref="AL418">VLOOKUP($A418,Table_ship_components[],COLUMN(AL:AL),0)</f>
        <v>0</v>
      </c>
      <c r="AM418" cm="1">
        <f t="array" ref="AM418">VLOOKUP($A418,Table_ship_components[],COLUMN(AM:AM),0)</f>
        <v>0</v>
      </c>
      <c r="AN418" cm="1">
        <f t="array" ref="AN418">VLOOKUP($A418,Table_ship_components[],COLUMN(AN:AN),0)</f>
        <v>0</v>
      </c>
      <c r="AO418" cm="1">
        <f t="array" ref="AO418">VLOOKUP($A418,Table_ship_components[],COLUMN(AO:AO),0)</f>
        <v>0</v>
      </c>
      <c r="AP418" cm="1">
        <f t="array" ref="AP418">VLOOKUP($A418,Table_ship_components[],COLUMN(AP:AP),0)</f>
        <v>0</v>
      </c>
      <c r="AQ418" cm="1">
        <f t="array" ref="AQ418">VLOOKUP($A418,Table_ship_components[],COLUMN(AQ:AQ),0)</f>
        <v>0</v>
      </c>
      <c r="AR418" cm="1">
        <f t="array" ref="AR418">VLOOKUP($A418,Table_ship_components[],COLUMN(AR:AR),0)</f>
        <v>0</v>
      </c>
      <c r="AS418" cm="1">
        <f t="array" ref="AS418">VLOOKUP($A418,Table_ship_components[],COLUMN(AS:AS),0)</f>
        <v>0</v>
      </c>
      <c r="AT418" cm="1">
        <f t="array" ref="AT418">VLOOKUP($A418,Table_ship_components[],COLUMN(AT:AT),0)</f>
        <v>0</v>
      </c>
      <c r="AU418" s="2" cm="1">
        <f t="array" ref="AU418">VLOOKUP($A418,Table_ship_components[],COLUMN(AU:AU),0)</f>
        <v>0</v>
      </c>
      <c r="AV418" s="2" cm="1">
        <f t="array" ref="AV418">VLOOKUP($A418,Table_ship_components[],COLUMN(AV:AV),0)</f>
        <v>0</v>
      </c>
      <c r="AW418" s="2" cm="1">
        <f t="array" ref="AW418">VLOOKUP($A418,Table_ship_components[],COLUMN(AW:AW),0)</f>
        <v>0</v>
      </c>
      <c r="AX418" s="2" cm="1">
        <f t="array" ref="AX418">VLOOKUP($A418,Table_ship_components[],COLUMN(AX:AX),0)</f>
        <v>0</v>
      </c>
      <c r="AY418" s="2" cm="1">
        <f t="array" ref="AY418">VLOOKUP($A418,Table_ship_components[],COLUMN(AY:AY),0)</f>
        <v>0</v>
      </c>
      <c r="AZ418" s="2" t="str" cm="1">
        <f t="array" ref="AZ418">VLOOKUP($A418,Table_ship_components[],COLUMN(AZ:AZ),0)</f>
        <v>C</v>
      </c>
      <c r="BA418" s="14" cm="1">
        <f t="array" ref="BA418">VLOOKUP($A418,Table_ship_components[],COLUMN(BA:BA),0)</f>
        <v>0</v>
      </c>
      <c r="BB418" s="14" cm="1">
        <f t="array" ref="BB418">(VLOOKUP($A418,Table_ship_components[],COLUMN(BA:BA),0)+(W418*C418))</f>
        <v>0</v>
      </c>
      <c r="BC418" s="2" cm="1">
        <f t="array" ref="BC418">VLOOKUP($A418,Table_ship_components[],COLUMN(BC:BC),0)</f>
        <v>0</v>
      </c>
      <c r="BD418" s="2" cm="1">
        <f t="array" ref="BD418">VLOOKUP($A418,Table_ship_components[],COLUMN(BD:BD),0)</f>
        <v>0</v>
      </c>
    </row>
    <row r="419" spans="1:56" outlineLevel="1" x14ac:dyDescent="0.35">
      <c r="A419" t="s">
        <v>288</v>
      </c>
      <c r="B419" t="str" cm="1">
        <f t="array" ref="B419">VLOOKUP($A419,Table_ship_components[],COLUMN(B:B),0)</f>
        <v>PICK A COMPONENT</v>
      </c>
      <c r="D419" cm="1">
        <f t="array" ref="D419">VLOOKUP($A419,Table_ship_components[],COLUMN(D:D),0)</f>
        <v>0</v>
      </c>
      <c r="E419" cm="1">
        <f t="array" ref="E419">ROUND(VLOOKUP($A419,Table_ship_components[],COLUMN(D:D),0)+(V419*C419),0)</f>
        <v>0</v>
      </c>
      <c r="F419" cm="1">
        <f t="array" ref="F419">VLOOKUP($A419,Table_ship_components[],COLUMN(F:F),0)</f>
        <v>0</v>
      </c>
      <c r="G419" cm="1">
        <f t="array" ref="G419">ROUND(VLOOKUP($A419,Table_ship_components[],COLUMN(G:G),0)+(X419*C419),0)</f>
        <v>0</v>
      </c>
      <c r="H419" cm="1">
        <f t="array" ref="H419">VLOOKUP($A419,Table_ship_components[],COLUMN(H:H),0)</f>
        <v>0</v>
      </c>
      <c r="I419" cm="1">
        <f t="array" ref="I419">VLOOKUP($A419,Table_ship_components[],COLUMN(I:I),0)</f>
        <v>0</v>
      </c>
      <c r="J419" cm="1">
        <f t="array" ref="J419">VLOOKUP($A419,Table_ship_components[],COLUMN(J:J),0)</f>
        <v>0</v>
      </c>
      <c r="K419" cm="1">
        <f t="array" ref="K419">VLOOKUP($A419,Table_ship_components[],COLUMN(K:K),0)</f>
        <v>0</v>
      </c>
      <c r="L419" cm="1">
        <f t="array" ref="L419">VLOOKUP($A419,Table_ship_components[],COLUMN(L:L),0)</f>
        <v>0</v>
      </c>
      <c r="M419" cm="1">
        <f t="array" ref="M419">VLOOKUP($A419,Table_ship_components[],COLUMN(M:M),0)</f>
        <v>0</v>
      </c>
      <c r="N419" cm="1">
        <f t="array" ref="N419">VLOOKUP($A419,Table_ship_components[],COLUMN(N:N),0)</f>
        <v>0</v>
      </c>
      <c r="O419" cm="1">
        <f t="array" ref="O419">VLOOKUP($A419,Table_ship_components[],COLUMN(O:O),0)</f>
        <v>0</v>
      </c>
      <c r="P419" cm="1">
        <f t="array" ref="P419">VLOOKUP($A419,Table_ship_components[],COLUMN(P:P),0)</f>
        <v>0</v>
      </c>
      <c r="Q419" cm="1">
        <f t="array" ref="Q419">VLOOKUP($A419,Table_ship_components[],COLUMN(Q:Q),0)</f>
        <v>0</v>
      </c>
      <c r="R419" cm="1">
        <f t="array" ref="R419">VLOOKUP($A419,Table_ship_components[],COLUMN(R:R),0)</f>
        <v>0</v>
      </c>
      <c r="S419" cm="1">
        <f t="array" ref="S419">VLOOKUP($A419,Table_ship_components[],COLUMN(S:S),0)</f>
        <v>0</v>
      </c>
      <c r="T419" cm="1">
        <f t="array" ref="T419">VLOOKUP($A419,Table_ship_components[],COLUMN(T:T),0)</f>
        <v>0</v>
      </c>
      <c r="U419" cm="1">
        <f t="array" ref="U419">VLOOKUP($A419,Table_ship_components[],COLUMN(U:U),0)</f>
        <v>0</v>
      </c>
      <c r="V419" cm="1">
        <f t="array" ref="V419">VLOOKUP($A419,Table_ship_components[],COLUMN(V:V),0)</f>
        <v>0</v>
      </c>
      <c r="W419" s="15" cm="1">
        <f t="array" ref="W419">VLOOKUP($A419,Table_ship_components[],COLUMN(W:W),0)</f>
        <v>0</v>
      </c>
      <c r="X419" cm="1">
        <f t="array" ref="X419">VLOOKUP($A419,Table_ship_components[],COLUMN(X:X),0)</f>
        <v>0</v>
      </c>
      <c r="Y419" cm="1">
        <f t="array" ref="Y419">VLOOKUP($A419,Table_ship_components[],COLUMN(Y:Y),0)</f>
        <v>0</v>
      </c>
      <c r="Z419" cm="1">
        <f t="array" ref="Z419">VLOOKUP($A419,Table_ship_components[],COLUMN(Z:Z),0)</f>
        <v>0</v>
      </c>
      <c r="AA419" cm="1">
        <f t="array" ref="AA419">VLOOKUP($A419,Table_ship_components[],COLUMN(AA:AA),0)*C419</f>
        <v>0</v>
      </c>
      <c r="AB419">
        <f t="shared" si="32"/>
        <v>0</v>
      </c>
      <c r="AC419" cm="1">
        <f t="array" ref="AC419">VLOOKUP($A419,Table_ship_components[],COLUMN(AC:AC),0)*C419</f>
        <v>0</v>
      </c>
      <c r="AD419" cm="1">
        <f t="array" ref="AD419">VLOOKUP($A419,Table_ship_components[],COLUMN(AD:AD),0)</f>
        <v>0</v>
      </c>
      <c r="AE419" cm="1">
        <f t="array" ref="AE419">VLOOKUP($A419,Table_ship_components[],COLUMN(AE:AE),0)</f>
        <v>0</v>
      </c>
      <c r="AF419" cm="1">
        <f t="array" ref="AF419">VLOOKUP($A419,Table_ship_components[],COLUMN(AF:AF),0)</f>
        <v>0</v>
      </c>
      <c r="AG419" cm="1">
        <f t="array" ref="AG419">VLOOKUP($A419,Table_ship_components[],COLUMN(AG:AG),0)</f>
        <v>0</v>
      </c>
      <c r="AH419" cm="1">
        <f t="array" ref="AH419">VLOOKUP($A419,Table_ship_components[],COLUMN(AH:AH),0)</f>
        <v>0</v>
      </c>
      <c r="AI419" cm="1">
        <f t="array" ref="AI419">VLOOKUP($A419,Table_ship_components[],COLUMN(AI:AI),0)</f>
        <v>0</v>
      </c>
      <c r="AJ419" cm="1">
        <f t="array" ref="AJ419">VLOOKUP($A419,Table_ship_components[],COLUMN(AJ:AJ),0)</f>
        <v>0</v>
      </c>
      <c r="AK419" cm="1">
        <f t="array" ref="AK419">VLOOKUP($A419,Table_ship_components[],COLUMN(AK:AK),0)</f>
        <v>0</v>
      </c>
      <c r="AL419" cm="1">
        <f t="array" ref="AL419">VLOOKUP($A419,Table_ship_components[],COLUMN(AL:AL),0)</f>
        <v>0</v>
      </c>
      <c r="AM419" cm="1">
        <f t="array" ref="AM419">VLOOKUP($A419,Table_ship_components[],COLUMN(AM:AM),0)</f>
        <v>0</v>
      </c>
      <c r="AN419" cm="1">
        <f t="array" ref="AN419">VLOOKUP($A419,Table_ship_components[],COLUMN(AN:AN),0)</f>
        <v>0</v>
      </c>
      <c r="AO419" cm="1">
        <f t="array" ref="AO419">VLOOKUP($A419,Table_ship_components[],COLUMN(AO:AO),0)</f>
        <v>0</v>
      </c>
      <c r="AP419" cm="1">
        <f t="array" ref="AP419">VLOOKUP($A419,Table_ship_components[],COLUMN(AP:AP),0)</f>
        <v>0</v>
      </c>
      <c r="AQ419" cm="1">
        <f t="array" ref="AQ419">VLOOKUP($A419,Table_ship_components[],COLUMN(AQ:AQ),0)</f>
        <v>0</v>
      </c>
      <c r="AR419" cm="1">
        <f t="array" ref="AR419">VLOOKUP($A419,Table_ship_components[],COLUMN(AR:AR),0)</f>
        <v>0</v>
      </c>
      <c r="AS419" cm="1">
        <f t="array" ref="AS419">VLOOKUP($A419,Table_ship_components[],COLUMN(AS:AS),0)</f>
        <v>0</v>
      </c>
      <c r="AT419" cm="1">
        <f t="array" ref="AT419">VLOOKUP($A419,Table_ship_components[],COLUMN(AT:AT),0)</f>
        <v>0</v>
      </c>
      <c r="AU419" s="2" cm="1">
        <f t="array" ref="AU419">VLOOKUP($A419,Table_ship_components[],COLUMN(AU:AU),0)</f>
        <v>0</v>
      </c>
      <c r="AV419" s="2" cm="1">
        <f t="array" ref="AV419">VLOOKUP($A419,Table_ship_components[],COLUMN(AV:AV),0)</f>
        <v>0</v>
      </c>
      <c r="AW419" s="2" cm="1">
        <f t="array" ref="AW419">VLOOKUP($A419,Table_ship_components[],COLUMN(AW:AW),0)</f>
        <v>0</v>
      </c>
      <c r="AX419" s="2" cm="1">
        <f t="array" ref="AX419">VLOOKUP($A419,Table_ship_components[],COLUMN(AX:AX),0)</f>
        <v>0</v>
      </c>
      <c r="AY419" s="2" cm="1">
        <f t="array" ref="AY419">VLOOKUP($A419,Table_ship_components[],COLUMN(AY:AY),0)</f>
        <v>0</v>
      </c>
      <c r="AZ419" s="2" t="str" cm="1">
        <f t="array" ref="AZ419">VLOOKUP($A419,Table_ship_components[],COLUMN(AZ:AZ),0)</f>
        <v>C</v>
      </c>
      <c r="BA419" s="14" cm="1">
        <f t="array" ref="BA419">VLOOKUP($A419,Table_ship_components[],COLUMN(BA:BA),0)</f>
        <v>0</v>
      </c>
      <c r="BB419" s="14" cm="1">
        <f t="array" ref="BB419">(VLOOKUP($A419,Table_ship_components[],COLUMN(BA:BA),0)+(W419*C419))</f>
        <v>0</v>
      </c>
      <c r="BC419" s="2" cm="1">
        <f t="array" ref="BC419">VLOOKUP($A419,Table_ship_components[],COLUMN(BC:BC),0)</f>
        <v>0</v>
      </c>
      <c r="BD419" s="2" cm="1">
        <f t="array" ref="BD419">VLOOKUP($A419,Table_ship_components[],COLUMN(BD:BD),0)</f>
        <v>0</v>
      </c>
    </row>
    <row r="420" spans="1:56" ht="15" outlineLevel="1" thickBot="1" x14ac:dyDescent="0.4">
      <c r="D420" s="32"/>
      <c r="E420" s="32">
        <f>SUM(E389:E419)</f>
        <v>125</v>
      </c>
      <c r="F420" s="32"/>
      <c r="G420" s="32">
        <f t="shared" ref="G420:L420" si="33">SUM(G389:G419)</f>
        <v>65</v>
      </c>
      <c r="H420" s="32">
        <f t="shared" si="33"/>
        <v>4</v>
      </c>
      <c r="I420" s="32">
        <f t="shared" si="33"/>
        <v>75</v>
      </c>
      <c r="J420" s="32">
        <f t="shared" si="33"/>
        <v>0</v>
      </c>
      <c r="K420" s="32">
        <f t="shared" si="33"/>
        <v>40</v>
      </c>
      <c r="L420" s="32">
        <f t="shared" si="33"/>
        <v>5</v>
      </c>
      <c r="M420" s="32"/>
      <c r="N420" s="32"/>
      <c r="O420" s="32"/>
      <c r="P420" s="32"/>
      <c r="Q420" s="32"/>
      <c r="R420" s="32"/>
      <c r="S420" s="32"/>
      <c r="T420" s="32"/>
      <c r="U420" s="32"/>
      <c r="V420" s="32"/>
      <c r="W420" s="32"/>
      <c r="X420" s="32"/>
      <c r="Y420" s="32">
        <f t="shared" ref="Y420:AY420" si="34">SUM(Y389:Y419)</f>
        <v>3</v>
      </c>
      <c r="Z420" s="32">
        <f t="shared" si="34"/>
        <v>6</v>
      </c>
      <c r="AA420" s="32">
        <f t="shared" si="34"/>
        <v>0</v>
      </c>
      <c r="AB420" s="32">
        <f t="shared" si="34"/>
        <v>1</v>
      </c>
      <c r="AC420" s="32">
        <f t="shared" si="34"/>
        <v>6</v>
      </c>
      <c r="AD420" s="32">
        <f t="shared" si="34"/>
        <v>100</v>
      </c>
      <c r="AE420" s="32">
        <f t="shared" si="34"/>
        <v>0</v>
      </c>
      <c r="AF420" s="32">
        <f t="shared" si="34"/>
        <v>0</v>
      </c>
      <c r="AG420" s="32">
        <f t="shared" si="34"/>
        <v>1</v>
      </c>
      <c r="AH420" s="32">
        <f t="shared" si="34"/>
        <v>100</v>
      </c>
      <c r="AI420" s="32">
        <f t="shared" si="34"/>
        <v>1000</v>
      </c>
      <c r="AJ420" s="32">
        <f t="shared" si="34"/>
        <v>10000</v>
      </c>
      <c r="AK420" s="32">
        <f t="shared" si="34"/>
        <v>0</v>
      </c>
      <c r="AL420" s="32">
        <f t="shared" si="34"/>
        <v>2</v>
      </c>
      <c r="AM420" s="32">
        <f t="shared" si="34"/>
        <v>5</v>
      </c>
      <c r="AN420" s="32">
        <f t="shared" si="34"/>
        <v>10</v>
      </c>
      <c r="AO420" s="32">
        <f t="shared" si="34"/>
        <v>4</v>
      </c>
      <c r="AP420" s="32">
        <f t="shared" si="34"/>
        <v>10</v>
      </c>
      <c r="AQ420" s="32">
        <f t="shared" si="34"/>
        <v>1</v>
      </c>
      <c r="AR420" s="32">
        <f t="shared" si="34"/>
        <v>2</v>
      </c>
      <c r="AS420" s="32">
        <f t="shared" si="34"/>
        <v>1</v>
      </c>
      <c r="AT420" s="32">
        <f t="shared" si="34"/>
        <v>2</v>
      </c>
      <c r="AU420" s="32">
        <f t="shared" si="34"/>
        <v>5</v>
      </c>
      <c r="AV420" s="32">
        <f t="shared" si="34"/>
        <v>125</v>
      </c>
      <c r="AW420" s="32">
        <f t="shared" si="34"/>
        <v>70</v>
      </c>
      <c r="AX420" s="32">
        <f t="shared" si="34"/>
        <v>35</v>
      </c>
      <c r="AY420" s="32">
        <f t="shared" si="34"/>
        <v>20</v>
      </c>
      <c r="AZ420" s="32"/>
      <c r="BA420" s="33">
        <f>SUM(BA389:BA419)</f>
        <v>12095000</v>
      </c>
      <c r="BB420" s="33">
        <f>SUM(BB389:BB419)</f>
        <v>13150000</v>
      </c>
      <c r="BC420" s="32"/>
      <c r="BD420" s="32"/>
    </row>
    <row r="421" spans="1:56" ht="19" outlineLevel="1" thickTop="1" x14ac:dyDescent="0.45">
      <c r="A421" s="35" t="s">
        <v>691</v>
      </c>
      <c r="B421" s="34">
        <f>BB420</f>
        <v>13150000</v>
      </c>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c r="AY421" s="36"/>
      <c r="AZ421" s="36"/>
      <c r="BA421" s="37"/>
      <c r="BB421" s="37"/>
      <c r="BC421" s="36"/>
      <c r="BD421" s="36"/>
    </row>
    <row r="422" spans="1:56" ht="21" x14ac:dyDescent="0.5">
      <c r="A422" s="38" t="s">
        <v>692</v>
      </c>
      <c r="B422" s="38" t="s">
        <v>713</v>
      </c>
    </row>
    <row r="423" spans="1:56" outlineLevel="1" x14ac:dyDescent="0.35">
      <c r="A423" t="s">
        <v>707</v>
      </c>
      <c r="B423" t="str" cm="1">
        <f t="array" ref="B423">VLOOKUP($A423,Table_ship_components[],COLUMN(B:B),0)</f>
        <v>patrol corvette template</v>
      </c>
      <c r="D423" cm="1">
        <f t="array" ref="D423">VLOOKUP($A423,Table_ship_components[],COLUMN(D:D),0)</f>
        <v>0</v>
      </c>
      <c r="E423" cm="1">
        <f t="array" ref="E423">(VLOOKUP($A423,Table_ship_components[],COLUMN(D:D),0)+(V423*C423))</f>
        <v>0</v>
      </c>
      <c r="F423" cm="1">
        <f t="array" ref="F423">VLOOKUP($A423,Table_ship_components[],COLUMN(F:F),0)</f>
        <v>0</v>
      </c>
      <c r="G423" cm="1">
        <f t="array" ref="G423">(VLOOKUP($A423,Table_ship_components[],COLUMN(G:G),0)+(X423*C423))</f>
        <v>0</v>
      </c>
      <c r="H423" cm="1">
        <f t="array" ref="H423">VLOOKUP($A423,Table_ship_components[],COLUMN(H:H),0)</f>
        <v>0</v>
      </c>
      <c r="I423" cm="1">
        <f t="array" ref="I423">VLOOKUP($A423,Table_ship_components[],COLUMN(I:I),0)</f>
        <v>0</v>
      </c>
      <c r="J423" cm="1">
        <f t="array" ref="J423">VLOOKUP($A423,Table_ship_components[],COLUMN(J:J),0)</f>
        <v>0</v>
      </c>
      <c r="K423" cm="1">
        <f t="array" ref="K423">VLOOKUP($A423,Table_ship_components[],COLUMN(K:K),0)</f>
        <v>0</v>
      </c>
      <c r="L423" cm="1">
        <f t="array" ref="L423">VLOOKUP($A423,Table_ship_components[],COLUMN(L:L),0)</f>
        <v>0</v>
      </c>
      <c r="M423" cm="1">
        <f t="array" ref="M423">VLOOKUP($A423,Table_ship_components[],COLUMN(M:M),0)</f>
        <v>0</v>
      </c>
      <c r="N423" cm="1">
        <f t="array" ref="N423">VLOOKUP($A423,Table_ship_components[],COLUMN(N:N),0)</f>
        <v>0</v>
      </c>
      <c r="O423" cm="1">
        <f t="array" ref="O423">VLOOKUP($A423,Table_ship_components[],COLUMN(O:O),0)</f>
        <v>0</v>
      </c>
      <c r="P423" cm="1">
        <f t="array" ref="P423">VLOOKUP($A423,Table_ship_components[],COLUMN(P:P),0)</f>
        <v>0</v>
      </c>
      <c r="Q423" cm="1">
        <f t="array" ref="Q423">VLOOKUP($A423,Table_ship_components[],COLUMN(Q:Q),0)</f>
        <v>0</v>
      </c>
      <c r="R423" cm="1">
        <f t="array" ref="R423">VLOOKUP($A423,Table_ship_components[],COLUMN(R:R),0)</f>
        <v>0</v>
      </c>
      <c r="S423" cm="1">
        <f t="array" ref="S423">VLOOKUP($A423,Table_ship_components[],COLUMN(S:S),0)</f>
        <v>0</v>
      </c>
      <c r="T423" cm="1">
        <f t="array" ref="T423">VLOOKUP($A423,Table_ship_components[],COLUMN(T:T),0)</f>
        <v>0</v>
      </c>
      <c r="U423" cm="1">
        <f t="array" ref="U423">VLOOKUP($A423,Table_ship_components[],COLUMN(U:U),0)</f>
        <v>0</v>
      </c>
      <c r="V423" cm="1">
        <f t="array" ref="V423">VLOOKUP($A423,Table_ship_components[],COLUMN(V:V),0)</f>
        <v>0</v>
      </c>
      <c r="W423" s="15" cm="1">
        <f t="array" ref="W423">VLOOKUP($A423,Table_ship_components[],COLUMN(W:W),0)</f>
        <v>0</v>
      </c>
      <c r="X423" cm="1">
        <f t="array" ref="X423">VLOOKUP($A423,Table_ship_components[],COLUMN(X:X),0)</f>
        <v>0</v>
      </c>
      <c r="Y423" cm="1">
        <f t="array" ref="Y423">VLOOKUP($A423,Table_ship_components[],COLUMN(Y:Y),0)</f>
        <v>0</v>
      </c>
      <c r="Z423" cm="1">
        <f t="array" ref="Z423">VLOOKUP($A423,Table_ship_components[],COLUMN(Z:Z),0)</f>
        <v>0</v>
      </c>
      <c r="AA423" cm="1">
        <f t="array" ref="AA423">VLOOKUP($A423,Table_ship_components[],COLUMN(AA:AA),0)</f>
        <v>0</v>
      </c>
      <c r="AB423" cm="1">
        <f t="array" ref="AB423">VLOOKUP($A423,Table_ship_components[],COLUMN(AB:AB),0)</f>
        <v>0</v>
      </c>
      <c r="AC423" cm="1">
        <f t="array" ref="AC423">VLOOKUP($A423,Table_ship_components[],COLUMN(AC:AC),0)</f>
        <v>0</v>
      </c>
      <c r="AD423" cm="1">
        <f t="array" ref="AD423">VLOOKUP($A423,Table_ship_components[],COLUMN(AD:AD),0)</f>
        <v>0</v>
      </c>
      <c r="AE423" cm="1">
        <f t="array" ref="AE423">VLOOKUP($A423,Table_ship_components[],COLUMN(AE:AE),0)</f>
        <v>0</v>
      </c>
      <c r="AF423" cm="1">
        <f t="array" ref="AF423">VLOOKUP($A423,Table_ship_components[],COLUMN(AF:AF),0)</f>
        <v>0</v>
      </c>
      <c r="AG423" cm="1">
        <f t="array" ref="AG423">VLOOKUP($A423,Table_ship_components[],COLUMN(AG:AG),0)</f>
        <v>0</v>
      </c>
      <c r="AH423" cm="1">
        <f t="array" ref="AH423">VLOOKUP($A423,Table_ship_components[],COLUMN(AH:AH),0)</f>
        <v>0</v>
      </c>
      <c r="AI423" cm="1">
        <f t="array" ref="AI423">VLOOKUP($A423,Table_ship_components[],COLUMN(AI:AI),0)</f>
        <v>0</v>
      </c>
      <c r="AJ423" cm="1">
        <f t="array" ref="AJ423">VLOOKUP($A423,Table_ship_components[],COLUMN(AJ:AJ),0)</f>
        <v>0</v>
      </c>
      <c r="AK423" cm="1">
        <f t="array" ref="AK423">VLOOKUP($A423,Table_ship_components[],COLUMN(AK:AK),0)</f>
        <v>0</v>
      </c>
      <c r="AL423" cm="1">
        <f t="array" ref="AL423">VLOOKUP($A423,Table_ship_components[],COLUMN(AL:AL),0)</f>
        <v>0</v>
      </c>
      <c r="AM423" cm="1">
        <f t="array" ref="AM423">VLOOKUP($A423,Table_ship_components[],COLUMN(AM:AM),0)</f>
        <v>3</v>
      </c>
      <c r="AN423" cm="1">
        <f t="array" ref="AN423">VLOOKUP($A423,Table_ship_components[],COLUMN(AN:AN),0)</f>
        <v>10</v>
      </c>
      <c r="AO423" cm="1">
        <f t="array" ref="AO423">VLOOKUP($A423,Table_ship_components[],COLUMN(AO:AO),0)</f>
        <v>3</v>
      </c>
      <c r="AP423" cm="1">
        <f t="array" ref="AP423">VLOOKUP($A423,Table_ship_components[],COLUMN(AP:AP),0)</f>
        <v>10</v>
      </c>
      <c r="AQ423" cm="1">
        <f t="array" ref="AQ423">VLOOKUP($A423,Table_ship_components[],COLUMN(AQ:AQ),0)</f>
        <v>2</v>
      </c>
      <c r="AR423" cm="1">
        <f t="array" ref="AR423">VLOOKUP($A423,Table_ship_components[],COLUMN(AR:AR),0)</f>
        <v>2</v>
      </c>
      <c r="AS423" cm="1">
        <f t="array" ref="AS423">VLOOKUP($A423,Table_ship_components[],COLUMN(AS:AS),0)</f>
        <v>2</v>
      </c>
      <c r="AT423" cm="1">
        <f t="array" ref="AT423">VLOOKUP($A423,Table_ship_components[],COLUMN(AT:AT),0)</f>
        <v>2</v>
      </c>
      <c r="AU423" s="2" cm="1">
        <f t="array" ref="AU423">VLOOKUP($A423,Table_ship_components[],COLUMN(AU:AU),0)</f>
        <v>2</v>
      </c>
      <c r="AV423" s="2" cm="1">
        <f t="array" ref="AV423">VLOOKUP($A423,Table_ship_components[],COLUMN(AV:AV),0)</f>
        <v>125</v>
      </c>
      <c r="AW423" s="2" cm="1">
        <f t="array" ref="AW423">VLOOKUP($A423,Table_ship_components[],COLUMN(AW:AW),0)</f>
        <v>60</v>
      </c>
      <c r="AX423" s="2" cm="1">
        <f t="array" ref="AX423">VLOOKUP($A423,Table_ship_components[],COLUMN(AX:AX),0)</f>
        <v>40</v>
      </c>
      <c r="AY423" s="2" cm="1">
        <f t="array" ref="AY423">VLOOKUP($A423,Table_ship_components[],COLUMN(AY:AY),0)</f>
        <v>25</v>
      </c>
      <c r="AZ423" s="2" t="str" cm="1">
        <f t="array" ref="AZ423">VLOOKUP($A423,Table_ship_components[],COLUMN(AZ:AZ),0)</f>
        <v>C</v>
      </c>
      <c r="BA423" s="14" cm="1">
        <f t="array" ref="BA423">VLOOKUP($A423,Table_ship_components[],COLUMN(BA:BA),0)</f>
        <v>3212500</v>
      </c>
      <c r="BB423" s="14" cm="1">
        <f t="array" ref="BB423">(VLOOKUP($A423,Table_ship_components[],COLUMN(BA:BA),0)+(W423*C423))</f>
        <v>3212500</v>
      </c>
      <c r="BC423" s="2" cm="1">
        <f t="array" ref="BC423">VLOOKUP($A423,Table_ship_components[],COLUMN(BC:BC),0)</f>
        <v>0</v>
      </c>
      <c r="BD423" s="2" cm="1">
        <f t="array" ref="BD423">VLOOKUP($A423,Table_ship_components[],COLUMN(BD:BD),0)</f>
        <v>0</v>
      </c>
    </row>
    <row r="424" spans="1:56" outlineLevel="1" x14ac:dyDescent="0.35"/>
    <row r="425" spans="1:56" outlineLevel="1" x14ac:dyDescent="0.35">
      <c r="A425" s="40" t="str">
        <f>CONCATENATE("LIFE SUPPORT VALID : ",IF((SUM(Z454:AA454)&lt;=AC454),"YES","NO"))</f>
        <v>LIFE SUPPORT VALID : YES</v>
      </c>
      <c r="B425" s="39" t="str">
        <f>CONCATENATE("TOTAL SIZE ",(SUM(E427:E453))," TOTAL POWER ",(SUM(G427:G453))," / ",(SUM(I427:I453)))</f>
        <v>TOTAL SIZE 125 TOTAL POWER 69 / 75</v>
      </c>
    </row>
    <row r="426" spans="1:56" outlineLevel="1" x14ac:dyDescent="0.35">
      <c r="A426" s="18" t="s">
        <v>423</v>
      </c>
      <c r="B426" s="19" t="str">
        <f>CONCATENATE("SIZE ",(SUM(E427:E432)),"/", AW423,"  POWER ",(SUM(G427:G432)),)</f>
        <v>SIZE 60/60  POWER 40</v>
      </c>
      <c r="C426" s="31" t="s">
        <v>521</v>
      </c>
    </row>
    <row r="427" spans="1:56" outlineLevel="1" x14ac:dyDescent="0.35">
      <c r="A427" t="s">
        <v>370</v>
      </c>
      <c r="B427" t="str" cm="1">
        <f t="array" ref="B427">VLOOKUP($A427,Table_ship_components[],COLUMN(B:B),0)</f>
        <v>avg corvette power plant</v>
      </c>
      <c r="D427" cm="1">
        <f t="array" ref="D427">VLOOKUP($A427,Table_ship_components[],COLUMN(D:D),0)</f>
        <v>14</v>
      </c>
      <c r="E427" cm="1">
        <f t="array" ref="E427">ROUND(VLOOKUP($A427,Table_ship_components[],COLUMN(D:D),0)+(V427*C427),0)</f>
        <v>14</v>
      </c>
      <c r="F427" cm="1">
        <f t="array" ref="F427">VLOOKUP($A427,Table_ship_components[],COLUMN(F:F),0)</f>
        <v>0</v>
      </c>
      <c r="G427" cm="1">
        <f t="array" ref="G427">ROUND(VLOOKUP($A427,Table_ship_components[],COLUMN(G:G),0)+(X427*C427),0)</f>
        <v>0</v>
      </c>
      <c r="H427" cm="1">
        <f t="array" ref="H427">VLOOKUP($A427,Table_ship_components[],COLUMN(H:H),0)</f>
        <v>0</v>
      </c>
      <c r="I427" cm="1">
        <f t="array" ref="I427">VLOOKUP($A427,Table_ship_components[],COLUMN(I:I),0)</f>
        <v>75</v>
      </c>
      <c r="J427" cm="1">
        <f t="array" ref="J427">VLOOKUP($A427,Table_ship_components[],COLUMN(J:J),0)</f>
        <v>0</v>
      </c>
      <c r="K427" cm="1">
        <f t="array" ref="K427">VLOOKUP($A427,Table_ship_components[],COLUMN(K:K),0)</f>
        <v>0</v>
      </c>
      <c r="L427" cm="1">
        <f t="array" ref="L427">VLOOKUP($A427,Table_ship_components[],COLUMN(L:L),0)</f>
        <v>0</v>
      </c>
      <c r="M427" cm="1">
        <f t="array" ref="M427">VLOOKUP($A427,Table_ship_components[],COLUMN(M:M),0)</f>
        <v>0</v>
      </c>
      <c r="N427" cm="1">
        <f t="array" ref="N427">VLOOKUP($A427,Table_ship_components[],COLUMN(N:N),0)</f>
        <v>0</v>
      </c>
      <c r="O427" cm="1">
        <f t="array" ref="O427">VLOOKUP($A427,Table_ship_components[],COLUMN(O:O),0)</f>
        <v>1</v>
      </c>
      <c r="P427" cm="1">
        <f t="array" ref="P427">VLOOKUP($A427,Table_ship_components[],COLUMN(P:P),0)</f>
        <v>1</v>
      </c>
      <c r="Q427" cm="1">
        <f t="array" ref="Q427">VLOOKUP($A427,Table_ship_components[],COLUMN(Q:Q),0)</f>
        <v>1</v>
      </c>
      <c r="R427" cm="1">
        <f t="array" ref="R427">VLOOKUP($A427,Table_ship_components[],COLUMN(R:R),0)</f>
        <v>1</v>
      </c>
      <c r="S427" cm="1">
        <f t="array" ref="S427">VLOOKUP($A427,Table_ship_components[],COLUMN(S:S),0)</f>
        <v>1</v>
      </c>
      <c r="T427" cm="1">
        <f t="array" ref="T427">VLOOKUP($A427,Table_ship_components[],COLUMN(T:T),0)</f>
        <v>1</v>
      </c>
      <c r="U427" cm="1">
        <f t="array" ref="U427">VLOOKUP($A427,Table_ship_components[],COLUMN(U:U),0)</f>
        <v>0</v>
      </c>
      <c r="V427" cm="1">
        <f t="array" ref="V427">VLOOKUP($A427,Table_ship_components[],COLUMN(V:V),0)</f>
        <v>0</v>
      </c>
      <c r="W427" s="15" cm="1">
        <f t="array" ref="W427">VLOOKUP($A427,Table_ship_components[],COLUMN(W:W),0)</f>
        <v>0</v>
      </c>
      <c r="X427" cm="1">
        <f t="array" ref="X427">VLOOKUP($A427,Table_ship_components[],COLUMN(X:X),0)</f>
        <v>0</v>
      </c>
      <c r="Y427" cm="1">
        <f t="array" ref="Y427">VLOOKUP($A427,Table_ship_components[],COLUMN(Y:Y),0)</f>
        <v>0</v>
      </c>
      <c r="Z427" cm="1">
        <f t="array" ref="Z427">VLOOKUP($A427,Table_ship_components[],COLUMN(Z:Z),0)</f>
        <v>0</v>
      </c>
      <c r="AA427" cm="1">
        <f t="array" ref="AA427">VLOOKUP($A427,Table_ship_components[],COLUMN(AA:AA),0)*C427</f>
        <v>0</v>
      </c>
      <c r="AB427">
        <f>IF(A427="CARGOSPACE_0-ALL_0-UNIVERSAL",C427,0)</f>
        <v>0</v>
      </c>
      <c r="AC427" cm="1">
        <f t="array" ref="AC427">VLOOKUP($A427,Table_ship_components[],COLUMN(AC:AC),0)*C427</f>
        <v>0</v>
      </c>
      <c r="AD427" cm="1">
        <f t="array" ref="AD427">VLOOKUP($A427,Table_ship_components[],COLUMN(AD:AD),0)</f>
        <v>0</v>
      </c>
      <c r="AE427" cm="1">
        <f t="array" ref="AE427">VLOOKUP($A427,Table_ship_components[],COLUMN(AE:AE),0)</f>
        <v>0</v>
      </c>
      <c r="AF427" cm="1">
        <f t="array" ref="AF427">VLOOKUP($A427,Table_ship_components[],COLUMN(AF:AF),0)</f>
        <v>0</v>
      </c>
      <c r="AG427" cm="1">
        <f t="array" ref="AG427">VLOOKUP($A427,Table_ship_components[],COLUMN(AG:AG),0)</f>
        <v>0</v>
      </c>
      <c r="AH427" cm="1">
        <f t="array" ref="AH427">VLOOKUP($A427,Table_ship_components[],COLUMN(AH:AH),0)</f>
        <v>0</v>
      </c>
      <c r="AI427" cm="1">
        <f t="array" ref="AI427">VLOOKUP($A427,Table_ship_components[],COLUMN(AI:AI),0)</f>
        <v>0</v>
      </c>
      <c r="AJ427" cm="1">
        <f t="array" ref="AJ427">VLOOKUP($A427,Table_ship_components[],COLUMN(AJ:AJ),0)</f>
        <v>0</v>
      </c>
      <c r="AK427" cm="1">
        <f t="array" ref="AK427">VLOOKUP($A427,Table_ship_components[],COLUMN(AK:AK),0)</f>
        <v>0</v>
      </c>
      <c r="AL427" cm="1">
        <f t="array" ref="AL427">VLOOKUP($A427,Table_ship_components[],COLUMN(AL:AL),0)</f>
        <v>0</v>
      </c>
      <c r="AM427" cm="1">
        <f t="array" ref="AM427">VLOOKUP($A427,Table_ship_components[],COLUMN(AM:AM),0)</f>
        <v>0</v>
      </c>
      <c r="AN427" cm="1">
        <f t="array" ref="AN427">VLOOKUP($A427,Table_ship_components[],COLUMN(AN:AN),0)</f>
        <v>0</v>
      </c>
      <c r="AO427" cm="1">
        <f t="array" ref="AO427">VLOOKUP($A427,Table_ship_components[],COLUMN(AO:AO),0)</f>
        <v>0</v>
      </c>
      <c r="AP427" cm="1">
        <f t="array" ref="AP427">VLOOKUP($A427,Table_ship_components[],COLUMN(AP:AP),0)</f>
        <v>0</v>
      </c>
      <c r="AQ427" cm="1">
        <f t="array" ref="AQ427">VLOOKUP($A427,Table_ship_components[],COLUMN(AQ:AQ),0)</f>
        <v>0</v>
      </c>
      <c r="AR427" cm="1">
        <f t="array" ref="AR427">VLOOKUP($A427,Table_ship_components[],COLUMN(AR:AR),0)</f>
        <v>0</v>
      </c>
      <c r="AS427" cm="1">
        <f t="array" ref="AS427">VLOOKUP($A427,Table_ship_components[],COLUMN(AS:AS),0)</f>
        <v>0</v>
      </c>
      <c r="AT427" cm="1">
        <f t="array" ref="AT427">VLOOKUP($A427,Table_ship_components[],COLUMN(AT:AT),0)</f>
        <v>0</v>
      </c>
      <c r="AU427" s="2" cm="1">
        <f t="array" ref="AU427">VLOOKUP($A427,Table_ship_components[],COLUMN(AU:AU),0)</f>
        <v>0</v>
      </c>
      <c r="AV427" s="2" cm="1">
        <f t="array" ref="AV427">VLOOKUP($A427,Table_ship_components[],COLUMN(AV:AV),0)</f>
        <v>0</v>
      </c>
      <c r="AW427" s="2" cm="1">
        <f t="array" ref="AW427">VLOOKUP($A427,Table_ship_components[],COLUMN(AW:AW),0)</f>
        <v>0</v>
      </c>
      <c r="AX427" s="2" cm="1">
        <f t="array" ref="AX427">VLOOKUP($A427,Table_ship_components[],COLUMN(AX:AX),0)</f>
        <v>0</v>
      </c>
      <c r="AY427" s="2" cm="1">
        <f t="array" ref="AY427">VLOOKUP($A427,Table_ship_components[],COLUMN(AY:AY),0)</f>
        <v>0</v>
      </c>
      <c r="AZ427" s="2" t="str" cm="1">
        <f t="array" ref="AZ427">VLOOKUP($A427,Table_ship_components[],COLUMN(AZ:AZ),0)</f>
        <v>C</v>
      </c>
      <c r="BA427" s="14" cm="1">
        <f t="array" ref="BA427">VLOOKUP($A427,Table_ship_components[],COLUMN(BA:BA),0)</f>
        <v>500000</v>
      </c>
      <c r="BB427" s="14" cm="1">
        <f t="array" ref="BB427">(VLOOKUP($A427,Table_ship_components[],COLUMN(BA:BA),0)+(W427*C427))</f>
        <v>500000</v>
      </c>
      <c r="BC427" s="2" cm="1">
        <f t="array" ref="BC427">VLOOKUP($A427,Table_ship_components[],COLUMN(BC:BC),0)</f>
        <v>0</v>
      </c>
      <c r="BD427" s="2" cm="1">
        <f t="array" ref="BD427">VLOOKUP($A427,Table_ship_components[],COLUMN(BD:BD),0)</f>
        <v>0</v>
      </c>
    </row>
    <row r="428" spans="1:56" outlineLevel="1" x14ac:dyDescent="0.35">
      <c r="A428" t="s">
        <v>638</v>
      </c>
      <c r="B428" t="str" cm="1">
        <f t="array" ref="B428">VLOOKUP($A428,Table_ship_components[],COLUMN(B:B),0)</f>
        <v>high speed corvette balanced engine</v>
      </c>
      <c r="D428" cm="1">
        <f t="array" ref="D428">VLOOKUP($A428,Table_ship_components[],COLUMN(D:D),0)</f>
        <v>12</v>
      </c>
      <c r="E428" cm="1">
        <f t="array" ref="E428">ROUND(VLOOKUP($A428,Table_ship_components[],COLUMN(D:D),0)+(V428*C428),0)</f>
        <v>12</v>
      </c>
      <c r="F428" cm="1">
        <f t="array" ref="F428">VLOOKUP($A428,Table_ship_components[],COLUMN(F:F),0)</f>
        <v>13</v>
      </c>
      <c r="G428" cm="1">
        <f t="array" ref="G428">ROUND(VLOOKUP($A428,Table_ship_components[],COLUMN(G:G),0)+(X428*C428),0)</f>
        <v>13</v>
      </c>
      <c r="H428" cm="1">
        <f t="array" ref="H428">VLOOKUP($A428,Table_ship_components[],COLUMN(H:H),0)</f>
        <v>0</v>
      </c>
      <c r="I428" cm="1">
        <f t="array" ref="I428">VLOOKUP($A428,Table_ship_components[],COLUMN(I:I),0)</f>
        <v>0</v>
      </c>
      <c r="J428" cm="1">
        <f t="array" ref="J428">VLOOKUP($A428,Table_ship_components[],COLUMN(J:J),0)</f>
        <v>0</v>
      </c>
      <c r="K428" cm="1">
        <f t="array" ref="K428">VLOOKUP($A428,Table_ship_components[],COLUMN(K:K),0)</f>
        <v>0</v>
      </c>
      <c r="L428" cm="1">
        <f t="array" ref="L428">VLOOKUP($A428,Table_ship_components[],COLUMN(L:L),0)</f>
        <v>0</v>
      </c>
      <c r="M428" cm="1">
        <f t="array" ref="M428">VLOOKUP($A428,Table_ship_components[],COLUMN(M:M),0)</f>
        <v>0</v>
      </c>
      <c r="N428" cm="1">
        <f t="array" ref="N428">VLOOKUP($A428,Table_ship_components[],COLUMN(N:N),0)</f>
        <v>0</v>
      </c>
      <c r="O428" cm="1">
        <f t="array" ref="O428">VLOOKUP($A428,Table_ship_components[],COLUMN(O:O),0)</f>
        <v>1</v>
      </c>
      <c r="P428" cm="1">
        <f t="array" ref="P428">VLOOKUP($A428,Table_ship_components[],COLUMN(P:P),0)</f>
        <v>0</v>
      </c>
      <c r="Q428" cm="1">
        <f t="array" ref="Q428">VLOOKUP($A428,Table_ship_components[],COLUMN(Q:Q),0)</f>
        <v>0</v>
      </c>
      <c r="R428" cm="1">
        <f t="array" ref="R428">VLOOKUP($A428,Table_ship_components[],COLUMN(R:R),0)</f>
        <v>0</v>
      </c>
      <c r="S428" cm="1">
        <f t="array" ref="S428">VLOOKUP($A428,Table_ship_components[],COLUMN(S:S),0)</f>
        <v>0</v>
      </c>
      <c r="T428" cm="1">
        <f t="array" ref="T428">VLOOKUP($A428,Table_ship_components[],COLUMN(T:T),0)</f>
        <v>0</v>
      </c>
      <c r="U428" cm="1">
        <f t="array" ref="U428">VLOOKUP($A428,Table_ship_components[],COLUMN(U:U),0)</f>
        <v>0</v>
      </c>
      <c r="V428" cm="1">
        <f t="array" ref="V428">VLOOKUP($A428,Table_ship_components[],COLUMN(V:V),0)</f>
        <v>0</v>
      </c>
      <c r="W428" s="15" cm="1">
        <f t="array" ref="W428">VLOOKUP($A428,Table_ship_components[],COLUMN(W:W),0)</f>
        <v>0</v>
      </c>
      <c r="X428" cm="1">
        <f t="array" ref="X428">VLOOKUP($A428,Table_ship_components[],COLUMN(X:X),0)</f>
        <v>0</v>
      </c>
      <c r="Y428" cm="1">
        <f t="array" ref="Y428">VLOOKUP($A428,Table_ship_components[],COLUMN(Y:Y),0)</f>
        <v>0</v>
      </c>
      <c r="Z428" cm="1">
        <f t="array" ref="Z428">VLOOKUP($A428,Table_ship_components[],COLUMN(Z:Z),0)</f>
        <v>0</v>
      </c>
      <c r="AA428" cm="1">
        <f t="array" ref="AA428">VLOOKUP($A428,Table_ship_components[],COLUMN(AA:AA),0)*C428</f>
        <v>0</v>
      </c>
      <c r="AB428">
        <f t="shared" ref="AB428:AB432" si="35">IF(A428="CARGOSPACE_0-ALL_0-UNIVERSAL",C428,0)</f>
        <v>0</v>
      </c>
      <c r="AC428" cm="1">
        <f t="array" ref="AC428">VLOOKUP($A428,Table_ship_components[],COLUMN(AC:AC),0)*C428</f>
        <v>0</v>
      </c>
      <c r="AD428" cm="1">
        <f t="array" ref="AD428">VLOOKUP($A428,Table_ship_components[],COLUMN(AD:AD),0)</f>
        <v>0</v>
      </c>
      <c r="AE428" cm="1">
        <f t="array" ref="AE428">VLOOKUP($A428,Table_ship_components[],COLUMN(AE:AE),0)</f>
        <v>0</v>
      </c>
      <c r="AF428" cm="1">
        <f t="array" ref="AF428">VLOOKUP($A428,Table_ship_components[],COLUMN(AF:AF),0)</f>
        <v>0</v>
      </c>
      <c r="AG428" cm="1">
        <f t="array" ref="AG428">VLOOKUP($A428,Table_ship_components[],COLUMN(AG:AG),0)</f>
        <v>0</v>
      </c>
      <c r="AH428" cm="1">
        <f t="array" ref="AH428">VLOOKUP($A428,Table_ship_components[],COLUMN(AH:AH),0)</f>
        <v>0</v>
      </c>
      <c r="AI428" cm="1">
        <f t="array" ref="AI428">VLOOKUP($A428,Table_ship_components[],COLUMN(AI:AI),0)</f>
        <v>0</v>
      </c>
      <c r="AJ428" cm="1">
        <f t="array" ref="AJ428">VLOOKUP($A428,Table_ship_components[],COLUMN(AJ:AJ),0)</f>
        <v>0</v>
      </c>
      <c r="AK428" cm="1">
        <f t="array" ref="AK428">VLOOKUP($A428,Table_ship_components[],COLUMN(AK:AK),0)</f>
        <v>0</v>
      </c>
      <c r="AL428" cm="1">
        <f t="array" ref="AL428">VLOOKUP($A428,Table_ship_components[],COLUMN(AL:AL),0)</f>
        <v>3</v>
      </c>
      <c r="AM428" cm="1">
        <f t="array" ref="AM428">VLOOKUP($A428,Table_ship_components[],COLUMN(AM:AM),0)</f>
        <v>0</v>
      </c>
      <c r="AN428" cm="1">
        <f t="array" ref="AN428">VLOOKUP($A428,Table_ship_components[],COLUMN(AN:AN),0)</f>
        <v>0</v>
      </c>
      <c r="AO428" cm="1">
        <f t="array" ref="AO428">VLOOKUP($A428,Table_ship_components[],COLUMN(AO:AO),0)</f>
        <v>0</v>
      </c>
      <c r="AP428" cm="1">
        <f t="array" ref="AP428">VLOOKUP($A428,Table_ship_components[],COLUMN(AP:AP),0)</f>
        <v>0</v>
      </c>
      <c r="AQ428" cm="1">
        <f t="array" ref="AQ428">VLOOKUP($A428,Table_ship_components[],COLUMN(AQ:AQ),0)</f>
        <v>0</v>
      </c>
      <c r="AR428" cm="1">
        <f t="array" ref="AR428">VLOOKUP($A428,Table_ship_components[],COLUMN(AR:AR),0)</f>
        <v>1</v>
      </c>
      <c r="AS428" cm="1">
        <f t="array" ref="AS428">VLOOKUP($A428,Table_ship_components[],COLUMN(AS:AS),0)</f>
        <v>0</v>
      </c>
      <c r="AT428" cm="1">
        <f t="array" ref="AT428">VLOOKUP($A428,Table_ship_components[],COLUMN(AT:AT),0)</f>
        <v>0</v>
      </c>
      <c r="AU428" s="2" cm="1">
        <f t="array" ref="AU428">VLOOKUP($A428,Table_ship_components[],COLUMN(AU:AU),0)</f>
        <v>1</v>
      </c>
      <c r="AV428" s="2" cm="1">
        <f t="array" ref="AV428">VLOOKUP($A428,Table_ship_components[],COLUMN(AV:AV),0)</f>
        <v>0</v>
      </c>
      <c r="AW428" s="2" cm="1">
        <f t="array" ref="AW428">VLOOKUP($A428,Table_ship_components[],COLUMN(AW:AW),0)</f>
        <v>0</v>
      </c>
      <c r="AX428" s="2" cm="1">
        <f t="array" ref="AX428">VLOOKUP($A428,Table_ship_components[],COLUMN(AX:AX),0)</f>
        <v>0</v>
      </c>
      <c r="AY428" s="2" cm="1">
        <f t="array" ref="AY428">VLOOKUP($A428,Table_ship_components[],COLUMN(AY:AY),0)</f>
        <v>0</v>
      </c>
      <c r="AZ428" s="2" t="str" cm="1">
        <f t="array" ref="AZ428">VLOOKUP($A428,Table_ship_components[],COLUMN(AZ:AZ),0)</f>
        <v>C</v>
      </c>
      <c r="BA428" s="14" cm="1">
        <f t="array" ref="BA428">VLOOKUP($A428,Table_ship_components[],COLUMN(BA:BA),0)</f>
        <v>1800000</v>
      </c>
      <c r="BB428" s="14" cm="1">
        <f t="array" ref="BB428">(VLOOKUP($A428,Table_ship_components[],COLUMN(BA:BA),0)+(W428*C428))</f>
        <v>1800000</v>
      </c>
      <c r="BC428" s="2" cm="1">
        <f t="array" ref="BC428">VLOOKUP($A428,Table_ship_components[],COLUMN(BC:BC),0)</f>
        <v>0</v>
      </c>
      <c r="BD428" s="2" cm="1">
        <f t="array" ref="BD428">VLOOKUP($A428,Table_ship_components[],COLUMN(BD:BD),0)</f>
        <v>0</v>
      </c>
    </row>
    <row r="429" spans="1:56" outlineLevel="1" x14ac:dyDescent="0.35">
      <c r="A429" t="s">
        <v>345</v>
      </c>
      <c r="B429" t="str" cm="1">
        <f t="array" ref="B429">VLOOKUP($A429,Table_ship_components[],COLUMN(B:B),0)</f>
        <v>barebones command bridge</v>
      </c>
      <c r="D429" cm="1">
        <f t="array" ref="D429">VLOOKUP($A429,Table_ship_components[],COLUMN(D:D),0)</f>
        <v>4</v>
      </c>
      <c r="E429" cm="1">
        <f t="array" ref="E429">ROUND(VLOOKUP($A429,Table_ship_components[],COLUMN(D:D),0)+(V429*C429),0)</f>
        <v>4</v>
      </c>
      <c r="F429" cm="1">
        <f t="array" ref="F429">VLOOKUP($A429,Table_ship_components[],COLUMN(F:F),0)</f>
        <v>4</v>
      </c>
      <c r="G429" cm="1">
        <f t="array" ref="G429">ROUND(VLOOKUP($A429,Table_ship_components[],COLUMN(G:G),0)+(X429*C429),0)</f>
        <v>4</v>
      </c>
      <c r="H429" cm="1">
        <f t="array" ref="H429">VLOOKUP($A429,Table_ship_components[],COLUMN(H:H),0)</f>
        <v>0</v>
      </c>
      <c r="I429" cm="1">
        <f t="array" ref="I429">VLOOKUP($A429,Table_ship_components[],COLUMN(I:I),0)</f>
        <v>0</v>
      </c>
      <c r="J429" cm="1">
        <f t="array" ref="J429">VLOOKUP($A429,Table_ship_components[],COLUMN(J:J),0)</f>
        <v>0</v>
      </c>
      <c r="K429" cm="1">
        <f t="array" ref="K429">VLOOKUP($A429,Table_ship_components[],COLUMN(K:K),0)</f>
        <v>0</v>
      </c>
      <c r="L429" cm="1">
        <f t="array" ref="L429">VLOOKUP($A429,Table_ship_components[],COLUMN(L:L),0)</f>
        <v>0</v>
      </c>
      <c r="M429" cm="1">
        <f t="array" ref="M429">VLOOKUP($A429,Table_ship_components[],COLUMN(M:M),0)</f>
        <v>0</v>
      </c>
      <c r="N429" cm="1">
        <f t="array" ref="N429">VLOOKUP($A429,Table_ship_components[],COLUMN(N:N),0)</f>
        <v>0</v>
      </c>
      <c r="O429" cm="1">
        <f t="array" ref="O429">VLOOKUP($A429,Table_ship_components[],COLUMN(O:O),0)</f>
        <v>1</v>
      </c>
      <c r="P429" cm="1">
        <f t="array" ref="P429">VLOOKUP($A429,Table_ship_components[],COLUMN(P:P),0)</f>
        <v>0</v>
      </c>
      <c r="Q429" cm="1">
        <f t="array" ref="Q429">VLOOKUP($A429,Table_ship_components[],COLUMN(Q:Q),0)</f>
        <v>0</v>
      </c>
      <c r="R429" cm="1">
        <f t="array" ref="R429">VLOOKUP($A429,Table_ship_components[],COLUMN(R:R),0)</f>
        <v>0</v>
      </c>
      <c r="S429" cm="1">
        <f t="array" ref="S429">VLOOKUP($A429,Table_ship_components[],COLUMN(S:S),0)</f>
        <v>0</v>
      </c>
      <c r="T429" cm="1">
        <f t="array" ref="T429">VLOOKUP($A429,Table_ship_components[],COLUMN(T:T),0)</f>
        <v>0</v>
      </c>
      <c r="U429" cm="1">
        <f t="array" ref="U429">VLOOKUP($A429,Table_ship_components[],COLUMN(U:U),0)</f>
        <v>0</v>
      </c>
      <c r="V429" cm="1">
        <f t="array" ref="V429">VLOOKUP($A429,Table_ship_components[],COLUMN(V:V),0)</f>
        <v>0</v>
      </c>
      <c r="W429" s="15" cm="1">
        <f t="array" ref="W429">VLOOKUP($A429,Table_ship_components[],COLUMN(W:W),0)</f>
        <v>0</v>
      </c>
      <c r="X429" cm="1">
        <f t="array" ref="X429">VLOOKUP($A429,Table_ship_components[],COLUMN(X:X),0)</f>
        <v>0</v>
      </c>
      <c r="Y429" cm="1">
        <f t="array" ref="Y429">VLOOKUP($A429,Table_ship_components[],COLUMN(Y:Y),0)</f>
        <v>0</v>
      </c>
      <c r="Z429" cm="1">
        <f t="array" ref="Z429">VLOOKUP($A429,Table_ship_components[],COLUMN(Z:Z),0)</f>
        <v>0</v>
      </c>
      <c r="AA429" cm="1">
        <f t="array" ref="AA429">VLOOKUP($A429,Table_ship_components[],COLUMN(AA:AA),0)*C429</f>
        <v>0</v>
      </c>
      <c r="AB429">
        <f t="shared" si="35"/>
        <v>0</v>
      </c>
      <c r="AC429" cm="1">
        <f t="array" ref="AC429">VLOOKUP($A429,Table_ship_components[],COLUMN(AC:AC),0)*C429</f>
        <v>0</v>
      </c>
      <c r="AD429" cm="1">
        <f t="array" ref="AD429">VLOOKUP($A429,Table_ship_components[],COLUMN(AD:AD),0)</f>
        <v>0</v>
      </c>
      <c r="AE429" cm="1">
        <f t="array" ref="AE429">VLOOKUP($A429,Table_ship_components[],COLUMN(AE:AE),0)</f>
        <v>0</v>
      </c>
      <c r="AF429" cm="1">
        <f t="array" ref="AF429">VLOOKUP($A429,Table_ship_components[],COLUMN(AF:AF),0)</f>
        <v>0</v>
      </c>
      <c r="AG429" cm="1">
        <f t="array" ref="AG429">VLOOKUP($A429,Table_ship_components[],COLUMN(AG:AG),0)</f>
        <v>0</v>
      </c>
      <c r="AH429" cm="1">
        <f t="array" ref="AH429">VLOOKUP($A429,Table_ship_components[],COLUMN(AH:AH),0)</f>
        <v>0</v>
      </c>
      <c r="AI429" cm="1">
        <f t="array" ref="AI429">VLOOKUP($A429,Table_ship_components[],COLUMN(AI:AI),0)</f>
        <v>0</v>
      </c>
      <c r="AJ429" cm="1">
        <f t="array" ref="AJ429">VLOOKUP($A429,Table_ship_components[],COLUMN(AJ:AJ),0)</f>
        <v>0</v>
      </c>
      <c r="AK429" cm="1">
        <f t="array" ref="AK429">VLOOKUP($A429,Table_ship_components[],COLUMN(AK:AK),0)</f>
        <v>0</v>
      </c>
      <c r="AL429" cm="1">
        <f t="array" ref="AL429">VLOOKUP($A429,Table_ship_components[],COLUMN(AL:AL),0)</f>
        <v>0</v>
      </c>
      <c r="AM429" cm="1">
        <f t="array" ref="AM429">VLOOKUP($A429,Table_ship_components[],COLUMN(AM:AM),0)</f>
        <v>0</v>
      </c>
      <c r="AN429" cm="1">
        <f t="array" ref="AN429">VLOOKUP($A429,Table_ship_components[],COLUMN(AN:AN),0)</f>
        <v>0</v>
      </c>
      <c r="AO429" cm="1">
        <f t="array" ref="AO429">VLOOKUP($A429,Table_ship_components[],COLUMN(AO:AO),0)</f>
        <v>0</v>
      </c>
      <c r="AP429" cm="1">
        <f t="array" ref="AP429">VLOOKUP($A429,Table_ship_components[],COLUMN(AP:AP),0)</f>
        <v>0</v>
      </c>
      <c r="AQ429" cm="1">
        <f t="array" ref="AQ429">VLOOKUP($A429,Table_ship_components[],COLUMN(AQ:AQ),0)</f>
        <v>-1</v>
      </c>
      <c r="AR429" cm="1">
        <f t="array" ref="AR429">VLOOKUP($A429,Table_ship_components[],COLUMN(AR:AR),0)</f>
        <v>0</v>
      </c>
      <c r="AS429" cm="1">
        <f t="array" ref="AS429">VLOOKUP($A429,Table_ship_components[],COLUMN(AS:AS),0)</f>
        <v>0</v>
      </c>
      <c r="AT429" cm="1">
        <f t="array" ref="AT429">VLOOKUP($A429,Table_ship_components[],COLUMN(AT:AT),0)</f>
        <v>0</v>
      </c>
      <c r="AU429" s="2" cm="1">
        <f t="array" ref="AU429">VLOOKUP($A429,Table_ship_components[],COLUMN(AU:AU),0)</f>
        <v>0</v>
      </c>
      <c r="AV429" s="2" cm="1">
        <f t="array" ref="AV429">VLOOKUP($A429,Table_ship_components[],COLUMN(AV:AV),0)</f>
        <v>0</v>
      </c>
      <c r="AW429" s="2" cm="1">
        <f t="array" ref="AW429">VLOOKUP($A429,Table_ship_components[],COLUMN(AW:AW),0)</f>
        <v>0</v>
      </c>
      <c r="AX429" s="2" cm="1">
        <f t="array" ref="AX429">VLOOKUP($A429,Table_ship_components[],COLUMN(AX:AX),0)</f>
        <v>0</v>
      </c>
      <c r="AY429" s="2" cm="1">
        <f t="array" ref="AY429">VLOOKUP($A429,Table_ship_components[],COLUMN(AY:AY),0)</f>
        <v>0</v>
      </c>
      <c r="AZ429" s="2" t="str" cm="1">
        <f t="array" ref="AZ429">VLOOKUP($A429,Table_ship_components[],COLUMN(AZ:AZ),0)</f>
        <v>C</v>
      </c>
      <c r="BA429" s="14" cm="1">
        <f t="array" ref="BA429">VLOOKUP($A429,Table_ship_components[],COLUMN(BA:BA),0)</f>
        <v>125000</v>
      </c>
      <c r="BB429" s="14" cm="1">
        <f t="array" ref="BB429">(VLOOKUP($A429,Table_ship_components[],COLUMN(BA:BA),0)+(W429*C429))</f>
        <v>125000</v>
      </c>
      <c r="BC429" s="2" cm="1">
        <f t="array" ref="BC429">VLOOKUP($A429,Table_ship_components[],COLUMN(BC:BC),0)</f>
        <v>0</v>
      </c>
      <c r="BD429" s="2" cm="1">
        <f t="array" ref="BD429">VLOOKUP($A429,Table_ship_components[],COLUMN(BD:BD),0)</f>
        <v>0</v>
      </c>
    </row>
    <row r="430" spans="1:56" outlineLevel="1" x14ac:dyDescent="0.35">
      <c r="A430" t="s">
        <v>404</v>
      </c>
      <c r="B430" t="str" cm="1">
        <f t="array" ref="B430">VLOOKUP($A430,Table_ship_components[],COLUMN(B:B),0)</f>
        <v>basic crew quatrters and accomodations</v>
      </c>
      <c r="C430" s="2">
        <v>2</v>
      </c>
      <c r="D430" cm="1">
        <f t="array" ref="D430">VLOOKUP($A430,Table_ship_components[],COLUMN(D:D),0)</f>
        <v>5</v>
      </c>
      <c r="E430" cm="1">
        <f t="array" ref="E430">ROUND(VLOOKUP($A430,Table_ship_components[],COLUMN(D:D),0)+(V430*C430),0)</f>
        <v>11</v>
      </c>
      <c r="F430" cm="1">
        <f t="array" ref="F430">VLOOKUP($A430,Table_ship_components[],COLUMN(F:F),0)</f>
        <v>2</v>
      </c>
      <c r="G430" cm="1">
        <f t="array" ref="G430">ROUND(VLOOKUP($A430,Table_ship_components[],COLUMN(G:G),0)+(X430*C430),0)</f>
        <v>4</v>
      </c>
      <c r="H430" cm="1">
        <f t="array" ref="H430">VLOOKUP($A430,Table_ship_components[],COLUMN(H:H),0)</f>
        <v>0</v>
      </c>
      <c r="I430" cm="1">
        <f t="array" ref="I430">VLOOKUP($A430,Table_ship_components[],COLUMN(I:I),0)</f>
        <v>0</v>
      </c>
      <c r="J430" cm="1">
        <f t="array" ref="J430">VLOOKUP($A430,Table_ship_components[],COLUMN(J:J),0)</f>
        <v>0</v>
      </c>
      <c r="K430" cm="1">
        <f t="array" ref="K430">VLOOKUP($A430,Table_ship_components[],COLUMN(K:K),0)</f>
        <v>0</v>
      </c>
      <c r="L430" cm="1">
        <f t="array" ref="L430">VLOOKUP($A430,Table_ship_components[],COLUMN(L:L),0)</f>
        <v>0</v>
      </c>
      <c r="M430" cm="1">
        <f t="array" ref="M430">VLOOKUP($A430,Table_ship_components[],COLUMN(M:M),0)</f>
        <v>0</v>
      </c>
      <c r="N430" cm="1">
        <f t="array" ref="N430">VLOOKUP($A430,Table_ship_components[],COLUMN(N:N),0)</f>
        <v>0</v>
      </c>
      <c r="O430" cm="1">
        <f t="array" ref="O430">VLOOKUP($A430,Table_ship_components[],COLUMN(O:O),0)</f>
        <v>1</v>
      </c>
      <c r="P430" cm="1">
        <f t="array" ref="P430">VLOOKUP($A430,Table_ship_components[],COLUMN(P:P),0)</f>
        <v>1</v>
      </c>
      <c r="Q430" cm="1">
        <f t="array" ref="Q430">VLOOKUP($A430,Table_ship_components[],COLUMN(Q:Q),0)</f>
        <v>1</v>
      </c>
      <c r="R430" cm="1">
        <f t="array" ref="R430">VLOOKUP($A430,Table_ship_components[],COLUMN(R:R),0)</f>
        <v>1</v>
      </c>
      <c r="S430" cm="1">
        <f t="array" ref="S430">VLOOKUP($A430,Table_ship_components[],COLUMN(S:S),0)</f>
        <v>1</v>
      </c>
      <c r="T430" cm="1">
        <f t="array" ref="T430">VLOOKUP($A430,Table_ship_components[],COLUMN(T:T),0)</f>
        <v>1</v>
      </c>
      <c r="U430" cm="1">
        <f t="array" ref="U430">VLOOKUP($A430,Table_ship_components[],COLUMN(U:U),0)</f>
        <v>1</v>
      </c>
      <c r="V430" cm="1">
        <f t="array" ref="V430">VLOOKUP($A430,Table_ship_components[],COLUMN(V:V),0)</f>
        <v>3</v>
      </c>
      <c r="W430" s="15" cm="1">
        <f t="array" ref="W430">VLOOKUP($A430,Table_ship_components[],COLUMN(W:W),0)</f>
        <v>50000</v>
      </c>
      <c r="X430" cm="1">
        <f t="array" ref="X430">VLOOKUP($A430,Table_ship_components[],COLUMN(X:X),0)</f>
        <v>1</v>
      </c>
      <c r="Y430" cm="1">
        <f t="array" ref="Y430">VLOOKUP($A430,Table_ship_components[],COLUMN(Y:Y),0)</f>
        <v>0</v>
      </c>
      <c r="Z430" cm="1">
        <f t="array" ref="Z430">VLOOKUP($A430,Table_ship_components[],COLUMN(Z:Z),0)</f>
        <v>0</v>
      </c>
      <c r="AA430" cm="1">
        <f t="array" ref="AA430">VLOOKUP($A430,Table_ship_components[],COLUMN(AA:AA),0)*C430</f>
        <v>0</v>
      </c>
      <c r="AB430">
        <f t="shared" si="35"/>
        <v>0</v>
      </c>
      <c r="AC430" cm="1">
        <f t="array" ref="AC430">VLOOKUP($A430,Table_ship_components[],COLUMN(AC:AC),0)*C430</f>
        <v>0</v>
      </c>
      <c r="AD430" cm="1">
        <f t="array" ref="AD430">VLOOKUP($A430,Table_ship_components[],COLUMN(AD:AD),0)</f>
        <v>0</v>
      </c>
      <c r="AE430" cm="1">
        <f t="array" ref="AE430">VLOOKUP($A430,Table_ship_components[],COLUMN(AE:AE),0)</f>
        <v>0</v>
      </c>
      <c r="AF430" cm="1">
        <f t="array" ref="AF430">VLOOKUP($A430,Table_ship_components[],COLUMN(AF:AF),0)</f>
        <v>0</v>
      </c>
      <c r="AG430" cm="1">
        <f t="array" ref="AG430">VLOOKUP($A430,Table_ship_components[],COLUMN(AG:AG),0)</f>
        <v>0</v>
      </c>
      <c r="AH430" cm="1">
        <f t="array" ref="AH430">VLOOKUP($A430,Table_ship_components[],COLUMN(AH:AH),0)</f>
        <v>0</v>
      </c>
      <c r="AI430" cm="1">
        <f t="array" ref="AI430">VLOOKUP($A430,Table_ship_components[],COLUMN(AI:AI),0)</f>
        <v>0</v>
      </c>
      <c r="AJ430" cm="1">
        <f t="array" ref="AJ430">VLOOKUP($A430,Table_ship_components[],COLUMN(AJ:AJ),0)</f>
        <v>0</v>
      </c>
      <c r="AK430" cm="1">
        <f t="array" ref="AK430">VLOOKUP($A430,Table_ship_components[],COLUMN(AK:AK),0)</f>
        <v>0</v>
      </c>
      <c r="AL430" cm="1">
        <f t="array" ref="AL430">VLOOKUP($A430,Table_ship_components[],COLUMN(AL:AL),0)</f>
        <v>0</v>
      </c>
      <c r="AM430" cm="1">
        <f t="array" ref="AM430">VLOOKUP($A430,Table_ship_components[],COLUMN(AM:AM),0)</f>
        <v>0</v>
      </c>
      <c r="AN430" cm="1">
        <f t="array" ref="AN430">VLOOKUP($A430,Table_ship_components[],COLUMN(AN:AN),0)</f>
        <v>0</v>
      </c>
      <c r="AO430" cm="1">
        <f t="array" ref="AO430">VLOOKUP($A430,Table_ship_components[],COLUMN(AO:AO),0)</f>
        <v>0</v>
      </c>
      <c r="AP430" cm="1">
        <f t="array" ref="AP430">VLOOKUP($A430,Table_ship_components[],COLUMN(AP:AP),0)</f>
        <v>0</v>
      </c>
      <c r="AQ430" cm="1">
        <f t="array" ref="AQ430">VLOOKUP($A430,Table_ship_components[],COLUMN(AQ:AQ),0)</f>
        <v>0</v>
      </c>
      <c r="AR430" cm="1">
        <f t="array" ref="AR430">VLOOKUP($A430,Table_ship_components[],COLUMN(AR:AR),0)</f>
        <v>0</v>
      </c>
      <c r="AS430" cm="1">
        <f t="array" ref="AS430">VLOOKUP($A430,Table_ship_components[],COLUMN(AS:AS),0)</f>
        <v>0</v>
      </c>
      <c r="AT430" cm="1">
        <f t="array" ref="AT430">VLOOKUP($A430,Table_ship_components[],COLUMN(AT:AT),0)</f>
        <v>0</v>
      </c>
      <c r="AU430" s="2" cm="1">
        <f t="array" ref="AU430">VLOOKUP($A430,Table_ship_components[],COLUMN(AU:AU),0)</f>
        <v>0</v>
      </c>
      <c r="AV430" s="2" cm="1">
        <f t="array" ref="AV430">VLOOKUP($A430,Table_ship_components[],COLUMN(AV:AV),0)</f>
        <v>0</v>
      </c>
      <c r="AW430" s="2" cm="1">
        <f t="array" ref="AW430">VLOOKUP($A430,Table_ship_components[],COLUMN(AW:AW),0)</f>
        <v>0</v>
      </c>
      <c r="AX430" s="2" cm="1">
        <f t="array" ref="AX430">VLOOKUP($A430,Table_ship_components[],COLUMN(AX:AX),0)</f>
        <v>0</v>
      </c>
      <c r="AY430" s="2" cm="1">
        <f t="array" ref="AY430">VLOOKUP($A430,Table_ship_components[],COLUMN(AY:AY),0)</f>
        <v>0</v>
      </c>
      <c r="AZ430" s="2" t="str" cm="1">
        <f t="array" ref="AZ430">VLOOKUP($A430,Table_ship_components[],COLUMN(AZ:AZ),0)</f>
        <v>C</v>
      </c>
      <c r="BA430" s="14" cm="1">
        <f t="array" ref="BA430">VLOOKUP($A430,Table_ship_components[],COLUMN(BA:BA),0)</f>
        <v>80000</v>
      </c>
      <c r="BB430" s="14" cm="1">
        <f t="array" ref="BB430">(VLOOKUP($A430,Table_ship_components[],COLUMN(BA:BA),0)+(W430*C430))</f>
        <v>180000</v>
      </c>
      <c r="BC430" s="2" cm="1">
        <f t="array" ref="BC430">VLOOKUP($A430,Table_ship_components[],COLUMN(BC:BC),0)</f>
        <v>0</v>
      </c>
      <c r="BD430" s="2" cm="1">
        <f t="array" ref="BD430">VLOOKUP($A430,Table_ship_components[],COLUMN(BD:BD),0)</f>
        <v>0</v>
      </c>
    </row>
    <row r="431" spans="1:56" outlineLevel="1" x14ac:dyDescent="0.35">
      <c r="A431" t="s">
        <v>365</v>
      </c>
      <c r="B431" t="str" cm="1">
        <f t="array" ref="B431">VLOOKUP($A431,Table_ship_components[],COLUMN(B:B),0)</f>
        <v>good life support for a corvette</v>
      </c>
      <c r="C431" s="2">
        <v>5</v>
      </c>
      <c r="D431" cm="1">
        <f t="array" ref="D431">VLOOKUP($A431,Table_ship_components[],COLUMN(D:D),0)</f>
        <v>8</v>
      </c>
      <c r="E431" cm="1">
        <f t="array" ref="E431">ROUND(VLOOKUP($A431,Table_ship_components[],COLUMN(D:D),0)+(V431*C431),0)</f>
        <v>13</v>
      </c>
      <c r="F431" cm="1">
        <f t="array" ref="F431">VLOOKUP($A431,Table_ship_components[],COLUMN(F:F),0)</f>
        <v>7</v>
      </c>
      <c r="G431" cm="1">
        <f t="array" ref="G431">ROUND(VLOOKUP($A431,Table_ship_components[],COLUMN(G:G),0)+(X431*C431),0)</f>
        <v>12</v>
      </c>
      <c r="H431" cm="1">
        <f t="array" ref="H431">VLOOKUP($A431,Table_ship_components[],COLUMN(H:H),0)</f>
        <v>0</v>
      </c>
      <c r="I431" cm="1">
        <f t="array" ref="I431">VLOOKUP($A431,Table_ship_components[],COLUMN(I:I),0)</f>
        <v>0</v>
      </c>
      <c r="J431" cm="1">
        <f t="array" ref="J431">VLOOKUP($A431,Table_ship_components[],COLUMN(J:J),0)</f>
        <v>0</v>
      </c>
      <c r="K431" cm="1">
        <f t="array" ref="K431">VLOOKUP($A431,Table_ship_components[],COLUMN(K:K),0)</f>
        <v>0</v>
      </c>
      <c r="L431" cm="1">
        <f t="array" ref="L431">VLOOKUP($A431,Table_ship_components[],COLUMN(L:L),0)</f>
        <v>0</v>
      </c>
      <c r="M431" cm="1">
        <f t="array" ref="M431">VLOOKUP($A431,Table_ship_components[],COLUMN(M:M),0)</f>
        <v>0</v>
      </c>
      <c r="N431" cm="1">
        <f t="array" ref="N431">VLOOKUP($A431,Table_ship_components[],COLUMN(N:N),0)</f>
        <v>0</v>
      </c>
      <c r="O431" cm="1">
        <f t="array" ref="O431">VLOOKUP($A431,Table_ship_components[],COLUMN(O:O),0)</f>
        <v>1</v>
      </c>
      <c r="P431" cm="1">
        <f t="array" ref="P431">VLOOKUP($A431,Table_ship_components[],COLUMN(P:P),0)</f>
        <v>0</v>
      </c>
      <c r="Q431" cm="1">
        <f t="array" ref="Q431">VLOOKUP($A431,Table_ship_components[],COLUMN(Q:Q),0)</f>
        <v>0</v>
      </c>
      <c r="R431" cm="1">
        <f t="array" ref="R431">VLOOKUP($A431,Table_ship_components[],COLUMN(R:R),0)</f>
        <v>0</v>
      </c>
      <c r="S431" cm="1">
        <f t="array" ref="S431">VLOOKUP($A431,Table_ship_components[],COLUMN(S:S),0)</f>
        <v>0</v>
      </c>
      <c r="T431" cm="1">
        <f t="array" ref="T431">VLOOKUP($A431,Table_ship_components[],COLUMN(T:T),0)</f>
        <v>0</v>
      </c>
      <c r="U431" cm="1">
        <f t="array" ref="U431">VLOOKUP($A431,Table_ship_components[],COLUMN(U:U),0)</f>
        <v>1</v>
      </c>
      <c r="V431" cm="1">
        <f t="array" ref="V431">VLOOKUP($A431,Table_ship_components[],COLUMN(V:V),0)</f>
        <v>1</v>
      </c>
      <c r="W431" s="15" cm="1">
        <f t="array" ref="W431">VLOOKUP($A431,Table_ship_components[],COLUMN(W:W),0)</f>
        <v>125000</v>
      </c>
      <c r="X431" cm="1">
        <f t="array" ref="X431">VLOOKUP($A431,Table_ship_components[],COLUMN(X:X),0)</f>
        <v>1</v>
      </c>
      <c r="Y431" cm="1">
        <f t="array" ref="Y431">VLOOKUP($A431,Table_ship_components[],COLUMN(Y:Y),0)</f>
        <v>0</v>
      </c>
      <c r="Z431" cm="1">
        <f t="array" ref="Z431">VLOOKUP($A431,Table_ship_components[],COLUMN(Z:Z),0)</f>
        <v>0</v>
      </c>
      <c r="AA431" cm="1">
        <f t="array" ref="AA431">VLOOKUP($A431,Table_ship_components[],COLUMN(AA:AA),0)*C431</f>
        <v>0</v>
      </c>
      <c r="AB431">
        <f t="shared" si="35"/>
        <v>0</v>
      </c>
      <c r="AC431" cm="1">
        <f t="array" ref="AC431">VLOOKUP($A431,Table_ship_components[],COLUMN(AC:AC),0)*C431</f>
        <v>5</v>
      </c>
      <c r="AD431" cm="1">
        <f t="array" ref="AD431">VLOOKUP($A431,Table_ship_components[],COLUMN(AD:AD),0)</f>
        <v>100</v>
      </c>
      <c r="AE431" cm="1">
        <f t="array" ref="AE431">VLOOKUP($A431,Table_ship_components[],COLUMN(AE:AE),0)</f>
        <v>0</v>
      </c>
      <c r="AF431" cm="1">
        <f t="array" ref="AF431">VLOOKUP($A431,Table_ship_components[],COLUMN(AF:AF),0)</f>
        <v>0</v>
      </c>
      <c r="AG431" cm="1">
        <f t="array" ref="AG431">VLOOKUP($A431,Table_ship_components[],COLUMN(AG:AG),0)</f>
        <v>0</v>
      </c>
      <c r="AH431" cm="1">
        <f t="array" ref="AH431">VLOOKUP($A431,Table_ship_components[],COLUMN(AH:AH),0)</f>
        <v>0</v>
      </c>
      <c r="AI431" cm="1">
        <f t="array" ref="AI431">VLOOKUP($A431,Table_ship_components[],COLUMN(AI:AI),0)</f>
        <v>0</v>
      </c>
      <c r="AJ431" cm="1">
        <f t="array" ref="AJ431">VLOOKUP($A431,Table_ship_components[],COLUMN(AJ:AJ),0)</f>
        <v>0</v>
      </c>
      <c r="AK431" cm="1">
        <f t="array" ref="AK431">VLOOKUP($A431,Table_ship_components[],COLUMN(AK:AK),0)</f>
        <v>0</v>
      </c>
      <c r="AL431" cm="1">
        <f t="array" ref="AL431">VLOOKUP($A431,Table_ship_components[],COLUMN(AL:AL),0)</f>
        <v>0</v>
      </c>
      <c r="AM431" cm="1">
        <f t="array" ref="AM431">VLOOKUP($A431,Table_ship_components[],COLUMN(AM:AM),0)</f>
        <v>0</v>
      </c>
      <c r="AN431" cm="1">
        <f t="array" ref="AN431">VLOOKUP($A431,Table_ship_components[],COLUMN(AN:AN),0)</f>
        <v>0</v>
      </c>
      <c r="AO431" cm="1">
        <f t="array" ref="AO431">VLOOKUP($A431,Table_ship_components[],COLUMN(AO:AO),0)</f>
        <v>0</v>
      </c>
      <c r="AP431" cm="1">
        <f t="array" ref="AP431">VLOOKUP($A431,Table_ship_components[],COLUMN(AP:AP),0)</f>
        <v>0</v>
      </c>
      <c r="AQ431" cm="1">
        <f t="array" ref="AQ431">VLOOKUP($A431,Table_ship_components[],COLUMN(AQ:AQ),0)</f>
        <v>0</v>
      </c>
      <c r="AR431" cm="1">
        <f t="array" ref="AR431">VLOOKUP($A431,Table_ship_components[],COLUMN(AR:AR),0)</f>
        <v>0</v>
      </c>
      <c r="AS431" cm="1">
        <f t="array" ref="AS431">VLOOKUP($A431,Table_ship_components[],COLUMN(AS:AS),0)</f>
        <v>0</v>
      </c>
      <c r="AT431" cm="1">
        <f t="array" ref="AT431">VLOOKUP($A431,Table_ship_components[],COLUMN(AT:AT),0)</f>
        <v>0</v>
      </c>
      <c r="AU431" s="2" cm="1">
        <f t="array" ref="AU431">VLOOKUP($A431,Table_ship_components[],COLUMN(AU:AU),0)</f>
        <v>0</v>
      </c>
      <c r="AV431" s="2" cm="1">
        <f t="array" ref="AV431">VLOOKUP($A431,Table_ship_components[],COLUMN(AV:AV),0)</f>
        <v>0</v>
      </c>
      <c r="AW431" s="2" cm="1">
        <f t="array" ref="AW431">VLOOKUP($A431,Table_ship_components[],COLUMN(AW:AW),0)</f>
        <v>0</v>
      </c>
      <c r="AX431" s="2" cm="1">
        <f t="array" ref="AX431">VLOOKUP($A431,Table_ship_components[],COLUMN(AX:AX),0)</f>
        <v>0</v>
      </c>
      <c r="AY431" s="2" cm="1">
        <f t="array" ref="AY431">VLOOKUP($A431,Table_ship_components[],COLUMN(AY:AY),0)</f>
        <v>0</v>
      </c>
      <c r="AZ431" s="2" t="str" cm="1">
        <f t="array" ref="AZ431">VLOOKUP($A431,Table_ship_components[],COLUMN(AZ:AZ),0)</f>
        <v>C</v>
      </c>
      <c r="BA431" s="14" cm="1">
        <f t="array" ref="BA431">VLOOKUP($A431,Table_ship_components[],COLUMN(BA:BA),0)</f>
        <v>1250000</v>
      </c>
      <c r="BB431" s="14" cm="1">
        <f t="array" ref="BB431">(VLOOKUP($A431,Table_ship_components[],COLUMN(BA:BA),0)+(W431*C431))</f>
        <v>1875000</v>
      </c>
      <c r="BC431" s="2" cm="1">
        <f t="array" ref="BC431">VLOOKUP($A431,Table_ship_components[],COLUMN(BC:BC),0)</f>
        <v>0</v>
      </c>
      <c r="BD431" s="2" cm="1">
        <f t="array" ref="BD431">VLOOKUP($A431,Table_ship_components[],COLUMN(BD:BD),0)</f>
        <v>0</v>
      </c>
    </row>
    <row r="432" spans="1:56" outlineLevel="1" x14ac:dyDescent="0.35">
      <c r="A432" t="s">
        <v>350</v>
      </c>
      <c r="B432" t="str" cm="1">
        <f t="array" ref="B432">VLOOKUP($A432,Table_ship_components[],COLUMN(B:B),0)</f>
        <v>good automation of crew functions</v>
      </c>
      <c r="D432" cm="1">
        <f t="array" ref="D432">VLOOKUP($A432,Table_ship_components[],COLUMN(D:D),0)</f>
        <v>6</v>
      </c>
      <c r="E432" cm="1">
        <f t="array" ref="E432">ROUND(VLOOKUP($A432,Table_ship_components[],COLUMN(D:D),0)+(V432*C432),0)</f>
        <v>6</v>
      </c>
      <c r="F432" cm="1">
        <f t="array" ref="F432">VLOOKUP($A432,Table_ship_components[],COLUMN(F:F),0)</f>
        <v>7</v>
      </c>
      <c r="G432" cm="1">
        <f t="array" ref="G432">ROUND(VLOOKUP($A432,Table_ship_components[],COLUMN(G:G),0)+(X432*C432),0)</f>
        <v>7</v>
      </c>
      <c r="H432" cm="1">
        <f t="array" ref="H432">VLOOKUP($A432,Table_ship_components[],COLUMN(H:H),0)</f>
        <v>0</v>
      </c>
      <c r="I432" cm="1">
        <f t="array" ref="I432">VLOOKUP($A432,Table_ship_components[],COLUMN(I:I),0)</f>
        <v>0</v>
      </c>
      <c r="J432" cm="1">
        <f t="array" ref="J432">VLOOKUP($A432,Table_ship_components[],COLUMN(J:J),0)</f>
        <v>0</v>
      </c>
      <c r="K432" cm="1">
        <f t="array" ref="K432">VLOOKUP($A432,Table_ship_components[],COLUMN(K:K),0)</f>
        <v>0</v>
      </c>
      <c r="L432" cm="1">
        <f t="array" ref="L432">VLOOKUP($A432,Table_ship_components[],COLUMN(L:L),0)</f>
        <v>0</v>
      </c>
      <c r="M432" cm="1">
        <f t="array" ref="M432">VLOOKUP($A432,Table_ship_components[],COLUMN(M:M),0)</f>
        <v>0</v>
      </c>
      <c r="N432" cm="1">
        <f t="array" ref="N432">VLOOKUP($A432,Table_ship_components[],COLUMN(N:N),0)</f>
        <v>0</v>
      </c>
      <c r="O432" cm="1">
        <f t="array" ref="O432">VLOOKUP($A432,Table_ship_components[],COLUMN(O:O),0)</f>
        <v>1</v>
      </c>
      <c r="P432" cm="1">
        <f t="array" ref="P432">VLOOKUP($A432,Table_ship_components[],COLUMN(P:P),0)</f>
        <v>0</v>
      </c>
      <c r="Q432" cm="1">
        <f t="array" ref="Q432">VLOOKUP($A432,Table_ship_components[],COLUMN(Q:Q),0)</f>
        <v>0</v>
      </c>
      <c r="R432" cm="1">
        <f t="array" ref="R432">VLOOKUP($A432,Table_ship_components[],COLUMN(R:R),0)</f>
        <v>0</v>
      </c>
      <c r="S432" cm="1">
        <f t="array" ref="S432">VLOOKUP($A432,Table_ship_components[],COLUMN(S:S),0)</f>
        <v>0</v>
      </c>
      <c r="T432" cm="1">
        <f t="array" ref="T432">VLOOKUP($A432,Table_ship_components[],COLUMN(T:T),0)</f>
        <v>0</v>
      </c>
      <c r="U432" cm="1">
        <f t="array" ref="U432">VLOOKUP($A432,Table_ship_components[],COLUMN(U:U),0)</f>
        <v>0</v>
      </c>
      <c r="V432" cm="1">
        <f t="array" ref="V432">VLOOKUP($A432,Table_ship_components[],COLUMN(V:V),0)</f>
        <v>0</v>
      </c>
      <c r="W432" s="15" cm="1">
        <f t="array" ref="W432">VLOOKUP($A432,Table_ship_components[],COLUMN(W:W),0)</f>
        <v>0</v>
      </c>
      <c r="X432" cm="1">
        <f t="array" ref="X432">VLOOKUP($A432,Table_ship_components[],COLUMN(X:X),0)</f>
        <v>0</v>
      </c>
      <c r="Y432" cm="1">
        <f t="array" ref="Y432">VLOOKUP($A432,Table_ship_components[],COLUMN(Y:Y),0)</f>
        <v>1</v>
      </c>
      <c r="Z432" cm="1">
        <f t="array" ref="Z432">VLOOKUP($A432,Table_ship_components[],COLUMN(Z:Z),0)</f>
        <v>2</v>
      </c>
      <c r="AA432" cm="1">
        <f t="array" ref="AA432">VLOOKUP($A432,Table_ship_components[],COLUMN(AA:AA),0)*C432</f>
        <v>0</v>
      </c>
      <c r="AB432">
        <f t="shared" si="35"/>
        <v>0</v>
      </c>
      <c r="AC432" cm="1">
        <f t="array" ref="AC432">VLOOKUP($A432,Table_ship_components[],COLUMN(AC:AC),0)*C432</f>
        <v>0</v>
      </c>
      <c r="AD432" cm="1">
        <f t="array" ref="AD432">VLOOKUP($A432,Table_ship_components[],COLUMN(AD:AD),0)</f>
        <v>0</v>
      </c>
      <c r="AE432" cm="1">
        <f t="array" ref="AE432">VLOOKUP($A432,Table_ship_components[],COLUMN(AE:AE),0)</f>
        <v>0</v>
      </c>
      <c r="AF432" cm="1">
        <f t="array" ref="AF432">VLOOKUP($A432,Table_ship_components[],COLUMN(AF:AF),0)</f>
        <v>0</v>
      </c>
      <c r="AG432" cm="1">
        <f t="array" ref="AG432">VLOOKUP($A432,Table_ship_components[],COLUMN(AG:AG),0)</f>
        <v>0</v>
      </c>
      <c r="AH432" cm="1">
        <f t="array" ref="AH432">VLOOKUP($A432,Table_ship_components[],COLUMN(AH:AH),0)</f>
        <v>0</v>
      </c>
      <c r="AI432" cm="1">
        <f t="array" ref="AI432">VLOOKUP($A432,Table_ship_components[],COLUMN(AI:AI),0)</f>
        <v>0</v>
      </c>
      <c r="AJ432" cm="1">
        <f t="array" ref="AJ432">VLOOKUP($A432,Table_ship_components[],COLUMN(AJ:AJ),0)</f>
        <v>0</v>
      </c>
      <c r="AK432" cm="1">
        <f t="array" ref="AK432">VLOOKUP($A432,Table_ship_components[],COLUMN(AK:AK),0)</f>
        <v>0</v>
      </c>
      <c r="AL432" cm="1">
        <f t="array" ref="AL432">VLOOKUP($A432,Table_ship_components[],COLUMN(AL:AL),0)</f>
        <v>0</v>
      </c>
      <c r="AM432" cm="1">
        <f t="array" ref="AM432">VLOOKUP($A432,Table_ship_components[],COLUMN(AM:AM),0)</f>
        <v>0</v>
      </c>
      <c r="AN432" cm="1">
        <f t="array" ref="AN432">VLOOKUP($A432,Table_ship_components[],COLUMN(AN:AN),0)</f>
        <v>0</v>
      </c>
      <c r="AO432" cm="1">
        <f t="array" ref="AO432">VLOOKUP($A432,Table_ship_components[],COLUMN(AO:AO),0)</f>
        <v>0</v>
      </c>
      <c r="AP432" cm="1">
        <f t="array" ref="AP432">VLOOKUP($A432,Table_ship_components[],COLUMN(AP:AP),0)</f>
        <v>0</v>
      </c>
      <c r="AQ432" cm="1">
        <f t="array" ref="AQ432">VLOOKUP($A432,Table_ship_components[],COLUMN(AQ:AQ),0)</f>
        <v>0</v>
      </c>
      <c r="AR432" cm="1">
        <f t="array" ref="AR432">VLOOKUP($A432,Table_ship_components[],COLUMN(AR:AR),0)</f>
        <v>0</v>
      </c>
      <c r="AS432" cm="1">
        <f t="array" ref="AS432">VLOOKUP($A432,Table_ship_components[],COLUMN(AS:AS),0)</f>
        <v>0</v>
      </c>
      <c r="AT432" cm="1">
        <f t="array" ref="AT432">VLOOKUP($A432,Table_ship_components[],COLUMN(AT:AT),0)</f>
        <v>0</v>
      </c>
      <c r="AU432" s="2" cm="1">
        <f t="array" ref="AU432">VLOOKUP($A432,Table_ship_components[],COLUMN(AU:AU),0)</f>
        <v>0</v>
      </c>
      <c r="AV432" s="2" cm="1">
        <f t="array" ref="AV432">VLOOKUP($A432,Table_ship_components[],COLUMN(AV:AV),0)</f>
        <v>0</v>
      </c>
      <c r="AW432" s="2" cm="1">
        <f t="array" ref="AW432">VLOOKUP($A432,Table_ship_components[],COLUMN(AW:AW),0)</f>
        <v>0</v>
      </c>
      <c r="AX432" s="2" cm="1">
        <f t="array" ref="AX432">VLOOKUP($A432,Table_ship_components[],COLUMN(AX:AX),0)</f>
        <v>0</v>
      </c>
      <c r="AY432" s="2" cm="1">
        <f t="array" ref="AY432">VLOOKUP($A432,Table_ship_components[],COLUMN(AY:AY),0)</f>
        <v>0</v>
      </c>
      <c r="AZ432" s="2" t="str" cm="1">
        <f t="array" ref="AZ432">VLOOKUP($A432,Table_ship_components[],COLUMN(AZ:AZ),0)</f>
        <v>C</v>
      </c>
      <c r="BA432" s="14" cm="1">
        <f t="array" ref="BA432">VLOOKUP($A432,Table_ship_components[],COLUMN(BA:BA),0)</f>
        <v>1000000</v>
      </c>
      <c r="BB432" s="14" cm="1">
        <f t="array" ref="BB432">(VLOOKUP($A432,Table_ship_components[],COLUMN(BA:BA),0)+(W432*C432))</f>
        <v>1000000</v>
      </c>
      <c r="BC432" s="2" cm="1">
        <f t="array" ref="BC432">VLOOKUP($A432,Table_ship_components[],COLUMN(BC:BC),0)</f>
        <v>0</v>
      </c>
      <c r="BD432" s="2" cm="1">
        <f t="array" ref="BD432">VLOOKUP($A432,Table_ship_components[],COLUMN(BD:BD),0)</f>
        <v>0</v>
      </c>
    </row>
    <row r="433" spans="1:56" outlineLevel="1" x14ac:dyDescent="0.35">
      <c r="A433" s="18" t="s">
        <v>424</v>
      </c>
      <c r="B433" s="19" t="str">
        <f>CONCATENATE("SIZE ",(SUM(E434:E444)),"/",AX423,"  POWER ",(SUM(G434:G444)))</f>
        <v>SIZE 40/40  POWER 29</v>
      </c>
      <c r="AU433" s="2"/>
      <c r="AV433" s="2"/>
      <c r="AW433" s="2"/>
      <c r="AX433" s="2"/>
      <c r="AY433" s="2"/>
      <c r="AZ433" s="2"/>
      <c r="BA433" s="14"/>
      <c r="BB433" s="14"/>
      <c r="BC433" s="2"/>
      <c r="BD433" s="2"/>
    </row>
    <row r="434" spans="1:56" outlineLevel="1" x14ac:dyDescent="0.35">
      <c r="A434" t="s">
        <v>385</v>
      </c>
      <c r="B434" t="str" cm="1">
        <f t="array" ref="B434">VLOOKUP($A434,Table_ship_components[],COLUMN(B:B),0)</f>
        <v>average corvette warfare assistance</v>
      </c>
      <c r="D434" cm="1">
        <f t="array" ref="D434">VLOOKUP($A434,Table_ship_components[],COLUMN(D:D),0)</f>
        <v>5</v>
      </c>
      <c r="E434" cm="1">
        <f t="array" ref="E434">ROUND(VLOOKUP($A434,Table_ship_components[],COLUMN(D:D),0)+(V434*C434),0)</f>
        <v>5</v>
      </c>
      <c r="F434" cm="1">
        <f t="array" ref="F434">VLOOKUP($A434,Table_ship_components[],COLUMN(F:F),0)</f>
        <v>5</v>
      </c>
      <c r="G434" cm="1">
        <f t="array" ref="G434">ROUND(VLOOKUP($A434,Table_ship_components[],COLUMN(G:G),0)+(X434*C434),0)</f>
        <v>5</v>
      </c>
      <c r="H434" cm="1">
        <f t="array" ref="H434">VLOOKUP($A434,Table_ship_components[],COLUMN(H:H),0)</f>
        <v>0</v>
      </c>
      <c r="I434" cm="1">
        <f t="array" ref="I434">VLOOKUP($A434,Table_ship_components[],COLUMN(I:I),0)</f>
        <v>0</v>
      </c>
      <c r="J434" cm="1">
        <f t="array" ref="J434">VLOOKUP($A434,Table_ship_components[],COLUMN(J:J),0)</f>
        <v>0</v>
      </c>
      <c r="K434" cm="1">
        <f t="array" ref="K434">VLOOKUP($A434,Table_ship_components[],COLUMN(K:K),0)</f>
        <v>0</v>
      </c>
      <c r="L434" cm="1">
        <f t="array" ref="L434">VLOOKUP($A434,Table_ship_components[],COLUMN(L:L),0)</f>
        <v>0</v>
      </c>
      <c r="M434" cm="1">
        <f t="array" ref="M434">VLOOKUP($A434,Table_ship_components[],COLUMN(M:M),0)</f>
        <v>0</v>
      </c>
      <c r="N434" cm="1">
        <f t="array" ref="N434">VLOOKUP($A434,Table_ship_components[],COLUMN(N:N),0)</f>
        <v>0</v>
      </c>
      <c r="O434" cm="1">
        <f t="array" ref="O434">VLOOKUP($A434,Table_ship_components[],COLUMN(O:O),0)</f>
        <v>1</v>
      </c>
      <c r="P434" cm="1">
        <f t="array" ref="P434">VLOOKUP($A434,Table_ship_components[],COLUMN(P:P),0)</f>
        <v>0</v>
      </c>
      <c r="Q434" cm="1">
        <f t="array" ref="Q434">VLOOKUP($A434,Table_ship_components[],COLUMN(Q:Q),0)</f>
        <v>0</v>
      </c>
      <c r="R434" cm="1">
        <f t="array" ref="R434">VLOOKUP($A434,Table_ship_components[],COLUMN(R:R),0)</f>
        <v>0</v>
      </c>
      <c r="S434" cm="1">
        <f t="array" ref="S434">VLOOKUP($A434,Table_ship_components[],COLUMN(S:S),0)</f>
        <v>0</v>
      </c>
      <c r="T434" cm="1">
        <f t="array" ref="T434">VLOOKUP($A434,Table_ship_components[],COLUMN(T:T),0)</f>
        <v>0</v>
      </c>
      <c r="U434" cm="1">
        <f t="array" ref="U434">VLOOKUP($A434,Table_ship_components[],COLUMN(U:U),0)</f>
        <v>0</v>
      </c>
      <c r="V434" cm="1">
        <f t="array" ref="V434">VLOOKUP($A434,Table_ship_components[],COLUMN(V:V),0)</f>
        <v>0</v>
      </c>
      <c r="W434" s="15" cm="1">
        <f t="array" ref="W434">VLOOKUP($A434,Table_ship_components[],COLUMN(W:W),0)</f>
        <v>0</v>
      </c>
      <c r="X434" cm="1">
        <f t="array" ref="X434">VLOOKUP($A434,Table_ship_components[],COLUMN(X:X),0)</f>
        <v>0</v>
      </c>
      <c r="Y434" cm="1">
        <f t="array" ref="Y434">VLOOKUP($A434,Table_ship_components[],COLUMN(Y:Y),0)</f>
        <v>0</v>
      </c>
      <c r="Z434" cm="1">
        <f t="array" ref="Z434">VLOOKUP($A434,Table_ship_components[],COLUMN(Z:Z),0)</f>
        <v>0</v>
      </c>
      <c r="AA434" cm="1">
        <f t="array" ref="AA434">VLOOKUP($A434,Table_ship_components[],COLUMN(AA:AA),0)*C434</f>
        <v>0</v>
      </c>
      <c r="AB434">
        <f t="shared" ref="AB434:AB443" si="36">IF(A434="CARGOSPACE_0-ALL_0-UNIVERSAL",C434,0)</f>
        <v>0</v>
      </c>
      <c r="AC434" cm="1">
        <f t="array" ref="AC434">VLOOKUP($A434,Table_ship_components[],COLUMN(AC:AC),0)*C434</f>
        <v>0</v>
      </c>
      <c r="AD434" cm="1">
        <f t="array" ref="AD434">VLOOKUP($A434,Table_ship_components[],COLUMN(AD:AD),0)</f>
        <v>0</v>
      </c>
      <c r="AE434" cm="1">
        <f t="array" ref="AE434">VLOOKUP($A434,Table_ship_components[],COLUMN(AE:AE),0)</f>
        <v>0</v>
      </c>
      <c r="AF434" cm="1">
        <f t="array" ref="AF434">VLOOKUP($A434,Table_ship_components[],COLUMN(AF:AF),0)</f>
        <v>0</v>
      </c>
      <c r="AG434" cm="1">
        <f t="array" ref="AG434">VLOOKUP($A434,Table_ship_components[],COLUMN(AG:AG),0)</f>
        <v>0</v>
      </c>
      <c r="AH434" cm="1">
        <f t="array" ref="AH434">VLOOKUP($A434,Table_ship_components[],COLUMN(AH:AH),0)</f>
        <v>0</v>
      </c>
      <c r="AI434" cm="1">
        <f t="array" ref="AI434">VLOOKUP($A434,Table_ship_components[],COLUMN(AI:AI),0)</f>
        <v>0</v>
      </c>
      <c r="AJ434" cm="1">
        <f t="array" ref="AJ434">VLOOKUP($A434,Table_ship_components[],COLUMN(AJ:AJ),0)</f>
        <v>0</v>
      </c>
      <c r="AK434" cm="1">
        <f t="array" ref="AK434">VLOOKUP($A434,Table_ship_components[],COLUMN(AK:AK),0)</f>
        <v>0</v>
      </c>
      <c r="AL434" cm="1">
        <f t="array" ref="AL434">VLOOKUP($A434,Table_ship_components[],COLUMN(AL:AL),0)</f>
        <v>0</v>
      </c>
      <c r="AM434" cm="1">
        <f t="array" ref="AM434">VLOOKUP($A434,Table_ship_components[],COLUMN(AM:AM),0)</f>
        <v>0</v>
      </c>
      <c r="AN434" cm="1">
        <f t="array" ref="AN434">VLOOKUP($A434,Table_ship_components[],COLUMN(AN:AN),0)</f>
        <v>0</v>
      </c>
      <c r="AO434" cm="1">
        <f t="array" ref="AO434">VLOOKUP($A434,Table_ship_components[],COLUMN(AO:AO),0)</f>
        <v>0</v>
      </c>
      <c r="AP434" cm="1">
        <f t="array" ref="AP434">VLOOKUP($A434,Table_ship_components[],COLUMN(AP:AP),0)</f>
        <v>0</v>
      </c>
      <c r="AQ434" cm="1">
        <f t="array" ref="AQ434">VLOOKUP($A434,Table_ship_components[],COLUMN(AQ:AQ),0)</f>
        <v>0</v>
      </c>
      <c r="AR434" cm="1">
        <f t="array" ref="AR434">VLOOKUP($A434,Table_ship_components[],COLUMN(AR:AR),0)</f>
        <v>0</v>
      </c>
      <c r="AS434" cm="1">
        <f t="array" ref="AS434">VLOOKUP($A434,Table_ship_components[],COLUMN(AS:AS),0)</f>
        <v>0</v>
      </c>
      <c r="AT434" cm="1">
        <f t="array" ref="AT434">VLOOKUP($A434,Table_ship_components[],COLUMN(AT:AT),0)</f>
        <v>0</v>
      </c>
      <c r="AU434" s="2" cm="1">
        <f t="array" ref="AU434">VLOOKUP($A434,Table_ship_components[],COLUMN(AU:AU),0)</f>
        <v>0</v>
      </c>
      <c r="AV434" s="2" cm="1">
        <f t="array" ref="AV434">VLOOKUP($A434,Table_ship_components[],COLUMN(AV:AV),0)</f>
        <v>0</v>
      </c>
      <c r="AW434" s="2" cm="1">
        <f t="array" ref="AW434">VLOOKUP($A434,Table_ship_components[],COLUMN(AW:AW),0)</f>
        <v>0</v>
      </c>
      <c r="AX434" s="2" cm="1">
        <f t="array" ref="AX434">VLOOKUP($A434,Table_ship_components[],COLUMN(AX:AX),0)</f>
        <v>0</v>
      </c>
      <c r="AY434" s="2" cm="1">
        <f t="array" ref="AY434">VLOOKUP($A434,Table_ship_components[],COLUMN(AY:AY),0)</f>
        <v>0</v>
      </c>
      <c r="AZ434" s="2" t="str" cm="1">
        <f t="array" ref="AZ434">VLOOKUP($A434,Table_ship_components[],COLUMN(AZ:AZ),0)</f>
        <v>C</v>
      </c>
      <c r="BA434" s="14" cm="1">
        <f t="array" ref="BA434">VLOOKUP($A434,Table_ship_components[],COLUMN(BA:BA),0)</f>
        <v>240000</v>
      </c>
      <c r="BB434" s="14" cm="1">
        <f t="array" ref="BB434">(VLOOKUP($A434,Table_ship_components[],COLUMN(BA:BA),0)+(W434*C434))</f>
        <v>240000</v>
      </c>
      <c r="BC434" s="2" cm="1">
        <f t="array" ref="BC434">VLOOKUP($A434,Table_ship_components[],COLUMN(BC:BC),0)</f>
        <v>0</v>
      </c>
      <c r="BD434" s="2" cm="1">
        <f t="array" ref="BD434">VLOOKUP($A434,Table_ship_components[],COLUMN(BD:BD),0)</f>
        <v>0</v>
      </c>
    </row>
    <row r="435" spans="1:56" outlineLevel="1" x14ac:dyDescent="0.35">
      <c r="A435" t="s">
        <v>373</v>
      </c>
      <c r="B435" t="str" cm="1">
        <f t="array" ref="B435">VLOOKUP($A435,Table_ship_components[],COLUMN(B:B),0)</f>
        <v>average corvette radar</v>
      </c>
      <c r="D435" cm="1">
        <f t="array" ref="D435">VLOOKUP($A435,Table_ship_components[],COLUMN(D:D),0)</f>
        <v>5</v>
      </c>
      <c r="E435" cm="1">
        <f t="array" ref="E435">ROUND(VLOOKUP($A435,Table_ship_components[],COLUMN(D:D),0)+(V435*C435),0)</f>
        <v>5</v>
      </c>
      <c r="F435" cm="1">
        <f t="array" ref="F435">VLOOKUP($A435,Table_ship_components[],COLUMN(F:F),0)</f>
        <v>6</v>
      </c>
      <c r="G435" cm="1">
        <f t="array" ref="G435">ROUND(VLOOKUP($A435,Table_ship_components[],COLUMN(G:G),0)+(X435*C435),0)</f>
        <v>6</v>
      </c>
      <c r="H435" cm="1">
        <f t="array" ref="H435">VLOOKUP($A435,Table_ship_components[],COLUMN(H:H),0)</f>
        <v>0</v>
      </c>
      <c r="I435" cm="1">
        <f t="array" ref="I435">VLOOKUP($A435,Table_ship_components[],COLUMN(I:I),0)</f>
        <v>0</v>
      </c>
      <c r="J435" cm="1">
        <f t="array" ref="J435">VLOOKUP($A435,Table_ship_components[],COLUMN(J:J),0)</f>
        <v>0</v>
      </c>
      <c r="K435" cm="1">
        <f t="array" ref="K435">VLOOKUP($A435,Table_ship_components[],COLUMN(K:K),0)</f>
        <v>0</v>
      </c>
      <c r="L435" cm="1">
        <f t="array" ref="L435">VLOOKUP($A435,Table_ship_components[],COLUMN(L:L),0)</f>
        <v>0</v>
      </c>
      <c r="M435" cm="1">
        <f t="array" ref="M435">VLOOKUP($A435,Table_ship_components[],COLUMN(M:M),0)</f>
        <v>0</v>
      </c>
      <c r="N435" cm="1">
        <f t="array" ref="N435">VLOOKUP($A435,Table_ship_components[],COLUMN(N:N),0)</f>
        <v>0</v>
      </c>
      <c r="O435" cm="1">
        <f t="array" ref="O435">VLOOKUP($A435,Table_ship_components[],COLUMN(O:O),0)</f>
        <v>1</v>
      </c>
      <c r="P435" cm="1">
        <f t="array" ref="P435">VLOOKUP($A435,Table_ship_components[],COLUMN(P:P),0)</f>
        <v>0</v>
      </c>
      <c r="Q435" cm="1">
        <f t="array" ref="Q435">VLOOKUP($A435,Table_ship_components[],COLUMN(Q:Q),0)</f>
        <v>0</v>
      </c>
      <c r="R435" cm="1">
        <f t="array" ref="R435">VLOOKUP($A435,Table_ship_components[],COLUMN(R:R),0)</f>
        <v>0</v>
      </c>
      <c r="S435" cm="1">
        <f t="array" ref="S435">VLOOKUP($A435,Table_ship_components[],COLUMN(S:S),0)</f>
        <v>0</v>
      </c>
      <c r="T435" cm="1">
        <f t="array" ref="T435">VLOOKUP($A435,Table_ship_components[],COLUMN(T:T),0)</f>
        <v>0</v>
      </c>
      <c r="U435" cm="1">
        <f t="array" ref="U435">VLOOKUP($A435,Table_ship_components[],COLUMN(U:U),0)</f>
        <v>0</v>
      </c>
      <c r="V435" cm="1">
        <f t="array" ref="V435">VLOOKUP($A435,Table_ship_components[],COLUMN(V:V),0)</f>
        <v>0</v>
      </c>
      <c r="W435" s="15" cm="1">
        <f t="array" ref="W435">VLOOKUP($A435,Table_ship_components[],COLUMN(W:W),0)</f>
        <v>0</v>
      </c>
      <c r="X435" cm="1">
        <f t="array" ref="X435">VLOOKUP($A435,Table_ship_components[],COLUMN(X:X),0)</f>
        <v>0</v>
      </c>
      <c r="Y435" cm="1">
        <f t="array" ref="Y435">VLOOKUP($A435,Table_ship_components[],COLUMN(Y:Y),0)</f>
        <v>0</v>
      </c>
      <c r="Z435" cm="1">
        <f t="array" ref="Z435">VLOOKUP($A435,Table_ship_components[],COLUMN(Z:Z),0)</f>
        <v>0</v>
      </c>
      <c r="AA435" cm="1">
        <f t="array" ref="AA435">VLOOKUP($A435,Table_ship_components[],COLUMN(AA:AA),0)*C435</f>
        <v>0</v>
      </c>
      <c r="AB435">
        <f t="shared" si="36"/>
        <v>0</v>
      </c>
      <c r="AC435" cm="1">
        <f t="array" ref="AC435">VLOOKUP($A435,Table_ship_components[],COLUMN(AC:AC),0)*C435</f>
        <v>0</v>
      </c>
      <c r="AD435" cm="1">
        <f t="array" ref="AD435">VLOOKUP($A435,Table_ship_components[],COLUMN(AD:AD),0)</f>
        <v>0</v>
      </c>
      <c r="AE435" cm="1">
        <f t="array" ref="AE435">VLOOKUP($A435,Table_ship_components[],COLUMN(AE:AE),0)</f>
        <v>0</v>
      </c>
      <c r="AF435" cm="1">
        <f t="array" ref="AF435">VLOOKUP($A435,Table_ship_components[],COLUMN(AF:AF),0)</f>
        <v>0</v>
      </c>
      <c r="AG435" cm="1">
        <f t="array" ref="AG435">VLOOKUP($A435,Table_ship_components[],COLUMN(AG:AG),0)</f>
        <v>0</v>
      </c>
      <c r="AH435" cm="1">
        <f t="array" ref="AH435">VLOOKUP($A435,Table_ship_components[],COLUMN(AH:AH),0)</f>
        <v>100</v>
      </c>
      <c r="AI435" cm="1">
        <f t="array" ref="AI435">VLOOKUP($A435,Table_ship_components[],COLUMN(AI:AI),0)</f>
        <v>1000</v>
      </c>
      <c r="AJ435" cm="1">
        <f t="array" ref="AJ435">VLOOKUP($A435,Table_ship_components[],COLUMN(AJ:AJ),0)</f>
        <v>10000</v>
      </c>
      <c r="AK435" cm="1">
        <f t="array" ref="AK435">VLOOKUP($A435,Table_ship_components[],COLUMN(AK:AK),0)</f>
        <v>0</v>
      </c>
      <c r="AL435" cm="1">
        <f t="array" ref="AL435">VLOOKUP($A435,Table_ship_components[],COLUMN(AL:AL),0)</f>
        <v>0</v>
      </c>
      <c r="AM435" cm="1">
        <f t="array" ref="AM435">VLOOKUP($A435,Table_ship_components[],COLUMN(AM:AM),0)</f>
        <v>0</v>
      </c>
      <c r="AN435" cm="1">
        <f t="array" ref="AN435">VLOOKUP($A435,Table_ship_components[],COLUMN(AN:AN),0)</f>
        <v>0</v>
      </c>
      <c r="AO435" cm="1">
        <f t="array" ref="AO435">VLOOKUP($A435,Table_ship_components[],COLUMN(AO:AO),0)</f>
        <v>0</v>
      </c>
      <c r="AP435" cm="1">
        <f t="array" ref="AP435">VLOOKUP($A435,Table_ship_components[],COLUMN(AP:AP),0)</f>
        <v>0</v>
      </c>
      <c r="AQ435" cm="1">
        <f t="array" ref="AQ435">VLOOKUP($A435,Table_ship_components[],COLUMN(AQ:AQ),0)</f>
        <v>0</v>
      </c>
      <c r="AR435" cm="1">
        <f t="array" ref="AR435">VLOOKUP($A435,Table_ship_components[],COLUMN(AR:AR),0)</f>
        <v>0</v>
      </c>
      <c r="AS435" cm="1">
        <f t="array" ref="AS435">VLOOKUP($A435,Table_ship_components[],COLUMN(AS:AS),0)</f>
        <v>0</v>
      </c>
      <c r="AT435" cm="1">
        <f t="array" ref="AT435">VLOOKUP($A435,Table_ship_components[],COLUMN(AT:AT),0)</f>
        <v>0</v>
      </c>
      <c r="AU435" s="2" cm="1">
        <f t="array" ref="AU435">VLOOKUP($A435,Table_ship_components[],COLUMN(AU:AU),0)</f>
        <v>0</v>
      </c>
      <c r="AV435" s="2" cm="1">
        <f t="array" ref="AV435">VLOOKUP($A435,Table_ship_components[],COLUMN(AV:AV),0)</f>
        <v>0</v>
      </c>
      <c r="AW435" s="2" cm="1">
        <f t="array" ref="AW435">VLOOKUP($A435,Table_ship_components[],COLUMN(AW:AW),0)</f>
        <v>0</v>
      </c>
      <c r="AX435" s="2" cm="1">
        <f t="array" ref="AX435">VLOOKUP($A435,Table_ship_components[],COLUMN(AX:AX),0)</f>
        <v>0</v>
      </c>
      <c r="AY435" s="2" cm="1">
        <f t="array" ref="AY435">VLOOKUP($A435,Table_ship_components[],COLUMN(AY:AY),0)</f>
        <v>0</v>
      </c>
      <c r="AZ435" s="2" t="str" cm="1">
        <f t="array" ref="AZ435">VLOOKUP($A435,Table_ship_components[],COLUMN(AZ:AZ),0)</f>
        <v>C</v>
      </c>
      <c r="BA435" s="14" cm="1">
        <f t="array" ref="BA435">VLOOKUP($A435,Table_ship_components[],COLUMN(BA:BA),0)</f>
        <v>550000</v>
      </c>
      <c r="BB435" s="14" cm="1">
        <f t="array" ref="BB435">(VLOOKUP($A435,Table_ship_components[],COLUMN(BA:BA),0)+(W435*C435))</f>
        <v>550000</v>
      </c>
      <c r="BC435" s="2" cm="1">
        <f t="array" ref="BC435">VLOOKUP($A435,Table_ship_components[],COLUMN(BC:BC),0)</f>
        <v>0</v>
      </c>
      <c r="BD435" s="2" cm="1">
        <f t="array" ref="BD435">VLOOKUP($A435,Table_ship_components[],COLUMN(BD:BD),0)</f>
        <v>0</v>
      </c>
    </row>
    <row r="436" spans="1:56" outlineLevel="1" x14ac:dyDescent="0.35">
      <c r="A436" t="s">
        <v>358</v>
      </c>
      <c r="B436" t="str" cm="1">
        <f t="array" ref="B436">VLOOKUP($A436,Table_ship_components[],COLUMN(B:B),0)</f>
        <v>average corvette hull</v>
      </c>
      <c r="D436" cm="1">
        <f t="array" ref="D436">VLOOKUP($A436,Table_ship_components[],COLUMN(D:D),0)</f>
        <v>0</v>
      </c>
      <c r="E436" cm="1">
        <f t="array" ref="E436">ROUND(VLOOKUP($A436,Table_ship_components[],COLUMN(D:D),0)+(V436*C436),0)</f>
        <v>0</v>
      </c>
      <c r="F436" cm="1">
        <f t="array" ref="F436">VLOOKUP($A436,Table_ship_components[],COLUMN(F:F),0)</f>
        <v>0</v>
      </c>
      <c r="G436" cm="1">
        <f t="array" ref="G436">ROUND(VLOOKUP($A436,Table_ship_components[],COLUMN(G:G),0)+(X436*C436),0)</f>
        <v>0</v>
      </c>
      <c r="H436" cm="1">
        <f t="array" ref="H436">VLOOKUP($A436,Table_ship_components[],COLUMN(H:H),0)</f>
        <v>0</v>
      </c>
      <c r="I436" cm="1">
        <f t="array" ref="I436">VLOOKUP($A436,Table_ship_components[],COLUMN(I:I),0)</f>
        <v>0</v>
      </c>
      <c r="J436" cm="1">
        <f t="array" ref="J436">VLOOKUP($A436,Table_ship_components[],COLUMN(J:J),0)</f>
        <v>0</v>
      </c>
      <c r="K436" cm="1">
        <f t="array" ref="K436">VLOOKUP($A436,Table_ship_components[],COLUMN(K:K),0)</f>
        <v>0</v>
      </c>
      <c r="L436" cm="1">
        <f t="array" ref="L436">VLOOKUP($A436,Table_ship_components[],COLUMN(L:L),0)</f>
        <v>0</v>
      </c>
      <c r="M436" cm="1">
        <f t="array" ref="M436">VLOOKUP($A436,Table_ship_components[],COLUMN(M:M),0)</f>
        <v>0</v>
      </c>
      <c r="N436" cm="1">
        <f t="array" ref="N436">VLOOKUP($A436,Table_ship_components[],COLUMN(N:N),0)</f>
        <v>0</v>
      </c>
      <c r="O436" cm="1">
        <f t="array" ref="O436">VLOOKUP($A436,Table_ship_components[],COLUMN(O:O),0)</f>
        <v>1</v>
      </c>
      <c r="P436" cm="1">
        <f t="array" ref="P436">VLOOKUP($A436,Table_ship_components[],COLUMN(P:P),0)</f>
        <v>0</v>
      </c>
      <c r="Q436" cm="1">
        <f t="array" ref="Q436">VLOOKUP($A436,Table_ship_components[],COLUMN(Q:Q),0)</f>
        <v>0</v>
      </c>
      <c r="R436" cm="1">
        <f t="array" ref="R436">VLOOKUP($A436,Table_ship_components[],COLUMN(R:R),0)</f>
        <v>0</v>
      </c>
      <c r="S436" cm="1">
        <f t="array" ref="S436">VLOOKUP($A436,Table_ship_components[],COLUMN(S:S),0)</f>
        <v>0</v>
      </c>
      <c r="T436" cm="1">
        <f t="array" ref="T436">VLOOKUP($A436,Table_ship_components[],COLUMN(T:T),0)</f>
        <v>0</v>
      </c>
      <c r="U436" cm="1">
        <f t="array" ref="U436">VLOOKUP($A436,Table_ship_components[],COLUMN(U:U),0)</f>
        <v>0</v>
      </c>
      <c r="V436" cm="1">
        <f t="array" ref="V436">VLOOKUP($A436,Table_ship_components[],COLUMN(V:V),0)</f>
        <v>0</v>
      </c>
      <c r="W436" s="15" cm="1">
        <f t="array" ref="W436">VLOOKUP($A436,Table_ship_components[],COLUMN(W:W),0)</f>
        <v>0</v>
      </c>
      <c r="X436" cm="1">
        <f t="array" ref="X436">VLOOKUP($A436,Table_ship_components[],COLUMN(X:X),0)</f>
        <v>0</v>
      </c>
      <c r="Y436" cm="1">
        <f t="array" ref="Y436">VLOOKUP($A436,Table_ship_components[],COLUMN(Y:Y),0)</f>
        <v>0</v>
      </c>
      <c r="Z436" cm="1">
        <f t="array" ref="Z436">VLOOKUP($A436,Table_ship_components[],COLUMN(Z:Z),0)</f>
        <v>0</v>
      </c>
      <c r="AA436" cm="1">
        <f t="array" ref="AA436">VLOOKUP($A436,Table_ship_components[],COLUMN(AA:AA),0)*C436</f>
        <v>0</v>
      </c>
      <c r="AB436">
        <f t="shared" si="36"/>
        <v>0</v>
      </c>
      <c r="AC436" cm="1">
        <f t="array" ref="AC436">VLOOKUP($A436,Table_ship_components[],COLUMN(AC:AC),0)*C436</f>
        <v>0</v>
      </c>
      <c r="AD436" cm="1">
        <f t="array" ref="AD436">VLOOKUP($A436,Table_ship_components[],COLUMN(AD:AD),0)</f>
        <v>0</v>
      </c>
      <c r="AE436" cm="1">
        <f t="array" ref="AE436">VLOOKUP($A436,Table_ship_components[],COLUMN(AE:AE),0)</f>
        <v>0</v>
      </c>
      <c r="AF436" cm="1">
        <f t="array" ref="AF436">VLOOKUP($A436,Table_ship_components[],COLUMN(AF:AF),0)</f>
        <v>0</v>
      </c>
      <c r="AG436" cm="1">
        <f t="array" ref="AG436">VLOOKUP($A436,Table_ship_components[],COLUMN(AG:AG),0)</f>
        <v>0</v>
      </c>
      <c r="AH436" cm="1">
        <f t="array" ref="AH436">VLOOKUP($A436,Table_ship_components[],COLUMN(AH:AH),0)</f>
        <v>0</v>
      </c>
      <c r="AI436" cm="1">
        <f t="array" ref="AI436">VLOOKUP($A436,Table_ship_components[],COLUMN(AI:AI),0)</f>
        <v>0</v>
      </c>
      <c r="AJ436" cm="1">
        <f t="array" ref="AJ436">VLOOKUP($A436,Table_ship_components[],COLUMN(AJ:AJ),0)</f>
        <v>0</v>
      </c>
      <c r="AK436" cm="1">
        <f t="array" ref="AK436">VLOOKUP($A436,Table_ship_components[],COLUMN(AK:AK),0)</f>
        <v>0</v>
      </c>
      <c r="AL436" cm="1">
        <f t="array" ref="AL436">VLOOKUP($A436,Table_ship_components[],COLUMN(AL:AL),0)</f>
        <v>0</v>
      </c>
      <c r="AM436" cm="1">
        <f t="array" ref="AM436">VLOOKUP($A436,Table_ship_components[],COLUMN(AM:AM),0)</f>
        <v>0</v>
      </c>
      <c r="AN436" cm="1">
        <f t="array" ref="AN436">VLOOKUP($A436,Table_ship_components[],COLUMN(AN:AN),0)</f>
        <v>0</v>
      </c>
      <c r="AO436" cm="1">
        <f t="array" ref="AO436">VLOOKUP($A436,Table_ship_components[],COLUMN(AO:AO),0)</f>
        <v>0</v>
      </c>
      <c r="AP436" cm="1">
        <f t="array" ref="AP436">VLOOKUP($A436,Table_ship_components[],COLUMN(AP:AP),0)</f>
        <v>0</v>
      </c>
      <c r="AQ436" cm="1">
        <f t="array" ref="AQ436">VLOOKUP($A436,Table_ship_components[],COLUMN(AQ:AQ),0)</f>
        <v>0</v>
      </c>
      <c r="AR436" cm="1">
        <f t="array" ref="AR436">VLOOKUP($A436,Table_ship_components[],COLUMN(AR:AR),0)</f>
        <v>0</v>
      </c>
      <c r="AS436" cm="1">
        <f t="array" ref="AS436">VLOOKUP($A436,Table_ship_components[],COLUMN(AS:AS),0)</f>
        <v>0</v>
      </c>
      <c r="AT436" cm="1">
        <f t="array" ref="AT436">VLOOKUP($A436,Table_ship_components[],COLUMN(AT:AT),0)</f>
        <v>0</v>
      </c>
      <c r="AU436" s="2" cm="1">
        <f t="array" ref="AU436">VLOOKUP($A436,Table_ship_components[],COLUMN(AU:AU),0)</f>
        <v>0</v>
      </c>
      <c r="AV436" s="2" cm="1">
        <f t="array" ref="AV436">VLOOKUP($A436,Table_ship_components[],COLUMN(AV:AV),0)</f>
        <v>0</v>
      </c>
      <c r="AW436" s="2" cm="1">
        <f t="array" ref="AW436">VLOOKUP($A436,Table_ship_components[],COLUMN(AW:AW),0)</f>
        <v>0</v>
      </c>
      <c r="AX436" s="2" cm="1">
        <f t="array" ref="AX436">VLOOKUP($A436,Table_ship_components[],COLUMN(AX:AX),0)</f>
        <v>0</v>
      </c>
      <c r="AY436" s="2" cm="1">
        <f t="array" ref="AY436">VLOOKUP($A436,Table_ship_components[],COLUMN(AY:AY),0)</f>
        <v>0</v>
      </c>
      <c r="AZ436" s="2" t="str" cm="1">
        <f t="array" ref="AZ436">VLOOKUP($A436,Table_ship_components[],COLUMN(AZ:AZ),0)</f>
        <v>C</v>
      </c>
      <c r="BA436" s="14" cm="1">
        <f t="array" ref="BA436">VLOOKUP($A436,Table_ship_components[],COLUMN(BA:BA),0)</f>
        <v>1000000</v>
      </c>
      <c r="BB436" s="14" cm="1">
        <f t="array" ref="BB436">(VLOOKUP($A436,Table_ship_components[],COLUMN(BA:BA),0)+(W436*C436))</f>
        <v>1000000</v>
      </c>
      <c r="BC436" s="2" cm="1">
        <f t="array" ref="BC436">VLOOKUP($A436,Table_ship_components[],COLUMN(BC:BC),0)</f>
        <v>0</v>
      </c>
      <c r="BD436" s="2" cm="1">
        <f t="array" ref="BD436">VLOOKUP($A436,Table_ship_components[],COLUMN(BD:BD),0)</f>
        <v>0</v>
      </c>
    </row>
    <row r="437" spans="1:56" outlineLevel="1" x14ac:dyDescent="0.35">
      <c r="A437" t="s">
        <v>315</v>
      </c>
      <c r="B437" t="str" cm="1">
        <f t="array" ref="B437">VLOOKUP($A437,Table_ship_components[],COLUMN(B:B),0)</f>
        <v>cargo space (1 HUGE item per unit)</v>
      </c>
      <c r="C437" s="2">
        <v>4</v>
      </c>
      <c r="D437" cm="1">
        <f t="array" ref="D437">VLOOKUP($A437,Table_ship_components[],COLUMN(D:D),0)</f>
        <v>0</v>
      </c>
      <c r="E437" cm="1">
        <f t="array" ref="E437">ROUND(VLOOKUP($A437,Table_ship_components[],COLUMN(D:D),0)+(V437*C437),0)</f>
        <v>4</v>
      </c>
      <c r="F437" cm="1">
        <f t="array" ref="F437">VLOOKUP($A437,Table_ship_components[],COLUMN(F:F),0)</f>
        <v>0</v>
      </c>
      <c r="G437" cm="1">
        <f t="array" ref="G437">ROUND(VLOOKUP($A437,Table_ship_components[],COLUMN(G:G),0)+(X437*C437),0)</f>
        <v>0</v>
      </c>
      <c r="H437" cm="1">
        <f t="array" ref="H437">VLOOKUP($A437,Table_ship_components[],COLUMN(H:H),0)</f>
        <v>0</v>
      </c>
      <c r="I437" cm="1">
        <f t="array" ref="I437">VLOOKUP($A437,Table_ship_components[],COLUMN(I:I),0)</f>
        <v>0</v>
      </c>
      <c r="J437" cm="1">
        <f t="array" ref="J437">VLOOKUP($A437,Table_ship_components[],COLUMN(J:J),0)</f>
        <v>0</v>
      </c>
      <c r="K437" cm="1">
        <f t="array" ref="K437">VLOOKUP($A437,Table_ship_components[],COLUMN(K:K),0)</f>
        <v>0</v>
      </c>
      <c r="L437" cm="1">
        <f t="array" ref="L437">VLOOKUP($A437,Table_ship_components[],COLUMN(L:L),0)</f>
        <v>0</v>
      </c>
      <c r="M437" cm="1">
        <f t="array" ref="M437">VLOOKUP($A437,Table_ship_components[],COLUMN(M:M),0)</f>
        <v>0</v>
      </c>
      <c r="N437" cm="1">
        <f t="array" ref="N437">VLOOKUP($A437,Table_ship_components[],COLUMN(N:N),0)</f>
        <v>1</v>
      </c>
      <c r="O437" cm="1">
        <f t="array" ref="O437">VLOOKUP($A437,Table_ship_components[],COLUMN(O:O),0)</f>
        <v>1</v>
      </c>
      <c r="P437" cm="1">
        <f t="array" ref="P437">VLOOKUP($A437,Table_ship_components[],COLUMN(P:P),0)</f>
        <v>1</v>
      </c>
      <c r="Q437" cm="1">
        <f t="array" ref="Q437">VLOOKUP($A437,Table_ship_components[],COLUMN(Q:Q),0)</f>
        <v>1</v>
      </c>
      <c r="R437" cm="1">
        <f t="array" ref="R437">VLOOKUP($A437,Table_ship_components[],COLUMN(R:R),0)</f>
        <v>1</v>
      </c>
      <c r="S437" cm="1">
        <f t="array" ref="S437">VLOOKUP($A437,Table_ship_components[],COLUMN(S:S),0)</f>
        <v>1</v>
      </c>
      <c r="T437" cm="1">
        <f t="array" ref="T437">VLOOKUP($A437,Table_ship_components[],COLUMN(T:T),0)</f>
        <v>1</v>
      </c>
      <c r="U437" cm="1">
        <f t="array" ref="U437">VLOOKUP($A437,Table_ship_components[],COLUMN(U:U),0)</f>
        <v>1</v>
      </c>
      <c r="V437" cm="1">
        <f t="array" ref="V437">VLOOKUP($A437,Table_ship_components[],COLUMN(V:V),0)</f>
        <v>1</v>
      </c>
      <c r="W437" s="15" cm="1">
        <f t="array" ref="W437">VLOOKUP($A437,Table_ship_components[],COLUMN(W:W),0)</f>
        <v>5000</v>
      </c>
      <c r="X437" cm="1">
        <f t="array" ref="X437">VLOOKUP($A437,Table_ship_components[],COLUMN(X:X),0)</f>
        <v>0</v>
      </c>
      <c r="Y437" cm="1">
        <f t="array" ref="Y437">VLOOKUP($A437,Table_ship_components[],COLUMN(Y:Y),0)</f>
        <v>0</v>
      </c>
      <c r="Z437" cm="1">
        <f t="array" ref="Z437">VLOOKUP($A437,Table_ship_components[],COLUMN(Z:Z),0)</f>
        <v>0</v>
      </c>
      <c r="AA437" cm="1">
        <f t="array" ref="AA437">VLOOKUP($A437,Table_ship_components[],COLUMN(AA:AA),0)*C437</f>
        <v>0</v>
      </c>
      <c r="AB437">
        <f t="shared" si="36"/>
        <v>4</v>
      </c>
      <c r="AC437" cm="1">
        <f t="array" ref="AC437">VLOOKUP($A437,Table_ship_components[],COLUMN(AC:AC),0)*C437</f>
        <v>0</v>
      </c>
      <c r="AD437" cm="1">
        <f t="array" ref="AD437">VLOOKUP($A437,Table_ship_components[],COLUMN(AD:AD),0)</f>
        <v>0</v>
      </c>
      <c r="AE437" cm="1">
        <f t="array" ref="AE437">VLOOKUP($A437,Table_ship_components[],COLUMN(AE:AE),0)</f>
        <v>0</v>
      </c>
      <c r="AF437" cm="1">
        <f t="array" ref="AF437">VLOOKUP($A437,Table_ship_components[],COLUMN(AF:AF),0)</f>
        <v>0</v>
      </c>
      <c r="AG437" cm="1">
        <f t="array" ref="AG437">VLOOKUP($A437,Table_ship_components[],COLUMN(AG:AG),0)</f>
        <v>0</v>
      </c>
      <c r="AH437" cm="1">
        <f t="array" ref="AH437">VLOOKUP($A437,Table_ship_components[],COLUMN(AH:AH),0)</f>
        <v>0</v>
      </c>
      <c r="AI437" cm="1">
        <f t="array" ref="AI437">VLOOKUP($A437,Table_ship_components[],COLUMN(AI:AI),0)</f>
        <v>0</v>
      </c>
      <c r="AJ437" cm="1">
        <f t="array" ref="AJ437">VLOOKUP($A437,Table_ship_components[],COLUMN(AJ:AJ),0)</f>
        <v>0</v>
      </c>
      <c r="AK437" cm="1">
        <f t="array" ref="AK437">VLOOKUP($A437,Table_ship_components[],COLUMN(AK:AK),0)</f>
        <v>0</v>
      </c>
      <c r="AL437" cm="1">
        <f t="array" ref="AL437">VLOOKUP($A437,Table_ship_components[],COLUMN(AL:AL),0)</f>
        <v>0</v>
      </c>
      <c r="AM437" cm="1">
        <f t="array" ref="AM437">VLOOKUP($A437,Table_ship_components[],COLUMN(AM:AM),0)</f>
        <v>0</v>
      </c>
      <c r="AN437" cm="1">
        <f t="array" ref="AN437">VLOOKUP($A437,Table_ship_components[],COLUMN(AN:AN),0)</f>
        <v>0</v>
      </c>
      <c r="AO437" cm="1">
        <f t="array" ref="AO437">VLOOKUP($A437,Table_ship_components[],COLUMN(AO:AO),0)</f>
        <v>0</v>
      </c>
      <c r="AP437" cm="1">
        <f t="array" ref="AP437">VLOOKUP($A437,Table_ship_components[],COLUMN(AP:AP),0)</f>
        <v>0</v>
      </c>
      <c r="AQ437" cm="1">
        <f t="array" ref="AQ437">VLOOKUP($A437,Table_ship_components[],COLUMN(AQ:AQ),0)</f>
        <v>0</v>
      </c>
      <c r="AR437" cm="1">
        <f t="array" ref="AR437">VLOOKUP($A437,Table_ship_components[],COLUMN(AR:AR),0)</f>
        <v>0</v>
      </c>
      <c r="AS437" cm="1">
        <f t="array" ref="AS437">VLOOKUP($A437,Table_ship_components[],COLUMN(AS:AS),0)</f>
        <v>0</v>
      </c>
      <c r="AT437" cm="1">
        <f t="array" ref="AT437">VLOOKUP($A437,Table_ship_components[],COLUMN(AT:AT),0)</f>
        <v>0</v>
      </c>
      <c r="AU437" s="2" cm="1">
        <f t="array" ref="AU437">VLOOKUP($A437,Table_ship_components[],COLUMN(AU:AU),0)</f>
        <v>0</v>
      </c>
      <c r="AV437" s="2" cm="1">
        <f t="array" ref="AV437">VLOOKUP($A437,Table_ship_components[],COLUMN(AV:AV),0)</f>
        <v>0</v>
      </c>
      <c r="AW437" s="2" cm="1">
        <f t="array" ref="AW437">VLOOKUP($A437,Table_ship_components[],COLUMN(AW:AW),0)</f>
        <v>0</v>
      </c>
      <c r="AX437" s="2" cm="1">
        <f t="array" ref="AX437">VLOOKUP($A437,Table_ship_components[],COLUMN(AX:AX),0)</f>
        <v>0</v>
      </c>
      <c r="AY437" s="2" cm="1">
        <f t="array" ref="AY437">VLOOKUP($A437,Table_ship_components[],COLUMN(AY:AY),0)</f>
        <v>0</v>
      </c>
      <c r="AZ437" s="2" t="str" cm="1">
        <f t="array" ref="AZ437">VLOOKUP($A437,Table_ship_components[],COLUMN(AZ:AZ),0)</f>
        <v>C</v>
      </c>
      <c r="BA437" s="14" cm="1">
        <f t="array" ref="BA437">VLOOKUP($A437,Table_ship_components[],COLUMN(BA:BA),0)</f>
        <v>5000</v>
      </c>
      <c r="BB437" s="14" cm="1">
        <f t="array" ref="BB437">(VLOOKUP($A437,Table_ship_components[],COLUMN(BA:BA),0)+(W437*C437))</f>
        <v>25000</v>
      </c>
      <c r="BC437" s="2" cm="1">
        <f t="array" ref="BC437">VLOOKUP($A437,Table_ship_components[],COLUMN(BC:BC),0)</f>
        <v>0</v>
      </c>
      <c r="BD437" s="2" cm="1">
        <f t="array" ref="BD437">VLOOKUP($A437,Table_ship_components[],COLUMN(BD:BD),0)</f>
        <v>0</v>
      </c>
    </row>
    <row r="438" spans="1:56" outlineLevel="1" x14ac:dyDescent="0.35">
      <c r="A438" t="s">
        <v>377</v>
      </c>
      <c r="B438" t="str" cm="1">
        <f t="array" ref="B438">VLOOKUP($A438,Table_ship_components[],COLUMN(B:B),0)</f>
        <v>good shield for a corvette</v>
      </c>
      <c r="D438" cm="1">
        <f t="array" ref="D438">VLOOKUP($A438,Table_ship_components[],COLUMN(D:D),0)</f>
        <v>14</v>
      </c>
      <c r="E438" cm="1">
        <f t="array" ref="E438">ROUND(VLOOKUP($A438,Table_ship_components[],COLUMN(D:D),0)+(V438*C438),0)</f>
        <v>14</v>
      </c>
      <c r="F438" cm="1">
        <f t="array" ref="F438">VLOOKUP($A438,Table_ship_components[],COLUMN(F:F),0)</f>
        <v>14</v>
      </c>
      <c r="G438" cm="1">
        <f t="array" ref="G438">ROUND(VLOOKUP($A438,Table_ship_components[],COLUMN(G:G),0)+(X438*C438),0)</f>
        <v>14</v>
      </c>
      <c r="H438" cm="1">
        <f t="array" ref="H438">VLOOKUP($A438,Table_ship_components[],COLUMN(H:H),0)</f>
        <v>0</v>
      </c>
      <c r="I438" cm="1">
        <f t="array" ref="I438">VLOOKUP($A438,Table_ship_components[],COLUMN(I:I),0)</f>
        <v>0</v>
      </c>
      <c r="J438" cm="1">
        <f t="array" ref="J438">VLOOKUP($A438,Table_ship_components[],COLUMN(J:J),0)</f>
        <v>0</v>
      </c>
      <c r="K438" cm="1">
        <f t="array" ref="K438">VLOOKUP($A438,Table_ship_components[],COLUMN(K:K),0)</f>
        <v>45</v>
      </c>
      <c r="L438" cm="1">
        <f t="array" ref="L438">VLOOKUP($A438,Table_ship_components[],COLUMN(L:L),0)</f>
        <v>7</v>
      </c>
      <c r="M438" cm="1">
        <f t="array" ref="M438">VLOOKUP($A438,Table_ship_components[],COLUMN(M:M),0)</f>
        <v>0</v>
      </c>
      <c r="N438" cm="1">
        <f t="array" ref="N438">VLOOKUP($A438,Table_ship_components[],COLUMN(N:N),0)</f>
        <v>0</v>
      </c>
      <c r="O438" cm="1">
        <f t="array" ref="O438">VLOOKUP($A438,Table_ship_components[],COLUMN(O:O),0)</f>
        <v>1</v>
      </c>
      <c r="P438" cm="1">
        <f t="array" ref="P438">VLOOKUP($A438,Table_ship_components[],COLUMN(P:P),0)</f>
        <v>0</v>
      </c>
      <c r="Q438" cm="1">
        <f t="array" ref="Q438">VLOOKUP($A438,Table_ship_components[],COLUMN(Q:Q),0)</f>
        <v>0</v>
      </c>
      <c r="R438" cm="1">
        <f t="array" ref="R438">VLOOKUP($A438,Table_ship_components[],COLUMN(R:R),0)</f>
        <v>0</v>
      </c>
      <c r="S438" cm="1">
        <f t="array" ref="S438">VLOOKUP($A438,Table_ship_components[],COLUMN(S:S),0)</f>
        <v>0</v>
      </c>
      <c r="T438" cm="1">
        <f t="array" ref="T438">VLOOKUP($A438,Table_ship_components[],COLUMN(T:T),0)</f>
        <v>0</v>
      </c>
      <c r="U438" cm="1">
        <f t="array" ref="U438">VLOOKUP($A438,Table_ship_components[],COLUMN(U:U),0)</f>
        <v>0</v>
      </c>
      <c r="V438" cm="1">
        <f t="array" ref="V438">VLOOKUP($A438,Table_ship_components[],COLUMN(V:V),0)</f>
        <v>0</v>
      </c>
      <c r="W438" s="15" cm="1">
        <f t="array" ref="W438">VLOOKUP($A438,Table_ship_components[],COLUMN(W:W),0)</f>
        <v>0</v>
      </c>
      <c r="X438" cm="1">
        <f t="array" ref="X438">VLOOKUP($A438,Table_ship_components[],COLUMN(X:X),0)</f>
        <v>0</v>
      </c>
      <c r="Y438" cm="1">
        <f t="array" ref="Y438">VLOOKUP($A438,Table_ship_components[],COLUMN(Y:Y),0)</f>
        <v>0</v>
      </c>
      <c r="Z438" cm="1">
        <f t="array" ref="Z438">VLOOKUP($A438,Table_ship_components[],COLUMN(Z:Z),0)</f>
        <v>0</v>
      </c>
      <c r="AA438" cm="1">
        <f t="array" ref="AA438">VLOOKUP($A438,Table_ship_components[],COLUMN(AA:AA),0)*C438</f>
        <v>0</v>
      </c>
      <c r="AB438">
        <f t="shared" si="36"/>
        <v>0</v>
      </c>
      <c r="AC438" cm="1">
        <f t="array" ref="AC438">VLOOKUP($A438,Table_ship_components[],COLUMN(AC:AC),0)*C438</f>
        <v>0</v>
      </c>
      <c r="AD438" cm="1">
        <f t="array" ref="AD438">VLOOKUP($A438,Table_ship_components[],COLUMN(AD:AD),0)</f>
        <v>0</v>
      </c>
      <c r="AE438" cm="1">
        <f t="array" ref="AE438">VLOOKUP($A438,Table_ship_components[],COLUMN(AE:AE),0)</f>
        <v>0</v>
      </c>
      <c r="AF438" cm="1">
        <f t="array" ref="AF438">VLOOKUP($A438,Table_ship_components[],COLUMN(AF:AF),0)</f>
        <v>0</v>
      </c>
      <c r="AG438" cm="1">
        <f t="array" ref="AG438">VLOOKUP($A438,Table_ship_components[],COLUMN(AG:AG),0)</f>
        <v>0</v>
      </c>
      <c r="AH438" cm="1">
        <f t="array" ref="AH438">VLOOKUP($A438,Table_ship_components[],COLUMN(AH:AH),0)</f>
        <v>0</v>
      </c>
      <c r="AI438" cm="1">
        <f t="array" ref="AI438">VLOOKUP($A438,Table_ship_components[],COLUMN(AI:AI),0)</f>
        <v>0</v>
      </c>
      <c r="AJ438" cm="1">
        <f t="array" ref="AJ438">VLOOKUP($A438,Table_ship_components[],COLUMN(AJ:AJ),0)</f>
        <v>0</v>
      </c>
      <c r="AK438" cm="1">
        <f t="array" ref="AK438">VLOOKUP($A438,Table_ship_components[],COLUMN(AK:AK),0)</f>
        <v>0</v>
      </c>
      <c r="AL438" cm="1">
        <f t="array" ref="AL438">VLOOKUP($A438,Table_ship_components[],COLUMN(AL:AL),0)</f>
        <v>0</v>
      </c>
      <c r="AM438" cm="1">
        <f t="array" ref="AM438">VLOOKUP($A438,Table_ship_components[],COLUMN(AM:AM),0)</f>
        <v>0</v>
      </c>
      <c r="AN438" cm="1">
        <f t="array" ref="AN438">VLOOKUP($A438,Table_ship_components[],COLUMN(AN:AN),0)</f>
        <v>0</v>
      </c>
      <c r="AO438" cm="1">
        <f t="array" ref="AO438">VLOOKUP($A438,Table_ship_components[],COLUMN(AO:AO),0)</f>
        <v>0</v>
      </c>
      <c r="AP438" cm="1">
        <f t="array" ref="AP438">VLOOKUP($A438,Table_ship_components[],COLUMN(AP:AP),0)</f>
        <v>0</v>
      </c>
      <c r="AQ438" cm="1">
        <f t="array" ref="AQ438">VLOOKUP($A438,Table_ship_components[],COLUMN(AQ:AQ),0)</f>
        <v>0</v>
      </c>
      <c r="AR438" cm="1">
        <f t="array" ref="AR438">VLOOKUP($A438,Table_ship_components[],COLUMN(AR:AR),0)</f>
        <v>0</v>
      </c>
      <c r="AS438" cm="1">
        <f t="array" ref="AS438">VLOOKUP($A438,Table_ship_components[],COLUMN(AS:AS),0)</f>
        <v>0</v>
      </c>
      <c r="AT438" cm="1">
        <f t="array" ref="AT438">VLOOKUP($A438,Table_ship_components[],COLUMN(AT:AT),0)</f>
        <v>0</v>
      </c>
      <c r="AU438" s="2" cm="1">
        <f t="array" ref="AU438">VLOOKUP($A438,Table_ship_components[],COLUMN(AU:AU),0)</f>
        <v>0</v>
      </c>
      <c r="AV438" s="2" cm="1">
        <f t="array" ref="AV438">VLOOKUP($A438,Table_ship_components[],COLUMN(AV:AV),0)</f>
        <v>0</v>
      </c>
      <c r="AW438" s="2" cm="1">
        <f t="array" ref="AW438">VLOOKUP($A438,Table_ship_components[],COLUMN(AW:AW),0)</f>
        <v>0</v>
      </c>
      <c r="AX438" s="2" cm="1">
        <f t="array" ref="AX438">VLOOKUP($A438,Table_ship_components[],COLUMN(AX:AX),0)</f>
        <v>0</v>
      </c>
      <c r="AY438" s="2" cm="1">
        <f t="array" ref="AY438">VLOOKUP($A438,Table_ship_components[],COLUMN(AY:AY),0)</f>
        <v>0</v>
      </c>
      <c r="AZ438" s="2" t="str" cm="1">
        <f t="array" ref="AZ438">VLOOKUP($A438,Table_ship_components[],COLUMN(AZ:AZ),0)</f>
        <v>C</v>
      </c>
      <c r="BA438" s="14" cm="1">
        <f t="array" ref="BA438">VLOOKUP($A438,Table_ship_components[],COLUMN(BA:BA),0)</f>
        <v>1600000</v>
      </c>
      <c r="BB438" s="14" cm="1">
        <f t="array" ref="BB438">(VLOOKUP($A438,Table_ship_components[],COLUMN(BA:BA),0)+(W438*C438))</f>
        <v>1600000</v>
      </c>
      <c r="BC438" s="2" cm="1">
        <f t="array" ref="BC438">VLOOKUP($A438,Table_ship_components[],COLUMN(BC:BC),0)</f>
        <v>0</v>
      </c>
      <c r="BD438" s="2" cm="1">
        <f t="array" ref="BD438">VLOOKUP($A438,Table_ship_components[],COLUMN(BD:BD),0)</f>
        <v>0</v>
      </c>
    </row>
    <row r="439" spans="1:56" outlineLevel="1" x14ac:dyDescent="0.35">
      <c r="A439" t="s">
        <v>378</v>
      </c>
      <c r="B439" t="str" cm="1">
        <f t="array" ref="B439">VLOOKUP($A439,Table_ship_components[],COLUMN(B:B),0)</f>
        <v>basic corvette structure reinforcement</v>
      </c>
      <c r="D439" cm="1">
        <f t="array" ref="D439">VLOOKUP($A439,Table_ship_components[],COLUMN(D:D),0)</f>
        <v>5</v>
      </c>
      <c r="E439" cm="1">
        <f t="array" ref="E439">ROUND(VLOOKUP($A439,Table_ship_components[],COLUMN(D:D),0)+(V439*C439),0)</f>
        <v>5</v>
      </c>
      <c r="F439" cm="1">
        <f t="array" ref="F439">VLOOKUP($A439,Table_ship_components[],COLUMN(F:F),0)</f>
        <v>0</v>
      </c>
      <c r="G439" cm="1">
        <f t="array" ref="G439">ROUND(VLOOKUP($A439,Table_ship_components[],COLUMN(G:G),0)+(X439*C439),0)</f>
        <v>0</v>
      </c>
      <c r="H439" cm="1">
        <f t="array" ref="H439">VLOOKUP($A439,Table_ship_components[],COLUMN(H:H),0)</f>
        <v>0</v>
      </c>
      <c r="I439" cm="1">
        <f t="array" ref="I439">VLOOKUP($A439,Table_ship_components[],COLUMN(I:I),0)</f>
        <v>0</v>
      </c>
      <c r="J439" cm="1">
        <f t="array" ref="J439">VLOOKUP($A439,Table_ship_components[],COLUMN(J:J),0)</f>
        <v>0</v>
      </c>
      <c r="K439" cm="1">
        <f t="array" ref="K439">VLOOKUP($A439,Table_ship_components[],COLUMN(K:K),0)</f>
        <v>0</v>
      </c>
      <c r="L439" cm="1">
        <f t="array" ref="L439">VLOOKUP($A439,Table_ship_components[],COLUMN(L:L),0)</f>
        <v>0</v>
      </c>
      <c r="M439" cm="1">
        <f t="array" ref="M439">VLOOKUP($A439,Table_ship_components[],COLUMN(M:M),0)</f>
        <v>0</v>
      </c>
      <c r="N439" cm="1">
        <f t="array" ref="N439">VLOOKUP($A439,Table_ship_components[],COLUMN(N:N),0)</f>
        <v>0</v>
      </c>
      <c r="O439" cm="1">
        <f t="array" ref="O439">VLOOKUP($A439,Table_ship_components[],COLUMN(O:O),0)</f>
        <v>1</v>
      </c>
      <c r="P439" cm="1">
        <f t="array" ref="P439">VLOOKUP($A439,Table_ship_components[],COLUMN(P:P),0)</f>
        <v>0</v>
      </c>
      <c r="Q439" cm="1">
        <f t="array" ref="Q439">VLOOKUP($A439,Table_ship_components[],COLUMN(Q:Q),0)</f>
        <v>0</v>
      </c>
      <c r="R439" cm="1">
        <f t="array" ref="R439">VLOOKUP($A439,Table_ship_components[],COLUMN(R:R),0)</f>
        <v>0</v>
      </c>
      <c r="S439" cm="1">
        <f t="array" ref="S439">VLOOKUP($A439,Table_ship_components[],COLUMN(S:S),0)</f>
        <v>0</v>
      </c>
      <c r="T439" cm="1">
        <f t="array" ref="T439">VLOOKUP($A439,Table_ship_components[],COLUMN(T:T),0)</f>
        <v>0</v>
      </c>
      <c r="U439" cm="1">
        <f t="array" ref="U439">VLOOKUP($A439,Table_ship_components[],COLUMN(U:U),0)</f>
        <v>0</v>
      </c>
      <c r="V439" cm="1">
        <f t="array" ref="V439">VLOOKUP($A439,Table_ship_components[],COLUMN(V:V),0)</f>
        <v>0</v>
      </c>
      <c r="W439" s="15" cm="1">
        <f t="array" ref="W439">VLOOKUP($A439,Table_ship_components[],COLUMN(W:W),0)</f>
        <v>0</v>
      </c>
      <c r="X439" cm="1">
        <f t="array" ref="X439">VLOOKUP($A439,Table_ship_components[],COLUMN(X:X),0)</f>
        <v>0</v>
      </c>
      <c r="Y439" cm="1">
        <f t="array" ref="Y439">VLOOKUP($A439,Table_ship_components[],COLUMN(Y:Y),0)</f>
        <v>0</v>
      </c>
      <c r="Z439" cm="1">
        <f t="array" ref="Z439">VLOOKUP($A439,Table_ship_components[],COLUMN(Z:Z),0)</f>
        <v>0</v>
      </c>
      <c r="AA439" cm="1">
        <f t="array" ref="AA439">VLOOKUP($A439,Table_ship_components[],COLUMN(AA:AA),0)*C439</f>
        <v>0</v>
      </c>
      <c r="AB439">
        <f t="shared" si="36"/>
        <v>0</v>
      </c>
      <c r="AC439" cm="1">
        <f t="array" ref="AC439">VLOOKUP($A439,Table_ship_components[],COLUMN(AC:AC),0)*C439</f>
        <v>0</v>
      </c>
      <c r="AD439" cm="1">
        <f t="array" ref="AD439">VLOOKUP($A439,Table_ship_components[],COLUMN(AD:AD),0)</f>
        <v>0</v>
      </c>
      <c r="AE439" cm="1">
        <f t="array" ref="AE439">VLOOKUP($A439,Table_ship_components[],COLUMN(AE:AE),0)</f>
        <v>0</v>
      </c>
      <c r="AF439" cm="1">
        <f t="array" ref="AF439">VLOOKUP($A439,Table_ship_components[],COLUMN(AF:AF),0)</f>
        <v>0</v>
      </c>
      <c r="AG439" cm="1">
        <f t="array" ref="AG439">VLOOKUP($A439,Table_ship_components[],COLUMN(AG:AG),0)</f>
        <v>0</v>
      </c>
      <c r="AH439" cm="1">
        <f t="array" ref="AH439">VLOOKUP($A439,Table_ship_components[],COLUMN(AH:AH),0)</f>
        <v>0</v>
      </c>
      <c r="AI439" cm="1">
        <f t="array" ref="AI439">VLOOKUP($A439,Table_ship_components[],COLUMN(AI:AI),0)</f>
        <v>0</v>
      </c>
      <c r="AJ439" cm="1">
        <f t="array" ref="AJ439">VLOOKUP($A439,Table_ship_components[],COLUMN(AJ:AJ),0)</f>
        <v>0</v>
      </c>
      <c r="AK439" cm="1">
        <f t="array" ref="AK439">VLOOKUP($A439,Table_ship_components[],COLUMN(AK:AK),0)</f>
        <v>0</v>
      </c>
      <c r="AL439" cm="1">
        <f t="array" ref="AL439">VLOOKUP($A439,Table_ship_components[],COLUMN(AL:AL),0)</f>
        <v>0</v>
      </c>
      <c r="AM439" cm="1">
        <f t="array" ref="AM439">VLOOKUP($A439,Table_ship_components[],COLUMN(AM:AM),0)</f>
        <v>1</v>
      </c>
      <c r="AN439" cm="1">
        <f t="array" ref="AN439">VLOOKUP($A439,Table_ship_components[],COLUMN(AN:AN),0)</f>
        <v>0</v>
      </c>
      <c r="AO439" cm="1">
        <f t="array" ref="AO439">VLOOKUP($A439,Table_ship_components[],COLUMN(AO:AO),0)</f>
        <v>0</v>
      </c>
      <c r="AP439" cm="1">
        <f t="array" ref="AP439">VLOOKUP($A439,Table_ship_components[],COLUMN(AP:AP),0)</f>
        <v>0</v>
      </c>
      <c r="AQ439" cm="1">
        <f t="array" ref="AQ439">VLOOKUP($A439,Table_ship_components[],COLUMN(AQ:AQ),0)</f>
        <v>0</v>
      </c>
      <c r="AR439" cm="1">
        <f t="array" ref="AR439">VLOOKUP($A439,Table_ship_components[],COLUMN(AR:AR),0)</f>
        <v>0</v>
      </c>
      <c r="AS439" cm="1">
        <f t="array" ref="AS439">VLOOKUP($A439,Table_ship_components[],COLUMN(AS:AS),0)</f>
        <v>0</v>
      </c>
      <c r="AT439" cm="1">
        <f t="array" ref="AT439">VLOOKUP($A439,Table_ship_components[],COLUMN(AT:AT),0)</f>
        <v>0</v>
      </c>
      <c r="AU439" s="2" cm="1">
        <f t="array" ref="AU439">VLOOKUP($A439,Table_ship_components[],COLUMN(AU:AU),0)</f>
        <v>0</v>
      </c>
      <c r="AV439" s="2" cm="1">
        <f t="array" ref="AV439">VLOOKUP($A439,Table_ship_components[],COLUMN(AV:AV),0)</f>
        <v>0</v>
      </c>
      <c r="AW439" s="2" cm="1">
        <f t="array" ref="AW439">VLOOKUP($A439,Table_ship_components[],COLUMN(AW:AW),0)</f>
        <v>0</v>
      </c>
      <c r="AX439" s="2" cm="1">
        <f t="array" ref="AX439">VLOOKUP($A439,Table_ship_components[],COLUMN(AX:AX),0)</f>
        <v>0</v>
      </c>
      <c r="AY439" s="2" cm="1">
        <f t="array" ref="AY439">VLOOKUP($A439,Table_ship_components[],COLUMN(AY:AY),0)</f>
        <v>0</v>
      </c>
      <c r="AZ439" s="2" t="str" cm="1">
        <f t="array" ref="AZ439">VLOOKUP($A439,Table_ship_components[],COLUMN(AZ:AZ),0)</f>
        <v>C</v>
      </c>
      <c r="BA439" s="14" cm="1">
        <f t="array" ref="BA439">VLOOKUP($A439,Table_ship_components[],COLUMN(BA:BA),0)</f>
        <v>500000</v>
      </c>
      <c r="BB439" s="14" cm="1">
        <f t="array" ref="BB439">(VLOOKUP($A439,Table_ship_components[],COLUMN(BA:BA),0)+(W439*C439))</f>
        <v>500000</v>
      </c>
      <c r="BC439" s="2" cm="1">
        <f t="array" ref="BC439">VLOOKUP($A439,Table_ship_components[],COLUMN(BC:BC),0)</f>
        <v>0</v>
      </c>
      <c r="BD439" s="2" cm="1">
        <f t="array" ref="BD439">VLOOKUP($A439,Table_ship_components[],COLUMN(BD:BD),0)</f>
        <v>0</v>
      </c>
    </row>
    <row r="440" spans="1:56" outlineLevel="1" x14ac:dyDescent="0.35">
      <c r="A440" t="s">
        <v>324</v>
      </c>
      <c r="B440" t="str" cm="1">
        <f t="array" ref="B440">VLOOKUP($A440,Table_ship_components[],COLUMN(B:B),0)</f>
        <v>huge fixed weapon mount</v>
      </c>
      <c r="D440" cm="1">
        <f t="array" ref="D440">VLOOKUP($A440,Table_ship_components[],COLUMN(D:D),0)</f>
        <v>5</v>
      </c>
      <c r="E440" cm="1">
        <f t="array" ref="E440">ROUND(VLOOKUP($A440,Table_ship_components[],COLUMN(D:D),0)+(V440*C440),0)</f>
        <v>5</v>
      </c>
      <c r="F440" cm="1">
        <f t="array" ref="F440">VLOOKUP($A440,Table_ship_components[],COLUMN(F:F),0)</f>
        <v>0</v>
      </c>
      <c r="G440" cm="1">
        <f t="array" ref="G440">ROUND(VLOOKUP($A440,Table_ship_components[],COLUMN(G:G),0)+(X440*C440),0)</f>
        <v>0</v>
      </c>
      <c r="H440" cm="1">
        <f t="array" ref="H440">VLOOKUP($A440,Table_ship_components[],COLUMN(H:H),0)</f>
        <v>0</v>
      </c>
      <c r="I440" cm="1">
        <f t="array" ref="I440">VLOOKUP($A440,Table_ship_components[],COLUMN(I:I),0)</f>
        <v>0</v>
      </c>
      <c r="J440" cm="1">
        <f t="array" ref="J440">VLOOKUP($A440,Table_ship_components[],COLUMN(J:J),0)</f>
        <v>0</v>
      </c>
      <c r="K440" cm="1">
        <f t="array" ref="K440">VLOOKUP($A440,Table_ship_components[],COLUMN(K:K),0)</f>
        <v>0</v>
      </c>
      <c r="L440" cm="1">
        <f t="array" ref="L440">VLOOKUP($A440,Table_ship_components[],COLUMN(L:L),0)</f>
        <v>0</v>
      </c>
      <c r="M440" cm="1">
        <f t="array" ref="M440">VLOOKUP($A440,Table_ship_components[],COLUMN(M:M),0)</f>
        <v>0</v>
      </c>
      <c r="N440" cm="1">
        <f t="array" ref="N440">VLOOKUP($A440,Table_ship_components[],COLUMN(N:N),0)</f>
        <v>1</v>
      </c>
      <c r="O440" cm="1">
        <f t="array" ref="O440">VLOOKUP($A440,Table_ship_components[],COLUMN(O:O),0)</f>
        <v>1</v>
      </c>
      <c r="P440" cm="1">
        <f t="array" ref="P440">VLOOKUP($A440,Table_ship_components[],COLUMN(P:P),0)</f>
        <v>1</v>
      </c>
      <c r="Q440" cm="1">
        <f t="array" ref="Q440">VLOOKUP($A440,Table_ship_components[],COLUMN(Q:Q),0)</f>
        <v>1</v>
      </c>
      <c r="R440" cm="1">
        <f t="array" ref="R440">VLOOKUP($A440,Table_ship_components[],COLUMN(R:R),0)</f>
        <v>1</v>
      </c>
      <c r="S440" cm="1">
        <f t="array" ref="S440">VLOOKUP($A440,Table_ship_components[],COLUMN(S:S),0)</f>
        <v>1</v>
      </c>
      <c r="T440" cm="1">
        <f t="array" ref="T440">VLOOKUP($A440,Table_ship_components[],COLUMN(T:T),0)</f>
        <v>1</v>
      </c>
      <c r="U440" cm="1">
        <f t="array" ref="U440">VLOOKUP($A440,Table_ship_components[],COLUMN(U:U),0)</f>
        <v>0</v>
      </c>
      <c r="V440" cm="1">
        <f t="array" ref="V440">VLOOKUP($A440,Table_ship_components[],COLUMN(V:V),0)</f>
        <v>0</v>
      </c>
      <c r="W440" s="15" cm="1">
        <f t="array" ref="W440">VLOOKUP($A440,Table_ship_components[],COLUMN(W:W),0)</f>
        <v>0</v>
      </c>
      <c r="X440" cm="1">
        <f t="array" ref="X440">VLOOKUP($A440,Table_ship_components[],COLUMN(X:X),0)</f>
        <v>0</v>
      </c>
      <c r="Y440" cm="1">
        <f t="array" ref="Y440">VLOOKUP($A440,Table_ship_components[],COLUMN(Y:Y),0)</f>
        <v>0</v>
      </c>
      <c r="Z440" cm="1">
        <f t="array" ref="Z440">VLOOKUP($A440,Table_ship_components[],COLUMN(Z:Z),0)</f>
        <v>0</v>
      </c>
      <c r="AA440" cm="1">
        <f t="array" ref="AA440">VLOOKUP($A440,Table_ship_components[],COLUMN(AA:AA),0)*C440</f>
        <v>0</v>
      </c>
      <c r="AB440">
        <f t="shared" si="36"/>
        <v>0</v>
      </c>
      <c r="AC440" cm="1">
        <f t="array" ref="AC440">VLOOKUP($A440,Table_ship_components[],COLUMN(AC:AC),0)*C440</f>
        <v>0</v>
      </c>
      <c r="AD440" cm="1">
        <f t="array" ref="AD440">VLOOKUP($A440,Table_ship_components[],COLUMN(AD:AD),0)</f>
        <v>0</v>
      </c>
      <c r="AE440" cm="1">
        <f t="array" ref="AE440">VLOOKUP($A440,Table_ship_components[],COLUMN(AE:AE),0)</f>
        <v>0</v>
      </c>
      <c r="AF440" cm="1">
        <f t="array" ref="AF440">VLOOKUP($A440,Table_ship_components[],COLUMN(AF:AF),0)</f>
        <v>0</v>
      </c>
      <c r="AG440" cm="1">
        <f t="array" ref="AG440">VLOOKUP($A440,Table_ship_components[],COLUMN(AG:AG),0)</f>
        <v>0</v>
      </c>
      <c r="AH440" cm="1">
        <f t="array" ref="AH440">VLOOKUP($A440,Table_ship_components[],COLUMN(AH:AH),0)</f>
        <v>0</v>
      </c>
      <c r="AI440" cm="1">
        <f t="array" ref="AI440">VLOOKUP($A440,Table_ship_components[],COLUMN(AI:AI),0)</f>
        <v>0</v>
      </c>
      <c r="AJ440" cm="1">
        <f t="array" ref="AJ440">VLOOKUP($A440,Table_ship_components[],COLUMN(AJ:AJ),0)</f>
        <v>0</v>
      </c>
      <c r="AK440" cm="1">
        <f t="array" ref="AK440">VLOOKUP($A440,Table_ship_components[],COLUMN(AK:AK),0)</f>
        <v>0</v>
      </c>
      <c r="AL440" cm="1">
        <f t="array" ref="AL440">VLOOKUP($A440,Table_ship_components[],COLUMN(AL:AL),0)</f>
        <v>0</v>
      </c>
      <c r="AM440" cm="1">
        <f t="array" ref="AM440">VLOOKUP($A440,Table_ship_components[],COLUMN(AM:AM),0)</f>
        <v>0</v>
      </c>
      <c r="AN440" cm="1">
        <f t="array" ref="AN440">VLOOKUP($A440,Table_ship_components[],COLUMN(AN:AN),0)</f>
        <v>0</v>
      </c>
      <c r="AO440" cm="1">
        <f t="array" ref="AO440">VLOOKUP($A440,Table_ship_components[],COLUMN(AO:AO),0)</f>
        <v>0</v>
      </c>
      <c r="AP440" cm="1">
        <f t="array" ref="AP440">VLOOKUP($A440,Table_ship_components[],COLUMN(AP:AP),0)</f>
        <v>0</v>
      </c>
      <c r="AQ440" cm="1">
        <f t="array" ref="AQ440">VLOOKUP($A440,Table_ship_components[],COLUMN(AQ:AQ),0)</f>
        <v>0</v>
      </c>
      <c r="AR440" cm="1">
        <f t="array" ref="AR440">VLOOKUP($A440,Table_ship_components[],COLUMN(AR:AR),0)</f>
        <v>0</v>
      </c>
      <c r="AS440" cm="1">
        <f t="array" ref="AS440">VLOOKUP($A440,Table_ship_components[],COLUMN(AS:AS),0)</f>
        <v>0</v>
      </c>
      <c r="AT440" cm="1">
        <f t="array" ref="AT440">VLOOKUP($A440,Table_ship_components[],COLUMN(AT:AT),0)</f>
        <v>0</v>
      </c>
      <c r="AU440" s="2" cm="1">
        <f t="array" ref="AU440">VLOOKUP($A440,Table_ship_components[],COLUMN(AU:AU),0)</f>
        <v>0</v>
      </c>
      <c r="AV440" s="2" cm="1">
        <f t="array" ref="AV440">VLOOKUP($A440,Table_ship_components[],COLUMN(AV:AV),0)</f>
        <v>0</v>
      </c>
      <c r="AW440" s="2" cm="1">
        <f t="array" ref="AW440">VLOOKUP($A440,Table_ship_components[],COLUMN(AW:AW),0)</f>
        <v>0</v>
      </c>
      <c r="AX440" s="2" cm="1">
        <f t="array" ref="AX440">VLOOKUP($A440,Table_ship_components[],COLUMN(AX:AX),0)</f>
        <v>0</v>
      </c>
      <c r="AY440" s="2" cm="1">
        <f t="array" ref="AY440">VLOOKUP($A440,Table_ship_components[],COLUMN(AY:AY),0)</f>
        <v>0</v>
      </c>
      <c r="AZ440" s="2" t="str" cm="1">
        <f t="array" ref="AZ440">VLOOKUP($A440,Table_ship_components[],COLUMN(AZ:AZ),0)</f>
        <v>C</v>
      </c>
      <c r="BA440" s="14" cm="1">
        <f t="array" ref="BA440">VLOOKUP($A440,Table_ship_components[],COLUMN(BA:BA),0)</f>
        <v>200000</v>
      </c>
      <c r="BB440" s="14" cm="1">
        <f t="array" ref="BB440">(VLOOKUP($A440,Table_ship_components[],COLUMN(BA:BA),0)+(W440*C440))</f>
        <v>200000</v>
      </c>
      <c r="BC440" s="2" cm="1">
        <f t="array" ref="BC440">VLOOKUP($A440,Table_ship_components[],COLUMN(BC:BC),0)</f>
        <v>0</v>
      </c>
      <c r="BD440" s="2" cm="1">
        <f t="array" ref="BD440">VLOOKUP($A440,Table_ship_components[],COLUMN(BD:BD),0)</f>
        <v>0</v>
      </c>
    </row>
    <row r="441" spans="1:56" outlineLevel="1" x14ac:dyDescent="0.35">
      <c r="A441" t="s">
        <v>351</v>
      </c>
      <c r="B441" t="str" cm="1">
        <f t="array" ref="B441">VLOOKUP($A441,Table_ship_components[],COLUMN(B:B),0)</f>
        <v>basic corvette ecm upgrade</v>
      </c>
      <c r="D441" cm="1">
        <f t="array" ref="D441">VLOOKUP($A441,Table_ship_components[],COLUMN(D:D),0)</f>
        <v>2</v>
      </c>
      <c r="E441" cm="1">
        <f t="array" ref="E441">ROUND(VLOOKUP($A441,Table_ship_components[],COLUMN(D:D),0)+(V441*C441),0)</f>
        <v>2</v>
      </c>
      <c r="F441" cm="1">
        <f t="array" ref="F441">VLOOKUP($A441,Table_ship_components[],COLUMN(F:F),0)</f>
        <v>4</v>
      </c>
      <c r="G441" cm="1">
        <f t="array" ref="G441">ROUND(VLOOKUP($A441,Table_ship_components[],COLUMN(G:G),0)+(X441*C441),0)</f>
        <v>4</v>
      </c>
      <c r="H441" cm="1">
        <f t="array" ref="H441">VLOOKUP($A441,Table_ship_components[],COLUMN(H:H),0)</f>
        <v>0</v>
      </c>
      <c r="I441" cm="1">
        <f t="array" ref="I441">VLOOKUP($A441,Table_ship_components[],COLUMN(I:I),0)</f>
        <v>0</v>
      </c>
      <c r="J441" cm="1">
        <f t="array" ref="J441">VLOOKUP($A441,Table_ship_components[],COLUMN(J:J),0)</f>
        <v>0</v>
      </c>
      <c r="K441" cm="1">
        <f t="array" ref="K441">VLOOKUP($A441,Table_ship_components[],COLUMN(K:K),0)</f>
        <v>0</v>
      </c>
      <c r="L441" cm="1">
        <f t="array" ref="L441">VLOOKUP($A441,Table_ship_components[],COLUMN(L:L),0)</f>
        <v>0</v>
      </c>
      <c r="M441" cm="1">
        <f t="array" ref="M441">VLOOKUP($A441,Table_ship_components[],COLUMN(M:M),0)</f>
        <v>0</v>
      </c>
      <c r="N441" cm="1">
        <f t="array" ref="N441">VLOOKUP($A441,Table_ship_components[],COLUMN(N:N),0)</f>
        <v>0</v>
      </c>
      <c r="O441" cm="1">
        <f t="array" ref="O441">VLOOKUP($A441,Table_ship_components[],COLUMN(O:O),0)</f>
        <v>1</v>
      </c>
      <c r="P441" cm="1">
        <f t="array" ref="P441">VLOOKUP($A441,Table_ship_components[],COLUMN(P:P),0)</f>
        <v>0</v>
      </c>
      <c r="Q441" cm="1">
        <f t="array" ref="Q441">VLOOKUP($A441,Table_ship_components[],COLUMN(Q:Q),0)</f>
        <v>0</v>
      </c>
      <c r="R441" cm="1">
        <f t="array" ref="R441">VLOOKUP($A441,Table_ship_components[],COLUMN(R:R),0)</f>
        <v>0</v>
      </c>
      <c r="S441" cm="1">
        <f t="array" ref="S441">VLOOKUP($A441,Table_ship_components[],COLUMN(S:S),0)</f>
        <v>0</v>
      </c>
      <c r="T441" cm="1">
        <f t="array" ref="T441">VLOOKUP($A441,Table_ship_components[],COLUMN(T:T),0)</f>
        <v>0</v>
      </c>
      <c r="U441" cm="1">
        <f t="array" ref="U441">VLOOKUP($A441,Table_ship_components[],COLUMN(U:U),0)</f>
        <v>0</v>
      </c>
      <c r="V441" cm="1">
        <f t="array" ref="V441">VLOOKUP($A441,Table_ship_components[],COLUMN(V:V),0)</f>
        <v>0</v>
      </c>
      <c r="W441" s="15" cm="1">
        <f t="array" ref="W441">VLOOKUP($A441,Table_ship_components[],COLUMN(W:W),0)</f>
        <v>0</v>
      </c>
      <c r="X441" cm="1">
        <f t="array" ref="X441">VLOOKUP($A441,Table_ship_components[],COLUMN(X:X),0)</f>
        <v>0</v>
      </c>
      <c r="Y441" cm="1">
        <f t="array" ref="Y441">VLOOKUP($A441,Table_ship_components[],COLUMN(Y:Y),0)</f>
        <v>0</v>
      </c>
      <c r="Z441" cm="1">
        <f t="array" ref="Z441">VLOOKUP($A441,Table_ship_components[],COLUMN(Z:Z),0)</f>
        <v>0</v>
      </c>
      <c r="AA441" cm="1">
        <f t="array" ref="AA441">VLOOKUP($A441,Table_ship_components[],COLUMN(AA:AA),0)*C441</f>
        <v>0</v>
      </c>
      <c r="AB441">
        <f t="shared" si="36"/>
        <v>0</v>
      </c>
      <c r="AC441" cm="1">
        <f t="array" ref="AC441">VLOOKUP($A441,Table_ship_components[],COLUMN(AC:AC),0)*C441</f>
        <v>0</v>
      </c>
      <c r="AD441" cm="1">
        <f t="array" ref="AD441">VLOOKUP($A441,Table_ship_components[],COLUMN(AD:AD),0)</f>
        <v>0</v>
      </c>
      <c r="AE441" cm="1">
        <f t="array" ref="AE441">VLOOKUP($A441,Table_ship_components[],COLUMN(AE:AE),0)</f>
        <v>0</v>
      </c>
      <c r="AF441" cm="1">
        <f t="array" ref="AF441">VLOOKUP($A441,Table_ship_components[],COLUMN(AF:AF),0)</f>
        <v>0</v>
      </c>
      <c r="AG441" cm="1">
        <f t="array" ref="AG441">VLOOKUP($A441,Table_ship_components[],COLUMN(AG:AG),0)</f>
        <v>0</v>
      </c>
      <c r="AH441" cm="1">
        <f t="array" ref="AH441">VLOOKUP($A441,Table_ship_components[],COLUMN(AH:AH),0)</f>
        <v>0</v>
      </c>
      <c r="AI441" cm="1">
        <f t="array" ref="AI441">VLOOKUP($A441,Table_ship_components[],COLUMN(AI:AI),0)</f>
        <v>0</v>
      </c>
      <c r="AJ441" cm="1">
        <f t="array" ref="AJ441">VLOOKUP($A441,Table_ship_components[],COLUMN(AJ:AJ),0)</f>
        <v>0</v>
      </c>
      <c r="AK441" cm="1">
        <f t="array" ref="AK441">VLOOKUP($A441,Table_ship_components[],COLUMN(AK:AK),0)</f>
        <v>0</v>
      </c>
      <c r="AL441" cm="1">
        <f t="array" ref="AL441">VLOOKUP($A441,Table_ship_components[],COLUMN(AL:AL),0)</f>
        <v>0</v>
      </c>
      <c r="AM441" cm="1">
        <f t="array" ref="AM441">VLOOKUP($A441,Table_ship_components[],COLUMN(AM:AM),0)</f>
        <v>0</v>
      </c>
      <c r="AN441" cm="1">
        <f t="array" ref="AN441">VLOOKUP($A441,Table_ship_components[],COLUMN(AN:AN),0)</f>
        <v>0</v>
      </c>
      <c r="AO441" cm="1">
        <f t="array" ref="AO441">VLOOKUP($A441,Table_ship_components[],COLUMN(AO:AO),0)</f>
        <v>1</v>
      </c>
      <c r="AP441" cm="1">
        <f t="array" ref="AP441">VLOOKUP($A441,Table_ship_components[],COLUMN(AP:AP),0)</f>
        <v>0</v>
      </c>
      <c r="AQ441" cm="1">
        <f t="array" ref="AQ441">VLOOKUP($A441,Table_ship_components[],COLUMN(AQ:AQ),0)</f>
        <v>0</v>
      </c>
      <c r="AR441" cm="1">
        <f t="array" ref="AR441">VLOOKUP($A441,Table_ship_components[],COLUMN(AR:AR),0)</f>
        <v>0</v>
      </c>
      <c r="AS441" cm="1">
        <f t="array" ref="AS441">VLOOKUP($A441,Table_ship_components[],COLUMN(AS:AS),0)</f>
        <v>0</v>
      </c>
      <c r="AT441" cm="1">
        <f t="array" ref="AT441">VLOOKUP($A441,Table_ship_components[],COLUMN(AT:AT),0)</f>
        <v>0</v>
      </c>
      <c r="AU441" s="2" cm="1">
        <f t="array" ref="AU441">VLOOKUP($A441,Table_ship_components[],COLUMN(AU:AU),0)</f>
        <v>0</v>
      </c>
      <c r="AV441" s="2" cm="1">
        <f t="array" ref="AV441">VLOOKUP($A441,Table_ship_components[],COLUMN(AV:AV),0)</f>
        <v>0</v>
      </c>
      <c r="AW441" s="2" cm="1">
        <f t="array" ref="AW441">VLOOKUP($A441,Table_ship_components[],COLUMN(AW:AW),0)</f>
        <v>0</v>
      </c>
      <c r="AX441" s="2" cm="1">
        <f t="array" ref="AX441">VLOOKUP($A441,Table_ship_components[],COLUMN(AX:AX),0)</f>
        <v>0</v>
      </c>
      <c r="AY441" s="2" cm="1">
        <f t="array" ref="AY441">VLOOKUP($A441,Table_ship_components[],COLUMN(AY:AY),0)</f>
        <v>0</v>
      </c>
      <c r="AZ441" s="2" t="str" cm="1">
        <f t="array" ref="AZ441">VLOOKUP($A441,Table_ship_components[],COLUMN(AZ:AZ),0)</f>
        <v>C</v>
      </c>
      <c r="BA441" s="14" cm="1">
        <f t="array" ref="BA441">VLOOKUP($A441,Table_ship_components[],COLUMN(BA:BA),0)</f>
        <v>80000</v>
      </c>
      <c r="BB441" s="14" cm="1">
        <f t="array" ref="BB441">(VLOOKUP($A441,Table_ship_components[],COLUMN(BA:BA),0)+(W441*C441))</f>
        <v>80000</v>
      </c>
      <c r="BC441" s="2" cm="1">
        <f t="array" ref="BC441">VLOOKUP($A441,Table_ship_components[],COLUMN(BC:BC),0)</f>
        <v>0</v>
      </c>
      <c r="BD441" s="2" cm="1">
        <f t="array" ref="BD441">VLOOKUP($A441,Table_ship_components[],COLUMN(BD:BD),0)</f>
        <v>0</v>
      </c>
    </row>
    <row r="442" spans="1:56" outlineLevel="1" x14ac:dyDescent="0.35">
      <c r="A442" t="s">
        <v>288</v>
      </c>
      <c r="B442" t="str" cm="1">
        <f t="array" ref="B442">VLOOKUP($A442,Table_ship_components[],COLUMN(B:B),0)</f>
        <v>PICK A COMPONENT</v>
      </c>
      <c r="D442" cm="1">
        <f t="array" ref="D442">VLOOKUP($A442,Table_ship_components[],COLUMN(D:D),0)</f>
        <v>0</v>
      </c>
      <c r="E442" cm="1">
        <f t="array" ref="E442">ROUND(VLOOKUP($A442,Table_ship_components[],COLUMN(D:D),0)+(V442*C442),0)</f>
        <v>0</v>
      </c>
      <c r="F442" cm="1">
        <f t="array" ref="F442">VLOOKUP($A442,Table_ship_components[],COLUMN(F:F),0)</f>
        <v>0</v>
      </c>
      <c r="G442" cm="1">
        <f t="array" ref="G442">ROUND(VLOOKUP($A442,Table_ship_components[],COLUMN(G:G),0)+(X442*C442),0)</f>
        <v>0</v>
      </c>
      <c r="H442" cm="1">
        <f t="array" ref="H442">VLOOKUP($A442,Table_ship_components[],COLUMN(H:H),0)</f>
        <v>0</v>
      </c>
      <c r="I442" cm="1">
        <f t="array" ref="I442">VLOOKUP($A442,Table_ship_components[],COLUMN(I:I),0)</f>
        <v>0</v>
      </c>
      <c r="J442" cm="1">
        <f t="array" ref="J442">VLOOKUP($A442,Table_ship_components[],COLUMN(J:J),0)</f>
        <v>0</v>
      </c>
      <c r="K442" cm="1">
        <f t="array" ref="K442">VLOOKUP($A442,Table_ship_components[],COLUMN(K:K),0)</f>
        <v>0</v>
      </c>
      <c r="L442" cm="1">
        <f t="array" ref="L442">VLOOKUP($A442,Table_ship_components[],COLUMN(L:L),0)</f>
        <v>0</v>
      </c>
      <c r="M442" cm="1">
        <f t="array" ref="M442">VLOOKUP($A442,Table_ship_components[],COLUMN(M:M),0)</f>
        <v>0</v>
      </c>
      <c r="N442" cm="1">
        <f t="array" ref="N442">VLOOKUP($A442,Table_ship_components[],COLUMN(N:N),0)</f>
        <v>0</v>
      </c>
      <c r="O442" cm="1">
        <f t="array" ref="O442">VLOOKUP($A442,Table_ship_components[],COLUMN(O:O),0)</f>
        <v>0</v>
      </c>
      <c r="P442" cm="1">
        <f t="array" ref="P442">VLOOKUP($A442,Table_ship_components[],COLUMN(P:P),0)</f>
        <v>0</v>
      </c>
      <c r="Q442" cm="1">
        <f t="array" ref="Q442">VLOOKUP($A442,Table_ship_components[],COLUMN(Q:Q),0)</f>
        <v>0</v>
      </c>
      <c r="R442" cm="1">
        <f t="array" ref="R442">VLOOKUP($A442,Table_ship_components[],COLUMN(R:R),0)</f>
        <v>0</v>
      </c>
      <c r="S442" cm="1">
        <f t="array" ref="S442">VLOOKUP($A442,Table_ship_components[],COLUMN(S:S),0)</f>
        <v>0</v>
      </c>
      <c r="T442" cm="1">
        <f t="array" ref="T442">VLOOKUP($A442,Table_ship_components[],COLUMN(T:T),0)</f>
        <v>0</v>
      </c>
      <c r="U442" cm="1">
        <f t="array" ref="U442">VLOOKUP($A442,Table_ship_components[],COLUMN(U:U),0)</f>
        <v>0</v>
      </c>
      <c r="V442" cm="1">
        <f t="array" ref="V442">VLOOKUP($A442,Table_ship_components[],COLUMN(V:V),0)</f>
        <v>0</v>
      </c>
      <c r="W442" s="15" cm="1">
        <f t="array" ref="W442">VLOOKUP($A442,Table_ship_components[],COLUMN(W:W),0)</f>
        <v>0</v>
      </c>
      <c r="X442" cm="1">
        <f t="array" ref="X442">VLOOKUP($A442,Table_ship_components[],COLUMN(X:X),0)</f>
        <v>0</v>
      </c>
      <c r="Y442" cm="1">
        <f t="array" ref="Y442">VLOOKUP($A442,Table_ship_components[],COLUMN(Y:Y),0)</f>
        <v>0</v>
      </c>
      <c r="Z442" cm="1">
        <f t="array" ref="Z442">VLOOKUP($A442,Table_ship_components[],COLUMN(Z:Z),0)</f>
        <v>0</v>
      </c>
      <c r="AA442" cm="1">
        <f t="array" ref="AA442">VLOOKUP($A442,Table_ship_components[],COLUMN(AA:AA),0)*C442</f>
        <v>0</v>
      </c>
      <c r="AB442">
        <f t="shared" si="36"/>
        <v>0</v>
      </c>
      <c r="AC442" cm="1">
        <f t="array" ref="AC442">VLOOKUP($A442,Table_ship_components[],COLUMN(AC:AC),0)*C442</f>
        <v>0</v>
      </c>
      <c r="AD442" cm="1">
        <f t="array" ref="AD442">VLOOKUP($A442,Table_ship_components[],COLUMN(AD:AD),0)</f>
        <v>0</v>
      </c>
      <c r="AE442" cm="1">
        <f t="array" ref="AE442">VLOOKUP($A442,Table_ship_components[],COLUMN(AE:AE),0)</f>
        <v>0</v>
      </c>
      <c r="AF442" cm="1">
        <f t="array" ref="AF442">VLOOKUP($A442,Table_ship_components[],COLUMN(AF:AF),0)</f>
        <v>0</v>
      </c>
      <c r="AG442" cm="1">
        <f t="array" ref="AG442">VLOOKUP($A442,Table_ship_components[],COLUMN(AG:AG),0)</f>
        <v>0</v>
      </c>
      <c r="AH442" cm="1">
        <f t="array" ref="AH442">VLOOKUP($A442,Table_ship_components[],COLUMN(AH:AH),0)</f>
        <v>0</v>
      </c>
      <c r="AI442" cm="1">
        <f t="array" ref="AI442">VLOOKUP($A442,Table_ship_components[],COLUMN(AI:AI),0)</f>
        <v>0</v>
      </c>
      <c r="AJ442" cm="1">
        <f t="array" ref="AJ442">VLOOKUP($A442,Table_ship_components[],COLUMN(AJ:AJ),0)</f>
        <v>0</v>
      </c>
      <c r="AK442" cm="1">
        <f t="array" ref="AK442">VLOOKUP($A442,Table_ship_components[],COLUMN(AK:AK),0)</f>
        <v>0</v>
      </c>
      <c r="AL442" cm="1">
        <f t="array" ref="AL442">VLOOKUP($A442,Table_ship_components[],COLUMN(AL:AL),0)</f>
        <v>0</v>
      </c>
      <c r="AM442" cm="1">
        <f t="array" ref="AM442">VLOOKUP($A442,Table_ship_components[],COLUMN(AM:AM),0)</f>
        <v>0</v>
      </c>
      <c r="AN442" cm="1">
        <f t="array" ref="AN442">VLOOKUP($A442,Table_ship_components[],COLUMN(AN:AN),0)</f>
        <v>0</v>
      </c>
      <c r="AO442" cm="1">
        <f t="array" ref="AO442">VLOOKUP($A442,Table_ship_components[],COLUMN(AO:AO),0)</f>
        <v>0</v>
      </c>
      <c r="AP442" cm="1">
        <f t="array" ref="AP442">VLOOKUP($A442,Table_ship_components[],COLUMN(AP:AP),0)</f>
        <v>0</v>
      </c>
      <c r="AQ442" cm="1">
        <f t="array" ref="AQ442">VLOOKUP($A442,Table_ship_components[],COLUMN(AQ:AQ),0)</f>
        <v>0</v>
      </c>
      <c r="AR442" cm="1">
        <f t="array" ref="AR442">VLOOKUP($A442,Table_ship_components[],COLUMN(AR:AR),0)</f>
        <v>0</v>
      </c>
      <c r="AS442" cm="1">
        <f t="array" ref="AS442">VLOOKUP($A442,Table_ship_components[],COLUMN(AS:AS),0)</f>
        <v>0</v>
      </c>
      <c r="AT442" cm="1">
        <f t="array" ref="AT442">VLOOKUP($A442,Table_ship_components[],COLUMN(AT:AT),0)</f>
        <v>0</v>
      </c>
      <c r="AU442" s="2" cm="1">
        <f t="array" ref="AU442">VLOOKUP($A442,Table_ship_components[],COLUMN(AU:AU),0)</f>
        <v>0</v>
      </c>
      <c r="AV442" s="2" cm="1">
        <f t="array" ref="AV442">VLOOKUP($A442,Table_ship_components[],COLUMN(AV:AV),0)</f>
        <v>0</v>
      </c>
      <c r="AW442" s="2" cm="1">
        <f t="array" ref="AW442">VLOOKUP($A442,Table_ship_components[],COLUMN(AW:AW),0)</f>
        <v>0</v>
      </c>
      <c r="AX442" s="2" cm="1">
        <f t="array" ref="AX442">VLOOKUP($A442,Table_ship_components[],COLUMN(AX:AX),0)</f>
        <v>0</v>
      </c>
      <c r="AY442" s="2" cm="1">
        <f t="array" ref="AY442">VLOOKUP($A442,Table_ship_components[],COLUMN(AY:AY),0)</f>
        <v>0</v>
      </c>
      <c r="AZ442" s="2" t="str" cm="1">
        <f t="array" ref="AZ442">VLOOKUP($A442,Table_ship_components[],COLUMN(AZ:AZ),0)</f>
        <v>C</v>
      </c>
      <c r="BA442" s="14" cm="1">
        <f t="array" ref="BA442">VLOOKUP($A442,Table_ship_components[],COLUMN(BA:BA),0)</f>
        <v>0</v>
      </c>
      <c r="BB442" s="14" cm="1">
        <f t="array" ref="BB442">(VLOOKUP($A442,Table_ship_components[],COLUMN(BA:BA),0)+(W442*C442))</f>
        <v>0</v>
      </c>
      <c r="BC442" s="2" cm="1">
        <f t="array" ref="BC442">VLOOKUP($A442,Table_ship_components[],COLUMN(BC:BC),0)</f>
        <v>0</v>
      </c>
      <c r="BD442" s="2" cm="1">
        <f t="array" ref="BD442">VLOOKUP($A442,Table_ship_components[],COLUMN(BD:BD),0)</f>
        <v>0</v>
      </c>
    </row>
    <row r="443" spans="1:56" outlineLevel="1" x14ac:dyDescent="0.35">
      <c r="A443" t="s">
        <v>288</v>
      </c>
      <c r="B443" t="str" cm="1">
        <f t="array" ref="B443">VLOOKUP($A443,Table_ship_components[],COLUMN(B:B),0)</f>
        <v>PICK A COMPONENT</v>
      </c>
      <c r="D443" cm="1">
        <f t="array" ref="D443">VLOOKUP($A443,Table_ship_components[],COLUMN(D:D),0)</f>
        <v>0</v>
      </c>
      <c r="E443" cm="1">
        <f t="array" ref="E443">ROUND(VLOOKUP($A443,Table_ship_components[],COLUMN(D:D),0)+(V443*C443),0)</f>
        <v>0</v>
      </c>
      <c r="F443" cm="1">
        <f t="array" ref="F443">VLOOKUP($A443,Table_ship_components[],COLUMN(F:F),0)</f>
        <v>0</v>
      </c>
      <c r="G443" cm="1">
        <f t="array" ref="G443">ROUND(VLOOKUP($A443,Table_ship_components[],COLUMN(G:G),0)+(X443*C443),0)</f>
        <v>0</v>
      </c>
      <c r="H443" cm="1">
        <f t="array" ref="H443">VLOOKUP($A443,Table_ship_components[],COLUMN(H:H),0)</f>
        <v>0</v>
      </c>
      <c r="I443" cm="1">
        <f t="array" ref="I443">VLOOKUP($A443,Table_ship_components[],COLUMN(I:I),0)</f>
        <v>0</v>
      </c>
      <c r="J443" cm="1">
        <f t="array" ref="J443">VLOOKUP($A443,Table_ship_components[],COLUMN(J:J),0)</f>
        <v>0</v>
      </c>
      <c r="K443" cm="1">
        <f t="array" ref="K443">VLOOKUP($A443,Table_ship_components[],COLUMN(K:K),0)</f>
        <v>0</v>
      </c>
      <c r="L443" cm="1">
        <f t="array" ref="L443">VLOOKUP($A443,Table_ship_components[],COLUMN(L:L),0)</f>
        <v>0</v>
      </c>
      <c r="M443" cm="1">
        <f t="array" ref="M443">VLOOKUP($A443,Table_ship_components[],COLUMN(M:M),0)</f>
        <v>0</v>
      </c>
      <c r="N443" cm="1">
        <f t="array" ref="N443">VLOOKUP($A443,Table_ship_components[],COLUMN(N:N),0)</f>
        <v>0</v>
      </c>
      <c r="O443" cm="1">
        <f t="array" ref="O443">VLOOKUP($A443,Table_ship_components[],COLUMN(O:O),0)</f>
        <v>0</v>
      </c>
      <c r="P443" cm="1">
        <f t="array" ref="P443">VLOOKUP($A443,Table_ship_components[],COLUMN(P:P),0)</f>
        <v>0</v>
      </c>
      <c r="Q443" cm="1">
        <f t="array" ref="Q443">VLOOKUP($A443,Table_ship_components[],COLUMN(Q:Q),0)</f>
        <v>0</v>
      </c>
      <c r="R443" cm="1">
        <f t="array" ref="R443">VLOOKUP($A443,Table_ship_components[],COLUMN(R:R),0)</f>
        <v>0</v>
      </c>
      <c r="S443" cm="1">
        <f t="array" ref="S443">VLOOKUP($A443,Table_ship_components[],COLUMN(S:S),0)</f>
        <v>0</v>
      </c>
      <c r="T443" cm="1">
        <f t="array" ref="T443">VLOOKUP($A443,Table_ship_components[],COLUMN(T:T),0)</f>
        <v>0</v>
      </c>
      <c r="U443" cm="1">
        <f t="array" ref="U443">VLOOKUP($A443,Table_ship_components[],COLUMN(U:U),0)</f>
        <v>0</v>
      </c>
      <c r="V443" cm="1">
        <f t="array" ref="V443">VLOOKUP($A443,Table_ship_components[],COLUMN(V:V),0)</f>
        <v>0</v>
      </c>
      <c r="W443" s="15" cm="1">
        <f t="array" ref="W443">VLOOKUP($A443,Table_ship_components[],COLUMN(W:W),0)</f>
        <v>0</v>
      </c>
      <c r="X443" cm="1">
        <f t="array" ref="X443">VLOOKUP($A443,Table_ship_components[],COLUMN(X:X),0)</f>
        <v>0</v>
      </c>
      <c r="Y443" cm="1">
        <f t="array" ref="Y443">VLOOKUP($A443,Table_ship_components[],COLUMN(Y:Y),0)</f>
        <v>0</v>
      </c>
      <c r="Z443" cm="1">
        <f t="array" ref="Z443">VLOOKUP($A443,Table_ship_components[],COLUMN(Z:Z),0)</f>
        <v>0</v>
      </c>
      <c r="AA443" cm="1">
        <f t="array" ref="AA443">VLOOKUP($A443,Table_ship_components[],COLUMN(AA:AA),0)*C443</f>
        <v>0</v>
      </c>
      <c r="AB443">
        <f t="shared" si="36"/>
        <v>0</v>
      </c>
      <c r="AC443" cm="1">
        <f t="array" ref="AC443">VLOOKUP($A443,Table_ship_components[],COLUMN(AC:AC),0)*C443</f>
        <v>0</v>
      </c>
      <c r="AD443" cm="1">
        <f t="array" ref="AD443">VLOOKUP($A443,Table_ship_components[],COLUMN(AD:AD),0)</f>
        <v>0</v>
      </c>
      <c r="AE443" cm="1">
        <f t="array" ref="AE443">VLOOKUP($A443,Table_ship_components[],COLUMN(AE:AE),0)</f>
        <v>0</v>
      </c>
      <c r="AF443" cm="1">
        <f t="array" ref="AF443">VLOOKUP($A443,Table_ship_components[],COLUMN(AF:AF),0)</f>
        <v>0</v>
      </c>
      <c r="AG443" cm="1">
        <f t="array" ref="AG443">VLOOKUP($A443,Table_ship_components[],COLUMN(AG:AG),0)</f>
        <v>0</v>
      </c>
      <c r="AH443" cm="1">
        <f t="array" ref="AH443">VLOOKUP($A443,Table_ship_components[],COLUMN(AH:AH),0)</f>
        <v>0</v>
      </c>
      <c r="AI443" cm="1">
        <f t="array" ref="AI443">VLOOKUP($A443,Table_ship_components[],COLUMN(AI:AI),0)</f>
        <v>0</v>
      </c>
      <c r="AJ443" cm="1">
        <f t="array" ref="AJ443">VLOOKUP($A443,Table_ship_components[],COLUMN(AJ:AJ),0)</f>
        <v>0</v>
      </c>
      <c r="AK443" cm="1">
        <f t="array" ref="AK443">VLOOKUP($A443,Table_ship_components[],COLUMN(AK:AK),0)</f>
        <v>0</v>
      </c>
      <c r="AL443" cm="1">
        <f t="array" ref="AL443">VLOOKUP($A443,Table_ship_components[],COLUMN(AL:AL),0)</f>
        <v>0</v>
      </c>
      <c r="AM443" cm="1">
        <f t="array" ref="AM443">VLOOKUP($A443,Table_ship_components[],COLUMN(AM:AM),0)</f>
        <v>0</v>
      </c>
      <c r="AN443" cm="1">
        <f t="array" ref="AN443">VLOOKUP($A443,Table_ship_components[],COLUMN(AN:AN),0)</f>
        <v>0</v>
      </c>
      <c r="AO443" cm="1">
        <f t="array" ref="AO443">VLOOKUP($A443,Table_ship_components[],COLUMN(AO:AO),0)</f>
        <v>0</v>
      </c>
      <c r="AP443" cm="1">
        <f t="array" ref="AP443">VLOOKUP($A443,Table_ship_components[],COLUMN(AP:AP),0)</f>
        <v>0</v>
      </c>
      <c r="AQ443" cm="1">
        <f t="array" ref="AQ443">VLOOKUP($A443,Table_ship_components[],COLUMN(AQ:AQ),0)</f>
        <v>0</v>
      </c>
      <c r="AR443" cm="1">
        <f t="array" ref="AR443">VLOOKUP($A443,Table_ship_components[],COLUMN(AR:AR),0)</f>
        <v>0</v>
      </c>
      <c r="AS443" cm="1">
        <f t="array" ref="AS443">VLOOKUP($A443,Table_ship_components[],COLUMN(AS:AS),0)</f>
        <v>0</v>
      </c>
      <c r="AT443" cm="1">
        <f t="array" ref="AT443">VLOOKUP($A443,Table_ship_components[],COLUMN(AT:AT),0)</f>
        <v>0</v>
      </c>
      <c r="AU443" s="2" cm="1">
        <f t="array" ref="AU443">VLOOKUP($A443,Table_ship_components[],COLUMN(AU:AU),0)</f>
        <v>0</v>
      </c>
      <c r="AV443" s="2" cm="1">
        <f t="array" ref="AV443">VLOOKUP($A443,Table_ship_components[],COLUMN(AV:AV),0)</f>
        <v>0</v>
      </c>
      <c r="AW443" s="2" cm="1">
        <f t="array" ref="AW443">VLOOKUP($A443,Table_ship_components[],COLUMN(AW:AW),0)</f>
        <v>0</v>
      </c>
      <c r="AX443" s="2" cm="1">
        <f t="array" ref="AX443">VLOOKUP($A443,Table_ship_components[],COLUMN(AX:AX),0)</f>
        <v>0</v>
      </c>
      <c r="AY443" s="2" cm="1">
        <f t="array" ref="AY443">VLOOKUP($A443,Table_ship_components[],COLUMN(AY:AY),0)</f>
        <v>0</v>
      </c>
      <c r="AZ443" s="2" t="str" cm="1">
        <f t="array" ref="AZ443">VLOOKUP($A443,Table_ship_components[],COLUMN(AZ:AZ),0)</f>
        <v>C</v>
      </c>
      <c r="BA443" s="14" cm="1">
        <f t="array" ref="BA443">VLOOKUP($A443,Table_ship_components[],COLUMN(BA:BA),0)</f>
        <v>0</v>
      </c>
      <c r="BB443" s="14" cm="1">
        <f t="array" ref="BB443">(VLOOKUP($A443,Table_ship_components[],COLUMN(BA:BA),0)+(W443*C443))</f>
        <v>0</v>
      </c>
      <c r="BC443" s="2" cm="1">
        <f t="array" ref="BC443">VLOOKUP($A443,Table_ship_components[],COLUMN(BC:BC),0)</f>
        <v>0</v>
      </c>
      <c r="BD443" s="2" cm="1">
        <f t="array" ref="BD443">VLOOKUP($A443,Table_ship_components[],COLUMN(BD:BD),0)</f>
        <v>0</v>
      </c>
    </row>
    <row r="444" spans="1:56" outlineLevel="1" x14ac:dyDescent="0.35">
      <c r="A444" t="s">
        <v>288</v>
      </c>
      <c r="B444" t="str" cm="1">
        <f t="array" ref="B444">VLOOKUP($A444,Table_ship_components[],COLUMN(B:B),0)</f>
        <v>PICK A COMPONENT</v>
      </c>
      <c r="D444" cm="1">
        <f t="array" ref="D444">VLOOKUP($A444,Table_ship_components[],COLUMN(D:D),0)</f>
        <v>0</v>
      </c>
      <c r="E444" cm="1">
        <f t="array" ref="E444">ROUND(VLOOKUP($A444,Table_ship_components[],COLUMN(D:D),0)+(V444*C444),0)</f>
        <v>0</v>
      </c>
      <c r="F444" cm="1">
        <f t="array" ref="F444">VLOOKUP($A444,Table_ship_components[],COLUMN(F:F),0)</f>
        <v>0</v>
      </c>
      <c r="G444" cm="1">
        <f t="array" ref="G444">ROUND(VLOOKUP($A444,Table_ship_components[],COLUMN(G:G),0)+(X444*C444),0)</f>
        <v>0</v>
      </c>
      <c r="H444" cm="1">
        <f t="array" ref="H444">VLOOKUP($A444,Table_ship_components[],COLUMN(H:H),0)</f>
        <v>0</v>
      </c>
      <c r="I444" cm="1">
        <f t="array" ref="I444">VLOOKUP($A444,Table_ship_components[],COLUMN(I:I),0)</f>
        <v>0</v>
      </c>
      <c r="J444" cm="1">
        <f t="array" ref="J444">VLOOKUP($A444,Table_ship_components[],COLUMN(J:J),0)</f>
        <v>0</v>
      </c>
      <c r="K444" cm="1">
        <f t="array" ref="K444">VLOOKUP($A444,Table_ship_components[],COLUMN(K:K),0)</f>
        <v>0</v>
      </c>
      <c r="L444" cm="1">
        <f t="array" ref="L444">VLOOKUP($A444,Table_ship_components[],COLUMN(L:L),0)</f>
        <v>0</v>
      </c>
      <c r="M444" cm="1">
        <f t="array" ref="M444">VLOOKUP($A444,Table_ship_components[],COLUMN(M:M),0)</f>
        <v>0</v>
      </c>
      <c r="N444" cm="1">
        <f t="array" ref="N444">VLOOKUP($A444,Table_ship_components[],COLUMN(N:N),0)</f>
        <v>0</v>
      </c>
      <c r="O444" cm="1">
        <f t="array" ref="O444">VLOOKUP($A444,Table_ship_components[],COLUMN(O:O),0)</f>
        <v>0</v>
      </c>
      <c r="P444" cm="1">
        <f t="array" ref="P444">VLOOKUP($A444,Table_ship_components[],COLUMN(P:P),0)</f>
        <v>0</v>
      </c>
      <c r="Q444" cm="1">
        <f t="array" ref="Q444">VLOOKUP($A444,Table_ship_components[],COLUMN(Q:Q),0)</f>
        <v>0</v>
      </c>
      <c r="R444" cm="1">
        <f t="array" ref="R444">VLOOKUP($A444,Table_ship_components[],COLUMN(R:R),0)</f>
        <v>0</v>
      </c>
      <c r="S444" cm="1">
        <f t="array" ref="S444">VLOOKUP($A444,Table_ship_components[],COLUMN(S:S),0)</f>
        <v>0</v>
      </c>
      <c r="T444" cm="1">
        <f t="array" ref="T444">VLOOKUP($A444,Table_ship_components[],COLUMN(T:T),0)</f>
        <v>0</v>
      </c>
      <c r="U444" cm="1">
        <f t="array" ref="U444">VLOOKUP($A444,Table_ship_components[],COLUMN(U:U),0)</f>
        <v>0</v>
      </c>
      <c r="V444" cm="1">
        <f t="array" ref="V444">VLOOKUP($A444,Table_ship_components[],COLUMN(V:V),0)</f>
        <v>0</v>
      </c>
      <c r="W444" s="15" cm="1">
        <f t="array" ref="W444">VLOOKUP($A444,Table_ship_components[],COLUMN(W:W),0)</f>
        <v>0</v>
      </c>
      <c r="X444" cm="1">
        <f t="array" ref="X444">VLOOKUP($A444,Table_ship_components[],COLUMN(X:X),0)</f>
        <v>0</v>
      </c>
      <c r="Y444" cm="1">
        <f t="array" ref="Y444">VLOOKUP($A444,Table_ship_components[],COLUMN(Y:Y),0)</f>
        <v>0</v>
      </c>
      <c r="Z444" cm="1">
        <f t="array" ref="Z444">VLOOKUP($A444,Table_ship_components[],COLUMN(Z:Z),0)</f>
        <v>0</v>
      </c>
      <c r="AA444" cm="1">
        <f t="array" ref="AA444">VLOOKUP($A444,Table_ship_components[],COLUMN(AA:AA),0)*C444</f>
        <v>0</v>
      </c>
      <c r="AB444">
        <f>IF(A444="CARGOSPACE_0-ALL_0-UNIVERSAL",C444,0)</f>
        <v>0</v>
      </c>
      <c r="AC444" cm="1">
        <f t="array" ref="AC444">VLOOKUP($A444,Table_ship_components[],COLUMN(AC:AC),0)*C444</f>
        <v>0</v>
      </c>
      <c r="AD444" cm="1">
        <f t="array" ref="AD444">VLOOKUP($A444,Table_ship_components[],COLUMN(AD:AD),0)</f>
        <v>0</v>
      </c>
      <c r="AE444" cm="1">
        <f t="array" ref="AE444">VLOOKUP($A444,Table_ship_components[],COLUMN(AE:AE),0)</f>
        <v>0</v>
      </c>
      <c r="AF444" cm="1">
        <f t="array" ref="AF444">VLOOKUP($A444,Table_ship_components[],COLUMN(AF:AF),0)</f>
        <v>0</v>
      </c>
      <c r="AG444" cm="1">
        <f t="array" ref="AG444">VLOOKUP($A444,Table_ship_components[],COLUMN(AG:AG),0)</f>
        <v>0</v>
      </c>
      <c r="AH444" cm="1">
        <f t="array" ref="AH444">VLOOKUP($A444,Table_ship_components[],COLUMN(AH:AH),0)</f>
        <v>0</v>
      </c>
      <c r="AI444" cm="1">
        <f t="array" ref="AI444">VLOOKUP($A444,Table_ship_components[],COLUMN(AI:AI),0)</f>
        <v>0</v>
      </c>
      <c r="AJ444" cm="1">
        <f t="array" ref="AJ444">VLOOKUP($A444,Table_ship_components[],COLUMN(AJ:AJ),0)</f>
        <v>0</v>
      </c>
      <c r="AK444" cm="1">
        <f t="array" ref="AK444">VLOOKUP($A444,Table_ship_components[],COLUMN(AK:AK),0)</f>
        <v>0</v>
      </c>
      <c r="AL444" cm="1">
        <f t="array" ref="AL444">VLOOKUP($A444,Table_ship_components[],COLUMN(AL:AL),0)</f>
        <v>0</v>
      </c>
      <c r="AM444" cm="1">
        <f t="array" ref="AM444">VLOOKUP($A444,Table_ship_components[],COLUMN(AM:AM),0)</f>
        <v>0</v>
      </c>
      <c r="AN444" cm="1">
        <f t="array" ref="AN444">VLOOKUP($A444,Table_ship_components[],COLUMN(AN:AN),0)</f>
        <v>0</v>
      </c>
      <c r="AO444" cm="1">
        <f t="array" ref="AO444">VLOOKUP($A444,Table_ship_components[],COLUMN(AO:AO),0)</f>
        <v>0</v>
      </c>
      <c r="AP444" cm="1">
        <f t="array" ref="AP444">VLOOKUP($A444,Table_ship_components[],COLUMN(AP:AP),0)</f>
        <v>0</v>
      </c>
      <c r="AQ444" cm="1">
        <f t="array" ref="AQ444">VLOOKUP($A444,Table_ship_components[],COLUMN(AQ:AQ),0)</f>
        <v>0</v>
      </c>
      <c r="AR444" cm="1">
        <f t="array" ref="AR444">VLOOKUP($A444,Table_ship_components[],COLUMN(AR:AR),0)</f>
        <v>0</v>
      </c>
      <c r="AS444" cm="1">
        <f t="array" ref="AS444">VLOOKUP($A444,Table_ship_components[],COLUMN(AS:AS),0)</f>
        <v>0</v>
      </c>
      <c r="AT444" cm="1">
        <f t="array" ref="AT444">VLOOKUP($A444,Table_ship_components[],COLUMN(AT:AT),0)</f>
        <v>0</v>
      </c>
      <c r="AU444" s="2" cm="1">
        <f t="array" ref="AU444">VLOOKUP($A444,Table_ship_components[],COLUMN(AU:AU),0)</f>
        <v>0</v>
      </c>
      <c r="AV444" s="2" cm="1">
        <f t="array" ref="AV444">VLOOKUP($A444,Table_ship_components[],COLUMN(AV:AV),0)</f>
        <v>0</v>
      </c>
      <c r="AW444" s="2" cm="1">
        <f t="array" ref="AW444">VLOOKUP($A444,Table_ship_components[],COLUMN(AW:AW),0)</f>
        <v>0</v>
      </c>
      <c r="AX444" s="2" cm="1">
        <f t="array" ref="AX444">VLOOKUP($A444,Table_ship_components[],COLUMN(AX:AX),0)</f>
        <v>0</v>
      </c>
      <c r="AY444" s="2" cm="1">
        <f t="array" ref="AY444">VLOOKUP($A444,Table_ship_components[],COLUMN(AY:AY),0)</f>
        <v>0</v>
      </c>
      <c r="AZ444" s="2" t="str" cm="1">
        <f t="array" ref="AZ444">VLOOKUP($A444,Table_ship_components[],COLUMN(AZ:AZ),0)</f>
        <v>C</v>
      </c>
      <c r="BA444" s="14" cm="1">
        <f t="array" ref="BA444">VLOOKUP($A444,Table_ship_components[],COLUMN(BA:BA),0)</f>
        <v>0</v>
      </c>
      <c r="BB444" s="14" cm="1">
        <f t="array" ref="BB444">(VLOOKUP($A444,Table_ship_components[],COLUMN(BA:BA),0)+(W444*C444))</f>
        <v>0</v>
      </c>
      <c r="BC444" s="2" cm="1">
        <f t="array" ref="BC444">VLOOKUP($A444,Table_ship_components[],COLUMN(BC:BC),0)</f>
        <v>0</v>
      </c>
      <c r="BD444" s="2" cm="1">
        <f t="array" ref="BD444">VLOOKUP($A444,Table_ship_components[],COLUMN(BD:BD),0)</f>
        <v>0</v>
      </c>
    </row>
    <row r="445" spans="1:56" outlineLevel="1" x14ac:dyDescent="0.35">
      <c r="A445" s="18" t="s">
        <v>425</v>
      </c>
      <c r="B445" s="19" t="str">
        <f>CONCATENATE("SIZE ",(SUM(E446:E453)),"/",AY423,"  POWER ",(SUM(G446:G453)))</f>
        <v>SIZE 25/25  POWER 0</v>
      </c>
      <c r="AU445" s="2"/>
      <c r="AV445" s="2"/>
      <c r="AW445" s="2"/>
      <c r="AX445" s="2"/>
      <c r="AY445" s="2"/>
      <c r="AZ445" s="2"/>
      <c r="BA445" s="14"/>
      <c r="BB445" s="14"/>
      <c r="BC445" s="2"/>
      <c r="BD445" s="2"/>
    </row>
    <row r="446" spans="1:56" outlineLevel="1" x14ac:dyDescent="0.35">
      <c r="A446" t="s">
        <v>344</v>
      </c>
      <c r="B446" t="str" cm="1">
        <f t="array" ref="B446">VLOOKUP($A446,Table_ship_components[],COLUMN(B:B),0)</f>
        <v>corvette atmospheric package</v>
      </c>
      <c r="D446" cm="1">
        <f t="array" ref="D446">VLOOKUP($A446,Table_ship_components[],COLUMN(D:D),0)</f>
        <v>20</v>
      </c>
      <c r="E446" cm="1">
        <f t="array" ref="E446">ROUND(VLOOKUP($A446,Table_ship_components[],COLUMN(D:D),0)+(V446*C446),0)</f>
        <v>20</v>
      </c>
      <c r="F446" cm="1">
        <f t="array" ref="F446">VLOOKUP($A446,Table_ship_components[],COLUMN(F:F),0)</f>
        <v>0</v>
      </c>
      <c r="G446" cm="1">
        <f t="array" ref="G446">ROUND(VLOOKUP($A446,Table_ship_components[],COLUMN(G:G),0)+(X446*C446),0)</f>
        <v>0</v>
      </c>
      <c r="H446" cm="1">
        <f t="array" ref="H446">VLOOKUP($A446,Table_ship_components[],COLUMN(H:H),0)</f>
        <v>10</v>
      </c>
      <c r="I446" cm="1">
        <f t="array" ref="I446">VLOOKUP($A446,Table_ship_components[],COLUMN(I:I),0)</f>
        <v>0</v>
      </c>
      <c r="J446" cm="1">
        <f t="array" ref="J446">VLOOKUP($A446,Table_ship_components[],COLUMN(J:J),0)</f>
        <v>0</v>
      </c>
      <c r="K446" cm="1">
        <f t="array" ref="K446">VLOOKUP($A446,Table_ship_components[],COLUMN(K:K),0)</f>
        <v>0</v>
      </c>
      <c r="L446" cm="1">
        <f t="array" ref="L446">VLOOKUP($A446,Table_ship_components[],COLUMN(L:L),0)</f>
        <v>0</v>
      </c>
      <c r="M446" cm="1">
        <f t="array" ref="M446">VLOOKUP($A446,Table_ship_components[],COLUMN(M:M),0)</f>
        <v>0</v>
      </c>
      <c r="N446" cm="1">
        <f t="array" ref="N446">VLOOKUP($A446,Table_ship_components[],COLUMN(N:N),0)</f>
        <v>1</v>
      </c>
      <c r="O446" cm="1">
        <f t="array" ref="O446">VLOOKUP($A446,Table_ship_components[],COLUMN(O:O),0)</f>
        <v>0</v>
      </c>
      <c r="P446" cm="1">
        <f t="array" ref="P446">VLOOKUP($A446,Table_ship_components[],COLUMN(P:P),0)</f>
        <v>0</v>
      </c>
      <c r="Q446" cm="1">
        <f t="array" ref="Q446">VLOOKUP($A446,Table_ship_components[],COLUMN(Q:Q),0)</f>
        <v>0</v>
      </c>
      <c r="R446" cm="1">
        <f t="array" ref="R446">VLOOKUP($A446,Table_ship_components[],COLUMN(R:R),0)</f>
        <v>0</v>
      </c>
      <c r="S446" cm="1">
        <f t="array" ref="S446">VLOOKUP($A446,Table_ship_components[],COLUMN(S:S),0)</f>
        <v>0</v>
      </c>
      <c r="T446" cm="1">
        <f t="array" ref="T446">VLOOKUP($A446,Table_ship_components[],COLUMN(T:T),0)</f>
        <v>0</v>
      </c>
      <c r="U446" cm="1">
        <f t="array" ref="U446">VLOOKUP($A446,Table_ship_components[],COLUMN(U:U),0)</f>
        <v>0</v>
      </c>
      <c r="V446" cm="1">
        <f t="array" ref="V446">VLOOKUP($A446,Table_ship_components[],COLUMN(V:V),0)</f>
        <v>0</v>
      </c>
      <c r="W446" s="15" cm="1">
        <f t="array" ref="W446">VLOOKUP($A446,Table_ship_components[],COLUMN(W:W),0)</f>
        <v>0</v>
      </c>
      <c r="X446" cm="1">
        <f t="array" ref="X446">VLOOKUP($A446,Table_ship_components[],COLUMN(X:X),0)</f>
        <v>0</v>
      </c>
      <c r="Y446" cm="1">
        <f t="array" ref="Y446">VLOOKUP($A446,Table_ship_components[],COLUMN(Y:Y),0)</f>
        <v>0</v>
      </c>
      <c r="Z446" cm="1">
        <f t="array" ref="Z446">VLOOKUP($A446,Table_ship_components[],COLUMN(Z:Z),0)</f>
        <v>0</v>
      </c>
      <c r="AA446" cm="1">
        <f t="array" ref="AA446">VLOOKUP($A446,Table_ship_components[],COLUMN(AA:AA),0)*C446</f>
        <v>0</v>
      </c>
      <c r="AB446">
        <f t="shared" ref="AB446:AB453" si="37">IF(A446="CARGOSPACE_0-ALL_0-UNIVERSAL",C446,0)</f>
        <v>0</v>
      </c>
      <c r="AC446" cm="1">
        <f t="array" ref="AC446">VLOOKUP($A446,Table_ship_components[],COLUMN(AC:AC),0)*C446</f>
        <v>0</v>
      </c>
      <c r="AD446" cm="1">
        <f t="array" ref="AD446">VLOOKUP($A446,Table_ship_components[],COLUMN(AD:AD),0)</f>
        <v>0</v>
      </c>
      <c r="AE446" cm="1">
        <f t="array" ref="AE446">VLOOKUP($A446,Table_ship_components[],COLUMN(AE:AE),0)</f>
        <v>0</v>
      </c>
      <c r="AF446" cm="1">
        <f t="array" ref="AF446">VLOOKUP($A446,Table_ship_components[],COLUMN(AF:AF),0)</f>
        <v>0</v>
      </c>
      <c r="AG446" cm="1">
        <f t="array" ref="AG446">VLOOKUP($A446,Table_ship_components[],COLUMN(AG:AG),0)</f>
        <v>2</v>
      </c>
      <c r="AH446" cm="1">
        <f t="array" ref="AH446">VLOOKUP($A446,Table_ship_components[],COLUMN(AH:AH),0)</f>
        <v>0</v>
      </c>
      <c r="AI446" cm="1">
        <f t="array" ref="AI446">VLOOKUP($A446,Table_ship_components[],COLUMN(AI:AI),0)</f>
        <v>0</v>
      </c>
      <c r="AJ446" cm="1">
        <f t="array" ref="AJ446">VLOOKUP($A446,Table_ship_components[],COLUMN(AJ:AJ),0)</f>
        <v>0</v>
      </c>
      <c r="AK446" cm="1">
        <f t="array" ref="AK446">VLOOKUP($A446,Table_ship_components[],COLUMN(AK:AK),0)</f>
        <v>0</v>
      </c>
      <c r="AL446" cm="1">
        <f t="array" ref="AL446">VLOOKUP($A446,Table_ship_components[],COLUMN(AL:AL),0)</f>
        <v>0</v>
      </c>
      <c r="AM446" cm="1">
        <f t="array" ref="AM446">VLOOKUP($A446,Table_ship_components[],COLUMN(AM:AM),0)</f>
        <v>0</v>
      </c>
      <c r="AN446" cm="1">
        <f t="array" ref="AN446">VLOOKUP($A446,Table_ship_components[],COLUMN(AN:AN),0)</f>
        <v>0</v>
      </c>
      <c r="AO446" cm="1">
        <f t="array" ref="AO446">VLOOKUP($A446,Table_ship_components[],COLUMN(AO:AO),0)</f>
        <v>0</v>
      </c>
      <c r="AP446" cm="1">
        <f t="array" ref="AP446">VLOOKUP($A446,Table_ship_components[],COLUMN(AP:AP),0)</f>
        <v>0</v>
      </c>
      <c r="AQ446" cm="1">
        <f t="array" ref="AQ446">VLOOKUP($A446,Table_ship_components[],COLUMN(AQ:AQ),0)</f>
        <v>0</v>
      </c>
      <c r="AR446" cm="1">
        <f t="array" ref="AR446">VLOOKUP($A446,Table_ship_components[],COLUMN(AR:AR),0)</f>
        <v>0</v>
      </c>
      <c r="AS446" cm="1">
        <f t="array" ref="AS446">VLOOKUP($A446,Table_ship_components[],COLUMN(AS:AS),0)</f>
        <v>0</v>
      </c>
      <c r="AT446" cm="1">
        <f t="array" ref="AT446">VLOOKUP($A446,Table_ship_components[],COLUMN(AT:AT),0)</f>
        <v>0</v>
      </c>
      <c r="AU446" s="2" cm="1">
        <f t="array" ref="AU446">VLOOKUP($A446,Table_ship_components[],COLUMN(AU:AU),0)</f>
        <v>0</v>
      </c>
      <c r="AV446" s="2" cm="1">
        <f t="array" ref="AV446">VLOOKUP($A446,Table_ship_components[],COLUMN(AV:AV),0)</f>
        <v>0</v>
      </c>
      <c r="AW446" s="2" cm="1">
        <f t="array" ref="AW446">VLOOKUP($A446,Table_ship_components[],COLUMN(AW:AW),0)</f>
        <v>0</v>
      </c>
      <c r="AX446" s="2" cm="1">
        <f t="array" ref="AX446">VLOOKUP($A446,Table_ship_components[],COLUMN(AX:AX),0)</f>
        <v>0</v>
      </c>
      <c r="AY446" s="2" cm="1">
        <f t="array" ref="AY446">VLOOKUP($A446,Table_ship_components[],COLUMN(AY:AY),0)</f>
        <v>0</v>
      </c>
      <c r="AZ446" s="2" t="str" cm="1">
        <f t="array" ref="AZ446">VLOOKUP($A446,Table_ship_components[],COLUMN(AZ:AZ),0)</f>
        <v>C</v>
      </c>
      <c r="BA446" s="14" cm="1">
        <f t="array" ref="BA446">VLOOKUP($A446,Table_ship_components[],COLUMN(BA:BA),0)</f>
        <v>2000000</v>
      </c>
      <c r="BB446" s="14" cm="1">
        <f t="array" ref="BB446">(VLOOKUP($A446,Table_ship_components[],COLUMN(BA:BA),0)+(W446*C446))</f>
        <v>2000000</v>
      </c>
      <c r="BC446" s="2" cm="1">
        <f t="array" ref="BC446">VLOOKUP($A446,Table_ship_components[],COLUMN(BC:BC),0)</f>
        <v>0</v>
      </c>
      <c r="BD446" s="2" cm="1">
        <f t="array" ref="BD446">VLOOKUP($A446,Table_ship_components[],COLUMN(BD:BD),0)</f>
        <v>0</v>
      </c>
    </row>
    <row r="447" spans="1:56" outlineLevel="1" x14ac:dyDescent="0.35">
      <c r="A447" t="s">
        <v>324</v>
      </c>
      <c r="B447" t="str" cm="1">
        <f t="array" ref="B447">VLOOKUP($A447,Table_ship_components[],COLUMN(B:B),0)</f>
        <v>huge fixed weapon mount</v>
      </c>
      <c r="D447" cm="1">
        <f t="array" ref="D447">VLOOKUP($A447,Table_ship_components[],COLUMN(D:D),0)</f>
        <v>5</v>
      </c>
      <c r="E447" cm="1">
        <f t="array" ref="E447">ROUND(VLOOKUP($A447,Table_ship_components[],COLUMN(D:D),0)+(V447*C447),0)</f>
        <v>5</v>
      </c>
      <c r="F447" cm="1">
        <f t="array" ref="F447">VLOOKUP($A447,Table_ship_components[],COLUMN(F:F),0)</f>
        <v>0</v>
      </c>
      <c r="G447" cm="1">
        <f t="array" ref="G447">ROUND(VLOOKUP($A447,Table_ship_components[],COLUMN(G:G),0)+(X447*C447),0)</f>
        <v>0</v>
      </c>
      <c r="H447" cm="1">
        <f t="array" ref="H447">VLOOKUP($A447,Table_ship_components[],COLUMN(H:H),0)</f>
        <v>0</v>
      </c>
      <c r="I447" cm="1">
        <f t="array" ref="I447">VLOOKUP($A447,Table_ship_components[],COLUMN(I:I),0)</f>
        <v>0</v>
      </c>
      <c r="J447" cm="1">
        <f t="array" ref="J447">VLOOKUP($A447,Table_ship_components[],COLUMN(J:J),0)</f>
        <v>0</v>
      </c>
      <c r="K447" cm="1">
        <f t="array" ref="K447">VLOOKUP($A447,Table_ship_components[],COLUMN(K:K),0)</f>
        <v>0</v>
      </c>
      <c r="L447" cm="1">
        <f t="array" ref="L447">VLOOKUP($A447,Table_ship_components[],COLUMN(L:L),0)</f>
        <v>0</v>
      </c>
      <c r="M447" cm="1">
        <f t="array" ref="M447">VLOOKUP($A447,Table_ship_components[],COLUMN(M:M),0)</f>
        <v>0</v>
      </c>
      <c r="N447" cm="1">
        <f t="array" ref="N447">VLOOKUP($A447,Table_ship_components[],COLUMN(N:N),0)</f>
        <v>1</v>
      </c>
      <c r="O447" cm="1">
        <f t="array" ref="O447">VLOOKUP($A447,Table_ship_components[],COLUMN(O:O),0)</f>
        <v>1</v>
      </c>
      <c r="P447" cm="1">
        <f t="array" ref="P447">VLOOKUP($A447,Table_ship_components[],COLUMN(P:P),0)</f>
        <v>1</v>
      </c>
      <c r="Q447" cm="1">
        <f t="array" ref="Q447">VLOOKUP($A447,Table_ship_components[],COLUMN(Q:Q),0)</f>
        <v>1</v>
      </c>
      <c r="R447" cm="1">
        <f t="array" ref="R447">VLOOKUP($A447,Table_ship_components[],COLUMN(R:R),0)</f>
        <v>1</v>
      </c>
      <c r="S447" cm="1">
        <f t="array" ref="S447">VLOOKUP($A447,Table_ship_components[],COLUMN(S:S),0)</f>
        <v>1</v>
      </c>
      <c r="T447" cm="1">
        <f t="array" ref="T447">VLOOKUP($A447,Table_ship_components[],COLUMN(T:T),0)</f>
        <v>1</v>
      </c>
      <c r="U447" cm="1">
        <f t="array" ref="U447">VLOOKUP($A447,Table_ship_components[],COLUMN(U:U),0)</f>
        <v>0</v>
      </c>
      <c r="V447" cm="1">
        <f t="array" ref="V447">VLOOKUP($A447,Table_ship_components[],COLUMN(V:V),0)</f>
        <v>0</v>
      </c>
      <c r="W447" s="15" cm="1">
        <f t="array" ref="W447">VLOOKUP($A447,Table_ship_components[],COLUMN(W:W),0)</f>
        <v>0</v>
      </c>
      <c r="X447" cm="1">
        <f t="array" ref="X447">VLOOKUP($A447,Table_ship_components[],COLUMN(X:X),0)</f>
        <v>0</v>
      </c>
      <c r="Y447" cm="1">
        <f t="array" ref="Y447">VLOOKUP($A447,Table_ship_components[],COLUMN(Y:Y),0)</f>
        <v>0</v>
      </c>
      <c r="Z447" cm="1">
        <f t="array" ref="Z447">VLOOKUP($A447,Table_ship_components[],COLUMN(Z:Z),0)</f>
        <v>0</v>
      </c>
      <c r="AA447" cm="1">
        <f t="array" ref="AA447">VLOOKUP($A447,Table_ship_components[],COLUMN(AA:AA),0)*C447</f>
        <v>0</v>
      </c>
      <c r="AB447">
        <f t="shared" si="37"/>
        <v>0</v>
      </c>
      <c r="AC447" cm="1">
        <f t="array" ref="AC447">VLOOKUP($A447,Table_ship_components[],COLUMN(AC:AC),0)*C447</f>
        <v>0</v>
      </c>
      <c r="AD447" cm="1">
        <f t="array" ref="AD447">VLOOKUP($A447,Table_ship_components[],COLUMN(AD:AD),0)</f>
        <v>0</v>
      </c>
      <c r="AE447" cm="1">
        <f t="array" ref="AE447">VLOOKUP($A447,Table_ship_components[],COLUMN(AE:AE),0)</f>
        <v>0</v>
      </c>
      <c r="AF447" cm="1">
        <f t="array" ref="AF447">VLOOKUP($A447,Table_ship_components[],COLUMN(AF:AF),0)</f>
        <v>0</v>
      </c>
      <c r="AG447" cm="1">
        <f t="array" ref="AG447">VLOOKUP($A447,Table_ship_components[],COLUMN(AG:AG),0)</f>
        <v>0</v>
      </c>
      <c r="AH447" cm="1">
        <f t="array" ref="AH447">VLOOKUP($A447,Table_ship_components[],COLUMN(AH:AH),0)</f>
        <v>0</v>
      </c>
      <c r="AI447" cm="1">
        <f t="array" ref="AI447">VLOOKUP($A447,Table_ship_components[],COLUMN(AI:AI),0)</f>
        <v>0</v>
      </c>
      <c r="AJ447" cm="1">
        <f t="array" ref="AJ447">VLOOKUP($A447,Table_ship_components[],COLUMN(AJ:AJ),0)</f>
        <v>0</v>
      </c>
      <c r="AK447" cm="1">
        <f t="array" ref="AK447">VLOOKUP($A447,Table_ship_components[],COLUMN(AK:AK),0)</f>
        <v>0</v>
      </c>
      <c r="AL447" cm="1">
        <f t="array" ref="AL447">VLOOKUP($A447,Table_ship_components[],COLUMN(AL:AL),0)</f>
        <v>0</v>
      </c>
      <c r="AM447" cm="1">
        <f t="array" ref="AM447">VLOOKUP($A447,Table_ship_components[],COLUMN(AM:AM),0)</f>
        <v>0</v>
      </c>
      <c r="AN447" cm="1">
        <f t="array" ref="AN447">VLOOKUP($A447,Table_ship_components[],COLUMN(AN:AN),0)</f>
        <v>0</v>
      </c>
      <c r="AO447" cm="1">
        <f t="array" ref="AO447">VLOOKUP($A447,Table_ship_components[],COLUMN(AO:AO),0)</f>
        <v>0</v>
      </c>
      <c r="AP447" cm="1">
        <f t="array" ref="AP447">VLOOKUP($A447,Table_ship_components[],COLUMN(AP:AP),0)</f>
        <v>0</v>
      </c>
      <c r="AQ447" cm="1">
        <f t="array" ref="AQ447">VLOOKUP($A447,Table_ship_components[],COLUMN(AQ:AQ),0)</f>
        <v>0</v>
      </c>
      <c r="AR447" cm="1">
        <f t="array" ref="AR447">VLOOKUP($A447,Table_ship_components[],COLUMN(AR:AR),0)</f>
        <v>0</v>
      </c>
      <c r="AS447" cm="1">
        <f t="array" ref="AS447">VLOOKUP($A447,Table_ship_components[],COLUMN(AS:AS),0)</f>
        <v>0</v>
      </c>
      <c r="AT447" cm="1">
        <f t="array" ref="AT447">VLOOKUP($A447,Table_ship_components[],COLUMN(AT:AT),0)</f>
        <v>0</v>
      </c>
      <c r="AU447" s="2" cm="1">
        <f t="array" ref="AU447">VLOOKUP($A447,Table_ship_components[],COLUMN(AU:AU),0)</f>
        <v>0</v>
      </c>
      <c r="AV447" s="2" cm="1">
        <f t="array" ref="AV447">VLOOKUP($A447,Table_ship_components[],COLUMN(AV:AV),0)</f>
        <v>0</v>
      </c>
      <c r="AW447" s="2" cm="1">
        <f t="array" ref="AW447">VLOOKUP($A447,Table_ship_components[],COLUMN(AW:AW),0)</f>
        <v>0</v>
      </c>
      <c r="AX447" s="2" cm="1">
        <f t="array" ref="AX447">VLOOKUP($A447,Table_ship_components[],COLUMN(AX:AX),0)</f>
        <v>0</v>
      </c>
      <c r="AY447" s="2" cm="1">
        <f t="array" ref="AY447">VLOOKUP($A447,Table_ship_components[],COLUMN(AY:AY),0)</f>
        <v>0</v>
      </c>
      <c r="AZ447" s="2" t="str" cm="1">
        <f t="array" ref="AZ447">VLOOKUP($A447,Table_ship_components[],COLUMN(AZ:AZ),0)</f>
        <v>C</v>
      </c>
      <c r="BA447" s="14" cm="1">
        <f t="array" ref="BA447">VLOOKUP($A447,Table_ship_components[],COLUMN(BA:BA),0)</f>
        <v>200000</v>
      </c>
      <c r="BB447" s="14" cm="1">
        <f t="array" ref="BB447">(VLOOKUP($A447,Table_ship_components[],COLUMN(BA:BA),0)+(W447*C447))</f>
        <v>200000</v>
      </c>
      <c r="BC447" s="2" cm="1">
        <f t="array" ref="BC447">VLOOKUP($A447,Table_ship_components[],COLUMN(BC:BC),0)</f>
        <v>0</v>
      </c>
      <c r="BD447" s="2" cm="1">
        <f t="array" ref="BD447">VLOOKUP($A447,Table_ship_components[],COLUMN(BD:BD),0)</f>
        <v>0</v>
      </c>
    </row>
    <row r="448" spans="1:56" outlineLevel="1" x14ac:dyDescent="0.35">
      <c r="A448" t="s">
        <v>288</v>
      </c>
      <c r="B448" t="str" cm="1">
        <f t="array" ref="B448">VLOOKUP($A448,Table_ship_components[],COLUMN(B:B),0)</f>
        <v>PICK A COMPONENT</v>
      </c>
      <c r="D448" cm="1">
        <f t="array" ref="D448">VLOOKUP($A448,Table_ship_components[],COLUMN(D:D),0)</f>
        <v>0</v>
      </c>
      <c r="E448" cm="1">
        <f t="array" ref="E448">ROUND(VLOOKUP($A448,Table_ship_components[],COLUMN(D:D),0)+(V448*C448),0)</f>
        <v>0</v>
      </c>
      <c r="F448" cm="1">
        <f t="array" ref="F448">VLOOKUP($A448,Table_ship_components[],COLUMN(F:F),0)</f>
        <v>0</v>
      </c>
      <c r="G448" cm="1">
        <f t="array" ref="G448">ROUND(VLOOKUP($A448,Table_ship_components[],COLUMN(G:G),0)+(X448*C448),0)</f>
        <v>0</v>
      </c>
      <c r="H448" cm="1">
        <f t="array" ref="H448">VLOOKUP($A448,Table_ship_components[],COLUMN(H:H),0)</f>
        <v>0</v>
      </c>
      <c r="I448" cm="1">
        <f t="array" ref="I448">VLOOKUP($A448,Table_ship_components[],COLUMN(I:I),0)</f>
        <v>0</v>
      </c>
      <c r="J448" cm="1">
        <f t="array" ref="J448">VLOOKUP($A448,Table_ship_components[],COLUMN(J:J),0)</f>
        <v>0</v>
      </c>
      <c r="K448" cm="1">
        <f t="array" ref="K448">VLOOKUP($A448,Table_ship_components[],COLUMN(K:K),0)</f>
        <v>0</v>
      </c>
      <c r="L448" cm="1">
        <f t="array" ref="L448">VLOOKUP($A448,Table_ship_components[],COLUMN(L:L),0)</f>
        <v>0</v>
      </c>
      <c r="M448" cm="1">
        <f t="array" ref="M448">VLOOKUP($A448,Table_ship_components[],COLUMN(M:M),0)</f>
        <v>0</v>
      </c>
      <c r="N448" cm="1">
        <f t="array" ref="N448">VLOOKUP($A448,Table_ship_components[],COLUMN(N:N),0)</f>
        <v>0</v>
      </c>
      <c r="O448" cm="1">
        <f t="array" ref="O448">VLOOKUP($A448,Table_ship_components[],COLUMN(O:O),0)</f>
        <v>0</v>
      </c>
      <c r="P448" cm="1">
        <f t="array" ref="P448">VLOOKUP($A448,Table_ship_components[],COLUMN(P:P),0)</f>
        <v>0</v>
      </c>
      <c r="Q448" cm="1">
        <f t="array" ref="Q448">VLOOKUP($A448,Table_ship_components[],COLUMN(Q:Q),0)</f>
        <v>0</v>
      </c>
      <c r="R448" cm="1">
        <f t="array" ref="R448">VLOOKUP($A448,Table_ship_components[],COLUMN(R:R),0)</f>
        <v>0</v>
      </c>
      <c r="S448" cm="1">
        <f t="array" ref="S448">VLOOKUP($A448,Table_ship_components[],COLUMN(S:S),0)</f>
        <v>0</v>
      </c>
      <c r="T448" cm="1">
        <f t="array" ref="T448">VLOOKUP($A448,Table_ship_components[],COLUMN(T:T),0)</f>
        <v>0</v>
      </c>
      <c r="U448" cm="1">
        <f t="array" ref="U448">VLOOKUP($A448,Table_ship_components[],COLUMN(U:U),0)</f>
        <v>0</v>
      </c>
      <c r="V448" cm="1">
        <f t="array" ref="V448">VLOOKUP($A448,Table_ship_components[],COLUMN(V:V),0)</f>
        <v>0</v>
      </c>
      <c r="W448" s="15" cm="1">
        <f t="array" ref="W448">VLOOKUP($A448,Table_ship_components[],COLUMN(W:W),0)</f>
        <v>0</v>
      </c>
      <c r="X448" cm="1">
        <f t="array" ref="X448">VLOOKUP($A448,Table_ship_components[],COLUMN(X:X),0)</f>
        <v>0</v>
      </c>
      <c r="Y448" cm="1">
        <f t="array" ref="Y448">VLOOKUP($A448,Table_ship_components[],COLUMN(Y:Y),0)</f>
        <v>0</v>
      </c>
      <c r="Z448" cm="1">
        <f t="array" ref="Z448">VLOOKUP($A448,Table_ship_components[],COLUMN(Z:Z),0)</f>
        <v>0</v>
      </c>
      <c r="AA448" cm="1">
        <f t="array" ref="AA448">VLOOKUP($A448,Table_ship_components[],COLUMN(AA:AA),0)*C448</f>
        <v>0</v>
      </c>
      <c r="AB448">
        <f t="shared" si="37"/>
        <v>0</v>
      </c>
      <c r="AC448" cm="1">
        <f t="array" ref="AC448">VLOOKUP($A448,Table_ship_components[],COLUMN(AC:AC),0)*C448</f>
        <v>0</v>
      </c>
      <c r="AD448" cm="1">
        <f t="array" ref="AD448">VLOOKUP($A448,Table_ship_components[],COLUMN(AD:AD),0)</f>
        <v>0</v>
      </c>
      <c r="AE448" cm="1">
        <f t="array" ref="AE448">VLOOKUP($A448,Table_ship_components[],COLUMN(AE:AE),0)</f>
        <v>0</v>
      </c>
      <c r="AF448" cm="1">
        <f t="array" ref="AF448">VLOOKUP($A448,Table_ship_components[],COLUMN(AF:AF),0)</f>
        <v>0</v>
      </c>
      <c r="AG448" cm="1">
        <f t="array" ref="AG448">VLOOKUP($A448,Table_ship_components[],COLUMN(AG:AG),0)</f>
        <v>0</v>
      </c>
      <c r="AH448" cm="1">
        <f t="array" ref="AH448">VLOOKUP($A448,Table_ship_components[],COLUMN(AH:AH),0)</f>
        <v>0</v>
      </c>
      <c r="AI448" cm="1">
        <f t="array" ref="AI448">VLOOKUP($A448,Table_ship_components[],COLUMN(AI:AI),0)</f>
        <v>0</v>
      </c>
      <c r="AJ448" cm="1">
        <f t="array" ref="AJ448">VLOOKUP($A448,Table_ship_components[],COLUMN(AJ:AJ),0)</f>
        <v>0</v>
      </c>
      <c r="AK448" cm="1">
        <f t="array" ref="AK448">VLOOKUP($A448,Table_ship_components[],COLUMN(AK:AK),0)</f>
        <v>0</v>
      </c>
      <c r="AL448" cm="1">
        <f t="array" ref="AL448">VLOOKUP($A448,Table_ship_components[],COLUMN(AL:AL),0)</f>
        <v>0</v>
      </c>
      <c r="AM448" cm="1">
        <f t="array" ref="AM448">VLOOKUP($A448,Table_ship_components[],COLUMN(AM:AM),0)</f>
        <v>0</v>
      </c>
      <c r="AN448" cm="1">
        <f t="array" ref="AN448">VLOOKUP($A448,Table_ship_components[],COLUMN(AN:AN),0)</f>
        <v>0</v>
      </c>
      <c r="AO448" cm="1">
        <f t="array" ref="AO448">VLOOKUP($A448,Table_ship_components[],COLUMN(AO:AO),0)</f>
        <v>0</v>
      </c>
      <c r="AP448" cm="1">
        <f t="array" ref="AP448">VLOOKUP($A448,Table_ship_components[],COLUMN(AP:AP),0)</f>
        <v>0</v>
      </c>
      <c r="AQ448" cm="1">
        <f t="array" ref="AQ448">VLOOKUP($A448,Table_ship_components[],COLUMN(AQ:AQ),0)</f>
        <v>0</v>
      </c>
      <c r="AR448" cm="1">
        <f t="array" ref="AR448">VLOOKUP($A448,Table_ship_components[],COLUMN(AR:AR),0)</f>
        <v>0</v>
      </c>
      <c r="AS448" cm="1">
        <f t="array" ref="AS448">VLOOKUP($A448,Table_ship_components[],COLUMN(AS:AS),0)</f>
        <v>0</v>
      </c>
      <c r="AT448" cm="1">
        <f t="array" ref="AT448">VLOOKUP($A448,Table_ship_components[],COLUMN(AT:AT),0)</f>
        <v>0</v>
      </c>
      <c r="AU448" s="2" cm="1">
        <f t="array" ref="AU448">VLOOKUP($A448,Table_ship_components[],COLUMN(AU:AU),0)</f>
        <v>0</v>
      </c>
      <c r="AV448" s="2" cm="1">
        <f t="array" ref="AV448">VLOOKUP($A448,Table_ship_components[],COLUMN(AV:AV),0)</f>
        <v>0</v>
      </c>
      <c r="AW448" s="2" cm="1">
        <f t="array" ref="AW448">VLOOKUP($A448,Table_ship_components[],COLUMN(AW:AW),0)</f>
        <v>0</v>
      </c>
      <c r="AX448" s="2" cm="1">
        <f t="array" ref="AX448">VLOOKUP($A448,Table_ship_components[],COLUMN(AX:AX),0)</f>
        <v>0</v>
      </c>
      <c r="AY448" s="2" cm="1">
        <f t="array" ref="AY448">VLOOKUP($A448,Table_ship_components[],COLUMN(AY:AY),0)</f>
        <v>0</v>
      </c>
      <c r="AZ448" s="2" t="str" cm="1">
        <f t="array" ref="AZ448">VLOOKUP($A448,Table_ship_components[],COLUMN(AZ:AZ),0)</f>
        <v>C</v>
      </c>
      <c r="BA448" s="14" cm="1">
        <f t="array" ref="BA448">VLOOKUP($A448,Table_ship_components[],COLUMN(BA:BA),0)</f>
        <v>0</v>
      </c>
      <c r="BB448" s="14" cm="1">
        <f t="array" ref="BB448">(VLOOKUP($A448,Table_ship_components[],COLUMN(BA:BA),0)+(W448*C448))</f>
        <v>0</v>
      </c>
      <c r="BC448" s="2" cm="1">
        <f t="array" ref="BC448">VLOOKUP($A448,Table_ship_components[],COLUMN(BC:BC),0)</f>
        <v>0</v>
      </c>
      <c r="BD448" s="2" cm="1">
        <f t="array" ref="BD448">VLOOKUP($A448,Table_ship_components[],COLUMN(BD:BD),0)</f>
        <v>0</v>
      </c>
    </row>
    <row r="449" spans="1:56" outlineLevel="1" x14ac:dyDescent="0.35">
      <c r="A449" t="s">
        <v>288</v>
      </c>
      <c r="B449" t="str" cm="1">
        <f t="array" ref="B449">VLOOKUP($A449,Table_ship_components[],COLUMN(B:B),0)</f>
        <v>PICK A COMPONENT</v>
      </c>
      <c r="D449" cm="1">
        <f t="array" ref="D449">VLOOKUP($A449,Table_ship_components[],COLUMN(D:D),0)</f>
        <v>0</v>
      </c>
      <c r="E449" cm="1">
        <f t="array" ref="E449">ROUND(VLOOKUP($A449,Table_ship_components[],COLUMN(D:D),0)+(V449*C449),0)</f>
        <v>0</v>
      </c>
      <c r="F449" cm="1">
        <f t="array" ref="F449">VLOOKUP($A449,Table_ship_components[],COLUMN(F:F),0)</f>
        <v>0</v>
      </c>
      <c r="G449" cm="1">
        <f t="array" ref="G449">ROUND(VLOOKUP($A449,Table_ship_components[],COLUMN(G:G),0)+(X449*C449),0)</f>
        <v>0</v>
      </c>
      <c r="H449" cm="1">
        <f t="array" ref="H449">VLOOKUP($A449,Table_ship_components[],COLUMN(H:H),0)</f>
        <v>0</v>
      </c>
      <c r="I449" cm="1">
        <f t="array" ref="I449">VLOOKUP($A449,Table_ship_components[],COLUMN(I:I),0)</f>
        <v>0</v>
      </c>
      <c r="J449" cm="1">
        <f t="array" ref="J449">VLOOKUP($A449,Table_ship_components[],COLUMN(J:J),0)</f>
        <v>0</v>
      </c>
      <c r="K449" cm="1">
        <f t="array" ref="K449">VLOOKUP($A449,Table_ship_components[],COLUMN(K:K),0)</f>
        <v>0</v>
      </c>
      <c r="L449" cm="1">
        <f t="array" ref="L449">VLOOKUP($A449,Table_ship_components[],COLUMN(L:L),0)</f>
        <v>0</v>
      </c>
      <c r="M449" cm="1">
        <f t="array" ref="M449">VLOOKUP($A449,Table_ship_components[],COLUMN(M:M),0)</f>
        <v>0</v>
      </c>
      <c r="N449" cm="1">
        <f t="array" ref="N449">VLOOKUP($A449,Table_ship_components[],COLUMN(N:N),0)</f>
        <v>0</v>
      </c>
      <c r="O449" cm="1">
        <f t="array" ref="O449">VLOOKUP($A449,Table_ship_components[],COLUMN(O:O),0)</f>
        <v>0</v>
      </c>
      <c r="P449" cm="1">
        <f t="array" ref="P449">VLOOKUP($A449,Table_ship_components[],COLUMN(P:P),0)</f>
        <v>0</v>
      </c>
      <c r="Q449" cm="1">
        <f t="array" ref="Q449">VLOOKUP($A449,Table_ship_components[],COLUMN(Q:Q),0)</f>
        <v>0</v>
      </c>
      <c r="R449" cm="1">
        <f t="array" ref="R449">VLOOKUP($A449,Table_ship_components[],COLUMN(R:R),0)</f>
        <v>0</v>
      </c>
      <c r="S449" cm="1">
        <f t="array" ref="S449">VLOOKUP($A449,Table_ship_components[],COLUMN(S:S),0)</f>
        <v>0</v>
      </c>
      <c r="T449" cm="1">
        <f t="array" ref="T449">VLOOKUP($A449,Table_ship_components[],COLUMN(T:T),0)</f>
        <v>0</v>
      </c>
      <c r="U449" cm="1">
        <f t="array" ref="U449">VLOOKUP($A449,Table_ship_components[],COLUMN(U:U),0)</f>
        <v>0</v>
      </c>
      <c r="V449" cm="1">
        <f t="array" ref="V449">VLOOKUP($A449,Table_ship_components[],COLUMN(V:V),0)</f>
        <v>0</v>
      </c>
      <c r="W449" s="15" cm="1">
        <f t="array" ref="W449">VLOOKUP($A449,Table_ship_components[],COLUMN(W:W),0)</f>
        <v>0</v>
      </c>
      <c r="X449" cm="1">
        <f t="array" ref="X449">VLOOKUP($A449,Table_ship_components[],COLUMN(X:X),0)</f>
        <v>0</v>
      </c>
      <c r="Y449" cm="1">
        <f t="array" ref="Y449">VLOOKUP($A449,Table_ship_components[],COLUMN(Y:Y),0)</f>
        <v>0</v>
      </c>
      <c r="Z449" cm="1">
        <f t="array" ref="Z449">VLOOKUP($A449,Table_ship_components[],COLUMN(Z:Z),0)</f>
        <v>0</v>
      </c>
      <c r="AA449" cm="1">
        <f t="array" ref="AA449">VLOOKUP($A449,Table_ship_components[],COLUMN(AA:AA),0)*C449</f>
        <v>0</v>
      </c>
      <c r="AB449">
        <f t="shared" si="37"/>
        <v>0</v>
      </c>
      <c r="AC449" cm="1">
        <f t="array" ref="AC449">VLOOKUP($A449,Table_ship_components[],COLUMN(AC:AC),0)*C449</f>
        <v>0</v>
      </c>
      <c r="AD449" cm="1">
        <f t="array" ref="AD449">VLOOKUP($A449,Table_ship_components[],COLUMN(AD:AD),0)</f>
        <v>0</v>
      </c>
      <c r="AE449" cm="1">
        <f t="array" ref="AE449">VLOOKUP($A449,Table_ship_components[],COLUMN(AE:AE),0)</f>
        <v>0</v>
      </c>
      <c r="AF449" cm="1">
        <f t="array" ref="AF449">VLOOKUP($A449,Table_ship_components[],COLUMN(AF:AF),0)</f>
        <v>0</v>
      </c>
      <c r="AG449" cm="1">
        <f t="array" ref="AG449">VLOOKUP($A449,Table_ship_components[],COLUMN(AG:AG),0)</f>
        <v>0</v>
      </c>
      <c r="AH449" cm="1">
        <f t="array" ref="AH449">VLOOKUP($A449,Table_ship_components[],COLUMN(AH:AH),0)</f>
        <v>0</v>
      </c>
      <c r="AI449" cm="1">
        <f t="array" ref="AI449">VLOOKUP($A449,Table_ship_components[],COLUMN(AI:AI),0)</f>
        <v>0</v>
      </c>
      <c r="AJ449" cm="1">
        <f t="array" ref="AJ449">VLOOKUP($A449,Table_ship_components[],COLUMN(AJ:AJ),0)</f>
        <v>0</v>
      </c>
      <c r="AK449" cm="1">
        <f t="array" ref="AK449">VLOOKUP($A449,Table_ship_components[],COLUMN(AK:AK),0)</f>
        <v>0</v>
      </c>
      <c r="AL449" cm="1">
        <f t="array" ref="AL449">VLOOKUP($A449,Table_ship_components[],COLUMN(AL:AL),0)</f>
        <v>0</v>
      </c>
      <c r="AM449" cm="1">
        <f t="array" ref="AM449">VLOOKUP($A449,Table_ship_components[],COLUMN(AM:AM),0)</f>
        <v>0</v>
      </c>
      <c r="AN449" cm="1">
        <f t="array" ref="AN449">VLOOKUP($A449,Table_ship_components[],COLUMN(AN:AN),0)</f>
        <v>0</v>
      </c>
      <c r="AO449" cm="1">
        <f t="array" ref="AO449">VLOOKUP($A449,Table_ship_components[],COLUMN(AO:AO),0)</f>
        <v>0</v>
      </c>
      <c r="AP449" cm="1">
        <f t="array" ref="AP449">VLOOKUP($A449,Table_ship_components[],COLUMN(AP:AP),0)</f>
        <v>0</v>
      </c>
      <c r="AQ449" cm="1">
        <f t="array" ref="AQ449">VLOOKUP($A449,Table_ship_components[],COLUMN(AQ:AQ),0)</f>
        <v>0</v>
      </c>
      <c r="AR449" cm="1">
        <f t="array" ref="AR449">VLOOKUP($A449,Table_ship_components[],COLUMN(AR:AR),0)</f>
        <v>0</v>
      </c>
      <c r="AS449" cm="1">
        <f t="array" ref="AS449">VLOOKUP($A449,Table_ship_components[],COLUMN(AS:AS),0)</f>
        <v>0</v>
      </c>
      <c r="AT449" cm="1">
        <f t="array" ref="AT449">VLOOKUP($A449,Table_ship_components[],COLUMN(AT:AT),0)</f>
        <v>0</v>
      </c>
      <c r="AU449" s="2" cm="1">
        <f t="array" ref="AU449">VLOOKUP($A449,Table_ship_components[],COLUMN(AU:AU),0)</f>
        <v>0</v>
      </c>
      <c r="AV449" s="2" cm="1">
        <f t="array" ref="AV449">VLOOKUP($A449,Table_ship_components[],COLUMN(AV:AV),0)</f>
        <v>0</v>
      </c>
      <c r="AW449" s="2" cm="1">
        <f t="array" ref="AW449">VLOOKUP($A449,Table_ship_components[],COLUMN(AW:AW),0)</f>
        <v>0</v>
      </c>
      <c r="AX449" s="2" cm="1">
        <f t="array" ref="AX449">VLOOKUP($A449,Table_ship_components[],COLUMN(AX:AX),0)</f>
        <v>0</v>
      </c>
      <c r="AY449" s="2" cm="1">
        <f t="array" ref="AY449">VLOOKUP($A449,Table_ship_components[],COLUMN(AY:AY),0)</f>
        <v>0</v>
      </c>
      <c r="AZ449" s="2" t="str" cm="1">
        <f t="array" ref="AZ449">VLOOKUP($A449,Table_ship_components[],COLUMN(AZ:AZ),0)</f>
        <v>C</v>
      </c>
      <c r="BA449" s="14" cm="1">
        <f t="array" ref="BA449">VLOOKUP($A449,Table_ship_components[],COLUMN(BA:BA),0)</f>
        <v>0</v>
      </c>
      <c r="BB449" s="14" cm="1">
        <f t="array" ref="BB449">(VLOOKUP($A449,Table_ship_components[],COLUMN(BA:BA),0)+(W449*C449))</f>
        <v>0</v>
      </c>
      <c r="BC449" s="2" cm="1">
        <f t="array" ref="BC449">VLOOKUP($A449,Table_ship_components[],COLUMN(BC:BC),0)</f>
        <v>0</v>
      </c>
      <c r="BD449" s="2" cm="1">
        <f t="array" ref="BD449">VLOOKUP($A449,Table_ship_components[],COLUMN(BD:BD),0)</f>
        <v>0</v>
      </c>
    </row>
    <row r="450" spans="1:56" outlineLevel="1" x14ac:dyDescent="0.35">
      <c r="A450" t="s">
        <v>288</v>
      </c>
      <c r="B450" t="str" cm="1">
        <f t="array" ref="B450">VLOOKUP($A450,Table_ship_components[],COLUMN(B:B),0)</f>
        <v>PICK A COMPONENT</v>
      </c>
      <c r="D450" cm="1">
        <f t="array" ref="D450">VLOOKUP($A450,Table_ship_components[],COLUMN(D:D),0)</f>
        <v>0</v>
      </c>
      <c r="E450" cm="1">
        <f t="array" ref="E450">ROUND(VLOOKUP($A450,Table_ship_components[],COLUMN(D:D),0)+(V450*C450),0)</f>
        <v>0</v>
      </c>
      <c r="F450" cm="1">
        <f t="array" ref="F450">VLOOKUP($A450,Table_ship_components[],COLUMN(F:F),0)</f>
        <v>0</v>
      </c>
      <c r="G450" cm="1">
        <f t="array" ref="G450">ROUND(VLOOKUP($A450,Table_ship_components[],COLUMN(G:G),0)+(X450*C450),0)</f>
        <v>0</v>
      </c>
      <c r="H450" cm="1">
        <f t="array" ref="H450">VLOOKUP($A450,Table_ship_components[],COLUMN(H:H),0)</f>
        <v>0</v>
      </c>
      <c r="I450" cm="1">
        <f t="array" ref="I450">VLOOKUP($A450,Table_ship_components[],COLUMN(I:I),0)</f>
        <v>0</v>
      </c>
      <c r="J450" cm="1">
        <f t="array" ref="J450">VLOOKUP($A450,Table_ship_components[],COLUMN(J:J),0)</f>
        <v>0</v>
      </c>
      <c r="K450" cm="1">
        <f t="array" ref="K450">VLOOKUP($A450,Table_ship_components[],COLUMN(K:K),0)</f>
        <v>0</v>
      </c>
      <c r="L450" cm="1">
        <f t="array" ref="L450">VLOOKUP($A450,Table_ship_components[],COLUMN(L:L),0)</f>
        <v>0</v>
      </c>
      <c r="M450" cm="1">
        <f t="array" ref="M450">VLOOKUP($A450,Table_ship_components[],COLUMN(M:M),0)</f>
        <v>0</v>
      </c>
      <c r="N450" cm="1">
        <f t="array" ref="N450">VLOOKUP($A450,Table_ship_components[],COLUMN(N:N),0)</f>
        <v>0</v>
      </c>
      <c r="O450" cm="1">
        <f t="array" ref="O450">VLOOKUP($A450,Table_ship_components[],COLUMN(O:O),0)</f>
        <v>0</v>
      </c>
      <c r="P450" cm="1">
        <f t="array" ref="P450">VLOOKUP($A450,Table_ship_components[],COLUMN(P:P),0)</f>
        <v>0</v>
      </c>
      <c r="Q450" cm="1">
        <f t="array" ref="Q450">VLOOKUP($A450,Table_ship_components[],COLUMN(Q:Q),0)</f>
        <v>0</v>
      </c>
      <c r="R450" cm="1">
        <f t="array" ref="R450">VLOOKUP($A450,Table_ship_components[],COLUMN(R:R),0)</f>
        <v>0</v>
      </c>
      <c r="S450" cm="1">
        <f t="array" ref="S450">VLOOKUP($A450,Table_ship_components[],COLUMN(S:S),0)</f>
        <v>0</v>
      </c>
      <c r="T450" cm="1">
        <f t="array" ref="T450">VLOOKUP($A450,Table_ship_components[],COLUMN(T:T),0)</f>
        <v>0</v>
      </c>
      <c r="U450" cm="1">
        <f t="array" ref="U450">VLOOKUP($A450,Table_ship_components[],COLUMN(U:U),0)</f>
        <v>0</v>
      </c>
      <c r="V450" cm="1">
        <f t="array" ref="V450">VLOOKUP($A450,Table_ship_components[],COLUMN(V:V),0)</f>
        <v>0</v>
      </c>
      <c r="W450" s="15" cm="1">
        <f t="array" ref="W450">VLOOKUP($A450,Table_ship_components[],COLUMN(W:W),0)</f>
        <v>0</v>
      </c>
      <c r="X450" cm="1">
        <f t="array" ref="X450">VLOOKUP($A450,Table_ship_components[],COLUMN(X:X),0)</f>
        <v>0</v>
      </c>
      <c r="Y450" cm="1">
        <f t="array" ref="Y450">VLOOKUP($A450,Table_ship_components[],COLUMN(Y:Y),0)</f>
        <v>0</v>
      </c>
      <c r="Z450" cm="1">
        <f t="array" ref="Z450">VLOOKUP($A450,Table_ship_components[],COLUMN(Z:Z),0)</f>
        <v>0</v>
      </c>
      <c r="AA450" cm="1">
        <f t="array" ref="AA450">VLOOKUP($A450,Table_ship_components[],COLUMN(AA:AA),0)*C450</f>
        <v>0</v>
      </c>
      <c r="AB450">
        <f t="shared" si="37"/>
        <v>0</v>
      </c>
      <c r="AC450" cm="1">
        <f t="array" ref="AC450">VLOOKUP($A450,Table_ship_components[],COLUMN(AC:AC),0)*C450</f>
        <v>0</v>
      </c>
      <c r="AD450" cm="1">
        <f t="array" ref="AD450">VLOOKUP($A450,Table_ship_components[],COLUMN(AD:AD),0)</f>
        <v>0</v>
      </c>
      <c r="AE450" cm="1">
        <f t="array" ref="AE450">VLOOKUP($A450,Table_ship_components[],COLUMN(AE:AE),0)</f>
        <v>0</v>
      </c>
      <c r="AF450" cm="1">
        <f t="array" ref="AF450">VLOOKUP($A450,Table_ship_components[],COLUMN(AF:AF),0)</f>
        <v>0</v>
      </c>
      <c r="AG450" cm="1">
        <f t="array" ref="AG450">VLOOKUP($A450,Table_ship_components[],COLUMN(AG:AG),0)</f>
        <v>0</v>
      </c>
      <c r="AH450" cm="1">
        <f t="array" ref="AH450">VLOOKUP($A450,Table_ship_components[],COLUMN(AH:AH),0)</f>
        <v>0</v>
      </c>
      <c r="AI450" cm="1">
        <f t="array" ref="AI450">VLOOKUP($A450,Table_ship_components[],COLUMN(AI:AI),0)</f>
        <v>0</v>
      </c>
      <c r="AJ450" cm="1">
        <f t="array" ref="AJ450">VLOOKUP($A450,Table_ship_components[],COLUMN(AJ:AJ),0)</f>
        <v>0</v>
      </c>
      <c r="AK450" cm="1">
        <f t="array" ref="AK450">VLOOKUP($A450,Table_ship_components[],COLUMN(AK:AK),0)</f>
        <v>0</v>
      </c>
      <c r="AL450" cm="1">
        <f t="array" ref="AL450">VLOOKUP($A450,Table_ship_components[],COLUMN(AL:AL),0)</f>
        <v>0</v>
      </c>
      <c r="AM450" cm="1">
        <f t="array" ref="AM450">VLOOKUP($A450,Table_ship_components[],COLUMN(AM:AM),0)</f>
        <v>0</v>
      </c>
      <c r="AN450" cm="1">
        <f t="array" ref="AN450">VLOOKUP($A450,Table_ship_components[],COLUMN(AN:AN),0)</f>
        <v>0</v>
      </c>
      <c r="AO450" cm="1">
        <f t="array" ref="AO450">VLOOKUP($A450,Table_ship_components[],COLUMN(AO:AO),0)</f>
        <v>0</v>
      </c>
      <c r="AP450" cm="1">
        <f t="array" ref="AP450">VLOOKUP($A450,Table_ship_components[],COLUMN(AP:AP),0)</f>
        <v>0</v>
      </c>
      <c r="AQ450" cm="1">
        <f t="array" ref="AQ450">VLOOKUP($A450,Table_ship_components[],COLUMN(AQ:AQ),0)</f>
        <v>0</v>
      </c>
      <c r="AR450" cm="1">
        <f t="array" ref="AR450">VLOOKUP($A450,Table_ship_components[],COLUMN(AR:AR),0)</f>
        <v>0</v>
      </c>
      <c r="AS450" cm="1">
        <f t="array" ref="AS450">VLOOKUP($A450,Table_ship_components[],COLUMN(AS:AS),0)</f>
        <v>0</v>
      </c>
      <c r="AT450" cm="1">
        <f t="array" ref="AT450">VLOOKUP($A450,Table_ship_components[],COLUMN(AT:AT),0)</f>
        <v>0</v>
      </c>
      <c r="AU450" s="2" cm="1">
        <f t="array" ref="AU450">VLOOKUP($A450,Table_ship_components[],COLUMN(AU:AU),0)</f>
        <v>0</v>
      </c>
      <c r="AV450" s="2" cm="1">
        <f t="array" ref="AV450">VLOOKUP($A450,Table_ship_components[],COLUMN(AV:AV),0)</f>
        <v>0</v>
      </c>
      <c r="AW450" s="2" cm="1">
        <f t="array" ref="AW450">VLOOKUP($A450,Table_ship_components[],COLUMN(AW:AW),0)</f>
        <v>0</v>
      </c>
      <c r="AX450" s="2" cm="1">
        <f t="array" ref="AX450">VLOOKUP($A450,Table_ship_components[],COLUMN(AX:AX),0)</f>
        <v>0</v>
      </c>
      <c r="AY450" s="2" cm="1">
        <f t="array" ref="AY450">VLOOKUP($A450,Table_ship_components[],COLUMN(AY:AY),0)</f>
        <v>0</v>
      </c>
      <c r="AZ450" s="2" t="str" cm="1">
        <f t="array" ref="AZ450">VLOOKUP($A450,Table_ship_components[],COLUMN(AZ:AZ),0)</f>
        <v>C</v>
      </c>
      <c r="BA450" s="14" cm="1">
        <f t="array" ref="BA450">VLOOKUP($A450,Table_ship_components[],COLUMN(BA:BA),0)</f>
        <v>0</v>
      </c>
      <c r="BB450" s="14" cm="1">
        <f t="array" ref="BB450">(VLOOKUP($A450,Table_ship_components[],COLUMN(BA:BA),0)+(W450*C450))</f>
        <v>0</v>
      </c>
      <c r="BC450" s="2" cm="1">
        <f t="array" ref="BC450">VLOOKUP($A450,Table_ship_components[],COLUMN(BC:BC),0)</f>
        <v>0</v>
      </c>
      <c r="BD450" s="2" cm="1">
        <f t="array" ref="BD450">VLOOKUP($A450,Table_ship_components[],COLUMN(BD:BD),0)</f>
        <v>0</v>
      </c>
    </row>
    <row r="451" spans="1:56" outlineLevel="1" x14ac:dyDescent="0.35">
      <c r="A451" t="s">
        <v>288</v>
      </c>
      <c r="B451" t="str" cm="1">
        <f t="array" ref="B451">VLOOKUP($A451,Table_ship_components[],COLUMN(B:B),0)</f>
        <v>PICK A COMPONENT</v>
      </c>
      <c r="D451" cm="1">
        <f t="array" ref="D451">VLOOKUP($A451,Table_ship_components[],COLUMN(D:D),0)</f>
        <v>0</v>
      </c>
      <c r="E451" cm="1">
        <f t="array" ref="E451">ROUND(VLOOKUP($A451,Table_ship_components[],COLUMN(D:D),0)+(V451*C451),0)</f>
        <v>0</v>
      </c>
      <c r="F451" cm="1">
        <f t="array" ref="F451">VLOOKUP($A451,Table_ship_components[],COLUMN(F:F),0)</f>
        <v>0</v>
      </c>
      <c r="G451" cm="1">
        <f t="array" ref="G451">ROUND(VLOOKUP($A451,Table_ship_components[],COLUMN(G:G),0)+(X451*C451),0)</f>
        <v>0</v>
      </c>
      <c r="H451" cm="1">
        <f t="array" ref="H451">VLOOKUP($A451,Table_ship_components[],COLUMN(H:H),0)</f>
        <v>0</v>
      </c>
      <c r="I451" cm="1">
        <f t="array" ref="I451">VLOOKUP($A451,Table_ship_components[],COLUMN(I:I),0)</f>
        <v>0</v>
      </c>
      <c r="J451" cm="1">
        <f t="array" ref="J451">VLOOKUP($A451,Table_ship_components[],COLUMN(J:J),0)</f>
        <v>0</v>
      </c>
      <c r="K451" cm="1">
        <f t="array" ref="K451">VLOOKUP($A451,Table_ship_components[],COLUMN(K:K),0)</f>
        <v>0</v>
      </c>
      <c r="L451" cm="1">
        <f t="array" ref="L451">VLOOKUP($A451,Table_ship_components[],COLUMN(L:L),0)</f>
        <v>0</v>
      </c>
      <c r="M451" cm="1">
        <f t="array" ref="M451">VLOOKUP($A451,Table_ship_components[],COLUMN(M:M),0)</f>
        <v>0</v>
      </c>
      <c r="N451" cm="1">
        <f t="array" ref="N451">VLOOKUP($A451,Table_ship_components[],COLUMN(N:N),0)</f>
        <v>0</v>
      </c>
      <c r="O451" cm="1">
        <f t="array" ref="O451">VLOOKUP($A451,Table_ship_components[],COLUMN(O:O),0)</f>
        <v>0</v>
      </c>
      <c r="P451" cm="1">
        <f t="array" ref="P451">VLOOKUP($A451,Table_ship_components[],COLUMN(P:P),0)</f>
        <v>0</v>
      </c>
      <c r="Q451" cm="1">
        <f t="array" ref="Q451">VLOOKUP($A451,Table_ship_components[],COLUMN(Q:Q),0)</f>
        <v>0</v>
      </c>
      <c r="R451" cm="1">
        <f t="array" ref="R451">VLOOKUP($A451,Table_ship_components[],COLUMN(R:R),0)</f>
        <v>0</v>
      </c>
      <c r="S451" cm="1">
        <f t="array" ref="S451">VLOOKUP($A451,Table_ship_components[],COLUMN(S:S),0)</f>
        <v>0</v>
      </c>
      <c r="T451" cm="1">
        <f t="array" ref="T451">VLOOKUP($A451,Table_ship_components[],COLUMN(T:T),0)</f>
        <v>0</v>
      </c>
      <c r="U451" cm="1">
        <f t="array" ref="U451">VLOOKUP($A451,Table_ship_components[],COLUMN(U:U),0)</f>
        <v>0</v>
      </c>
      <c r="V451" cm="1">
        <f t="array" ref="V451">VLOOKUP($A451,Table_ship_components[],COLUMN(V:V),0)</f>
        <v>0</v>
      </c>
      <c r="W451" s="15" cm="1">
        <f t="array" ref="W451">VLOOKUP($A451,Table_ship_components[],COLUMN(W:W),0)</f>
        <v>0</v>
      </c>
      <c r="X451" cm="1">
        <f t="array" ref="X451">VLOOKUP($A451,Table_ship_components[],COLUMN(X:X),0)</f>
        <v>0</v>
      </c>
      <c r="Y451" cm="1">
        <f t="array" ref="Y451">VLOOKUP($A451,Table_ship_components[],COLUMN(Y:Y),0)</f>
        <v>0</v>
      </c>
      <c r="Z451" cm="1">
        <f t="array" ref="Z451">VLOOKUP($A451,Table_ship_components[],COLUMN(Z:Z),0)</f>
        <v>0</v>
      </c>
      <c r="AA451" cm="1">
        <f t="array" ref="AA451">VLOOKUP($A451,Table_ship_components[],COLUMN(AA:AA),0)*C451</f>
        <v>0</v>
      </c>
      <c r="AB451">
        <f t="shared" si="37"/>
        <v>0</v>
      </c>
      <c r="AC451" cm="1">
        <f t="array" ref="AC451">VLOOKUP($A451,Table_ship_components[],COLUMN(AC:AC),0)*C451</f>
        <v>0</v>
      </c>
      <c r="AD451" cm="1">
        <f t="array" ref="AD451">VLOOKUP($A451,Table_ship_components[],COLUMN(AD:AD),0)</f>
        <v>0</v>
      </c>
      <c r="AE451" cm="1">
        <f t="array" ref="AE451">VLOOKUP($A451,Table_ship_components[],COLUMN(AE:AE),0)</f>
        <v>0</v>
      </c>
      <c r="AF451" cm="1">
        <f t="array" ref="AF451">VLOOKUP($A451,Table_ship_components[],COLUMN(AF:AF),0)</f>
        <v>0</v>
      </c>
      <c r="AG451" cm="1">
        <f t="array" ref="AG451">VLOOKUP($A451,Table_ship_components[],COLUMN(AG:AG),0)</f>
        <v>0</v>
      </c>
      <c r="AH451" cm="1">
        <f t="array" ref="AH451">VLOOKUP($A451,Table_ship_components[],COLUMN(AH:AH),0)</f>
        <v>0</v>
      </c>
      <c r="AI451" cm="1">
        <f t="array" ref="AI451">VLOOKUP($A451,Table_ship_components[],COLUMN(AI:AI),0)</f>
        <v>0</v>
      </c>
      <c r="AJ451" cm="1">
        <f t="array" ref="AJ451">VLOOKUP($A451,Table_ship_components[],COLUMN(AJ:AJ),0)</f>
        <v>0</v>
      </c>
      <c r="AK451" cm="1">
        <f t="array" ref="AK451">VLOOKUP($A451,Table_ship_components[],COLUMN(AK:AK),0)</f>
        <v>0</v>
      </c>
      <c r="AL451" cm="1">
        <f t="array" ref="AL451">VLOOKUP($A451,Table_ship_components[],COLUMN(AL:AL),0)</f>
        <v>0</v>
      </c>
      <c r="AM451" cm="1">
        <f t="array" ref="AM451">VLOOKUP($A451,Table_ship_components[],COLUMN(AM:AM),0)</f>
        <v>0</v>
      </c>
      <c r="AN451" cm="1">
        <f t="array" ref="AN451">VLOOKUP($A451,Table_ship_components[],COLUMN(AN:AN),0)</f>
        <v>0</v>
      </c>
      <c r="AO451" cm="1">
        <f t="array" ref="AO451">VLOOKUP($A451,Table_ship_components[],COLUMN(AO:AO),0)</f>
        <v>0</v>
      </c>
      <c r="AP451" cm="1">
        <f t="array" ref="AP451">VLOOKUP($A451,Table_ship_components[],COLUMN(AP:AP),0)</f>
        <v>0</v>
      </c>
      <c r="AQ451" cm="1">
        <f t="array" ref="AQ451">VLOOKUP($A451,Table_ship_components[],COLUMN(AQ:AQ),0)</f>
        <v>0</v>
      </c>
      <c r="AR451" cm="1">
        <f t="array" ref="AR451">VLOOKUP($A451,Table_ship_components[],COLUMN(AR:AR),0)</f>
        <v>0</v>
      </c>
      <c r="AS451" cm="1">
        <f t="array" ref="AS451">VLOOKUP($A451,Table_ship_components[],COLUMN(AS:AS),0)</f>
        <v>0</v>
      </c>
      <c r="AT451" cm="1">
        <f t="array" ref="AT451">VLOOKUP($A451,Table_ship_components[],COLUMN(AT:AT),0)</f>
        <v>0</v>
      </c>
      <c r="AU451" s="2" cm="1">
        <f t="array" ref="AU451">VLOOKUP($A451,Table_ship_components[],COLUMN(AU:AU),0)</f>
        <v>0</v>
      </c>
      <c r="AV451" s="2" cm="1">
        <f t="array" ref="AV451">VLOOKUP($A451,Table_ship_components[],COLUMN(AV:AV),0)</f>
        <v>0</v>
      </c>
      <c r="AW451" s="2" cm="1">
        <f t="array" ref="AW451">VLOOKUP($A451,Table_ship_components[],COLUMN(AW:AW),0)</f>
        <v>0</v>
      </c>
      <c r="AX451" s="2" cm="1">
        <f t="array" ref="AX451">VLOOKUP($A451,Table_ship_components[],COLUMN(AX:AX),0)</f>
        <v>0</v>
      </c>
      <c r="AY451" s="2" cm="1">
        <f t="array" ref="AY451">VLOOKUP($A451,Table_ship_components[],COLUMN(AY:AY),0)</f>
        <v>0</v>
      </c>
      <c r="AZ451" s="2" t="str" cm="1">
        <f t="array" ref="AZ451">VLOOKUP($A451,Table_ship_components[],COLUMN(AZ:AZ),0)</f>
        <v>C</v>
      </c>
      <c r="BA451" s="14" cm="1">
        <f t="array" ref="BA451">VLOOKUP($A451,Table_ship_components[],COLUMN(BA:BA),0)</f>
        <v>0</v>
      </c>
      <c r="BB451" s="14" cm="1">
        <f t="array" ref="BB451">(VLOOKUP($A451,Table_ship_components[],COLUMN(BA:BA),0)+(W451*C451))</f>
        <v>0</v>
      </c>
      <c r="BC451" s="2" cm="1">
        <f t="array" ref="BC451">VLOOKUP($A451,Table_ship_components[],COLUMN(BC:BC),0)</f>
        <v>0</v>
      </c>
      <c r="BD451" s="2" cm="1">
        <f t="array" ref="BD451">VLOOKUP($A451,Table_ship_components[],COLUMN(BD:BD),0)</f>
        <v>0</v>
      </c>
    </row>
    <row r="452" spans="1:56" outlineLevel="1" x14ac:dyDescent="0.35">
      <c r="A452" t="s">
        <v>288</v>
      </c>
      <c r="B452" t="str" cm="1">
        <f t="array" ref="B452">VLOOKUP($A452,Table_ship_components[],COLUMN(B:B),0)</f>
        <v>PICK A COMPONENT</v>
      </c>
      <c r="D452" cm="1">
        <f t="array" ref="D452">VLOOKUP($A452,Table_ship_components[],COLUMN(D:D),0)</f>
        <v>0</v>
      </c>
      <c r="E452" cm="1">
        <f t="array" ref="E452">ROUND(VLOOKUP($A452,Table_ship_components[],COLUMN(D:D),0)+(V452*C452),0)</f>
        <v>0</v>
      </c>
      <c r="F452" cm="1">
        <f t="array" ref="F452">VLOOKUP($A452,Table_ship_components[],COLUMN(F:F),0)</f>
        <v>0</v>
      </c>
      <c r="G452" cm="1">
        <f t="array" ref="G452">ROUND(VLOOKUP($A452,Table_ship_components[],COLUMN(G:G),0)+(X452*C452),0)</f>
        <v>0</v>
      </c>
      <c r="H452" cm="1">
        <f t="array" ref="H452">VLOOKUP($A452,Table_ship_components[],COLUMN(H:H),0)</f>
        <v>0</v>
      </c>
      <c r="I452" cm="1">
        <f t="array" ref="I452">VLOOKUP($A452,Table_ship_components[],COLUMN(I:I),0)</f>
        <v>0</v>
      </c>
      <c r="J452" cm="1">
        <f t="array" ref="J452">VLOOKUP($A452,Table_ship_components[],COLUMN(J:J),0)</f>
        <v>0</v>
      </c>
      <c r="K452" cm="1">
        <f t="array" ref="K452">VLOOKUP($A452,Table_ship_components[],COLUMN(K:K),0)</f>
        <v>0</v>
      </c>
      <c r="L452" cm="1">
        <f t="array" ref="L452">VLOOKUP($A452,Table_ship_components[],COLUMN(L:L),0)</f>
        <v>0</v>
      </c>
      <c r="M452" cm="1">
        <f t="array" ref="M452">VLOOKUP($A452,Table_ship_components[],COLUMN(M:M),0)</f>
        <v>0</v>
      </c>
      <c r="N452" cm="1">
        <f t="array" ref="N452">VLOOKUP($A452,Table_ship_components[],COLUMN(N:N),0)</f>
        <v>0</v>
      </c>
      <c r="O452" cm="1">
        <f t="array" ref="O452">VLOOKUP($A452,Table_ship_components[],COLUMN(O:O),0)</f>
        <v>0</v>
      </c>
      <c r="P452" cm="1">
        <f t="array" ref="P452">VLOOKUP($A452,Table_ship_components[],COLUMN(P:P),0)</f>
        <v>0</v>
      </c>
      <c r="Q452" cm="1">
        <f t="array" ref="Q452">VLOOKUP($A452,Table_ship_components[],COLUMN(Q:Q),0)</f>
        <v>0</v>
      </c>
      <c r="R452" cm="1">
        <f t="array" ref="R452">VLOOKUP($A452,Table_ship_components[],COLUMN(R:R),0)</f>
        <v>0</v>
      </c>
      <c r="S452" cm="1">
        <f t="array" ref="S452">VLOOKUP($A452,Table_ship_components[],COLUMN(S:S),0)</f>
        <v>0</v>
      </c>
      <c r="T452" cm="1">
        <f t="array" ref="T452">VLOOKUP($A452,Table_ship_components[],COLUMN(T:T),0)</f>
        <v>0</v>
      </c>
      <c r="U452" cm="1">
        <f t="array" ref="U452">VLOOKUP($A452,Table_ship_components[],COLUMN(U:U),0)</f>
        <v>0</v>
      </c>
      <c r="V452" cm="1">
        <f t="array" ref="V452">VLOOKUP($A452,Table_ship_components[],COLUMN(V:V),0)</f>
        <v>0</v>
      </c>
      <c r="W452" s="15" cm="1">
        <f t="array" ref="W452">VLOOKUP($A452,Table_ship_components[],COLUMN(W:W),0)</f>
        <v>0</v>
      </c>
      <c r="X452" cm="1">
        <f t="array" ref="X452">VLOOKUP($A452,Table_ship_components[],COLUMN(X:X),0)</f>
        <v>0</v>
      </c>
      <c r="Y452" cm="1">
        <f t="array" ref="Y452">VLOOKUP($A452,Table_ship_components[],COLUMN(Y:Y),0)</f>
        <v>0</v>
      </c>
      <c r="Z452" cm="1">
        <f t="array" ref="Z452">VLOOKUP($A452,Table_ship_components[],COLUMN(Z:Z),0)</f>
        <v>0</v>
      </c>
      <c r="AA452" cm="1">
        <f t="array" ref="AA452">VLOOKUP($A452,Table_ship_components[],COLUMN(AA:AA),0)*C452</f>
        <v>0</v>
      </c>
      <c r="AB452">
        <f t="shared" si="37"/>
        <v>0</v>
      </c>
      <c r="AC452" cm="1">
        <f t="array" ref="AC452">VLOOKUP($A452,Table_ship_components[],COLUMN(AC:AC),0)*C452</f>
        <v>0</v>
      </c>
      <c r="AD452" cm="1">
        <f t="array" ref="AD452">VLOOKUP($A452,Table_ship_components[],COLUMN(AD:AD),0)</f>
        <v>0</v>
      </c>
      <c r="AE452" cm="1">
        <f t="array" ref="AE452">VLOOKUP($A452,Table_ship_components[],COLUMN(AE:AE),0)</f>
        <v>0</v>
      </c>
      <c r="AF452" cm="1">
        <f t="array" ref="AF452">VLOOKUP($A452,Table_ship_components[],COLUMN(AF:AF),0)</f>
        <v>0</v>
      </c>
      <c r="AG452" cm="1">
        <f t="array" ref="AG452">VLOOKUP($A452,Table_ship_components[],COLUMN(AG:AG),0)</f>
        <v>0</v>
      </c>
      <c r="AH452" cm="1">
        <f t="array" ref="AH452">VLOOKUP($A452,Table_ship_components[],COLUMN(AH:AH),0)</f>
        <v>0</v>
      </c>
      <c r="AI452" cm="1">
        <f t="array" ref="AI452">VLOOKUP($A452,Table_ship_components[],COLUMN(AI:AI),0)</f>
        <v>0</v>
      </c>
      <c r="AJ452" cm="1">
        <f t="array" ref="AJ452">VLOOKUP($A452,Table_ship_components[],COLUMN(AJ:AJ),0)</f>
        <v>0</v>
      </c>
      <c r="AK452" cm="1">
        <f t="array" ref="AK452">VLOOKUP($A452,Table_ship_components[],COLUMN(AK:AK),0)</f>
        <v>0</v>
      </c>
      <c r="AL452" cm="1">
        <f t="array" ref="AL452">VLOOKUP($A452,Table_ship_components[],COLUMN(AL:AL),0)</f>
        <v>0</v>
      </c>
      <c r="AM452" cm="1">
        <f t="array" ref="AM452">VLOOKUP($A452,Table_ship_components[],COLUMN(AM:AM),0)</f>
        <v>0</v>
      </c>
      <c r="AN452" cm="1">
        <f t="array" ref="AN452">VLOOKUP($A452,Table_ship_components[],COLUMN(AN:AN),0)</f>
        <v>0</v>
      </c>
      <c r="AO452" cm="1">
        <f t="array" ref="AO452">VLOOKUP($A452,Table_ship_components[],COLUMN(AO:AO),0)</f>
        <v>0</v>
      </c>
      <c r="AP452" cm="1">
        <f t="array" ref="AP452">VLOOKUP($A452,Table_ship_components[],COLUMN(AP:AP),0)</f>
        <v>0</v>
      </c>
      <c r="AQ452" cm="1">
        <f t="array" ref="AQ452">VLOOKUP($A452,Table_ship_components[],COLUMN(AQ:AQ),0)</f>
        <v>0</v>
      </c>
      <c r="AR452" cm="1">
        <f t="array" ref="AR452">VLOOKUP($A452,Table_ship_components[],COLUMN(AR:AR),0)</f>
        <v>0</v>
      </c>
      <c r="AS452" cm="1">
        <f t="array" ref="AS452">VLOOKUP($A452,Table_ship_components[],COLUMN(AS:AS),0)</f>
        <v>0</v>
      </c>
      <c r="AT452" cm="1">
        <f t="array" ref="AT452">VLOOKUP($A452,Table_ship_components[],COLUMN(AT:AT),0)</f>
        <v>0</v>
      </c>
      <c r="AU452" s="2" cm="1">
        <f t="array" ref="AU452">VLOOKUP($A452,Table_ship_components[],COLUMN(AU:AU),0)</f>
        <v>0</v>
      </c>
      <c r="AV452" s="2" cm="1">
        <f t="array" ref="AV452">VLOOKUP($A452,Table_ship_components[],COLUMN(AV:AV),0)</f>
        <v>0</v>
      </c>
      <c r="AW452" s="2" cm="1">
        <f t="array" ref="AW452">VLOOKUP($A452,Table_ship_components[],COLUMN(AW:AW),0)</f>
        <v>0</v>
      </c>
      <c r="AX452" s="2" cm="1">
        <f t="array" ref="AX452">VLOOKUP($A452,Table_ship_components[],COLUMN(AX:AX),0)</f>
        <v>0</v>
      </c>
      <c r="AY452" s="2" cm="1">
        <f t="array" ref="AY452">VLOOKUP($A452,Table_ship_components[],COLUMN(AY:AY),0)</f>
        <v>0</v>
      </c>
      <c r="AZ452" s="2" t="str" cm="1">
        <f t="array" ref="AZ452">VLOOKUP($A452,Table_ship_components[],COLUMN(AZ:AZ),0)</f>
        <v>C</v>
      </c>
      <c r="BA452" s="14" cm="1">
        <f t="array" ref="BA452">VLOOKUP($A452,Table_ship_components[],COLUMN(BA:BA),0)</f>
        <v>0</v>
      </c>
      <c r="BB452" s="14" cm="1">
        <f t="array" ref="BB452">(VLOOKUP($A452,Table_ship_components[],COLUMN(BA:BA),0)+(W452*C452))</f>
        <v>0</v>
      </c>
      <c r="BC452" s="2" cm="1">
        <f t="array" ref="BC452">VLOOKUP($A452,Table_ship_components[],COLUMN(BC:BC),0)</f>
        <v>0</v>
      </c>
      <c r="BD452" s="2" cm="1">
        <f t="array" ref="BD452">VLOOKUP($A452,Table_ship_components[],COLUMN(BD:BD),0)</f>
        <v>0</v>
      </c>
    </row>
    <row r="453" spans="1:56" outlineLevel="1" x14ac:dyDescent="0.35">
      <c r="A453" t="s">
        <v>288</v>
      </c>
      <c r="B453" t="str" cm="1">
        <f t="array" ref="B453">VLOOKUP($A453,Table_ship_components[],COLUMN(B:B),0)</f>
        <v>PICK A COMPONENT</v>
      </c>
      <c r="D453" cm="1">
        <f t="array" ref="D453">VLOOKUP($A453,Table_ship_components[],COLUMN(D:D),0)</f>
        <v>0</v>
      </c>
      <c r="E453" cm="1">
        <f t="array" ref="E453">ROUND(VLOOKUP($A453,Table_ship_components[],COLUMN(D:D),0)+(V453*C453),0)</f>
        <v>0</v>
      </c>
      <c r="F453" cm="1">
        <f t="array" ref="F453">VLOOKUP($A453,Table_ship_components[],COLUMN(F:F),0)</f>
        <v>0</v>
      </c>
      <c r="G453" cm="1">
        <f t="array" ref="G453">ROUND(VLOOKUP($A453,Table_ship_components[],COLUMN(G:G),0)+(X453*C453),0)</f>
        <v>0</v>
      </c>
      <c r="H453" cm="1">
        <f t="array" ref="H453">VLOOKUP($A453,Table_ship_components[],COLUMN(H:H),0)</f>
        <v>0</v>
      </c>
      <c r="I453" cm="1">
        <f t="array" ref="I453">VLOOKUP($A453,Table_ship_components[],COLUMN(I:I),0)</f>
        <v>0</v>
      </c>
      <c r="J453" cm="1">
        <f t="array" ref="J453">VLOOKUP($A453,Table_ship_components[],COLUMN(J:J),0)</f>
        <v>0</v>
      </c>
      <c r="K453" cm="1">
        <f t="array" ref="K453">VLOOKUP($A453,Table_ship_components[],COLUMN(K:K),0)</f>
        <v>0</v>
      </c>
      <c r="L453" cm="1">
        <f t="array" ref="L453">VLOOKUP($A453,Table_ship_components[],COLUMN(L:L),0)</f>
        <v>0</v>
      </c>
      <c r="M453" cm="1">
        <f t="array" ref="M453">VLOOKUP($A453,Table_ship_components[],COLUMN(M:M),0)</f>
        <v>0</v>
      </c>
      <c r="N453" cm="1">
        <f t="array" ref="N453">VLOOKUP($A453,Table_ship_components[],COLUMN(N:N),0)</f>
        <v>0</v>
      </c>
      <c r="O453" cm="1">
        <f t="array" ref="O453">VLOOKUP($A453,Table_ship_components[],COLUMN(O:O),0)</f>
        <v>0</v>
      </c>
      <c r="P453" cm="1">
        <f t="array" ref="P453">VLOOKUP($A453,Table_ship_components[],COLUMN(P:P),0)</f>
        <v>0</v>
      </c>
      <c r="Q453" cm="1">
        <f t="array" ref="Q453">VLOOKUP($A453,Table_ship_components[],COLUMN(Q:Q),0)</f>
        <v>0</v>
      </c>
      <c r="R453" cm="1">
        <f t="array" ref="R453">VLOOKUP($A453,Table_ship_components[],COLUMN(R:R),0)</f>
        <v>0</v>
      </c>
      <c r="S453" cm="1">
        <f t="array" ref="S453">VLOOKUP($A453,Table_ship_components[],COLUMN(S:S),0)</f>
        <v>0</v>
      </c>
      <c r="T453" cm="1">
        <f t="array" ref="T453">VLOOKUP($A453,Table_ship_components[],COLUMN(T:T),0)</f>
        <v>0</v>
      </c>
      <c r="U453" cm="1">
        <f t="array" ref="U453">VLOOKUP($A453,Table_ship_components[],COLUMN(U:U),0)</f>
        <v>0</v>
      </c>
      <c r="V453" cm="1">
        <f t="array" ref="V453">VLOOKUP($A453,Table_ship_components[],COLUMN(V:V),0)</f>
        <v>0</v>
      </c>
      <c r="W453" s="15" cm="1">
        <f t="array" ref="W453">VLOOKUP($A453,Table_ship_components[],COLUMN(W:W),0)</f>
        <v>0</v>
      </c>
      <c r="X453" cm="1">
        <f t="array" ref="X453">VLOOKUP($A453,Table_ship_components[],COLUMN(X:X),0)</f>
        <v>0</v>
      </c>
      <c r="Y453" cm="1">
        <f t="array" ref="Y453">VLOOKUP($A453,Table_ship_components[],COLUMN(Y:Y),0)</f>
        <v>0</v>
      </c>
      <c r="Z453" cm="1">
        <f t="array" ref="Z453">VLOOKUP($A453,Table_ship_components[],COLUMN(Z:Z),0)</f>
        <v>0</v>
      </c>
      <c r="AA453" cm="1">
        <f t="array" ref="AA453">VLOOKUP($A453,Table_ship_components[],COLUMN(AA:AA),0)*C453</f>
        <v>0</v>
      </c>
      <c r="AB453">
        <f t="shared" si="37"/>
        <v>0</v>
      </c>
      <c r="AC453" cm="1">
        <f t="array" ref="AC453">VLOOKUP($A453,Table_ship_components[],COLUMN(AC:AC),0)*C453</f>
        <v>0</v>
      </c>
      <c r="AD453" cm="1">
        <f t="array" ref="AD453">VLOOKUP($A453,Table_ship_components[],COLUMN(AD:AD),0)</f>
        <v>0</v>
      </c>
      <c r="AE453" cm="1">
        <f t="array" ref="AE453">VLOOKUP($A453,Table_ship_components[],COLUMN(AE:AE),0)</f>
        <v>0</v>
      </c>
      <c r="AF453" cm="1">
        <f t="array" ref="AF453">VLOOKUP($A453,Table_ship_components[],COLUMN(AF:AF),0)</f>
        <v>0</v>
      </c>
      <c r="AG453" cm="1">
        <f t="array" ref="AG453">VLOOKUP($A453,Table_ship_components[],COLUMN(AG:AG),0)</f>
        <v>0</v>
      </c>
      <c r="AH453" cm="1">
        <f t="array" ref="AH453">VLOOKUP($A453,Table_ship_components[],COLUMN(AH:AH),0)</f>
        <v>0</v>
      </c>
      <c r="AI453" cm="1">
        <f t="array" ref="AI453">VLOOKUP($A453,Table_ship_components[],COLUMN(AI:AI),0)</f>
        <v>0</v>
      </c>
      <c r="AJ453" cm="1">
        <f t="array" ref="AJ453">VLOOKUP($A453,Table_ship_components[],COLUMN(AJ:AJ),0)</f>
        <v>0</v>
      </c>
      <c r="AK453" cm="1">
        <f t="array" ref="AK453">VLOOKUP($A453,Table_ship_components[],COLUMN(AK:AK),0)</f>
        <v>0</v>
      </c>
      <c r="AL453" cm="1">
        <f t="array" ref="AL453">VLOOKUP($A453,Table_ship_components[],COLUMN(AL:AL),0)</f>
        <v>0</v>
      </c>
      <c r="AM453" cm="1">
        <f t="array" ref="AM453">VLOOKUP($A453,Table_ship_components[],COLUMN(AM:AM),0)</f>
        <v>0</v>
      </c>
      <c r="AN453" cm="1">
        <f t="array" ref="AN453">VLOOKUP($A453,Table_ship_components[],COLUMN(AN:AN),0)</f>
        <v>0</v>
      </c>
      <c r="AO453" cm="1">
        <f t="array" ref="AO453">VLOOKUP($A453,Table_ship_components[],COLUMN(AO:AO),0)</f>
        <v>0</v>
      </c>
      <c r="AP453" cm="1">
        <f t="array" ref="AP453">VLOOKUP($A453,Table_ship_components[],COLUMN(AP:AP),0)</f>
        <v>0</v>
      </c>
      <c r="AQ453" cm="1">
        <f t="array" ref="AQ453">VLOOKUP($A453,Table_ship_components[],COLUMN(AQ:AQ),0)</f>
        <v>0</v>
      </c>
      <c r="AR453" cm="1">
        <f t="array" ref="AR453">VLOOKUP($A453,Table_ship_components[],COLUMN(AR:AR),0)</f>
        <v>0</v>
      </c>
      <c r="AS453" cm="1">
        <f t="array" ref="AS453">VLOOKUP($A453,Table_ship_components[],COLUMN(AS:AS),0)</f>
        <v>0</v>
      </c>
      <c r="AT453" cm="1">
        <f t="array" ref="AT453">VLOOKUP($A453,Table_ship_components[],COLUMN(AT:AT),0)</f>
        <v>0</v>
      </c>
      <c r="AU453" s="2" cm="1">
        <f t="array" ref="AU453">VLOOKUP($A453,Table_ship_components[],COLUMN(AU:AU),0)</f>
        <v>0</v>
      </c>
      <c r="AV453" s="2" cm="1">
        <f t="array" ref="AV453">VLOOKUP($A453,Table_ship_components[],COLUMN(AV:AV),0)</f>
        <v>0</v>
      </c>
      <c r="AW453" s="2" cm="1">
        <f t="array" ref="AW453">VLOOKUP($A453,Table_ship_components[],COLUMN(AW:AW),0)</f>
        <v>0</v>
      </c>
      <c r="AX453" s="2" cm="1">
        <f t="array" ref="AX453">VLOOKUP($A453,Table_ship_components[],COLUMN(AX:AX),0)</f>
        <v>0</v>
      </c>
      <c r="AY453" s="2" cm="1">
        <f t="array" ref="AY453">VLOOKUP($A453,Table_ship_components[],COLUMN(AY:AY),0)</f>
        <v>0</v>
      </c>
      <c r="AZ453" s="2" t="str" cm="1">
        <f t="array" ref="AZ453">VLOOKUP($A453,Table_ship_components[],COLUMN(AZ:AZ),0)</f>
        <v>C</v>
      </c>
      <c r="BA453" s="14" cm="1">
        <f t="array" ref="BA453">VLOOKUP($A453,Table_ship_components[],COLUMN(BA:BA),0)</f>
        <v>0</v>
      </c>
      <c r="BB453" s="14" cm="1">
        <f t="array" ref="BB453">(VLOOKUP($A453,Table_ship_components[],COLUMN(BA:BA),0)+(W453*C453))</f>
        <v>0</v>
      </c>
      <c r="BC453" s="2" cm="1">
        <f t="array" ref="BC453">VLOOKUP($A453,Table_ship_components[],COLUMN(BC:BC),0)</f>
        <v>0</v>
      </c>
      <c r="BD453" s="2" cm="1">
        <f t="array" ref="BD453">VLOOKUP($A453,Table_ship_components[],COLUMN(BD:BD),0)</f>
        <v>0</v>
      </c>
    </row>
    <row r="454" spans="1:56" ht="15" outlineLevel="1" thickBot="1" x14ac:dyDescent="0.4">
      <c r="D454" s="32"/>
      <c r="E454" s="32">
        <f>SUM(E423:E453)</f>
        <v>125</v>
      </c>
      <c r="F454" s="32"/>
      <c r="G454" s="32">
        <f t="shared" ref="G454:L454" si="38">SUM(G423:G453)</f>
        <v>69</v>
      </c>
      <c r="H454" s="32">
        <f t="shared" si="38"/>
        <v>10</v>
      </c>
      <c r="I454" s="32">
        <f t="shared" si="38"/>
        <v>75</v>
      </c>
      <c r="J454" s="32">
        <f t="shared" si="38"/>
        <v>0</v>
      </c>
      <c r="K454" s="32">
        <f t="shared" si="38"/>
        <v>45</v>
      </c>
      <c r="L454" s="32">
        <f t="shared" si="38"/>
        <v>7</v>
      </c>
      <c r="M454" s="32"/>
      <c r="N454" s="32"/>
      <c r="O454" s="32"/>
      <c r="P454" s="32"/>
      <c r="Q454" s="32"/>
      <c r="R454" s="32"/>
      <c r="S454" s="32"/>
      <c r="T454" s="32"/>
      <c r="U454" s="32"/>
      <c r="V454" s="32"/>
      <c r="W454" s="32"/>
      <c r="X454" s="32"/>
      <c r="Y454" s="32">
        <f t="shared" ref="Y454:AY454" si="39">SUM(Y423:Y453)</f>
        <v>1</v>
      </c>
      <c r="Z454" s="32">
        <f t="shared" si="39"/>
        <v>2</v>
      </c>
      <c r="AA454" s="32">
        <f t="shared" si="39"/>
        <v>0</v>
      </c>
      <c r="AB454" s="32">
        <f t="shared" si="39"/>
        <v>4</v>
      </c>
      <c r="AC454" s="32">
        <f t="shared" si="39"/>
        <v>5</v>
      </c>
      <c r="AD454" s="32">
        <f t="shared" si="39"/>
        <v>100</v>
      </c>
      <c r="AE454" s="32">
        <f t="shared" si="39"/>
        <v>0</v>
      </c>
      <c r="AF454" s="32">
        <f t="shared" si="39"/>
        <v>0</v>
      </c>
      <c r="AG454" s="32">
        <f t="shared" si="39"/>
        <v>2</v>
      </c>
      <c r="AH454" s="32">
        <f t="shared" si="39"/>
        <v>100</v>
      </c>
      <c r="AI454" s="32">
        <f t="shared" si="39"/>
        <v>1000</v>
      </c>
      <c r="AJ454" s="32">
        <f t="shared" si="39"/>
        <v>10000</v>
      </c>
      <c r="AK454" s="32">
        <f t="shared" si="39"/>
        <v>0</v>
      </c>
      <c r="AL454" s="32">
        <f t="shared" si="39"/>
        <v>3</v>
      </c>
      <c r="AM454" s="32">
        <f t="shared" si="39"/>
        <v>4</v>
      </c>
      <c r="AN454" s="32">
        <f t="shared" si="39"/>
        <v>10</v>
      </c>
      <c r="AO454" s="32">
        <f t="shared" si="39"/>
        <v>4</v>
      </c>
      <c r="AP454" s="32">
        <f t="shared" si="39"/>
        <v>10</v>
      </c>
      <c r="AQ454" s="32">
        <f t="shared" si="39"/>
        <v>1</v>
      </c>
      <c r="AR454" s="32">
        <f t="shared" si="39"/>
        <v>3</v>
      </c>
      <c r="AS454" s="32">
        <f t="shared" si="39"/>
        <v>2</v>
      </c>
      <c r="AT454" s="32">
        <f t="shared" si="39"/>
        <v>2</v>
      </c>
      <c r="AU454" s="32">
        <f t="shared" si="39"/>
        <v>3</v>
      </c>
      <c r="AV454" s="32">
        <f t="shared" si="39"/>
        <v>125</v>
      </c>
      <c r="AW454" s="32">
        <f t="shared" si="39"/>
        <v>60</v>
      </c>
      <c r="AX454" s="32">
        <f t="shared" si="39"/>
        <v>40</v>
      </c>
      <c r="AY454" s="32">
        <f t="shared" si="39"/>
        <v>25</v>
      </c>
      <c r="AZ454" s="32"/>
      <c r="BA454" s="33">
        <f>SUM(BA423:BA453)</f>
        <v>14342500</v>
      </c>
      <c r="BB454" s="33">
        <f>SUM(BB423:BB453)</f>
        <v>15087500</v>
      </c>
      <c r="BC454" s="32"/>
      <c r="BD454" s="32"/>
    </row>
    <row r="455" spans="1:56" ht="19" outlineLevel="1" thickTop="1" x14ac:dyDescent="0.45">
      <c r="A455" s="35" t="s">
        <v>691</v>
      </c>
      <c r="B455" s="34">
        <f>BB454</f>
        <v>15087500</v>
      </c>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c r="AY455" s="36"/>
      <c r="AZ455" s="36"/>
      <c r="BA455" s="37"/>
      <c r="BB455" s="37"/>
      <c r="BC455" s="36"/>
      <c r="BD455" s="36"/>
    </row>
    <row r="456" spans="1:56" ht="21" x14ac:dyDescent="0.5">
      <c r="A456" s="38" t="s">
        <v>165</v>
      </c>
      <c r="B456" s="38" t="s">
        <v>222</v>
      </c>
    </row>
    <row r="457" spans="1:56" outlineLevel="1" x14ac:dyDescent="0.35">
      <c r="A457" t="s">
        <v>717</v>
      </c>
      <c r="B457" t="str" cm="1">
        <f t="array" ref="B457">VLOOKUP($A457,Table_ship_components[],COLUMN(B:B),0)</f>
        <v>interceptor fighter template</v>
      </c>
      <c r="D457" cm="1">
        <f t="array" ref="D457">VLOOKUP($A457,Table_ship_components[],COLUMN(D:D),0)</f>
        <v>0</v>
      </c>
      <c r="E457" cm="1">
        <f t="array" ref="E457">(VLOOKUP($A457,Table_ship_components[],COLUMN(D:D),0)+(V457*C457))</f>
        <v>0</v>
      </c>
      <c r="F457" cm="1">
        <f t="array" ref="F457">VLOOKUP($A457,Table_ship_components[],COLUMN(F:F),0)</f>
        <v>0</v>
      </c>
      <c r="G457" cm="1">
        <f t="array" ref="G457">(VLOOKUP($A457,Table_ship_components[],COLUMN(G:G),0)+(X457*C457))</f>
        <v>0</v>
      </c>
      <c r="H457" cm="1">
        <f t="array" ref="H457">VLOOKUP($A457,Table_ship_components[],COLUMN(H:H),0)</f>
        <v>0</v>
      </c>
      <c r="I457" cm="1">
        <f t="array" ref="I457">VLOOKUP($A457,Table_ship_components[],COLUMN(I:I),0)</f>
        <v>0</v>
      </c>
      <c r="J457" cm="1">
        <f t="array" ref="J457">VLOOKUP($A457,Table_ship_components[],COLUMN(J:J),0)</f>
        <v>0</v>
      </c>
      <c r="K457" cm="1">
        <f t="array" ref="K457">VLOOKUP($A457,Table_ship_components[],COLUMN(K:K),0)</f>
        <v>0</v>
      </c>
      <c r="L457" cm="1">
        <f t="array" ref="L457">VLOOKUP($A457,Table_ship_components[],COLUMN(L:L),0)</f>
        <v>0</v>
      </c>
      <c r="M457" cm="1">
        <f t="array" ref="M457">VLOOKUP($A457,Table_ship_components[],COLUMN(M:M),0)</f>
        <v>0</v>
      </c>
      <c r="N457" cm="1">
        <f t="array" ref="N457">VLOOKUP($A457,Table_ship_components[],COLUMN(N:N),0)</f>
        <v>0</v>
      </c>
      <c r="O457" cm="1">
        <f t="array" ref="O457">VLOOKUP($A457,Table_ship_components[],COLUMN(O:O),0)</f>
        <v>0</v>
      </c>
      <c r="P457" cm="1">
        <f t="array" ref="P457">VLOOKUP($A457,Table_ship_components[],COLUMN(P:P),0)</f>
        <v>0</v>
      </c>
      <c r="Q457" cm="1">
        <f t="array" ref="Q457">VLOOKUP($A457,Table_ship_components[],COLUMN(Q:Q),0)</f>
        <v>0</v>
      </c>
      <c r="R457" cm="1">
        <f t="array" ref="R457">VLOOKUP($A457,Table_ship_components[],COLUMN(R:R),0)</f>
        <v>0</v>
      </c>
      <c r="S457" cm="1">
        <f t="array" ref="S457">VLOOKUP($A457,Table_ship_components[],COLUMN(S:S),0)</f>
        <v>0</v>
      </c>
      <c r="T457" cm="1">
        <f t="array" ref="T457">VLOOKUP($A457,Table_ship_components[],COLUMN(T:T),0)</f>
        <v>0</v>
      </c>
      <c r="U457" cm="1">
        <f t="array" ref="U457">VLOOKUP($A457,Table_ship_components[],COLUMN(U:U),0)</f>
        <v>0</v>
      </c>
      <c r="V457" cm="1">
        <f t="array" ref="V457">VLOOKUP($A457,Table_ship_components[],COLUMN(V:V),0)</f>
        <v>0</v>
      </c>
      <c r="W457" s="15" cm="1">
        <f t="array" ref="W457">VLOOKUP($A457,Table_ship_components[],COLUMN(W:W),0)</f>
        <v>0</v>
      </c>
      <c r="X457" cm="1">
        <f t="array" ref="X457">VLOOKUP($A457,Table_ship_components[],COLUMN(X:X),0)</f>
        <v>0</v>
      </c>
      <c r="Y457" cm="1">
        <f t="array" ref="Y457">VLOOKUP($A457,Table_ship_components[],COLUMN(Y:Y),0)</f>
        <v>0</v>
      </c>
      <c r="Z457" cm="1">
        <f t="array" ref="Z457">VLOOKUP($A457,Table_ship_components[],COLUMN(Z:Z),0)</f>
        <v>0</v>
      </c>
      <c r="AA457" cm="1">
        <f t="array" ref="AA457">VLOOKUP($A457,Table_ship_components[],COLUMN(AA:AA),0)</f>
        <v>0</v>
      </c>
      <c r="AB457" cm="1">
        <f t="array" ref="AB457">VLOOKUP($A457,Table_ship_components[],COLUMN(AB:AB),0)</f>
        <v>0</v>
      </c>
      <c r="AC457" cm="1">
        <f t="array" ref="AC457">VLOOKUP($A457,Table_ship_components[],COLUMN(AC:AC),0)</f>
        <v>0</v>
      </c>
      <c r="AD457" cm="1">
        <f t="array" ref="AD457">VLOOKUP($A457,Table_ship_components[],COLUMN(AD:AD),0)</f>
        <v>0</v>
      </c>
      <c r="AE457" cm="1">
        <f t="array" ref="AE457">VLOOKUP($A457,Table_ship_components[],COLUMN(AE:AE),0)</f>
        <v>0</v>
      </c>
      <c r="AF457" cm="1">
        <f t="array" ref="AF457">VLOOKUP($A457,Table_ship_components[],COLUMN(AF:AF),0)</f>
        <v>0</v>
      </c>
      <c r="AG457" cm="1">
        <f t="array" ref="AG457">VLOOKUP($A457,Table_ship_components[],COLUMN(AG:AG),0)</f>
        <v>0</v>
      </c>
      <c r="AH457" cm="1">
        <f t="array" ref="AH457">VLOOKUP($A457,Table_ship_components[],COLUMN(AH:AH),0)</f>
        <v>0</v>
      </c>
      <c r="AI457" cm="1">
        <f t="array" ref="AI457">VLOOKUP($A457,Table_ship_components[],COLUMN(AI:AI),0)</f>
        <v>0</v>
      </c>
      <c r="AJ457" cm="1">
        <f t="array" ref="AJ457">VLOOKUP($A457,Table_ship_components[],COLUMN(AJ:AJ),0)</f>
        <v>0</v>
      </c>
      <c r="AK457" cm="1">
        <f t="array" ref="AK457">VLOOKUP($A457,Table_ship_components[],COLUMN(AK:AK),0)</f>
        <v>0</v>
      </c>
      <c r="AL457" cm="1">
        <f t="array" ref="AL457">VLOOKUP($A457,Table_ship_components[],COLUMN(AL:AL),0)</f>
        <v>0</v>
      </c>
      <c r="AM457" cm="1">
        <f t="array" ref="AM457">VLOOKUP($A457,Table_ship_components[],COLUMN(AM:AM),0)</f>
        <v>2</v>
      </c>
      <c r="AN457" cm="1">
        <f t="array" ref="AN457">VLOOKUP($A457,Table_ship_components[],COLUMN(AN:AN),0)</f>
        <v>5</v>
      </c>
      <c r="AO457" cm="1">
        <f t="array" ref="AO457">VLOOKUP($A457,Table_ship_components[],COLUMN(AO:AO),0)</f>
        <v>2</v>
      </c>
      <c r="AP457" cm="1">
        <f t="array" ref="AP457">VLOOKUP($A457,Table_ship_components[],COLUMN(AP:AP),0)</f>
        <v>5</v>
      </c>
      <c r="AQ457" cm="1">
        <f t="array" ref="AQ457">VLOOKUP($A457,Table_ship_components[],COLUMN(AQ:AQ),0)</f>
        <v>0</v>
      </c>
      <c r="AR457" cm="1">
        <f t="array" ref="AR457">VLOOKUP($A457,Table_ship_components[],COLUMN(AR:AR),0)</f>
        <v>3</v>
      </c>
      <c r="AS457" cm="1">
        <f t="array" ref="AS457">VLOOKUP($A457,Table_ship_components[],COLUMN(AS:AS),0)</f>
        <v>2</v>
      </c>
      <c r="AT457" cm="1">
        <f t="array" ref="AT457">VLOOKUP($A457,Table_ship_components[],COLUMN(AT:AT),0)</f>
        <v>2</v>
      </c>
      <c r="AU457" s="2" cm="1">
        <f t="array" ref="AU457">VLOOKUP($A457,Table_ship_components[],COLUMN(AU:AU),0)</f>
        <v>3</v>
      </c>
      <c r="AV457" s="2" cm="1">
        <f t="array" ref="AV457">VLOOKUP($A457,Table_ship_components[],COLUMN(AV:AV),0)</f>
        <v>50</v>
      </c>
      <c r="AW457" s="2" cm="1">
        <f t="array" ref="AW457">VLOOKUP($A457,Table_ship_components[],COLUMN(AW:AW),0)</f>
        <v>15</v>
      </c>
      <c r="AX457" s="2" cm="1">
        <f t="array" ref="AX457">VLOOKUP($A457,Table_ship_components[],COLUMN(AX:AX),0)</f>
        <v>15</v>
      </c>
      <c r="AY457" s="2" cm="1">
        <f t="array" ref="AY457">VLOOKUP($A457,Table_ship_components[],COLUMN(AY:AY),0)</f>
        <v>20</v>
      </c>
      <c r="AZ457" s="2" t="str" cm="1">
        <f t="array" ref="AZ457">VLOOKUP($A457,Table_ship_components[],COLUMN(AZ:AZ),0)</f>
        <v>C</v>
      </c>
      <c r="BA457" s="14" cm="1">
        <f t="array" ref="BA457">VLOOKUP($A457,Table_ship_components[],COLUMN(BA:BA),0)</f>
        <v>835000</v>
      </c>
      <c r="BB457" s="14" cm="1">
        <f t="array" ref="BB457">(VLOOKUP($A457,Table_ship_components[],COLUMN(BA:BA),0)+(W457*C457))</f>
        <v>835000</v>
      </c>
      <c r="BC457" s="2" cm="1">
        <f t="array" ref="BC457">VLOOKUP($A457,Table_ship_components[],COLUMN(BC:BC),0)</f>
        <v>0</v>
      </c>
      <c r="BD457" s="2" cm="1">
        <f t="array" ref="BD457">VLOOKUP($A457,Table_ship_components[],COLUMN(BD:BD),0)</f>
        <v>0</v>
      </c>
    </row>
    <row r="458" spans="1:56" outlineLevel="1" x14ac:dyDescent="0.35"/>
    <row r="459" spans="1:56" outlineLevel="1" x14ac:dyDescent="0.35">
      <c r="A459" s="40" t="str">
        <f>CONCATENATE("LIFE SUPPORT VALID : ",IF((SUM(Z488:AA488)&lt;=AC488),"YES","NO"))</f>
        <v>LIFE SUPPORT VALID : YES</v>
      </c>
      <c r="B459" s="39" t="str">
        <f>CONCATENATE("TOTAL SIZE ",(SUM(E461:E487))," TOTAL POWER ",(SUM(G461:G487))," / ",(SUM(I461:I487)))</f>
        <v>TOTAL SIZE 49 TOTAL POWER 21 / 30</v>
      </c>
    </row>
    <row r="460" spans="1:56" outlineLevel="1" x14ac:dyDescent="0.35">
      <c r="A460" s="18" t="s">
        <v>423</v>
      </c>
      <c r="B460" s="19" t="str">
        <f>CONCATENATE("SIZE ",(SUM(E461:E466)),"/", AW457,"  POWER ",(SUM(G461:G466)),)</f>
        <v>SIZE 14/15  POWER 3</v>
      </c>
      <c r="C460" s="31" t="s">
        <v>521</v>
      </c>
    </row>
    <row r="461" spans="1:56" outlineLevel="1" x14ac:dyDescent="0.35">
      <c r="A461" t="s">
        <v>336</v>
      </c>
      <c r="B461" t="str" cm="1">
        <f t="array" ref="B461">VLOOKUP($A461,Table_ship_components[],COLUMN(B:B),0)</f>
        <v>avg fighter power plant</v>
      </c>
      <c r="D461" cm="1">
        <f t="array" ref="D461">VLOOKUP($A461,Table_ship_components[],COLUMN(D:D),0)</f>
        <v>8</v>
      </c>
      <c r="E461" cm="1">
        <f t="array" ref="E461">ROUND(VLOOKUP($A461,Table_ship_components[],COLUMN(D:D),0)+(V461*C461),0)</f>
        <v>8</v>
      </c>
      <c r="F461" cm="1">
        <f t="array" ref="F461">VLOOKUP($A461,Table_ship_components[],COLUMN(F:F),0)</f>
        <v>0</v>
      </c>
      <c r="G461" cm="1">
        <f t="array" ref="G461">ROUND(VLOOKUP($A461,Table_ship_components[],COLUMN(G:G),0)+(X461*C461),0)</f>
        <v>0</v>
      </c>
      <c r="H461" cm="1">
        <f t="array" ref="H461">VLOOKUP($A461,Table_ship_components[],COLUMN(H:H),0)</f>
        <v>0</v>
      </c>
      <c r="I461" cm="1">
        <f t="array" ref="I461">VLOOKUP($A461,Table_ship_components[],COLUMN(I:I),0)</f>
        <v>30</v>
      </c>
      <c r="J461" cm="1">
        <f t="array" ref="J461">VLOOKUP($A461,Table_ship_components[],COLUMN(J:J),0)</f>
        <v>0</v>
      </c>
      <c r="K461" cm="1">
        <f t="array" ref="K461">VLOOKUP($A461,Table_ship_components[],COLUMN(K:K),0)</f>
        <v>0</v>
      </c>
      <c r="L461" cm="1">
        <f t="array" ref="L461">VLOOKUP($A461,Table_ship_components[],COLUMN(L:L),0)</f>
        <v>0</v>
      </c>
      <c r="M461" cm="1">
        <f t="array" ref="M461">VLOOKUP($A461,Table_ship_components[],COLUMN(M:M),0)</f>
        <v>0</v>
      </c>
      <c r="N461" cm="1">
        <f t="array" ref="N461">VLOOKUP($A461,Table_ship_components[],COLUMN(N:N),0)</f>
        <v>1</v>
      </c>
      <c r="O461" cm="1">
        <f t="array" ref="O461">VLOOKUP($A461,Table_ship_components[],COLUMN(O:O),0)</f>
        <v>0</v>
      </c>
      <c r="P461" cm="1">
        <f t="array" ref="P461">VLOOKUP($A461,Table_ship_components[],COLUMN(P:P),0)</f>
        <v>0</v>
      </c>
      <c r="Q461" cm="1">
        <f t="array" ref="Q461">VLOOKUP($A461,Table_ship_components[],COLUMN(Q:Q),0)</f>
        <v>0</v>
      </c>
      <c r="R461" cm="1">
        <f t="array" ref="R461">VLOOKUP($A461,Table_ship_components[],COLUMN(R:R),0)</f>
        <v>0</v>
      </c>
      <c r="S461" cm="1">
        <f t="array" ref="S461">VLOOKUP($A461,Table_ship_components[],COLUMN(S:S),0)</f>
        <v>0</v>
      </c>
      <c r="T461" cm="1">
        <f t="array" ref="T461">VLOOKUP($A461,Table_ship_components[],COLUMN(T:T),0)</f>
        <v>0</v>
      </c>
      <c r="U461" cm="1">
        <f t="array" ref="U461">VLOOKUP($A461,Table_ship_components[],COLUMN(U:U),0)</f>
        <v>0</v>
      </c>
      <c r="V461" cm="1">
        <f t="array" ref="V461">VLOOKUP($A461,Table_ship_components[],COLUMN(V:V),0)</f>
        <v>0</v>
      </c>
      <c r="W461" s="15" cm="1">
        <f t="array" ref="W461">VLOOKUP($A461,Table_ship_components[],COLUMN(W:W),0)</f>
        <v>0</v>
      </c>
      <c r="X461" cm="1">
        <f t="array" ref="X461">VLOOKUP($A461,Table_ship_components[],COLUMN(X:X),0)</f>
        <v>0</v>
      </c>
      <c r="Y461" cm="1">
        <f t="array" ref="Y461">VLOOKUP($A461,Table_ship_components[],COLUMN(Y:Y),0)</f>
        <v>0</v>
      </c>
      <c r="Z461" cm="1">
        <f t="array" ref="Z461">VLOOKUP($A461,Table_ship_components[],COLUMN(Z:Z),0)</f>
        <v>0</v>
      </c>
      <c r="AA461" cm="1">
        <f t="array" ref="AA461">VLOOKUP($A461,Table_ship_components[],COLUMN(AA:AA),0)*C461</f>
        <v>0</v>
      </c>
      <c r="AB461">
        <f>IF(A461="CARGOSPACE_0-ALL_0-UNIVERSAL",C461,0)</f>
        <v>0</v>
      </c>
      <c r="AC461" cm="1">
        <f t="array" ref="AC461">VLOOKUP($A461,Table_ship_components[],COLUMN(AC:AC),0)*C461</f>
        <v>0</v>
      </c>
      <c r="AD461" cm="1">
        <f t="array" ref="AD461">VLOOKUP($A461,Table_ship_components[],COLUMN(AD:AD),0)</f>
        <v>0</v>
      </c>
      <c r="AE461" cm="1">
        <f t="array" ref="AE461">VLOOKUP($A461,Table_ship_components[],COLUMN(AE:AE),0)</f>
        <v>0</v>
      </c>
      <c r="AF461" cm="1">
        <f t="array" ref="AF461">VLOOKUP($A461,Table_ship_components[],COLUMN(AF:AF),0)</f>
        <v>0</v>
      </c>
      <c r="AG461" cm="1">
        <f t="array" ref="AG461">VLOOKUP($A461,Table_ship_components[],COLUMN(AG:AG),0)</f>
        <v>0</v>
      </c>
      <c r="AH461" cm="1">
        <f t="array" ref="AH461">VLOOKUP($A461,Table_ship_components[],COLUMN(AH:AH),0)</f>
        <v>0</v>
      </c>
      <c r="AI461" cm="1">
        <f t="array" ref="AI461">VLOOKUP($A461,Table_ship_components[],COLUMN(AI:AI),0)</f>
        <v>0</v>
      </c>
      <c r="AJ461" cm="1">
        <f t="array" ref="AJ461">VLOOKUP($A461,Table_ship_components[],COLUMN(AJ:AJ),0)</f>
        <v>0</v>
      </c>
      <c r="AK461" cm="1">
        <f t="array" ref="AK461">VLOOKUP($A461,Table_ship_components[],COLUMN(AK:AK),0)</f>
        <v>0</v>
      </c>
      <c r="AL461" cm="1">
        <f t="array" ref="AL461">VLOOKUP($A461,Table_ship_components[],COLUMN(AL:AL),0)</f>
        <v>0</v>
      </c>
      <c r="AM461" cm="1">
        <f t="array" ref="AM461">VLOOKUP($A461,Table_ship_components[],COLUMN(AM:AM),0)</f>
        <v>0</v>
      </c>
      <c r="AN461" cm="1">
        <f t="array" ref="AN461">VLOOKUP($A461,Table_ship_components[],COLUMN(AN:AN),0)</f>
        <v>0</v>
      </c>
      <c r="AO461" cm="1">
        <f t="array" ref="AO461">VLOOKUP($A461,Table_ship_components[],COLUMN(AO:AO),0)</f>
        <v>0</v>
      </c>
      <c r="AP461" cm="1">
        <f t="array" ref="AP461">VLOOKUP($A461,Table_ship_components[],COLUMN(AP:AP),0)</f>
        <v>0</v>
      </c>
      <c r="AQ461" cm="1">
        <f t="array" ref="AQ461">VLOOKUP($A461,Table_ship_components[],COLUMN(AQ:AQ),0)</f>
        <v>0</v>
      </c>
      <c r="AR461" cm="1">
        <f t="array" ref="AR461">VLOOKUP($A461,Table_ship_components[],COLUMN(AR:AR),0)</f>
        <v>0</v>
      </c>
      <c r="AS461" cm="1">
        <f t="array" ref="AS461">VLOOKUP($A461,Table_ship_components[],COLUMN(AS:AS),0)</f>
        <v>0</v>
      </c>
      <c r="AT461" cm="1">
        <f t="array" ref="AT461">VLOOKUP($A461,Table_ship_components[],COLUMN(AT:AT),0)</f>
        <v>0</v>
      </c>
      <c r="AU461" s="2" cm="1">
        <f t="array" ref="AU461">VLOOKUP($A461,Table_ship_components[],COLUMN(AU:AU),0)</f>
        <v>0</v>
      </c>
      <c r="AV461" s="2" cm="1">
        <f t="array" ref="AV461">VLOOKUP($A461,Table_ship_components[],COLUMN(AV:AV),0)</f>
        <v>0</v>
      </c>
      <c r="AW461" s="2" cm="1">
        <f t="array" ref="AW461">VLOOKUP($A461,Table_ship_components[],COLUMN(AW:AW),0)</f>
        <v>0</v>
      </c>
      <c r="AX461" s="2" cm="1">
        <f t="array" ref="AX461">VLOOKUP($A461,Table_ship_components[],COLUMN(AX:AX),0)</f>
        <v>0</v>
      </c>
      <c r="AY461" s="2" cm="1">
        <f t="array" ref="AY461">VLOOKUP($A461,Table_ship_components[],COLUMN(AY:AY),0)</f>
        <v>0</v>
      </c>
      <c r="AZ461" s="2" t="str" cm="1">
        <f t="array" ref="AZ461">VLOOKUP($A461,Table_ship_components[],COLUMN(AZ:AZ),0)</f>
        <v>C</v>
      </c>
      <c r="BA461" s="14" cm="1">
        <f t="array" ref="BA461">VLOOKUP($A461,Table_ship_components[],COLUMN(BA:BA),0)</f>
        <v>200000</v>
      </c>
      <c r="BB461" s="14" cm="1">
        <f t="array" ref="BB461">(VLOOKUP($A461,Table_ship_components[],COLUMN(BA:BA),0)+(W461*C461))</f>
        <v>200000</v>
      </c>
      <c r="BC461" s="2" cm="1">
        <f t="array" ref="BC461">VLOOKUP($A461,Table_ship_components[],COLUMN(BC:BC),0)</f>
        <v>0</v>
      </c>
      <c r="BD461" s="2" cm="1">
        <f t="array" ref="BD461">VLOOKUP($A461,Table_ship_components[],COLUMN(BD:BD),0)</f>
        <v>0</v>
      </c>
    </row>
    <row r="462" spans="1:56" outlineLevel="1" x14ac:dyDescent="0.35">
      <c r="A462" t="s">
        <v>315</v>
      </c>
      <c r="B462" t="str" cm="1">
        <f t="array" ref="B462">VLOOKUP($A462,Table_ship_components[],COLUMN(B:B),0)</f>
        <v>cargo space (1 HUGE item per unit)</v>
      </c>
      <c r="C462" s="2">
        <v>1</v>
      </c>
      <c r="D462" cm="1">
        <f t="array" ref="D462">VLOOKUP($A462,Table_ship_components[],COLUMN(D:D),0)</f>
        <v>0</v>
      </c>
      <c r="E462" cm="1">
        <f t="array" ref="E462">ROUND(VLOOKUP($A462,Table_ship_components[],COLUMN(D:D),0)+(V462*C462),0)</f>
        <v>1</v>
      </c>
      <c r="F462" cm="1">
        <f t="array" ref="F462">VLOOKUP($A462,Table_ship_components[],COLUMN(F:F),0)</f>
        <v>0</v>
      </c>
      <c r="G462" cm="1">
        <f t="array" ref="G462">ROUND(VLOOKUP($A462,Table_ship_components[],COLUMN(G:G),0)+(X462*C462),0)</f>
        <v>0</v>
      </c>
      <c r="H462" cm="1">
        <f t="array" ref="H462">VLOOKUP($A462,Table_ship_components[],COLUMN(H:H),0)</f>
        <v>0</v>
      </c>
      <c r="I462" cm="1">
        <f t="array" ref="I462">VLOOKUP($A462,Table_ship_components[],COLUMN(I:I),0)</f>
        <v>0</v>
      </c>
      <c r="J462" cm="1">
        <f t="array" ref="J462">VLOOKUP($A462,Table_ship_components[],COLUMN(J:J),0)</f>
        <v>0</v>
      </c>
      <c r="K462" cm="1">
        <f t="array" ref="K462">VLOOKUP($A462,Table_ship_components[],COLUMN(K:K),0)</f>
        <v>0</v>
      </c>
      <c r="L462" cm="1">
        <f t="array" ref="L462">VLOOKUP($A462,Table_ship_components[],COLUMN(L:L),0)</f>
        <v>0</v>
      </c>
      <c r="M462" cm="1">
        <f t="array" ref="M462">VLOOKUP($A462,Table_ship_components[],COLUMN(M:M),0)</f>
        <v>0</v>
      </c>
      <c r="N462" cm="1">
        <f t="array" ref="N462">VLOOKUP($A462,Table_ship_components[],COLUMN(N:N),0)</f>
        <v>1</v>
      </c>
      <c r="O462" cm="1">
        <f t="array" ref="O462">VLOOKUP($A462,Table_ship_components[],COLUMN(O:O),0)</f>
        <v>1</v>
      </c>
      <c r="P462" cm="1">
        <f t="array" ref="P462">VLOOKUP($A462,Table_ship_components[],COLUMN(P:P),0)</f>
        <v>1</v>
      </c>
      <c r="Q462" cm="1">
        <f t="array" ref="Q462">VLOOKUP($A462,Table_ship_components[],COLUMN(Q:Q),0)</f>
        <v>1</v>
      </c>
      <c r="R462" cm="1">
        <f t="array" ref="R462">VLOOKUP($A462,Table_ship_components[],COLUMN(R:R),0)</f>
        <v>1</v>
      </c>
      <c r="S462" cm="1">
        <f t="array" ref="S462">VLOOKUP($A462,Table_ship_components[],COLUMN(S:S),0)</f>
        <v>1</v>
      </c>
      <c r="T462" cm="1">
        <f t="array" ref="T462">VLOOKUP($A462,Table_ship_components[],COLUMN(T:T),0)</f>
        <v>1</v>
      </c>
      <c r="U462" cm="1">
        <f t="array" ref="U462">VLOOKUP($A462,Table_ship_components[],COLUMN(U:U),0)</f>
        <v>1</v>
      </c>
      <c r="V462" cm="1">
        <f t="array" ref="V462">VLOOKUP($A462,Table_ship_components[],COLUMN(V:V),0)</f>
        <v>1</v>
      </c>
      <c r="W462" s="15" cm="1">
        <f t="array" ref="W462">VLOOKUP($A462,Table_ship_components[],COLUMN(W:W),0)</f>
        <v>5000</v>
      </c>
      <c r="X462" cm="1">
        <f t="array" ref="X462">VLOOKUP($A462,Table_ship_components[],COLUMN(X:X),0)</f>
        <v>0</v>
      </c>
      <c r="Y462" cm="1">
        <f t="array" ref="Y462">VLOOKUP($A462,Table_ship_components[],COLUMN(Y:Y),0)</f>
        <v>0</v>
      </c>
      <c r="Z462" cm="1">
        <f t="array" ref="Z462">VLOOKUP($A462,Table_ship_components[],COLUMN(Z:Z),0)</f>
        <v>0</v>
      </c>
      <c r="AA462" cm="1">
        <f t="array" ref="AA462">VLOOKUP($A462,Table_ship_components[],COLUMN(AA:AA),0)*C462</f>
        <v>0</v>
      </c>
      <c r="AB462">
        <f t="shared" ref="AB462:AB466" si="40">IF(A462="CARGOSPACE_0-ALL_0-UNIVERSAL",C462,0)</f>
        <v>1</v>
      </c>
      <c r="AC462" cm="1">
        <f t="array" ref="AC462">VLOOKUP($A462,Table_ship_components[],COLUMN(AC:AC),0)*C462</f>
        <v>0</v>
      </c>
      <c r="AD462" cm="1">
        <f t="array" ref="AD462">VLOOKUP($A462,Table_ship_components[],COLUMN(AD:AD),0)</f>
        <v>0</v>
      </c>
      <c r="AE462" cm="1">
        <f t="array" ref="AE462">VLOOKUP($A462,Table_ship_components[],COLUMN(AE:AE),0)</f>
        <v>0</v>
      </c>
      <c r="AF462" cm="1">
        <f t="array" ref="AF462">VLOOKUP($A462,Table_ship_components[],COLUMN(AF:AF),0)</f>
        <v>0</v>
      </c>
      <c r="AG462" cm="1">
        <f t="array" ref="AG462">VLOOKUP($A462,Table_ship_components[],COLUMN(AG:AG),0)</f>
        <v>0</v>
      </c>
      <c r="AH462" cm="1">
        <f t="array" ref="AH462">VLOOKUP($A462,Table_ship_components[],COLUMN(AH:AH),0)</f>
        <v>0</v>
      </c>
      <c r="AI462" cm="1">
        <f t="array" ref="AI462">VLOOKUP($A462,Table_ship_components[],COLUMN(AI:AI),0)</f>
        <v>0</v>
      </c>
      <c r="AJ462" cm="1">
        <f t="array" ref="AJ462">VLOOKUP($A462,Table_ship_components[],COLUMN(AJ:AJ),0)</f>
        <v>0</v>
      </c>
      <c r="AK462" cm="1">
        <f t="array" ref="AK462">VLOOKUP($A462,Table_ship_components[],COLUMN(AK:AK),0)</f>
        <v>0</v>
      </c>
      <c r="AL462" cm="1">
        <f t="array" ref="AL462">VLOOKUP($A462,Table_ship_components[],COLUMN(AL:AL),0)</f>
        <v>0</v>
      </c>
      <c r="AM462" cm="1">
        <f t="array" ref="AM462">VLOOKUP($A462,Table_ship_components[],COLUMN(AM:AM),0)</f>
        <v>0</v>
      </c>
      <c r="AN462" cm="1">
        <f t="array" ref="AN462">VLOOKUP($A462,Table_ship_components[],COLUMN(AN:AN),0)</f>
        <v>0</v>
      </c>
      <c r="AO462" cm="1">
        <f t="array" ref="AO462">VLOOKUP($A462,Table_ship_components[],COLUMN(AO:AO),0)</f>
        <v>0</v>
      </c>
      <c r="AP462" cm="1">
        <f t="array" ref="AP462">VLOOKUP($A462,Table_ship_components[],COLUMN(AP:AP),0)</f>
        <v>0</v>
      </c>
      <c r="AQ462" cm="1">
        <f t="array" ref="AQ462">VLOOKUP($A462,Table_ship_components[],COLUMN(AQ:AQ),0)</f>
        <v>0</v>
      </c>
      <c r="AR462" cm="1">
        <f t="array" ref="AR462">VLOOKUP($A462,Table_ship_components[],COLUMN(AR:AR),0)</f>
        <v>0</v>
      </c>
      <c r="AS462" cm="1">
        <f t="array" ref="AS462">VLOOKUP($A462,Table_ship_components[],COLUMN(AS:AS),0)</f>
        <v>0</v>
      </c>
      <c r="AT462" cm="1">
        <f t="array" ref="AT462">VLOOKUP($A462,Table_ship_components[],COLUMN(AT:AT),0)</f>
        <v>0</v>
      </c>
      <c r="AU462" s="2" cm="1">
        <f t="array" ref="AU462">VLOOKUP($A462,Table_ship_components[],COLUMN(AU:AU),0)</f>
        <v>0</v>
      </c>
      <c r="AV462" s="2" cm="1">
        <f t="array" ref="AV462">VLOOKUP($A462,Table_ship_components[],COLUMN(AV:AV),0)</f>
        <v>0</v>
      </c>
      <c r="AW462" s="2" cm="1">
        <f t="array" ref="AW462">VLOOKUP($A462,Table_ship_components[],COLUMN(AW:AW),0)</f>
        <v>0</v>
      </c>
      <c r="AX462" s="2" cm="1">
        <f t="array" ref="AX462">VLOOKUP($A462,Table_ship_components[],COLUMN(AX:AX),0)</f>
        <v>0</v>
      </c>
      <c r="AY462" s="2" cm="1">
        <f t="array" ref="AY462">VLOOKUP($A462,Table_ship_components[],COLUMN(AY:AY),0)</f>
        <v>0</v>
      </c>
      <c r="AZ462" s="2" t="str" cm="1">
        <f t="array" ref="AZ462">VLOOKUP($A462,Table_ship_components[],COLUMN(AZ:AZ),0)</f>
        <v>C</v>
      </c>
      <c r="BA462" s="14" cm="1">
        <f t="array" ref="BA462">VLOOKUP($A462,Table_ship_components[],COLUMN(BA:BA),0)</f>
        <v>5000</v>
      </c>
      <c r="BB462" s="14" cm="1">
        <f t="array" ref="BB462">(VLOOKUP($A462,Table_ship_components[],COLUMN(BA:BA),0)+(W462*C462))</f>
        <v>10000</v>
      </c>
      <c r="BC462" s="2" cm="1">
        <f t="array" ref="BC462">VLOOKUP($A462,Table_ship_components[],COLUMN(BC:BC),0)</f>
        <v>0</v>
      </c>
      <c r="BD462" s="2" cm="1">
        <f t="array" ref="BD462">VLOOKUP($A462,Table_ship_components[],COLUMN(BD:BD),0)</f>
        <v>0</v>
      </c>
    </row>
    <row r="463" spans="1:56" outlineLevel="1" x14ac:dyDescent="0.35">
      <c r="A463" t="s">
        <v>288</v>
      </c>
      <c r="B463" t="str" cm="1">
        <f t="array" ref="B463">VLOOKUP($A463,Table_ship_components[],COLUMN(B:B),0)</f>
        <v>PICK A COMPONENT</v>
      </c>
      <c r="D463" cm="1">
        <f t="array" ref="D463">VLOOKUP($A463,Table_ship_components[],COLUMN(D:D),0)</f>
        <v>0</v>
      </c>
      <c r="E463" cm="1">
        <f t="array" ref="E463">ROUND(VLOOKUP($A463,Table_ship_components[],COLUMN(D:D),0)+(V463*C463),0)</f>
        <v>0</v>
      </c>
      <c r="F463" cm="1">
        <f t="array" ref="F463">VLOOKUP($A463,Table_ship_components[],COLUMN(F:F),0)</f>
        <v>0</v>
      </c>
      <c r="G463" cm="1">
        <f t="array" ref="G463">ROUND(VLOOKUP($A463,Table_ship_components[],COLUMN(G:G),0)+(X463*C463),0)</f>
        <v>0</v>
      </c>
      <c r="H463" cm="1">
        <f t="array" ref="H463">VLOOKUP($A463,Table_ship_components[],COLUMN(H:H),0)</f>
        <v>0</v>
      </c>
      <c r="I463" cm="1">
        <f t="array" ref="I463">VLOOKUP($A463,Table_ship_components[],COLUMN(I:I),0)</f>
        <v>0</v>
      </c>
      <c r="J463" cm="1">
        <f t="array" ref="J463">VLOOKUP($A463,Table_ship_components[],COLUMN(J:J),0)</f>
        <v>0</v>
      </c>
      <c r="K463" cm="1">
        <f t="array" ref="K463">VLOOKUP($A463,Table_ship_components[],COLUMN(K:K),0)</f>
        <v>0</v>
      </c>
      <c r="L463" cm="1">
        <f t="array" ref="L463">VLOOKUP($A463,Table_ship_components[],COLUMN(L:L),0)</f>
        <v>0</v>
      </c>
      <c r="M463" cm="1">
        <f t="array" ref="M463">VLOOKUP($A463,Table_ship_components[],COLUMN(M:M),0)</f>
        <v>0</v>
      </c>
      <c r="N463" cm="1">
        <f t="array" ref="N463">VLOOKUP($A463,Table_ship_components[],COLUMN(N:N),0)</f>
        <v>0</v>
      </c>
      <c r="O463" cm="1">
        <f t="array" ref="O463">VLOOKUP($A463,Table_ship_components[],COLUMN(O:O),0)</f>
        <v>0</v>
      </c>
      <c r="P463" cm="1">
        <f t="array" ref="P463">VLOOKUP($A463,Table_ship_components[],COLUMN(P:P),0)</f>
        <v>0</v>
      </c>
      <c r="Q463" cm="1">
        <f t="array" ref="Q463">VLOOKUP($A463,Table_ship_components[],COLUMN(Q:Q),0)</f>
        <v>0</v>
      </c>
      <c r="R463" cm="1">
        <f t="array" ref="R463">VLOOKUP($A463,Table_ship_components[],COLUMN(R:R),0)</f>
        <v>0</v>
      </c>
      <c r="S463" cm="1">
        <f t="array" ref="S463">VLOOKUP($A463,Table_ship_components[],COLUMN(S:S),0)</f>
        <v>0</v>
      </c>
      <c r="T463" cm="1">
        <f t="array" ref="T463">VLOOKUP($A463,Table_ship_components[],COLUMN(T:T),0)</f>
        <v>0</v>
      </c>
      <c r="U463" cm="1">
        <f t="array" ref="U463">VLOOKUP($A463,Table_ship_components[],COLUMN(U:U),0)</f>
        <v>0</v>
      </c>
      <c r="V463" cm="1">
        <f t="array" ref="V463">VLOOKUP($A463,Table_ship_components[],COLUMN(V:V),0)</f>
        <v>0</v>
      </c>
      <c r="W463" s="15" cm="1">
        <f t="array" ref="W463">VLOOKUP($A463,Table_ship_components[],COLUMN(W:W),0)</f>
        <v>0</v>
      </c>
      <c r="X463" cm="1">
        <f t="array" ref="X463">VLOOKUP($A463,Table_ship_components[],COLUMN(X:X),0)</f>
        <v>0</v>
      </c>
      <c r="Y463" cm="1">
        <f t="array" ref="Y463">VLOOKUP($A463,Table_ship_components[],COLUMN(Y:Y),0)</f>
        <v>0</v>
      </c>
      <c r="Z463" cm="1">
        <f t="array" ref="Z463">VLOOKUP($A463,Table_ship_components[],COLUMN(Z:Z),0)</f>
        <v>0</v>
      </c>
      <c r="AA463" cm="1">
        <f t="array" ref="AA463">VLOOKUP($A463,Table_ship_components[],COLUMN(AA:AA),0)*C463</f>
        <v>0</v>
      </c>
      <c r="AB463">
        <f t="shared" si="40"/>
        <v>0</v>
      </c>
      <c r="AC463" cm="1">
        <f t="array" ref="AC463">VLOOKUP($A463,Table_ship_components[],COLUMN(AC:AC),0)*C463</f>
        <v>0</v>
      </c>
      <c r="AD463" cm="1">
        <f t="array" ref="AD463">VLOOKUP($A463,Table_ship_components[],COLUMN(AD:AD),0)</f>
        <v>0</v>
      </c>
      <c r="AE463" cm="1">
        <f t="array" ref="AE463">VLOOKUP($A463,Table_ship_components[],COLUMN(AE:AE),0)</f>
        <v>0</v>
      </c>
      <c r="AF463" cm="1">
        <f t="array" ref="AF463">VLOOKUP($A463,Table_ship_components[],COLUMN(AF:AF),0)</f>
        <v>0</v>
      </c>
      <c r="AG463" cm="1">
        <f t="array" ref="AG463">VLOOKUP($A463,Table_ship_components[],COLUMN(AG:AG),0)</f>
        <v>0</v>
      </c>
      <c r="AH463" cm="1">
        <f t="array" ref="AH463">VLOOKUP($A463,Table_ship_components[],COLUMN(AH:AH),0)</f>
        <v>0</v>
      </c>
      <c r="AI463" cm="1">
        <f t="array" ref="AI463">VLOOKUP($A463,Table_ship_components[],COLUMN(AI:AI),0)</f>
        <v>0</v>
      </c>
      <c r="AJ463" cm="1">
        <f t="array" ref="AJ463">VLOOKUP($A463,Table_ship_components[],COLUMN(AJ:AJ),0)</f>
        <v>0</v>
      </c>
      <c r="AK463" cm="1">
        <f t="array" ref="AK463">VLOOKUP($A463,Table_ship_components[],COLUMN(AK:AK),0)</f>
        <v>0</v>
      </c>
      <c r="AL463" cm="1">
        <f t="array" ref="AL463">VLOOKUP($A463,Table_ship_components[],COLUMN(AL:AL),0)</f>
        <v>0</v>
      </c>
      <c r="AM463" cm="1">
        <f t="array" ref="AM463">VLOOKUP($A463,Table_ship_components[],COLUMN(AM:AM),0)</f>
        <v>0</v>
      </c>
      <c r="AN463" cm="1">
        <f t="array" ref="AN463">VLOOKUP($A463,Table_ship_components[],COLUMN(AN:AN),0)</f>
        <v>0</v>
      </c>
      <c r="AO463" cm="1">
        <f t="array" ref="AO463">VLOOKUP($A463,Table_ship_components[],COLUMN(AO:AO),0)</f>
        <v>0</v>
      </c>
      <c r="AP463" cm="1">
        <f t="array" ref="AP463">VLOOKUP($A463,Table_ship_components[],COLUMN(AP:AP),0)</f>
        <v>0</v>
      </c>
      <c r="AQ463" cm="1">
        <f t="array" ref="AQ463">VLOOKUP($A463,Table_ship_components[],COLUMN(AQ:AQ),0)</f>
        <v>0</v>
      </c>
      <c r="AR463" cm="1">
        <f t="array" ref="AR463">VLOOKUP($A463,Table_ship_components[],COLUMN(AR:AR),0)</f>
        <v>0</v>
      </c>
      <c r="AS463" cm="1">
        <f t="array" ref="AS463">VLOOKUP($A463,Table_ship_components[],COLUMN(AS:AS),0)</f>
        <v>0</v>
      </c>
      <c r="AT463" cm="1">
        <f t="array" ref="AT463">VLOOKUP($A463,Table_ship_components[],COLUMN(AT:AT),0)</f>
        <v>0</v>
      </c>
      <c r="AU463" s="2" cm="1">
        <f t="array" ref="AU463">VLOOKUP($A463,Table_ship_components[],COLUMN(AU:AU),0)</f>
        <v>0</v>
      </c>
      <c r="AV463" s="2" cm="1">
        <f t="array" ref="AV463">VLOOKUP($A463,Table_ship_components[],COLUMN(AV:AV),0)</f>
        <v>0</v>
      </c>
      <c r="AW463" s="2" cm="1">
        <f t="array" ref="AW463">VLOOKUP($A463,Table_ship_components[],COLUMN(AW:AW),0)</f>
        <v>0</v>
      </c>
      <c r="AX463" s="2" cm="1">
        <f t="array" ref="AX463">VLOOKUP($A463,Table_ship_components[],COLUMN(AX:AX),0)</f>
        <v>0</v>
      </c>
      <c r="AY463" s="2" cm="1">
        <f t="array" ref="AY463">VLOOKUP($A463,Table_ship_components[],COLUMN(AY:AY),0)</f>
        <v>0</v>
      </c>
      <c r="AZ463" s="2" t="str" cm="1">
        <f t="array" ref="AZ463">VLOOKUP($A463,Table_ship_components[],COLUMN(AZ:AZ),0)</f>
        <v>C</v>
      </c>
      <c r="BA463" s="14" cm="1">
        <f t="array" ref="BA463">VLOOKUP($A463,Table_ship_components[],COLUMN(BA:BA),0)</f>
        <v>0</v>
      </c>
      <c r="BB463" s="14" cm="1">
        <f t="array" ref="BB463">(VLOOKUP($A463,Table_ship_components[],COLUMN(BA:BA),0)+(W463*C463))</f>
        <v>0</v>
      </c>
      <c r="BC463" s="2" cm="1">
        <f t="array" ref="BC463">VLOOKUP($A463,Table_ship_components[],COLUMN(BC:BC),0)</f>
        <v>0</v>
      </c>
      <c r="BD463" s="2" cm="1">
        <f t="array" ref="BD463">VLOOKUP($A463,Table_ship_components[],COLUMN(BD:BD),0)</f>
        <v>0</v>
      </c>
    </row>
    <row r="464" spans="1:56" outlineLevel="1" x14ac:dyDescent="0.35">
      <c r="A464" t="s">
        <v>288</v>
      </c>
      <c r="B464" t="str" cm="1">
        <f t="array" ref="B464">VLOOKUP($A464,Table_ship_components[],COLUMN(B:B),0)</f>
        <v>PICK A COMPONENT</v>
      </c>
      <c r="D464" cm="1">
        <f t="array" ref="D464">VLOOKUP($A464,Table_ship_components[],COLUMN(D:D),0)</f>
        <v>0</v>
      </c>
      <c r="E464" cm="1">
        <f t="array" ref="E464">ROUND(VLOOKUP($A464,Table_ship_components[],COLUMN(D:D),0)+(V464*C464),0)</f>
        <v>0</v>
      </c>
      <c r="F464" cm="1">
        <f t="array" ref="F464">VLOOKUP($A464,Table_ship_components[],COLUMN(F:F),0)</f>
        <v>0</v>
      </c>
      <c r="G464" cm="1">
        <f t="array" ref="G464">ROUND(VLOOKUP($A464,Table_ship_components[],COLUMN(G:G),0)+(X464*C464),0)</f>
        <v>0</v>
      </c>
      <c r="H464" cm="1">
        <f t="array" ref="H464">VLOOKUP($A464,Table_ship_components[],COLUMN(H:H),0)</f>
        <v>0</v>
      </c>
      <c r="I464" cm="1">
        <f t="array" ref="I464">VLOOKUP($A464,Table_ship_components[],COLUMN(I:I),0)</f>
        <v>0</v>
      </c>
      <c r="J464" cm="1">
        <f t="array" ref="J464">VLOOKUP($A464,Table_ship_components[],COLUMN(J:J),0)</f>
        <v>0</v>
      </c>
      <c r="K464" cm="1">
        <f t="array" ref="K464">VLOOKUP($A464,Table_ship_components[],COLUMN(K:K),0)</f>
        <v>0</v>
      </c>
      <c r="L464" cm="1">
        <f t="array" ref="L464">VLOOKUP($A464,Table_ship_components[],COLUMN(L:L),0)</f>
        <v>0</v>
      </c>
      <c r="M464" cm="1">
        <f t="array" ref="M464">VLOOKUP($A464,Table_ship_components[],COLUMN(M:M),0)</f>
        <v>0</v>
      </c>
      <c r="N464" cm="1">
        <f t="array" ref="N464">VLOOKUP($A464,Table_ship_components[],COLUMN(N:N),0)</f>
        <v>0</v>
      </c>
      <c r="O464" cm="1">
        <f t="array" ref="O464">VLOOKUP($A464,Table_ship_components[],COLUMN(O:O),0)</f>
        <v>0</v>
      </c>
      <c r="P464" cm="1">
        <f t="array" ref="P464">VLOOKUP($A464,Table_ship_components[],COLUMN(P:P),0)</f>
        <v>0</v>
      </c>
      <c r="Q464" cm="1">
        <f t="array" ref="Q464">VLOOKUP($A464,Table_ship_components[],COLUMN(Q:Q),0)</f>
        <v>0</v>
      </c>
      <c r="R464" cm="1">
        <f t="array" ref="R464">VLOOKUP($A464,Table_ship_components[],COLUMN(R:R),0)</f>
        <v>0</v>
      </c>
      <c r="S464" cm="1">
        <f t="array" ref="S464">VLOOKUP($A464,Table_ship_components[],COLUMN(S:S),0)</f>
        <v>0</v>
      </c>
      <c r="T464" cm="1">
        <f t="array" ref="T464">VLOOKUP($A464,Table_ship_components[],COLUMN(T:T),0)</f>
        <v>0</v>
      </c>
      <c r="U464" cm="1">
        <f t="array" ref="U464">VLOOKUP($A464,Table_ship_components[],COLUMN(U:U),0)</f>
        <v>0</v>
      </c>
      <c r="V464" cm="1">
        <f t="array" ref="V464">VLOOKUP($A464,Table_ship_components[],COLUMN(V:V),0)</f>
        <v>0</v>
      </c>
      <c r="W464" s="15" cm="1">
        <f t="array" ref="W464">VLOOKUP($A464,Table_ship_components[],COLUMN(W:W),0)</f>
        <v>0</v>
      </c>
      <c r="X464" cm="1">
        <f t="array" ref="X464">VLOOKUP($A464,Table_ship_components[],COLUMN(X:X),0)</f>
        <v>0</v>
      </c>
      <c r="Y464" cm="1">
        <f t="array" ref="Y464">VLOOKUP($A464,Table_ship_components[],COLUMN(Y:Y),0)</f>
        <v>0</v>
      </c>
      <c r="Z464" cm="1">
        <f t="array" ref="Z464">VLOOKUP($A464,Table_ship_components[],COLUMN(Z:Z),0)</f>
        <v>0</v>
      </c>
      <c r="AA464" cm="1">
        <f t="array" ref="AA464">VLOOKUP($A464,Table_ship_components[],COLUMN(AA:AA),0)*C464</f>
        <v>0</v>
      </c>
      <c r="AB464">
        <f t="shared" si="40"/>
        <v>0</v>
      </c>
      <c r="AC464" cm="1">
        <f t="array" ref="AC464">VLOOKUP($A464,Table_ship_components[],COLUMN(AC:AC),0)*C464</f>
        <v>0</v>
      </c>
      <c r="AD464" cm="1">
        <f t="array" ref="AD464">VLOOKUP($A464,Table_ship_components[],COLUMN(AD:AD),0)</f>
        <v>0</v>
      </c>
      <c r="AE464" cm="1">
        <f t="array" ref="AE464">VLOOKUP($A464,Table_ship_components[],COLUMN(AE:AE),0)</f>
        <v>0</v>
      </c>
      <c r="AF464" cm="1">
        <f t="array" ref="AF464">VLOOKUP($A464,Table_ship_components[],COLUMN(AF:AF),0)</f>
        <v>0</v>
      </c>
      <c r="AG464" cm="1">
        <f t="array" ref="AG464">VLOOKUP($A464,Table_ship_components[],COLUMN(AG:AG),0)</f>
        <v>0</v>
      </c>
      <c r="AH464" cm="1">
        <f t="array" ref="AH464">VLOOKUP($A464,Table_ship_components[],COLUMN(AH:AH),0)</f>
        <v>0</v>
      </c>
      <c r="AI464" cm="1">
        <f t="array" ref="AI464">VLOOKUP($A464,Table_ship_components[],COLUMN(AI:AI),0)</f>
        <v>0</v>
      </c>
      <c r="AJ464" cm="1">
        <f t="array" ref="AJ464">VLOOKUP($A464,Table_ship_components[],COLUMN(AJ:AJ),0)</f>
        <v>0</v>
      </c>
      <c r="AK464" cm="1">
        <f t="array" ref="AK464">VLOOKUP($A464,Table_ship_components[],COLUMN(AK:AK),0)</f>
        <v>0</v>
      </c>
      <c r="AL464" cm="1">
        <f t="array" ref="AL464">VLOOKUP($A464,Table_ship_components[],COLUMN(AL:AL),0)</f>
        <v>0</v>
      </c>
      <c r="AM464" cm="1">
        <f t="array" ref="AM464">VLOOKUP($A464,Table_ship_components[],COLUMN(AM:AM),0)</f>
        <v>0</v>
      </c>
      <c r="AN464" cm="1">
        <f t="array" ref="AN464">VLOOKUP($A464,Table_ship_components[],COLUMN(AN:AN),0)</f>
        <v>0</v>
      </c>
      <c r="AO464" cm="1">
        <f t="array" ref="AO464">VLOOKUP($A464,Table_ship_components[],COLUMN(AO:AO),0)</f>
        <v>0</v>
      </c>
      <c r="AP464" cm="1">
        <f t="array" ref="AP464">VLOOKUP($A464,Table_ship_components[],COLUMN(AP:AP),0)</f>
        <v>0</v>
      </c>
      <c r="AQ464" cm="1">
        <f t="array" ref="AQ464">VLOOKUP($A464,Table_ship_components[],COLUMN(AQ:AQ),0)</f>
        <v>0</v>
      </c>
      <c r="AR464" cm="1">
        <f t="array" ref="AR464">VLOOKUP($A464,Table_ship_components[],COLUMN(AR:AR),0)</f>
        <v>0</v>
      </c>
      <c r="AS464" cm="1">
        <f t="array" ref="AS464">VLOOKUP($A464,Table_ship_components[],COLUMN(AS:AS),0)</f>
        <v>0</v>
      </c>
      <c r="AT464" cm="1">
        <f t="array" ref="AT464">VLOOKUP($A464,Table_ship_components[],COLUMN(AT:AT),0)</f>
        <v>0</v>
      </c>
      <c r="AU464" s="2" cm="1">
        <f t="array" ref="AU464">VLOOKUP($A464,Table_ship_components[],COLUMN(AU:AU),0)</f>
        <v>0</v>
      </c>
      <c r="AV464" s="2" cm="1">
        <f t="array" ref="AV464">VLOOKUP($A464,Table_ship_components[],COLUMN(AV:AV),0)</f>
        <v>0</v>
      </c>
      <c r="AW464" s="2" cm="1">
        <f t="array" ref="AW464">VLOOKUP($A464,Table_ship_components[],COLUMN(AW:AW),0)</f>
        <v>0</v>
      </c>
      <c r="AX464" s="2" cm="1">
        <f t="array" ref="AX464">VLOOKUP($A464,Table_ship_components[],COLUMN(AX:AX),0)</f>
        <v>0</v>
      </c>
      <c r="AY464" s="2" cm="1">
        <f t="array" ref="AY464">VLOOKUP($A464,Table_ship_components[],COLUMN(AY:AY),0)</f>
        <v>0</v>
      </c>
      <c r="AZ464" s="2" t="str" cm="1">
        <f t="array" ref="AZ464">VLOOKUP($A464,Table_ship_components[],COLUMN(AZ:AZ),0)</f>
        <v>C</v>
      </c>
      <c r="BA464" s="14" cm="1">
        <f t="array" ref="BA464">VLOOKUP($A464,Table_ship_components[],COLUMN(BA:BA),0)</f>
        <v>0</v>
      </c>
      <c r="BB464" s="14" cm="1">
        <f t="array" ref="BB464">(VLOOKUP($A464,Table_ship_components[],COLUMN(BA:BA),0)+(W464*C464))</f>
        <v>0</v>
      </c>
      <c r="BC464" s="2" cm="1">
        <f t="array" ref="BC464">VLOOKUP($A464,Table_ship_components[],COLUMN(BC:BC),0)</f>
        <v>0</v>
      </c>
      <c r="BD464" s="2" cm="1">
        <f t="array" ref="BD464">VLOOKUP($A464,Table_ship_components[],COLUMN(BD:BD),0)</f>
        <v>0</v>
      </c>
    </row>
    <row r="465" spans="1:56" outlineLevel="1" x14ac:dyDescent="0.35">
      <c r="A465" t="s">
        <v>332</v>
      </c>
      <c r="B465" t="str" cm="1">
        <f t="array" ref="B465">VLOOKUP($A465,Table_ship_components[],COLUMN(B:B),0)</f>
        <v>fighter life support</v>
      </c>
      <c r="C465" s="2">
        <v>1</v>
      </c>
      <c r="D465" cm="1">
        <f t="array" ref="D465">VLOOKUP($A465,Table_ship_components[],COLUMN(D:D),0)</f>
        <v>3</v>
      </c>
      <c r="E465" cm="1">
        <f t="array" ref="E465">ROUND(VLOOKUP($A465,Table_ship_components[],COLUMN(D:D),0)+(V465*C465),0)</f>
        <v>3</v>
      </c>
      <c r="F465" cm="1">
        <f t="array" ref="F465">VLOOKUP($A465,Table_ship_components[],COLUMN(F:F),0)</f>
        <v>2</v>
      </c>
      <c r="G465" cm="1">
        <f t="array" ref="G465">ROUND(VLOOKUP($A465,Table_ship_components[],COLUMN(G:G),0)+(X465*C465),0)</f>
        <v>2</v>
      </c>
      <c r="H465" cm="1">
        <f t="array" ref="H465">VLOOKUP($A465,Table_ship_components[],COLUMN(H:H),0)</f>
        <v>0</v>
      </c>
      <c r="I465" cm="1">
        <f t="array" ref="I465">VLOOKUP($A465,Table_ship_components[],COLUMN(I:I),0)</f>
        <v>0</v>
      </c>
      <c r="J465" cm="1">
        <f t="array" ref="J465">VLOOKUP($A465,Table_ship_components[],COLUMN(J:J),0)</f>
        <v>0</v>
      </c>
      <c r="K465" cm="1">
        <f t="array" ref="K465">VLOOKUP($A465,Table_ship_components[],COLUMN(K:K),0)</f>
        <v>0</v>
      </c>
      <c r="L465" cm="1">
        <f t="array" ref="L465">VLOOKUP($A465,Table_ship_components[],COLUMN(L:L),0)</f>
        <v>0</v>
      </c>
      <c r="M465" cm="1">
        <f t="array" ref="M465">VLOOKUP($A465,Table_ship_components[],COLUMN(M:M),0)</f>
        <v>0</v>
      </c>
      <c r="N465" cm="1">
        <f t="array" ref="N465">VLOOKUP($A465,Table_ship_components[],COLUMN(N:N),0)</f>
        <v>1</v>
      </c>
      <c r="O465" cm="1">
        <f t="array" ref="O465">VLOOKUP($A465,Table_ship_components[],COLUMN(O:O),0)</f>
        <v>0</v>
      </c>
      <c r="P465" cm="1">
        <f t="array" ref="P465">VLOOKUP($A465,Table_ship_components[],COLUMN(P:P),0)</f>
        <v>0</v>
      </c>
      <c r="Q465" cm="1">
        <f t="array" ref="Q465">VLOOKUP($A465,Table_ship_components[],COLUMN(Q:Q),0)</f>
        <v>0</v>
      </c>
      <c r="R465" cm="1">
        <f t="array" ref="R465">VLOOKUP($A465,Table_ship_components[],COLUMN(R:R),0)</f>
        <v>0</v>
      </c>
      <c r="S465" cm="1">
        <f t="array" ref="S465">VLOOKUP($A465,Table_ship_components[],COLUMN(S:S),0)</f>
        <v>0</v>
      </c>
      <c r="T465" cm="1">
        <f t="array" ref="T465">VLOOKUP($A465,Table_ship_components[],COLUMN(T:T),0)</f>
        <v>0</v>
      </c>
      <c r="U465" cm="1">
        <f t="array" ref="U465">VLOOKUP($A465,Table_ship_components[],COLUMN(U:U),0)</f>
        <v>1</v>
      </c>
      <c r="V465" cm="1">
        <f t="array" ref="V465">VLOOKUP($A465,Table_ship_components[],COLUMN(V:V),0)</f>
        <v>0.1</v>
      </c>
      <c r="W465" s="15" cm="1">
        <f t="array" ref="W465">VLOOKUP($A465,Table_ship_components[],COLUMN(W:W),0)</f>
        <v>3000</v>
      </c>
      <c r="X465" cm="1">
        <f t="array" ref="X465">VLOOKUP($A465,Table_ship_components[],COLUMN(X:X),0)</f>
        <v>0.1</v>
      </c>
      <c r="Y465" cm="1">
        <f t="array" ref="Y465">VLOOKUP($A465,Table_ship_components[],COLUMN(Y:Y),0)</f>
        <v>0</v>
      </c>
      <c r="Z465" cm="1">
        <f t="array" ref="Z465">VLOOKUP($A465,Table_ship_components[],COLUMN(Z:Z),0)</f>
        <v>0</v>
      </c>
      <c r="AA465" cm="1">
        <f t="array" ref="AA465">VLOOKUP($A465,Table_ship_components[],COLUMN(AA:AA),0)*C465</f>
        <v>0</v>
      </c>
      <c r="AB465">
        <f t="shared" si="40"/>
        <v>0</v>
      </c>
      <c r="AC465" cm="1">
        <f t="array" ref="AC465">VLOOKUP($A465,Table_ship_components[],COLUMN(AC:AC),0)*C465</f>
        <v>1</v>
      </c>
      <c r="AD465" cm="1">
        <f t="array" ref="AD465">VLOOKUP($A465,Table_ship_components[],COLUMN(AD:AD),0)</f>
        <v>10</v>
      </c>
      <c r="AE465" cm="1">
        <f t="array" ref="AE465">VLOOKUP($A465,Table_ship_components[],COLUMN(AE:AE),0)</f>
        <v>0</v>
      </c>
      <c r="AF465" cm="1">
        <f t="array" ref="AF465">VLOOKUP($A465,Table_ship_components[],COLUMN(AF:AF),0)</f>
        <v>0</v>
      </c>
      <c r="AG465" cm="1">
        <f t="array" ref="AG465">VLOOKUP($A465,Table_ship_components[],COLUMN(AG:AG),0)</f>
        <v>0</v>
      </c>
      <c r="AH465" cm="1">
        <f t="array" ref="AH465">VLOOKUP($A465,Table_ship_components[],COLUMN(AH:AH),0)</f>
        <v>0</v>
      </c>
      <c r="AI465" cm="1">
        <f t="array" ref="AI465">VLOOKUP($A465,Table_ship_components[],COLUMN(AI:AI),0)</f>
        <v>0</v>
      </c>
      <c r="AJ465" cm="1">
        <f t="array" ref="AJ465">VLOOKUP($A465,Table_ship_components[],COLUMN(AJ:AJ),0)</f>
        <v>0</v>
      </c>
      <c r="AK465" cm="1">
        <f t="array" ref="AK465">VLOOKUP($A465,Table_ship_components[],COLUMN(AK:AK),0)</f>
        <v>0</v>
      </c>
      <c r="AL465" cm="1">
        <f t="array" ref="AL465">VLOOKUP($A465,Table_ship_components[],COLUMN(AL:AL),0)</f>
        <v>0</v>
      </c>
      <c r="AM465" cm="1">
        <f t="array" ref="AM465">VLOOKUP($A465,Table_ship_components[],COLUMN(AM:AM),0)</f>
        <v>0</v>
      </c>
      <c r="AN465" cm="1">
        <f t="array" ref="AN465">VLOOKUP($A465,Table_ship_components[],COLUMN(AN:AN),0)</f>
        <v>0</v>
      </c>
      <c r="AO465" cm="1">
        <f t="array" ref="AO465">VLOOKUP($A465,Table_ship_components[],COLUMN(AO:AO),0)</f>
        <v>0</v>
      </c>
      <c r="AP465" cm="1">
        <f t="array" ref="AP465">VLOOKUP($A465,Table_ship_components[],COLUMN(AP:AP),0)</f>
        <v>0</v>
      </c>
      <c r="AQ465" cm="1">
        <f t="array" ref="AQ465">VLOOKUP($A465,Table_ship_components[],COLUMN(AQ:AQ),0)</f>
        <v>0</v>
      </c>
      <c r="AR465" cm="1">
        <f t="array" ref="AR465">VLOOKUP($A465,Table_ship_components[],COLUMN(AR:AR),0)</f>
        <v>0</v>
      </c>
      <c r="AS465" cm="1">
        <f t="array" ref="AS465">VLOOKUP($A465,Table_ship_components[],COLUMN(AS:AS),0)</f>
        <v>0</v>
      </c>
      <c r="AT465" cm="1">
        <f t="array" ref="AT465">VLOOKUP($A465,Table_ship_components[],COLUMN(AT:AT),0)</f>
        <v>0</v>
      </c>
      <c r="AU465" s="2" cm="1">
        <f t="array" ref="AU465">VLOOKUP($A465,Table_ship_components[],COLUMN(AU:AU),0)</f>
        <v>0</v>
      </c>
      <c r="AV465" s="2" cm="1">
        <f t="array" ref="AV465">VLOOKUP($A465,Table_ship_components[],COLUMN(AV:AV),0)</f>
        <v>0</v>
      </c>
      <c r="AW465" s="2" cm="1">
        <f t="array" ref="AW465">VLOOKUP($A465,Table_ship_components[],COLUMN(AW:AW),0)</f>
        <v>0</v>
      </c>
      <c r="AX465" s="2" cm="1">
        <f t="array" ref="AX465">VLOOKUP($A465,Table_ship_components[],COLUMN(AX:AX),0)</f>
        <v>0</v>
      </c>
      <c r="AY465" s="2" cm="1">
        <f t="array" ref="AY465">VLOOKUP($A465,Table_ship_components[],COLUMN(AY:AY),0)</f>
        <v>0</v>
      </c>
      <c r="AZ465" s="2" t="str" cm="1">
        <f t="array" ref="AZ465">VLOOKUP($A465,Table_ship_components[],COLUMN(AZ:AZ),0)</f>
        <v>C</v>
      </c>
      <c r="BA465" s="14" cm="1">
        <f t="array" ref="BA465">VLOOKUP($A465,Table_ship_components[],COLUMN(BA:BA),0)</f>
        <v>30000</v>
      </c>
      <c r="BB465" s="14" cm="1">
        <f t="array" ref="BB465">(VLOOKUP($A465,Table_ship_components[],COLUMN(BA:BA),0)+(W465*C465))</f>
        <v>33000</v>
      </c>
      <c r="BC465" s="2" cm="1">
        <f t="array" ref="BC465">VLOOKUP($A465,Table_ship_components[],COLUMN(BC:BC),0)</f>
        <v>0</v>
      </c>
      <c r="BD465" s="2" cm="1">
        <f t="array" ref="BD465">VLOOKUP($A465,Table_ship_components[],COLUMN(BD:BD),0)</f>
        <v>0</v>
      </c>
    </row>
    <row r="466" spans="1:56" outlineLevel="1" x14ac:dyDescent="0.35">
      <c r="A466" t="s">
        <v>736</v>
      </c>
      <c r="B466" t="str" cm="1">
        <f t="array" ref="B466">VLOOKUP($A466,Table_ship_components[],COLUMN(B:B),0)</f>
        <v>basic cockpit for fighters</v>
      </c>
      <c r="D466" cm="1">
        <f t="array" ref="D466">VLOOKUP($A466,Table_ship_components[],COLUMN(D:D),0)</f>
        <v>2</v>
      </c>
      <c r="E466" cm="1">
        <f t="array" ref="E466">ROUND(VLOOKUP($A466,Table_ship_components[],COLUMN(D:D),0)+(V466*C466),0)</f>
        <v>2</v>
      </c>
      <c r="F466" cm="1">
        <f t="array" ref="F466">VLOOKUP($A466,Table_ship_components[],COLUMN(F:F),0)</f>
        <v>1</v>
      </c>
      <c r="G466" cm="1">
        <f t="array" ref="G466">ROUND(VLOOKUP($A466,Table_ship_components[],COLUMN(G:G),0)+(X466*C466),0)</f>
        <v>1</v>
      </c>
      <c r="H466" cm="1">
        <f t="array" ref="H466">VLOOKUP($A466,Table_ship_components[],COLUMN(H:H),0)</f>
        <v>0</v>
      </c>
      <c r="I466" cm="1">
        <f t="array" ref="I466">VLOOKUP($A466,Table_ship_components[],COLUMN(I:I),0)</f>
        <v>0</v>
      </c>
      <c r="J466" cm="1">
        <f t="array" ref="J466">VLOOKUP($A466,Table_ship_components[],COLUMN(J:J),0)</f>
        <v>0</v>
      </c>
      <c r="K466" cm="1">
        <f t="array" ref="K466">VLOOKUP($A466,Table_ship_components[],COLUMN(K:K),0)</f>
        <v>0</v>
      </c>
      <c r="L466" cm="1">
        <f t="array" ref="L466">VLOOKUP($A466,Table_ship_components[],COLUMN(L:L),0)</f>
        <v>0</v>
      </c>
      <c r="M466" cm="1">
        <f t="array" ref="M466">VLOOKUP($A466,Table_ship_components[],COLUMN(M:M),0)</f>
        <v>0</v>
      </c>
      <c r="N466" cm="1">
        <f t="array" ref="N466">VLOOKUP($A466,Table_ship_components[],COLUMN(N:N),0)</f>
        <v>1</v>
      </c>
      <c r="O466" cm="1">
        <f t="array" ref="O466">VLOOKUP($A466,Table_ship_components[],COLUMN(O:O),0)</f>
        <v>0</v>
      </c>
      <c r="P466" cm="1">
        <f t="array" ref="P466">VLOOKUP($A466,Table_ship_components[],COLUMN(P:P),0)</f>
        <v>0</v>
      </c>
      <c r="Q466" cm="1">
        <f t="array" ref="Q466">VLOOKUP($A466,Table_ship_components[],COLUMN(Q:Q),0)</f>
        <v>0</v>
      </c>
      <c r="R466" cm="1">
        <f t="array" ref="R466">VLOOKUP($A466,Table_ship_components[],COLUMN(R:R),0)</f>
        <v>0</v>
      </c>
      <c r="S466" cm="1">
        <f t="array" ref="S466">VLOOKUP($A466,Table_ship_components[],COLUMN(S:S),0)</f>
        <v>0</v>
      </c>
      <c r="T466" cm="1">
        <f t="array" ref="T466">VLOOKUP($A466,Table_ship_components[],COLUMN(T:T),0)</f>
        <v>0</v>
      </c>
      <c r="U466" cm="1">
        <f t="array" ref="U466">VLOOKUP($A466,Table_ship_components[],COLUMN(U:U),0)</f>
        <v>0</v>
      </c>
      <c r="V466" cm="1">
        <f t="array" ref="V466">VLOOKUP($A466,Table_ship_components[],COLUMN(V:V),0)</f>
        <v>0</v>
      </c>
      <c r="W466" s="15" cm="1">
        <f t="array" ref="W466">VLOOKUP($A466,Table_ship_components[],COLUMN(W:W),0)</f>
        <v>0</v>
      </c>
      <c r="X466" cm="1">
        <f t="array" ref="X466">VLOOKUP($A466,Table_ship_components[],COLUMN(X:X),0)</f>
        <v>1</v>
      </c>
      <c r="Y466" cm="1">
        <f t="array" ref="Y466">VLOOKUP($A466,Table_ship_components[],COLUMN(Y:Y),0)</f>
        <v>1</v>
      </c>
      <c r="Z466" cm="1">
        <f t="array" ref="Z466">VLOOKUP($A466,Table_ship_components[],COLUMN(Z:Z),0)</f>
        <v>1</v>
      </c>
      <c r="AA466" cm="1">
        <f t="array" ref="AA466">VLOOKUP($A466,Table_ship_components[],COLUMN(AA:AA),0)*C466</f>
        <v>0</v>
      </c>
      <c r="AB466">
        <f t="shared" si="40"/>
        <v>0</v>
      </c>
      <c r="AC466" cm="1">
        <f t="array" ref="AC466">VLOOKUP($A466,Table_ship_components[],COLUMN(AC:AC),0)*C466</f>
        <v>0</v>
      </c>
      <c r="AD466" cm="1">
        <f t="array" ref="AD466">VLOOKUP($A466,Table_ship_components[],COLUMN(AD:AD),0)</f>
        <v>0</v>
      </c>
      <c r="AE466" cm="1">
        <f t="array" ref="AE466">VLOOKUP($A466,Table_ship_components[],COLUMN(AE:AE),0)</f>
        <v>0</v>
      </c>
      <c r="AF466" cm="1">
        <f t="array" ref="AF466">VLOOKUP($A466,Table_ship_components[],COLUMN(AF:AF),0)</f>
        <v>0</v>
      </c>
      <c r="AG466" cm="1">
        <f t="array" ref="AG466">VLOOKUP($A466,Table_ship_components[],COLUMN(AG:AG),0)</f>
        <v>0</v>
      </c>
      <c r="AH466" cm="1">
        <f t="array" ref="AH466">VLOOKUP($A466,Table_ship_components[],COLUMN(AH:AH),0)</f>
        <v>0</v>
      </c>
      <c r="AI466" cm="1">
        <f t="array" ref="AI466">VLOOKUP($A466,Table_ship_components[],COLUMN(AI:AI),0)</f>
        <v>0</v>
      </c>
      <c r="AJ466" cm="1">
        <f t="array" ref="AJ466">VLOOKUP($A466,Table_ship_components[],COLUMN(AJ:AJ),0)</f>
        <v>0</v>
      </c>
      <c r="AK466" cm="1">
        <f t="array" ref="AK466">VLOOKUP($A466,Table_ship_components[],COLUMN(AK:AK),0)</f>
        <v>0</v>
      </c>
      <c r="AL466" cm="1">
        <f t="array" ref="AL466">VLOOKUP($A466,Table_ship_components[],COLUMN(AL:AL),0)</f>
        <v>0</v>
      </c>
      <c r="AM466" cm="1">
        <f t="array" ref="AM466">VLOOKUP($A466,Table_ship_components[],COLUMN(AM:AM),0)</f>
        <v>0</v>
      </c>
      <c r="AN466" cm="1">
        <f t="array" ref="AN466">VLOOKUP($A466,Table_ship_components[],COLUMN(AN:AN),0)</f>
        <v>0</v>
      </c>
      <c r="AO466" cm="1">
        <f t="array" ref="AO466">VLOOKUP($A466,Table_ship_components[],COLUMN(AO:AO),0)</f>
        <v>0</v>
      </c>
      <c r="AP466" cm="1">
        <f t="array" ref="AP466">VLOOKUP($A466,Table_ship_components[],COLUMN(AP:AP),0)</f>
        <v>0</v>
      </c>
      <c r="AQ466" cm="1">
        <f t="array" ref="AQ466">VLOOKUP($A466,Table_ship_components[],COLUMN(AQ:AQ),0)</f>
        <v>0</v>
      </c>
      <c r="AR466" cm="1">
        <f t="array" ref="AR466">VLOOKUP($A466,Table_ship_components[],COLUMN(AR:AR),0)</f>
        <v>0</v>
      </c>
      <c r="AS466" cm="1">
        <f t="array" ref="AS466">VLOOKUP($A466,Table_ship_components[],COLUMN(AS:AS),0)</f>
        <v>0</v>
      </c>
      <c r="AT466" cm="1">
        <f t="array" ref="AT466">VLOOKUP($A466,Table_ship_components[],COLUMN(AT:AT),0)</f>
        <v>0</v>
      </c>
      <c r="AU466" s="2" cm="1">
        <f t="array" ref="AU466">VLOOKUP($A466,Table_ship_components[],COLUMN(AU:AU),0)</f>
        <v>0</v>
      </c>
      <c r="AV466" s="2" cm="1">
        <f t="array" ref="AV466">VLOOKUP($A466,Table_ship_components[],COLUMN(AV:AV),0)</f>
        <v>0</v>
      </c>
      <c r="AW466" s="2" cm="1">
        <f t="array" ref="AW466">VLOOKUP($A466,Table_ship_components[],COLUMN(AW:AW),0)</f>
        <v>0</v>
      </c>
      <c r="AX466" s="2" cm="1">
        <f t="array" ref="AX466">VLOOKUP($A466,Table_ship_components[],COLUMN(AX:AX),0)</f>
        <v>0</v>
      </c>
      <c r="AY466" s="2" cm="1">
        <f t="array" ref="AY466">VLOOKUP($A466,Table_ship_components[],COLUMN(AY:AY),0)</f>
        <v>0</v>
      </c>
      <c r="AZ466" s="2" t="str" cm="1">
        <f t="array" ref="AZ466">VLOOKUP($A466,Table_ship_components[],COLUMN(AZ:AZ),0)</f>
        <v>C</v>
      </c>
      <c r="BA466" s="14" cm="1">
        <f t="array" ref="BA466">VLOOKUP($A466,Table_ship_components[],COLUMN(BA:BA),0)</f>
        <v>50000</v>
      </c>
      <c r="BB466" s="14" cm="1">
        <f t="array" ref="BB466">(VLOOKUP($A466,Table_ship_components[],COLUMN(BA:BA),0)+(W466*C466))</f>
        <v>50000</v>
      </c>
      <c r="BC466" s="2" cm="1">
        <f t="array" ref="BC466">VLOOKUP($A466,Table_ship_components[],COLUMN(BC:BC),0)</f>
        <v>0</v>
      </c>
      <c r="BD466" s="2" cm="1">
        <f t="array" ref="BD466">VLOOKUP($A466,Table_ship_components[],COLUMN(BD:BD),0)</f>
        <v>0</v>
      </c>
    </row>
    <row r="467" spans="1:56" outlineLevel="1" x14ac:dyDescent="0.35">
      <c r="A467" s="18" t="s">
        <v>424</v>
      </c>
      <c r="B467" s="19" t="str">
        <f>CONCATENATE("SIZE ",(SUM(E468:E478)),"/",AX457,"  POWER ",(SUM(G468:G478)))</f>
        <v>SIZE 15/15  POWER 17</v>
      </c>
      <c r="AU467" s="2"/>
      <c r="AV467" s="2"/>
      <c r="AW467" s="2"/>
      <c r="AX467" s="2"/>
      <c r="AY467" s="2"/>
      <c r="AZ467" s="2"/>
      <c r="BA467" s="14"/>
      <c r="BB467" s="14"/>
      <c r="BC467" s="2"/>
      <c r="BD467" s="2"/>
    </row>
    <row r="468" spans="1:56" outlineLevel="1" x14ac:dyDescent="0.35">
      <c r="A468" t="s">
        <v>635</v>
      </c>
      <c r="B468" t="str" cm="1">
        <f t="array" ref="B468">VLOOKUP($A468,Table_ship_components[],COLUMN(B:B),0)</f>
        <v>high speed fighter balanced engine</v>
      </c>
      <c r="D468" cm="1">
        <f t="array" ref="D468">VLOOKUP($A468,Table_ship_components[],COLUMN(D:D),0)</f>
        <v>6</v>
      </c>
      <c r="E468" cm="1">
        <f t="array" ref="E468">ROUND(VLOOKUP($A468,Table_ship_components[],COLUMN(D:D),0)+(V468*C468),0)</f>
        <v>6</v>
      </c>
      <c r="F468" cm="1">
        <f t="array" ref="F468">VLOOKUP($A468,Table_ship_components[],COLUMN(F:F),0)</f>
        <v>7</v>
      </c>
      <c r="G468" cm="1">
        <f t="array" ref="G468">ROUND(VLOOKUP($A468,Table_ship_components[],COLUMN(G:G),0)+(X468*C468),0)</f>
        <v>7</v>
      </c>
      <c r="H468" cm="1">
        <f t="array" ref="H468">VLOOKUP($A468,Table_ship_components[],COLUMN(H:H),0)</f>
        <v>0</v>
      </c>
      <c r="I468" cm="1">
        <f t="array" ref="I468">VLOOKUP($A468,Table_ship_components[],COLUMN(I:I),0)</f>
        <v>0</v>
      </c>
      <c r="J468" cm="1">
        <f t="array" ref="J468">VLOOKUP($A468,Table_ship_components[],COLUMN(J:J),0)</f>
        <v>0</v>
      </c>
      <c r="K468" cm="1">
        <f t="array" ref="K468">VLOOKUP($A468,Table_ship_components[],COLUMN(K:K),0)</f>
        <v>0</v>
      </c>
      <c r="L468" cm="1">
        <f t="array" ref="L468">VLOOKUP($A468,Table_ship_components[],COLUMN(L:L),0)</f>
        <v>0</v>
      </c>
      <c r="M468" cm="1">
        <f t="array" ref="M468">VLOOKUP($A468,Table_ship_components[],COLUMN(M:M),0)</f>
        <v>0</v>
      </c>
      <c r="N468" cm="1">
        <f t="array" ref="N468">VLOOKUP($A468,Table_ship_components[],COLUMN(N:N),0)</f>
        <v>1</v>
      </c>
      <c r="O468" cm="1">
        <f t="array" ref="O468">VLOOKUP($A468,Table_ship_components[],COLUMN(O:O),0)</f>
        <v>0</v>
      </c>
      <c r="P468" cm="1">
        <f t="array" ref="P468">VLOOKUP($A468,Table_ship_components[],COLUMN(P:P),0)</f>
        <v>0</v>
      </c>
      <c r="Q468" cm="1">
        <f t="array" ref="Q468">VLOOKUP($A468,Table_ship_components[],COLUMN(Q:Q),0)</f>
        <v>0</v>
      </c>
      <c r="R468" cm="1">
        <f t="array" ref="R468">VLOOKUP($A468,Table_ship_components[],COLUMN(R:R),0)</f>
        <v>0</v>
      </c>
      <c r="S468" cm="1">
        <f t="array" ref="S468">VLOOKUP($A468,Table_ship_components[],COLUMN(S:S),0)</f>
        <v>0</v>
      </c>
      <c r="T468" cm="1">
        <f t="array" ref="T468">VLOOKUP($A468,Table_ship_components[],COLUMN(T:T),0)</f>
        <v>0</v>
      </c>
      <c r="U468" cm="1">
        <f t="array" ref="U468">VLOOKUP($A468,Table_ship_components[],COLUMN(U:U),0)</f>
        <v>0</v>
      </c>
      <c r="V468" cm="1">
        <f t="array" ref="V468">VLOOKUP($A468,Table_ship_components[],COLUMN(V:V),0)</f>
        <v>0</v>
      </c>
      <c r="W468" s="15" cm="1">
        <f t="array" ref="W468">VLOOKUP($A468,Table_ship_components[],COLUMN(W:W),0)</f>
        <v>0</v>
      </c>
      <c r="X468" cm="1">
        <f t="array" ref="X468">VLOOKUP($A468,Table_ship_components[],COLUMN(X:X),0)</f>
        <v>0</v>
      </c>
      <c r="Y468" cm="1">
        <f t="array" ref="Y468">VLOOKUP($A468,Table_ship_components[],COLUMN(Y:Y),0)</f>
        <v>0</v>
      </c>
      <c r="Z468" cm="1">
        <f t="array" ref="Z468">VLOOKUP($A468,Table_ship_components[],COLUMN(Z:Z),0)</f>
        <v>0</v>
      </c>
      <c r="AA468" cm="1">
        <f t="array" ref="AA468">VLOOKUP($A468,Table_ship_components[],COLUMN(AA:AA),0)*C468</f>
        <v>0</v>
      </c>
      <c r="AB468">
        <f t="shared" ref="AB468:AB477" si="41">IF(A468="CARGOSPACE_0-ALL_0-UNIVERSAL",C468,0)</f>
        <v>0</v>
      </c>
      <c r="AC468" cm="1">
        <f t="array" ref="AC468">VLOOKUP($A468,Table_ship_components[],COLUMN(AC:AC),0)*C468</f>
        <v>0</v>
      </c>
      <c r="AD468" cm="1">
        <f t="array" ref="AD468">VLOOKUP($A468,Table_ship_components[],COLUMN(AD:AD),0)</f>
        <v>0</v>
      </c>
      <c r="AE468" cm="1">
        <f t="array" ref="AE468">VLOOKUP($A468,Table_ship_components[],COLUMN(AE:AE),0)</f>
        <v>0</v>
      </c>
      <c r="AF468" cm="1">
        <f t="array" ref="AF468">VLOOKUP($A468,Table_ship_components[],COLUMN(AF:AF),0)</f>
        <v>0</v>
      </c>
      <c r="AG468" cm="1">
        <f t="array" ref="AG468">VLOOKUP($A468,Table_ship_components[],COLUMN(AG:AG),0)</f>
        <v>0</v>
      </c>
      <c r="AH468" cm="1">
        <f t="array" ref="AH468">VLOOKUP($A468,Table_ship_components[],COLUMN(AH:AH),0)</f>
        <v>0</v>
      </c>
      <c r="AI468" cm="1">
        <f t="array" ref="AI468">VLOOKUP($A468,Table_ship_components[],COLUMN(AI:AI),0)</f>
        <v>0</v>
      </c>
      <c r="AJ468" cm="1">
        <f t="array" ref="AJ468">VLOOKUP($A468,Table_ship_components[],COLUMN(AJ:AJ),0)</f>
        <v>0</v>
      </c>
      <c r="AK468" cm="1">
        <f t="array" ref="AK468">VLOOKUP($A468,Table_ship_components[],COLUMN(AK:AK),0)</f>
        <v>0</v>
      </c>
      <c r="AL468" cm="1">
        <f t="array" ref="AL468">VLOOKUP($A468,Table_ship_components[],COLUMN(AL:AL),0)</f>
        <v>3</v>
      </c>
      <c r="AM468" cm="1">
        <f t="array" ref="AM468">VLOOKUP($A468,Table_ship_components[],COLUMN(AM:AM),0)</f>
        <v>0</v>
      </c>
      <c r="AN468" cm="1">
        <f t="array" ref="AN468">VLOOKUP($A468,Table_ship_components[],COLUMN(AN:AN),0)</f>
        <v>0</v>
      </c>
      <c r="AO468" cm="1">
        <f t="array" ref="AO468">VLOOKUP($A468,Table_ship_components[],COLUMN(AO:AO),0)</f>
        <v>0</v>
      </c>
      <c r="AP468" cm="1">
        <f t="array" ref="AP468">VLOOKUP($A468,Table_ship_components[],COLUMN(AP:AP),0)</f>
        <v>0</v>
      </c>
      <c r="AQ468" cm="1">
        <f t="array" ref="AQ468">VLOOKUP($A468,Table_ship_components[],COLUMN(AQ:AQ),0)</f>
        <v>0</v>
      </c>
      <c r="AR468" cm="1">
        <f t="array" ref="AR468">VLOOKUP($A468,Table_ship_components[],COLUMN(AR:AR),0)</f>
        <v>1</v>
      </c>
      <c r="AS468" cm="1">
        <f t="array" ref="AS468">VLOOKUP($A468,Table_ship_components[],COLUMN(AS:AS),0)</f>
        <v>0</v>
      </c>
      <c r="AT468" cm="1">
        <f t="array" ref="AT468">VLOOKUP($A468,Table_ship_components[],COLUMN(AT:AT),0)</f>
        <v>0</v>
      </c>
      <c r="AU468" s="2" cm="1">
        <f t="array" ref="AU468">VLOOKUP($A468,Table_ship_components[],COLUMN(AU:AU),0)</f>
        <v>1</v>
      </c>
      <c r="AV468" s="2" cm="1">
        <f t="array" ref="AV468">VLOOKUP($A468,Table_ship_components[],COLUMN(AV:AV),0)</f>
        <v>0</v>
      </c>
      <c r="AW468" s="2" cm="1">
        <f t="array" ref="AW468">VLOOKUP($A468,Table_ship_components[],COLUMN(AW:AW),0)</f>
        <v>0</v>
      </c>
      <c r="AX468" s="2" cm="1">
        <f t="array" ref="AX468">VLOOKUP($A468,Table_ship_components[],COLUMN(AX:AX),0)</f>
        <v>0</v>
      </c>
      <c r="AY468" s="2" cm="1">
        <f t="array" ref="AY468">VLOOKUP($A468,Table_ship_components[],COLUMN(AY:AY),0)</f>
        <v>0</v>
      </c>
      <c r="AZ468" s="2" t="str" cm="1">
        <f t="array" ref="AZ468">VLOOKUP($A468,Table_ship_components[],COLUMN(AZ:AZ),0)</f>
        <v>C</v>
      </c>
      <c r="BA468" s="14" cm="1">
        <f t="array" ref="BA468">VLOOKUP($A468,Table_ship_components[],COLUMN(BA:BA),0)</f>
        <v>600000</v>
      </c>
      <c r="BB468" s="14" cm="1">
        <f t="array" ref="BB468">(VLOOKUP($A468,Table_ship_components[],COLUMN(BA:BA),0)+(W468*C468))</f>
        <v>600000</v>
      </c>
      <c r="BC468" s="2" cm="1">
        <f t="array" ref="BC468">VLOOKUP($A468,Table_ship_components[],COLUMN(BC:BC),0)</f>
        <v>0</v>
      </c>
      <c r="BD468" s="2" cm="1">
        <f t="array" ref="BD468">VLOOKUP($A468,Table_ship_components[],COLUMN(BD:BD),0)</f>
        <v>0</v>
      </c>
    </row>
    <row r="469" spans="1:56" outlineLevel="1" x14ac:dyDescent="0.35">
      <c r="A469" t="s">
        <v>339</v>
      </c>
      <c r="B469" t="str" cm="1">
        <f t="array" ref="B469">VLOOKUP($A469,Table_ship_components[],COLUMN(B:B),0)</f>
        <v>average fighter shield</v>
      </c>
      <c r="D469" cm="1">
        <f t="array" ref="D469">VLOOKUP($A469,Table_ship_components[],COLUMN(D:D),0)</f>
        <v>5</v>
      </c>
      <c r="E469" cm="1">
        <f t="array" ref="E469">ROUND(VLOOKUP($A469,Table_ship_components[],COLUMN(D:D),0)+(V469*C469),0)</f>
        <v>5</v>
      </c>
      <c r="F469" cm="1">
        <f t="array" ref="F469">VLOOKUP($A469,Table_ship_components[],COLUMN(F:F),0)</f>
        <v>5</v>
      </c>
      <c r="G469" cm="1">
        <f t="array" ref="G469">ROUND(VLOOKUP($A469,Table_ship_components[],COLUMN(G:G),0)+(X469*C469),0)</f>
        <v>5</v>
      </c>
      <c r="H469" cm="1">
        <f t="array" ref="H469">VLOOKUP($A469,Table_ship_components[],COLUMN(H:H),0)</f>
        <v>0</v>
      </c>
      <c r="I469" cm="1">
        <f t="array" ref="I469">VLOOKUP($A469,Table_ship_components[],COLUMN(I:I),0)</f>
        <v>0</v>
      </c>
      <c r="J469" cm="1">
        <f t="array" ref="J469">VLOOKUP($A469,Table_ship_components[],COLUMN(J:J),0)</f>
        <v>0</v>
      </c>
      <c r="K469" cm="1">
        <f t="array" ref="K469">VLOOKUP($A469,Table_ship_components[],COLUMN(K:K),0)</f>
        <v>25</v>
      </c>
      <c r="L469" cm="1">
        <f t="array" ref="L469">VLOOKUP($A469,Table_ship_components[],COLUMN(L:L),0)</f>
        <v>5</v>
      </c>
      <c r="M469" cm="1">
        <f t="array" ref="M469">VLOOKUP($A469,Table_ship_components[],COLUMN(M:M),0)</f>
        <v>0</v>
      </c>
      <c r="N469" cm="1">
        <f t="array" ref="N469">VLOOKUP($A469,Table_ship_components[],COLUMN(N:N),0)</f>
        <v>1</v>
      </c>
      <c r="O469" cm="1">
        <f t="array" ref="O469">VLOOKUP($A469,Table_ship_components[],COLUMN(O:O),0)</f>
        <v>0</v>
      </c>
      <c r="P469" cm="1">
        <f t="array" ref="P469">VLOOKUP($A469,Table_ship_components[],COLUMN(P:P),0)</f>
        <v>0</v>
      </c>
      <c r="Q469" cm="1">
        <f t="array" ref="Q469">VLOOKUP($A469,Table_ship_components[],COLUMN(Q:Q),0)</f>
        <v>0</v>
      </c>
      <c r="R469" cm="1">
        <f t="array" ref="R469">VLOOKUP($A469,Table_ship_components[],COLUMN(R:R),0)</f>
        <v>0</v>
      </c>
      <c r="S469" cm="1">
        <f t="array" ref="S469">VLOOKUP($A469,Table_ship_components[],COLUMN(S:S),0)</f>
        <v>0</v>
      </c>
      <c r="T469" cm="1">
        <f t="array" ref="T469">VLOOKUP($A469,Table_ship_components[],COLUMN(T:T),0)</f>
        <v>0</v>
      </c>
      <c r="U469" cm="1">
        <f t="array" ref="U469">VLOOKUP($A469,Table_ship_components[],COLUMN(U:U),0)</f>
        <v>0</v>
      </c>
      <c r="V469" cm="1">
        <f t="array" ref="V469">VLOOKUP($A469,Table_ship_components[],COLUMN(V:V),0)</f>
        <v>0</v>
      </c>
      <c r="W469" s="15" cm="1">
        <f t="array" ref="W469">VLOOKUP($A469,Table_ship_components[],COLUMN(W:W),0)</f>
        <v>0</v>
      </c>
      <c r="X469" cm="1">
        <f t="array" ref="X469">VLOOKUP($A469,Table_ship_components[],COLUMN(X:X),0)</f>
        <v>0</v>
      </c>
      <c r="Y469" cm="1">
        <f t="array" ref="Y469">VLOOKUP($A469,Table_ship_components[],COLUMN(Y:Y),0)</f>
        <v>0</v>
      </c>
      <c r="Z469" cm="1">
        <f t="array" ref="Z469">VLOOKUP($A469,Table_ship_components[],COLUMN(Z:Z),0)</f>
        <v>0</v>
      </c>
      <c r="AA469" cm="1">
        <f t="array" ref="AA469">VLOOKUP($A469,Table_ship_components[],COLUMN(AA:AA),0)*C469</f>
        <v>0</v>
      </c>
      <c r="AB469">
        <f t="shared" si="41"/>
        <v>0</v>
      </c>
      <c r="AC469" cm="1">
        <f t="array" ref="AC469">VLOOKUP($A469,Table_ship_components[],COLUMN(AC:AC),0)*C469</f>
        <v>0</v>
      </c>
      <c r="AD469" cm="1">
        <f t="array" ref="AD469">VLOOKUP($A469,Table_ship_components[],COLUMN(AD:AD),0)</f>
        <v>0</v>
      </c>
      <c r="AE469" cm="1">
        <f t="array" ref="AE469">VLOOKUP($A469,Table_ship_components[],COLUMN(AE:AE),0)</f>
        <v>0</v>
      </c>
      <c r="AF469" cm="1">
        <f t="array" ref="AF469">VLOOKUP($A469,Table_ship_components[],COLUMN(AF:AF),0)</f>
        <v>0</v>
      </c>
      <c r="AG469" cm="1">
        <f t="array" ref="AG469">VLOOKUP($A469,Table_ship_components[],COLUMN(AG:AG),0)</f>
        <v>0</v>
      </c>
      <c r="AH469" cm="1">
        <f t="array" ref="AH469">VLOOKUP($A469,Table_ship_components[],COLUMN(AH:AH),0)</f>
        <v>0</v>
      </c>
      <c r="AI469" cm="1">
        <f t="array" ref="AI469">VLOOKUP($A469,Table_ship_components[],COLUMN(AI:AI),0)</f>
        <v>0</v>
      </c>
      <c r="AJ469" cm="1">
        <f t="array" ref="AJ469">VLOOKUP($A469,Table_ship_components[],COLUMN(AJ:AJ),0)</f>
        <v>0</v>
      </c>
      <c r="AK469" cm="1">
        <f t="array" ref="AK469">VLOOKUP($A469,Table_ship_components[],COLUMN(AK:AK),0)</f>
        <v>0</v>
      </c>
      <c r="AL469" cm="1">
        <f t="array" ref="AL469">VLOOKUP($A469,Table_ship_components[],COLUMN(AL:AL),0)</f>
        <v>0</v>
      </c>
      <c r="AM469" cm="1">
        <f t="array" ref="AM469">VLOOKUP($A469,Table_ship_components[],COLUMN(AM:AM),0)</f>
        <v>0</v>
      </c>
      <c r="AN469" cm="1">
        <f t="array" ref="AN469">VLOOKUP($A469,Table_ship_components[],COLUMN(AN:AN),0)</f>
        <v>0</v>
      </c>
      <c r="AO469" cm="1">
        <f t="array" ref="AO469">VLOOKUP($A469,Table_ship_components[],COLUMN(AO:AO),0)</f>
        <v>0</v>
      </c>
      <c r="AP469" cm="1">
        <f t="array" ref="AP469">VLOOKUP($A469,Table_ship_components[],COLUMN(AP:AP),0)</f>
        <v>0</v>
      </c>
      <c r="AQ469" cm="1">
        <f t="array" ref="AQ469">VLOOKUP($A469,Table_ship_components[],COLUMN(AQ:AQ),0)</f>
        <v>0</v>
      </c>
      <c r="AR469" cm="1">
        <f t="array" ref="AR469">VLOOKUP($A469,Table_ship_components[],COLUMN(AR:AR),0)</f>
        <v>0</v>
      </c>
      <c r="AS469" cm="1">
        <f t="array" ref="AS469">VLOOKUP($A469,Table_ship_components[],COLUMN(AS:AS),0)</f>
        <v>0</v>
      </c>
      <c r="AT469" cm="1">
        <f t="array" ref="AT469">VLOOKUP($A469,Table_ship_components[],COLUMN(AT:AT),0)</f>
        <v>0</v>
      </c>
      <c r="AU469" s="2" cm="1">
        <f t="array" ref="AU469">VLOOKUP($A469,Table_ship_components[],COLUMN(AU:AU),0)</f>
        <v>0</v>
      </c>
      <c r="AV469" s="2" cm="1">
        <f t="array" ref="AV469">VLOOKUP($A469,Table_ship_components[],COLUMN(AV:AV),0)</f>
        <v>0</v>
      </c>
      <c r="AW469" s="2" cm="1">
        <f t="array" ref="AW469">VLOOKUP($A469,Table_ship_components[],COLUMN(AW:AW),0)</f>
        <v>0</v>
      </c>
      <c r="AX469" s="2" cm="1">
        <f t="array" ref="AX469">VLOOKUP($A469,Table_ship_components[],COLUMN(AX:AX),0)</f>
        <v>0</v>
      </c>
      <c r="AY469" s="2" cm="1">
        <f t="array" ref="AY469">VLOOKUP($A469,Table_ship_components[],COLUMN(AY:AY),0)</f>
        <v>0</v>
      </c>
      <c r="AZ469" s="2" t="str" cm="1">
        <f t="array" ref="AZ469">VLOOKUP($A469,Table_ship_components[],COLUMN(AZ:AZ),0)</f>
        <v>C</v>
      </c>
      <c r="BA469" s="14" cm="1">
        <f t="array" ref="BA469">VLOOKUP($A469,Table_ship_components[],COLUMN(BA:BA),0)</f>
        <v>350000</v>
      </c>
      <c r="BB469" s="14" cm="1">
        <f t="array" ref="BB469">(VLOOKUP($A469,Table_ship_components[],COLUMN(BA:BA),0)+(W469*C469))</f>
        <v>350000</v>
      </c>
      <c r="BC469" s="2" t="str" cm="1">
        <f t="array" ref="BC469">VLOOKUP($A469,Table_ship_components[],COLUMN(BC:BC),0)</f>
        <v>UNCOMMON</v>
      </c>
      <c r="BD469" s="2" cm="1">
        <f t="array" ref="BD469">VLOOKUP($A469,Table_ship_components[],COLUMN(BD:BD),0)</f>
        <v>0</v>
      </c>
    </row>
    <row r="470" spans="1:56" outlineLevel="1" x14ac:dyDescent="0.35">
      <c r="A470" t="s">
        <v>400</v>
      </c>
      <c r="B470" t="str" cm="1">
        <f t="array" ref="B470">VLOOKUP($A470,Table_ship_components[],COLUMN(B:B),0)</f>
        <v>good fighter radar and scans</v>
      </c>
      <c r="D470" cm="1">
        <f t="array" ref="D470">VLOOKUP($A470,Table_ship_components[],COLUMN(D:D),0)</f>
        <v>3</v>
      </c>
      <c r="E470" cm="1">
        <f t="array" ref="E470">ROUND(VLOOKUP($A470,Table_ship_components[],COLUMN(D:D),0)+(V470*C470),0)</f>
        <v>3</v>
      </c>
      <c r="F470" cm="1">
        <f t="array" ref="F470">VLOOKUP($A470,Table_ship_components[],COLUMN(F:F),0)</f>
        <v>4</v>
      </c>
      <c r="G470" cm="1">
        <f t="array" ref="G470">ROUND(VLOOKUP($A470,Table_ship_components[],COLUMN(G:G),0)+(X470*C470),0)</f>
        <v>4</v>
      </c>
      <c r="H470" cm="1">
        <f t="array" ref="H470">VLOOKUP($A470,Table_ship_components[],COLUMN(H:H),0)</f>
        <v>0</v>
      </c>
      <c r="I470" cm="1">
        <f t="array" ref="I470">VLOOKUP($A470,Table_ship_components[],COLUMN(I:I),0)</f>
        <v>0</v>
      </c>
      <c r="J470" cm="1">
        <f t="array" ref="J470">VLOOKUP($A470,Table_ship_components[],COLUMN(J:J),0)</f>
        <v>0</v>
      </c>
      <c r="K470" cm="1">
        <f t="array" ref="K470">VLOOKUP($A470,Table_ship_components[],COLUMN(K:K),0)</f>
        <v>0</v>
      </c>
      <c r="L470" cm="1">
        <f t="array" ref="L470">VLOOKUP($A470,Table_ship_components[],COLUMN(L:L),0)</f>
        <v>0</v>
      </c>
      <c r="M470" cm="1">
        <f t="array" ref="M470">VLOOKUP($A470,Table_ship_components[],COLUMN(M:M),0)</f>
        <v>0</v>
      </c>
      <c r="N470" cm="1">
        <f t="array" ref="N470">VLOOKUP($A470,Table_ship_components[],COLUMN(N:N),0)</f>
        <v>1</v>
      </c>
      <c r="O470" cm="1">
        <f t="array" ref="O470">VLOOKUP($A470,Table_ship_components[],COLUMN(O:O),0)</f>
        <v>0</v>
      </c>
      <c r="P470" cm="1">
        <f t="array" ref="P470">VLOOKUP($A470,Table_ship_components[],COLUMN(P:P),0)</f>
        <v>0</v>
      </c>
      <c r="Q470" cm="1">
        <f t="array" ref="Q470">VLOOKUP($A470,Table_ship_components[],COLUMN(Q:Q),0)</f>
        <v>0</v>
      </c>
      <c r="R470" cm="1">
        <f t="array" ref="R470">VLOOKUP($A470,Table_ship_components[],COLUMN(R:R),0)</f>
        <v>0</v>
      </c>
      <c r="S470" cm="1">
        <f t="array" ref="S470">VLOOKUP($A470,Table_ship_components[],COLUMN(S:S),0)</f>
        <v>0</v>
      </c>
      <c r="T470" cm="1">
        <f t="array" ref="T470">VLOOKUP($A470,Table_ship_components[],COLUMN(T:T),0)</f>
        <v>0</v>
      </c>
      <c r="U470" cm="1">
        <f t="array" ref="U470">VLOOKUP($A470,Table_ship_components[],COLUMN(U:U),0)</f>
        <v>0</v>
      </c>
      <c r="V470" cm="1">
        <f t="array" ref="V470">VLOOKUP($A470,Table_ship_components[],COLUMN(V:V),0)</f>
        <v>0</v>
      </c>
      <c r="W470" s="15" cm="1">
        <f t="array" ref="W470">VLOOKUP($A470,Table_ship_components[],COLUMN(W:W),0)</f>
        <v>0</v>
      </c>
      <c r="X470" cm="1">
        <f t="array" ref="X470">VLOOKUP($A470,Table_ship_components[],COLUMN(X:X),0)</f>
        <v>0</v>
      </c>
      <c r="Y470" cm="1">
        <f t="array" ref="Y470">VLOOKUP($A470,Table_ship_components[],COLUMN(Y:Y),0)</f>
        <v>0</v>
      </c>
      <c r="Z470" cm="1">
        <f t="array" ref="Z470">VLOOKUP($A470,Table_ship_components[],COLUMN(Z:Z),0)</f>
        <v>0</v>
      </c>
      <c r="AA470" cm="1">
        <f t="array" ref="AA470">VLOOKUP($A470,Table_ship_components[],COLUMN(AA:AA),0)*C470</f>
        <v>0</v>
      </c>
      <c r="AB470">
        <f t="shared" si="41"/>
        <v>0</v>
      </c>
      <c r="AC470" cm="1">
        <f t="array" ref="AC470">VLOOKUP($A470,Table_ship_components[],COLUMN(AC:AC),0)*C470</f>
        <v>0</v>
      </c>
      <c r="AD470" cm="1">
        <f t="array" ref="AD470">VLOOKUP($A470,Table_ship_components[],COLUMN(AD:AD),0)</f>
        <v>0</v>
      </c>
      <c r="AE470" cm="1">
        <f t="array" ref="AE470">VLOOKUP($A470,Table_ship_components[],COLUMN(AE:AE),0)</f>
        <v>0</v>
      </c>
      <c r="AF470" cm="1">
        <f t="array" ref="AF470">VLOOKUP($A470,Table_ship_components[],COLUMN(AF:AF),0)</f>
        <v>0</v>
      </c>
      <c r="AG470" cm="1">
        <f t="array" ref="AG470">VLOOKUP($A470,Table_ship_components[],COLUMN(AG:AG),0)</f>
        <v>0</v>
      </c>
      <c r="AH470" cm="1">
        <f t="array" ref="AH470">VLOOKUP($A470,Table_ship_components[],COLUMN(AH:AH),0)</f>
        <v>2000</v>
      </c>
      <c r="AI470" cm="1">
        <f t="array" ref="AI470">VLOOKUP($A470,Table_ship_components[],COLUMN(AI:AI),0)</f>
        <v>10000</v>
      </c>
      <c r="AJ470" cm="1">
        <f t="array" ref="AJ470">VLOOKUP($A470,Table_ship_components[],COLUMN(AJ:AJ),0)</f>
        <v>0</v>
      </c>
      <c r="AK470" cm="1">
        <f t="array" ref="AK470">VLOOKUP($A470,Table_ship_components[],COLUMN(AK:AK),0)</f>
        <v>0</v>
      </c>
      <c r="AL470" cm="1">
        <f t="array" ref="AL470">VLOOKUP($A470,Table_ship_components[],COLUMN(AL:AL),0)</f>
        <v>0</v>
      </c>
      <c r="AM470" cm="1">
        <f t="array" ref="AM470">VLOOKUP($A470,Table_ship_components[],COLUMN(AM:AM),0)</f>
        <v>0</v>
      </c>
      <c r="AN470" cm="1">
        <f t="array" ref="AN470">VLOOKUP($A470,Table_ship_components[],COLUMN(AN:AN),0)</f>
        <v>0</v>
      </c>
      <c r="AO470" cm="1">
        <f t="array" ref="AO470">VLOOKUP($A470,Table_ship_components[],COLUMN(AO:AO),0)</f>
        <v>0</v>
      </c>
      <c r="AP470" cm="1">
        <f t="array" ref="AP470">VLOOKUP($A470,Table_ship_components[],COLUMN(AP:AP),0)</f>
        <v>0</v>
      </c>
      <c r="AQ470" cm="1">
        <f t="array" ref="AQ470">VLOOKUP($A470,Table_ship_components[],COLUMN(AQ:AQ),0)</f>
        <v>0</v>
      </c>
      <c r="AR470" cm="1">
        <f t="array" ref="AR470">VLOOKUP($A470,Table_ship_components[],COLUMN(AR:AR),0)</f>
        <v>0</v>
      </c>
      <c r="AS470" cm="1">
        <f t="array" ref="AS470">VLOOKUP($A470,Table_ship_components[],COLUMN(AS:AS),0)</f>
        <v>1</v>
      </c>
      <c r="AT470" cm="1">
        <f t="array" ref="AT470">VLOOKUP($A470,Table_ship_components[],COLUMN(AT:AT),0)</f>
        <v>0</v>
      </c>
      <c r="AU470" s="2" cm="1">
        <f t="array" ref="AU470">VLOOKUP($A470,Table_ship_components[],COLUMN(AU:AU),0)</f>
        <v>0</v>
      </c>
      <c r="AV470" s="2" cm="1">
        <f t="array" ref="AV470">VLOOKUP($A470,Table_ship_components[],COLUMN(AV:AV),0)</f>
        <v>0</v>
      </c>
      <c r="AW470" s="2" cm="1">
        <f t="array" ref="AW470">VLOOKUP($A470,Table_ship_components[],COLUMN(AW:AW),0)</f>
        <v>0</v>
      </c>
      <c r="AX470" s="2" cm="1">
        <f t="array" ref="AX470">VLOOKUP($A470,Table_ship_components[],COLUMN(AX:AX),0)</f>
        <v>0</v>
      </c>
      <c r="AY470" s="2" cm="1">
        <f t="array" ref="AY470">VLOOKUP($A470,Table_ship_components[],COLUMN(AY:AY),0)</f>
        <v>0</v>
      </c>
      <c r="AZ470" s="2" t="str" cm="1">
        <f t="array" ref="AZ470">VLOOKUP($A470,Table_ship_components[],COLUMN(AZ:AZ),0)</f>
        <v>C</v>
      </c>
      <c r="BA470" s="14" cm="1">
        <f t="array" ref="BA470">VLOOKUP($A470,Table_ship_components[],COLUMN(BA:BA),0)</f>
        <v>350000</v>
      </c>
      <c r="BB470" s="14" cm="1">
        <f t="array" ref="BB470">(VLOOKUP($A470,Table_ship_components[],COLUMN(BA:BA),0)+(W470*C470))</f>
        <v>350000</v>
      </c>
      <c r="BC470" s="2" cm="1">
        <f t="array" ref="BC470">VLOOKUP($A470,Table_ship_components[],COLUMN(BC:BC),0)</f>
        <v>0</v>
      </c>
      <c r="BD470" s="2" cm="1">
        <f t="array" ref="BD470">VLOOKUP($A470,Table_ship_components[],COLUMN(BD:BD),0)</f>
        <v>0</v>
      </c>
    </row>
    <row r="471" spans="1:56" outlineLevel="1" x14ac:dyDescent="0.35">
      <c r="A471" t="s">
        <v>437</v>
      </c>
      <c r="B471" t="str" cm="1">
        <f t="array" ref="B471">VLOOKUP($A471,Table_ship_components[],COLUMN(B:B),0)</f>
        <v>basic fighter warfare computer</v>
      </c>
      <c r="D471" cm="1">
        <f t="array" ref="D471">VLOOKUP($A471,Table_ship_components[],COLUMN(D:D),0)</f>
        <v>1</v>
      </c>
      <c r="E471" cm="1">
        <f t="array" ref="E471">ROUND(VLOOKUP($A471,Table_ship_components[],COLUMN(D:D),0)+(V471*C471),0)</f>
        <v>1</v>
      </c>
      <c r="F471" cm="1">
        <f t="array" ref="F471">VLOOKUP($A471,Table_ship_components[],COLUMN(F:F),0)</f>
        <v>1</v>
      </c>
      <c r="G471" cm="1">
        <f t="array" ref="G471">ROUND(VLOOKUP($A471,Table_ship_components[],COLUMN(G:G),0)+(X471*C471),0)</f>
        <v>1</v>
      </c>
      <c r="H471" cm="1">
        <f t="array" ref="H471">VLOOKUP($A471,Table_ship_components[],COLUMN(H:H),0)</f>
        <v>0</v>
      </c>
      <c r="I471" cm="1">
        <f t="array" ref="I471">VLOOKUP($A471,Table_ship_components[],COLUMN(I:I),0)</f>
        <v>0</v>
      </c>
      <c r="J471" cm="1">
        <f t="array" ref="J471">VLOOKUP($A471,Table_ship_components[],COLUMN(J:J),0)</f>
        <v>0</v>
      </c>
      <c r="K471" cm="1">
        <f t="array" ref="K471">VLOOKUP($A471,Table_ship_components[],COLUMN(K:K),0)</f>
        <v>0</v>
      </c>
      <c r="L471" cm="1">
        <f t="array" ref="L471">VLOOKUP($A471,Table_ship_components[],COLUMN(L:L),0)</f>
        <v>0</v>
      </c>
      <c r="M471" cm="1">
        <f t="array" ref="M471">VLOOKUP($A471,Table_ship_components[],COLUMN(M:M),0)</f>
        <v>0</v>
      </c>
      <c r="N471" cm="1">
        <f t="array" ref="N471">VLOOKUP($A471,Table_ship_components[],COLUMN(N:N),0)</f>
        <v>1</v>
      </c>
      <c r="O471" cm="1">
        <f t="array" ref="O471">VLOOKUP($A471,Table_ship_components[],COLUMN(O:O),0)</f>
        <v>0</v>
      </c>
      <c r="P471" cm="1">
        <f t="array" ref="P471">VLOOKUP($A471,Table_ship_components[],COLUMN(P:P),0)</f>
        <v>0</v>
      </c>
      <c r="Q471" cm="1">
        <f t="array" ref="Q471">VLOOKUP($A471,Table_ship_components[],COLUMN(Q:Q),0)</f>
        <v>0</v>
      </c>
      <c r="R471" cm="1">
        <f t="array" ref="R471">VLOOKUP($A471,Table_ship_components[],COLUMN(R:R),0)</f>
        <v>0</v>
      </c>
      <c r="S471" cm="1">
        <f t="array" ref="S471">VLOOKUP($A471,Table_ship_components[],COLUMN(S:S),0)</f>
        <v>0</v>
      </c>
      <c r="T471" cm="1">
        <f t="array" ref="T471">VLOOKUP($A471,Table_ship_components[],COLUMN(T:T),0)</f>
        <v>0</v>
      </c>
      <c r="U471" cm="1">
        <f t="array" ref="U471">VLOOKUP($A471,Table_ship_components[],COLUMN(U:U),0)</f>
        <v>0</v>
      </c>
      <c r="V471" cm="1">
        <f t="array" ref="V471">VLOOKUP($A471,Table_ship_components[],COLUMN(V:V),0)</f>
        <v>0</v>
      </c>
      <c r="W471" s="15" cm="1">
        <f t="array" ref="W471">VLOOKUP($A471,Table_ship_components[],COLUMN(W:W),0)</f>
        <v>0</v>
      </c>
      <c r="X471" cm="1">
        <f t="array" ref="X471">VLOOKUP($A471,Table_ship_components[],COLUMN(X:X),0)</f>
        <v>0</v>
      </c>
      <c r="Y471" cm="1">
        <f t="array" ref="Y471">VLOOKUP($A471,Table_ship_components[],COLUMN(Y:Y),0)</f>
        <v>0</v>
      </c>
      <c r="Z471" cm="1">
        <f t="array" ref="Z471">VLOOKUP($A471,Table_ship_components[],COLUMN(Z:Z),0)</f>
        <v>0</v>
      </c>
      <c r="AA471" cm="1">
        <f t="array" ref="AA471">VLOOKUP($A471,Table_ship_components[],COLUMN(AA:AA),0)*C471</f>
        <v>0</v>
      </c>
      <c r="AB471">
        <f t="shared" si="41"/>
        <v>0</v>
      </c>
      <c r="AC471" cm="1">
        <f t="array" ref="AC471">VLOOKUP($A471,Table_ship_components[],COLUMN(AC:AC),0)*C471</f>
        <v>0</v>
      </c>
      <c r="AD471" cm="1">
        <f t="array" ref="AD471">VLOOKUP($A471,Table_ship_components[],COLUMN(AD:AD),0)</f>
        <v>0</v>
      </c>
      <c r="AE471" cm="1">
        <f t="array" ref="AE471">VLOOKUP($A471,Table_ship_components[],COLUMN(AE:AE),0)</f>
        <v>0</v>
      </c>
      <c r="AF471" cm="1">
        <f t="array" ref="AF471">VLOOKUP($A471,Table_ship_components[],COLUMN(AF:AF),0)</f>
        <v>0</v>
      </c>
      <c r="AG471" cm="1">
        <f t="array" ref="AG471">VLOOKUP($A471,Table_ship_components[],COLUMN(AG:AG),0)</f>
        <v>0</v>
      </c>
      <c r="AH471" cm="1">
        <f t="array" ref="AH471">VLOOKUP($A471,Table_ship_components[],COLUMN(AH:AH),0)</f>
        <v>0</v>
      </c>
      <c r="AI471" cm="1">
        <f t="array" ref="AI471">VLOOKUP($A471,Table_ship_components[],COLUMN(AI:AI),0)</f>
        <v>0</v>
      </c>
      <c r="AJ471" cm="1">
        <f t="array" ref="AJ471">VLOOKUP($A471,Table_ship_components[],COLUMN(AJ:AJ),0)</f>
        <v>0</v>
      </c>
      <c r="AK471" cm="1">
        <f t="array" ref="AK471">VLOOKUP($A471,Table_ship_components[],COLUMN(AK:AK),0)</f>
        <v>0</v>
      </c>
      <c r="AL471" cm="1">
        <f t="array" ref="AL471">VLOOKUP($A471,Table_ship_components[],COLUMN(AL:AL),0)</f>
        <v>0</v>
      </c>
      <c r="AM471" cm="1">
        <f t="array" ref="AM471">VLOOKUP($A471,Table_ship_components[],COLUMN(AM:AM),0)</f>
        <v>0</v>
      </c>
      <c r="AN471" cm="1">
        <f t="array" ref="AN471">VLOOKUP($A471,Table_ship_components[],COLUMN(AN:AN),0)</f>
        <v>0</v>
      </c>
      <c r="AO471" cm="1">
        <f t="array" ref="AO471">VLOOKUP($A471,Table_ship_components[],COLUMN(AO:AO),0)</f>
        <v>0</v>
      </c>
      <c r="AP471" cm="1">
        <f t="array" ref="AP471">VLOOKUP($A471,Table_ship_components[],COLUMN(AP:AP),0)</f>
        <v>0</v>
      </c>
      <c r="AQ471" cm="1">
        <f t="array" ref="AQ471">VLOOKUP($A471,Table_ship_components[],COLUMN(AQ:AQ),0)</f>
        <v>0</v>
      </c>
      <c r="AR471" cm="1">
        <f t="array" ref="AR471">VLOOKUP($A471,Table_ship_components[],COLUMN(AR:AR),0)</f>
        <v>0</v>
      </c>
      <c r="AS471" cm="1">
        <f t="array" ref="AS471">VLOOKUP($A471,Table_ship_components[],COLUMN(AS:AS),0)</f>
        <v>0</v>
      </c>
      <c r="AT471" cm="1">
        <f t="array" ref="AT471">VLOOKUP($A471,Table_ship_components[],COLUMN(AT:AT),0)</f>
        <v>0</v>
      </c>
      <c r="AU471" s="2" cm="1">
        <f t="array" ref="AU471">VLOOKUP($A471,Table_ship_components[],COLUMN(AU:AU),0)</f>
        <v>-1</v>
      </c>
      <c r="AV471" s="2" cm="1">
        <f t="array" ref="AV471">VLOOKUP($A471,Table_ship_components[],COLUMN(AV:AV),0)</f>
        <v>0</v>
      </c>
      <c r="AW471" s="2" cm="1">
        <f t="array" ref="AW471">VLOOKUP($A471,Table_ship_components[],COLUMN(AW:AW),0)</f>
        <v>0</v>
      </c>
      <c r="AX471" s="2" cm="1">
        <f t="array" ref="AX471">VLOOKUP($A471,Table_ship_components[],COLUMN(AX:AX),0)</f>
        <v>0</v>
      </c>
      <c r="AY471" s="2" cm="1">
        <f t="array" ref="AY471">VLOOKUP($A471,Table_ship_components[],COLUMN(AY:AY),0)</f>
        <v>0</v>
      </c>
      <c r="AZ471" s="2" t="str" cm="1">
        <f t="array" ref="AZ471">VLOOKUP($A471,Table_ship_components[],COLUMN(AZ:AZ),0)</f>
        <v>C</v>
      </c>
      <c r="BA471" s="14" cm="1">
        <f t="array" ref="BA471">VLOOKUP($A471,Table_ship_components[],COLUMN(BA:BA),0)</f>
        <v>80000</v>
      </c>
      <c r="BB471" s="14" cm="1">
        <f t="array" ref="BB471">(VLOOKUP($A471,Table_ship_components[],COLUMN(BA:BA),0)+(W471*C471))</f>
        <v>80000</v>
      </c>
      <c r="BC471" s="2" cm="1">
        <f t="array" ref="BC471">VLOOKUP($A471,Table_ship_components[],COLUMN(BC:BC),0)</f>
        <v>0</v>
      </c>
      <c r="BD471" s="2" cm="1">
        <f t="array" ref="BD471">VLOOKUP($A471,Table_ship_components[],COLUMN(BD:BD),0)</f>
        <v>0</v>
      </c>
    </row>
    <row r="472" spans="1:56" outlineLevel="1" x14ac:dyDescent="0.35">
      <c r="A472" t="s">
        <v>288</v>
      </c>
      <c r="B472" t="str" cm="1">
        <f t="array" ref="B472">VLOOKUP($A472,Table_ship_components[],COLUMN(B:B),0)</f>
        <v>PICK A COMPONENT</v>
      </c>
      <c r="D472" cm="1">
        <f t="array" ref="D472">VLOOKUP($A472,Table_ship_components[],COLUMN(D:D),0)</f>
        <v>0</v>
      </c>
      <c r="E472" cm="1">
        <f t="array" ref="E472">ROUND(VLOOKUP($A472,Table_ship_components[],COLUMN(D:D),0)+(V472*C472),0)</f>
        <v>0</v>
      </c>
      <c r="F472" cm="1">
        <f t="array" ref="F472">VLOOKUP($A472,Table_ship_components[],COLUMN(F:F),0)</f>
        <v>0</v>
      </c>
      <c r="G472" cm="1">
        <f t="array" ref="G472">ROUND(VLOOKUP($A472,Table_ship_components[],COLUMN(G:G),0)+(X472*C472),0)</f>
        <v>0</v>
      </c>
      <c r="H472" cm="1">
        <f t="array" ref="H472">VLOOKUP($A472,Table_ship_components[],COLUMN(H:H),0)</f>
        <v>0</v>
      </c>
      <c r="I472" cm="1">
        <f t="array" ref="I472">VLOOKUP($A472,Table_ship_components[],COLUMN(I:I),0)</f>
        <v>0</v>
      </c>
      <c r="J472" cm="1">
        <f t="array" ref="J472">VLOOKUP($A472,Table_ship_components[],COLUMN(J:J),0)</f>
        <v>0</v>
      </c>
      <c r="K472" cm="1">
        <f t="array" ref="K472">VLOOKUP($A472,Table_ship_components[],COLUMN(K:K),0)</f>
        <v>0</v>
      </c>
      <c r="L472" cm="1">
        <f t="array" ref="L472">VLOOKUP($A472,Table_ship_components[],COLUMN(L:L),0)</f>
        <v>0</v>
      </c>
      <c r="M472" cm="1">
        <f t="array" ref="M472">VLOOKUP($A472,Table_ship_components[],COLUMN(M:M),0)</f>
        <v>0</v>
      </c>
      <c r="N472" cm="1">
        <f t="array" ref="N472">VLOOKUP($A472,Table_ship_components[],COLUMN(N:N),0)</f>
        <v>0</v>
      </c>
      <c r="O472" cm="1">
        <f t="array" ref="O472">VLOOKUP($A472,Table_ship_components[],COLUMN(O:O),0)</f>
        <v>0</v>
      </c>
      <c r="P472" cm="1">
        <f t="array" ref="P472">VLOOKUP($A472,Table_ship_components[],COLUMN(P:P),0)</f>
        <v>0</v>
      </c>
      <c r="Q472" cm="1">
        <f t="array" ref="Q472">VLOOKUP($A472,Table_ship_components[],COLUMN(Q:Q),0)</f>
        <v>0</v>
      </c>
      <c r="R472" cm="1">
        <f t="array" ref="R472">VLOOKUP($A472,Table_ship_components[],COLUMN(R:R),0)</f>
        <v>0</v>
      </c>
      <c r="S472" cm="1">
        <f t="array" ref="S472">VLOOKUP($A472,Table_ship_components[],COLUMN(S:S),0)</f>
        <v>0</v>
      </c>
      <c r="T472" cm="1">
        <f t="array" ref="T472">VLOOKUP($A472,Table_ship_components[],COLUMN(T:T),0)</f>
        <v>0</v>
      </c>
      <c r="U472" cm="1">
        <f t="array" ref="U472">VLOOKUP($A472,Table_ship_components[],COLUMN(U:U),0)</f>
        <v>0</v>
      </c>
      <c r="V472" cm="1">
        <f t="array" ref="V472">VLOOKUP($A472,Table_ship_components[],COLUMN(V:V),0)</f>
        <v>0</v>
      </c>
      <c r="W472" s="15" cm="1">
        <f t="array" ref="W472">VLOOKUP($A472,Table_ship_components[],COLUMN(W:W),0)</f>
        <v>0</v>
      </c>
      <c r="X472" cm="1">
        <f t="array" ref="X472">VLOOKUP($A472,Table_ship_components[],COLUMN(X:X),0)</f>
        <v>0</v>
      </c>
      <c r="Y472" cm="1">
        <f t="array" ref="Y472">VLOOKUP($A472,Table_ship_components[],COLUMN(Y:Y),0)</f>
        <v>0</v>
      </c>
      <c r="Z472" cm="1">
        <f t="array" ref="Z472">VLOOKUP($A472,Table_ship_components[],COLUMN(Z:Z),0)</f>
        <v>0</v>
      </c>
      <c r="AA472" cm="1">
        <f t="array" ref="AA472">VLOOKUP($A472,Table_ship_components[],COLUMN(AA:AA),0)*C472</f>
        <v>0</v>
      </c>
      <c r="AB472">
        <f t="shared" si="41"/>
        <v>0</v>
      </c>
      <c r="AC472" cm="1">
        <f t="array" ref="AC472">VLOOKUP($A472,Table_ship_components[],COLUMN(AC:AC),0)*C472</f>
        <v>0</v>
      </c>
      <c r="AD472" cm="1">
        <f t="array" ref="AD472">VLOOKUP($A472,Table_ship_components[],COLUMN(AD:AD),0)</f>
        <v>0</v>
      </c>
      <c r="AE472" cm="1">
        <f t="array" ref="AE472">VLOOKUP($A472,Table_ship_components[],COLUMN(AE:AE),0)</f>
        <v>0</v>
      </c>
      <c r="AF472" cm="1">
        <f t="array" ref="AF472">VLOOKUP($A472,Table_ship_components[],COLUMN(AF:AF),0)</f>
        <v>0</v>
      </c>
      <c r="AG472" cm="1">
        <f t="array" ref="AG472">VLOOKUP($A472,Table_ship_components[],COLUMN(AG:AG),0)</f>
        <v>0</v>
      </c>
      <c r="AH472" cm="1">
        <f t="array" ref="AH472">VLOOKUP($A472,Table_ship_components[],COLUMN(AH:AH),0)</f>
        <v>0</v>
      </c>
      <c r="AI472" cm="1">
        <f t="array" ref="AI472">VLOOKUP($A472,Table_ship_components[],COLUMN(AI:AI),0)</f>
        <v>0</v>
      </c>
      <c r="AJ472" cm="1">
        <f t="array" ref="AJ472">VLOOKUP($A472,Table_ship_components[],COLUMN(AJ:AJ),0)</f>
        <v>0</v>
      </c>
      <c r="AK472" cm="1">
        <f t="array" ref="AK472">VLOOKUP($A472,Table_ship_components[],COLUMN(AK:AK),0)</f>
        <v>0</v>
      </c>
      <c r="AL472" cm="1">
        <f t="array" ref="AL472">VLOOKUP($A472,Table_ship_components[],COLUMN(AL:AL),0)</f>
        <v>0</v>
      </c>
      <c r="AM472" cm="1">
        <f t="array" ref="AM472">VLOOKUP($A472,Table_ship_components[],COLUMN(AM:AM),0)</f>
        <v>0</v>
      </c>
      <c r="AN472" cm="1">
        <f t="array" ref="AN472">VLOOKUP($A472,Table_ship_components[],COLUMN(AN:AN),0)</f>
        <v>0</v>
      </c>
      <c r="AO472" cm="1">
        <f t="array" ref="AO472">VLOOKUP($A472,Table_ship_components[],COLUMN(AO:AO),0)</f>
        <v>0</v>
      </c>
      <c r="AP472" cm="1">
        <f t="array" ref="AP472">VLOOKUP($A472,Table_ship_components[],COLUMN(AP:AP),0)</f>
        <v>0</v>
      </c>
      <c r="AQ472" cm="1">
        <f t="array" ref="AQ472">VLOOKUP($A472,Table_ship_components[],COLUMN(AQ:AQ),0)</f>
        <v>0</v>
      </c>
      <c r="AR472" cm="1">
        <f t="array" ref="AR472">VLOOKUP($A472,Table_ship_components[],COLUMN(AR:AR),0)</f>
        <v>0</v>
      </c>
      <c r="AS472" cm="1">
        <f t="array" ref="AS472">VLOOKUP($A472,Table_ship_components[],COLUMN(AS:AS),0)</f>
        <v>0</v>
      </c>
      <c r="AT472" cm="1">
        <f t="array" ref="AT472">VLOOKUP($A472,Table_ship_components[],COLUMN(AT:AT),0)</f>
        <v>0</v>
      </c>
      <c r="AU472" s="2" cm="1">
        <f t="array" ref="AU472">VLOOKUP($A472,Table_ship_components[],COLUMN(AU:AU),0)</f>
        <v>0</v>
      </c>
      <c r="AV472" s="2" cm="1">
        <f t="array" ref="AV472">VLOOKUP($A472,Table_ship_components[],COLUMN(AV:AV),0)</f>
        <v>0</v>
      </c>
      <c r="AW472" s="2" cm="1">
        <f t="array" ref="AW472">VLOOKUP($A472,Table_ship_components[],COLUMN(AW:AW),0)</f>
        <v>0</v>
      </c>
      <c r="AX472" s="2" cm="1">
        <f t="array" ref="AX472">VLOOKUP($A472,Table_ship_components[],COLUMN(AX:AX),0)</f>
        <v>0</v>
      </c>
      <c r="AY472" s="2" cm="1">
        <f t="array" ref="AY472">VLOOKUP($A472,Table_ship_components[],COLUMN(AY:AY),0)</f>
        <v>0</v>
      </c>
      <c r="AZ472" s="2" t="str" cm="1">
        <f t="array" ref="AZ472">VLOOKUP($A472,Table_ship_components[],COLUMN(AZ:AZ),0)</f>
        <v>C</v>
      </c>
      <c r="BA472" s="14" cm="1">
        <f t="array" ref="BA472">VLOOKUP($A472,Table_ship_components[],COLUMN(BA:BA),0)</f>
        <v>0</v>
      </c>
      <c r="BB472" s="14" cm="1">
        <f t="array" ref="BB472">(VLOOKUP($A472,Table_ship_components[],COLUMN(BA:BA),0)+(W472*C472))</f>
        <v>0</v>
      </c>
      <c r="BC472" s="2" cm="1">
        <f t="array" ref="BC472">VLOOKUP($A472,Table_ship_components[],COLUMN(BC:BC),0)</f>
        <v>0</v>
      </c>
      <c r="BD472" s="2" cm="1">
        <f t="array" ref="BD472">VLOOKUP($A472,Table_ship_components[],COLUMN(BD:BD),0)</f>
        <v>0</v>
      </c>
    </row>
    <row r="473" spans="1:56" outlineLevel="1" x14ac:dyDescent="0.35">
      <c r="A473" t="s">
        <v>288</v>
      </c>
      <c r="B473" t="str" cm="1">
        <f t="array" ref="B473">VLOOKUP($A473,Table_ship_components[],COLUMN(B:B),0)</f>
        <v>PICK A COMPONENT</v>
      </c>
      <c r="D473" cm="1">
        <f t="array" ref="D473">VLOOKUP($A473,Table_ship_components[],COLUMN(D:D),0)</f>
        <v>0</v>
      </c>
      <c r="E473" cm="1">
        <f t="array" ref="E473">ROUND(VLOOKUP($A473,Table_ship_components[],COLUMN(D:D),0)+(V473*C473),0)</f>
        <v>0</v>
      </c>
      <c r="F473" cm="1">
        <f t="array" ref="F473">VLOOKUP($A473,Table_ship_components[],COLUMN(F:F),0)</f>
        <v>0</v>
      </c>
      <c r="G473" cm="1">
        <f t="array" ref="G473">ROUND(VLOOKUP($A473,Table_ship_components[],COLUMN(G:G),0)+(X473*C473),0)</f>
        <v>0</v>
      </c>
      <c r="H473" cm="1">
        <f t="array" ref="H473">VLOOKUP($A473,Table_ship_components[],COLUMN(H:H),0)</f>
        <v>0</v>
      </c>
      <c r="I473" cm="1">
        <f t="array" ref="I473">VLOOKUP($A473,Table_ship_components[],COLUMN(I:I),0)</f>
        <v>0</v>
      </c>
      <c r="J473" cm="1">
        <f t="array" ref="J473">VLOOKUP($A473,Table_ship_components[],COLUMN(J:J),0)</f>
        <v>0</v>
      </c>
      <c r="K473" cm="1">
        <f t="array" ref="K473">VLOOKUP($A473,Table_ship_components[],COLUMN(K:K),0)</f>
        <v>0</v>
      </c>
      <c r="L473" cm="1">
        <f t="array" ref="L473">VLOOKUP($A473,Table_ship_components[],COLUMN(L:L),0)</f>
        <v>0</v>
      </c>
      <c r="M473" cm="1">
        <f t="array" ref="M473">VLOOKUP($A473,Table_ship_components[],COLUMN(M:M),0)</f>
        <v>0</v>
      </c>
      <c r="N473" cm="1">
        <f t="array" ref="N473">VLOOKUP($A473,Table_ship_components[],COLUMN(N:N),0)</f>
        <v>0</v>
      </c>
      <c r="O473" cm="1">
        <f t="array" ref="O473">VLOOKUP($A473,Table_ship_components[],COLUMN(O:O),0)</f>
        <v>0</v>
      </c>
      <c r="P473" cm="1">
        <f t="array" ref="P473">VLOOKUP($A473,Table_ship_components[],COLUMN(P:P),0)</f>
        <v>0</v>
      </c>
      <c r="Q473" cm="1">
        <f t="array" ref="Q473">VLOOKUP($A473,Table_ship_components[],COLUMN(Q:Q),0)</f>
        <v>0</v>
      </c>
      <c r="R473" cm="1">
        <f t="array" ref="R473">VLOOKUP($A473,Table_ship_components[],COLUMN(R:R),0)</f>
        <v>0</v>
      </c>
      <c r="S473" cm="1">
        <f t="array" ref="S473">VLOOKUP($A473,Table_ship_components[],COLUMN(S:S),0)</f>
        <v>0</v>
      </c>
      <c r="T473" cm="1">
        <f t="array" ref="T473">VLOOKUP($A473,Table_ship_components[],COLUMN(T:T),0)</f>
        <v>0</v>
      </c>
      <c r="U473" cm="1">
        <f t="array" ref="U473">VLOOKUP($A473,Table_ship_components[],COLUMN(U:U),0)</f>
        <v>0</v>
      </c>
      <c r="V473" cm="1">
        <f t="array" ref="V473">VLOOKUP($A473,Table_ship_components[],COLUMN(V:V),0)</f>
        <v>0</v>
      </c>
      <c r="W473" s="15" cm="1">
        <f t="array" ref="W473">VLOOKUP($A473,Table_ship_components[],COLUMN(W:W),0)</f>
        <v>0</v>
      </c>
      <c r="X473" cm="1">
        <f t="array" ref="X473">VLOOKUP($A473,Table_ship_components[],COLUMN(X:X),0)</f>
        <v>0</v>
      </c>
      <c r="Y473" cm="1">
        <f t="array" ref="Y473">VLOOKUP($A473,Table_ship_components[],COLUMN(Y:Y),0)</f>
        <v>0</v>
      </c>
      <c r="Z473" cm="1">
        <f t="array" ref="Z473">VLOOKUP($A473,Table_ship_components[],COLUMN(Z:Z),0)</f>
        <v>0</v>
      </c>
      <c r="AA473" cm="1">
        <f t="array" ref="AA473">VLOOKUP($A473,Table_ship_components[],COLUMN(AA:AA),0)*C473</f>
        <v>0</v>
      </c>
      <c r="AB473">
        <f t="shared" si="41"/>
        <v>0</v>
      </c>
      <c r="AC473" cm="1">
        <f t="array" ref="AC473">VLOOKUP($A473,Table_ship_components[],COLUMN(AC:AC),0)*C473</f>
        <v>0</v>
      </c>
      <c r="AD473" cm="1">
        <f t="array" ref="AD473">VLOOKUP($A473,Table_ship_components[],COLUMN(AD:AD),0)</f>
        <v>0</v>
      </c>
      <c r="AE473" cm="1">
        <f t="array" ref="AE473">VLOOKUP($A473,Table_ship_components[],COLUMN(AE:AE),0)</f>
        <v>0</v>
      </c>
      <c r="AF473" cm="1">
        <f t="array" ref="AF473">VLOOKUP($A473,Table_ship_components[],COLUMN(AF:AF),0)</f>
        <v>0</v>
      </c>
      <c r="AG473" cm="1">
        <f t="array" ref="AG473">VLOOKUP($A473,Table_ship_components[],COLUMN(AG:AG),0)</f>
        <v>0</v>
      </c>
      <c r="AH473" cm="1">
        <f t="array" ref="AH473">VLOOKUP($A473,Table_ship_components[],COLUMN(AH:AH),0)</f>
        <v>0</v>
      </c>
      <c r="AI473" cm="1">
        <f t="array" ref="AI473">VLOOKUP($A473,Table_ship_components[],COLUMN(AI:AI),0)</f>
        <v>0</v>
      </c>
      <c r="AJ473" cm="1">
        <f t="array" ref="AJ473">VLOOKUP($A473,Table_ship_components[],COLUMN(AJ:AJ),0)</f>
        <v>0</v>
      </c>
      <c r="AK473" cm="1">
        <f t="array" ref="AK473">VLOOKUP($A473,Table_ship_components[],COLUMN(AK:AK),0)</f>
        <v>0</v>
      </c>
      <c r="AL473" cm="1">
        <f t="array" ref="AL473">VLOOKUP($A473,Table_ship_components[],COLUMN(AL:AL),0)</f>
        <v>0</v>
      </c>
      <c r="AM473" cm="1">
        <f t="array" ref="AM473">VLOOKUP($A473,Table_ship_components[],COLUMN(AM:AM),0)</f>
        <v>0</v>
      </c>
      <c r="AN473" cm="1">
        <f t="array" ref="AN473">VLOOKUP($A473,Table_ship_components[],COLUMN(AN:AN),0)</f>
        <v>0</v>
      </c>
      <c r="AO473" cm="1">
        <f t="array" ref="AO473">VLOOKUP($A473,Table_ship_components[],COLUMN(AO:AO),0)</f>
        <v>0</v>
      </c>
      <c r="AP473" cm="1">
        <f t="array" ref="AP473">VLOOKUP($A473,Table_ship_components[],COLUMN(AP:AP),0)</f>
        <v>0</v>
      </c>
      <c r="AQ473" cm="1">
        <f t="array" ref="AQ473">VLOOKUP($A473,Table_ship_components[],COLUMN(AQ:AQ),0)</f>
        <v>0</v>
      </c>
      <c r="AR473" cm="1">
        <f t="array" ref="AR473">VLOOKUP($A473,Table_ship_components[],COLUMN(AR:AR),0)</f>
        <v>0</v>
      </c>
      <c r="AS473" cm="1">
        <f t="array" ref="AS473">VLOOKUP($A473,Table_ship_components[],COLUMN(AS:AS),0)</f>
        <v>0</v>
      </c>
      <c r="AT473" cm="1">
        <f t="array" ref="AT473">VLOOKUP($A473,Table_ship_components[],COLUMN(AT:AT),0)</f>
        <v>0</v>
      </c>
      <c r="AU473" s="2" cm="1">
        <f t="array" ref="AU473">VLOOKUP($A473,Table_ship_components[],COLUMN(AU:AU),0)</f>
        <v>0</v>
      </c>
      <c r="AV473" s="2" cm="1">
        <f t="array" ref="AV473">VLOOKUP($A473,Table_ship_components[],COLUMN(AV:AV),0)</f>
        <v>0</v>
      </c>
      <c r="AW473" s="2" cm="1">
        <f t="array" ref="AW473">VLOOKUP($A473,Table_ship_components[],COLUMN(AW:AW),0)</f>
        <v>0</v>
      </c>
      <c r="AX473" s="2" cm="1">
        <f t="array" ref="AX473">VLOOKUP($A473,Table_ship_components[],COLUMN(AX:AX),0)</f>
        <v>0</v>
      </c>
      <c r="AY473" s="2" cm="1">
        <f t="array" ref="AY473">VLOOKUP($A473,Table_ship_components[],COLUMN(AY:AY),0)</f>
        <v>0</v>
      </c>
      <c r="AZ473" s="2" t="str" cm="1">
        <f t="array" ref="AZ473">VLOOKUP($A473,Table_ship_components[],COLUMN(AZ:AZ),0)</f>
        <v>C</v>
      </c>
      <c r="BA473" s="14" cm="1">
        <f t="array" ref="BA473">VLOOKUP($A473,Table_ship_components[],COLUMN(BA:BA),0)</f>
        <v>0</v>
      </c>
      <c r="BB473" s="14" cm="1">
        <f t="array" ref="BB473">(VLOOKUP($A473,Table_ship_components[],COLUMN(BA:BA),0)+(W473*C473))</f>
        <v>0</v>
      </c>
      <c r="BC473" s="2" cm="1">
        <f t="array" ref="BC473">VLOOKUP($A473,Table_ship_components[],COLUMN(BC:BC),0)</f>
        <v>0</v>
      </c>
      <c r="BD473" s="2" cm="1">
        <f t="array" ref="BD473">VLOOKUP($A473,Table_ship_components[],COLUMN(BD:BD),0)</f>
        <v>0</v>
      </c>
    </row>
    <row r="474" spans="1:56" outlineLevel="1" x14ac:dyDescent="0.35">
      <c r="A474" t="s">
        <v>288</v>
      </c>
      <c r="B474" t="str" cm="1">
        <f t="array" ref="B474">VLOOKUP($A474,Table_ship_components[],COLUMN(B:B),0)</f>
        <v>PICK A COMPONENT</v>
      </c>
      <c r="D474" cm="1">
        <f t="array" ref="D474">VLOOKUP($A474,Table_ship_components[],COLUMN(D:D),0)</f>
        <v>0</v>
      </c>
      <c r="E474" cm="1">
        <f t="array" ref="E474">ROUND(VLOOKUP($A474,Table_ship_components[],COLUMN(D:D),0)+(V474*C474),0)</f>
        <v>0</v>
      </c>
      <c r="F474" cm="1">
        <f t="array" ref="F474">VLOOKUP($A474,Table_ship_components[],COLUMN(F:F),0)</f>
        <v>0</v>
      </c>
      <c r="G474" cm="1">
        <f t="array" ref="G474">ROUND(VLOOKUP($A474,Table_ship_components[],COLUMN(G:G),0)+(X474*C474),0)</f>
        <v>0</v>
      </c>
      <c r="H474" cm="1">
        <f t="array" ref="H474">VLOOKUP($A474,Table_ship_components[],COLUMN(H:H),0)</f>
        <v>0</v>
      </c>
      <c r="I474" cm="1">
        <f t="array" ref="I474">VLOOKUP($A474,Table_ship_components[],COLUMN(I:I),0)</f>
        <v>0</v>
      </c>
      <c r="J474" cm="1">
        <f t="array" ref="J474">VLOOKUP($A474,Table_ship_components[],COLUMN(J:J),0)</f>
        <v>0</v>
      </c>
      <c r="K474" cm="1">
        <f t="array" ref="K474">VLOOKUP($A474,Table_ship_components[],COLUMN(K:K),0)</f>
        <v>0</v>
      </c>
      <c r="L474" cm="1">
        <f t="array" ref="L474">VLOOKUP($A474,Table_ship_components[],COLUMN(L:L),0)</f>
        <v>0</v>
      </c>
      <c r="M474" cm="1">
        <f t="array" ref="M474">VLOOKUP($A474,Table_ship_components[],COLUMN(M:M),0)</f>
        <v>0</v>
      </c>
      <c r="N474" cm="1">
        <f t="array" ref="N474">VLOOKUP($A474,Table_ship_components[],COLUMN(N:N),0)</f>
        <v>0</v>
      </c>
      <c r="O474" cm="1">
        <f t="array" ref="O474">VLOOKUP($A474,Table_ship_components[],COLUMN(O:O),0)</f>
        <v>0</v>
      </c>
      <c r="P474" cm="1">
        <f t="array" ref="P474">VLOOKUP($A474,Table_ship_components[],COLUMN(P:P),0)</f>
        <v>0</v>
      </c>
      <c r="Q474" cm="1">
        <f t="array" ref="Q474">VLOOKUP($A474,Table_ship_components[],COLUMN(Q:Q),0)</f>
        <v>0</v>
      </c>
      <c r="R474" cm="1">
        <f t="array" ref="R474">VLOOKUP($A474,Table_ship_components[],COLUMN(R:R),0)</f>
        <v>0</v>
      </c>
      <c r="S474" cm="1">
        <f t="array" ref="S474">VLOOKUP($A474,Table_ship_components[],COLUMN(S:S),0)</f>
        <v>0</v>
      </c>
      <c r="T474" cm="1">
        <f t="array" ref="T474">VLOOKUP($A474,Table_ship_components[],COLUMN(T:T),0)</f>
        <v>0</v>
      </c>
      <c r="U474" cm="1">
        <f t="array" ref="U474">VLOOKUP($A474,Table_ship_components[],COLUMN(U:U),0)</f>
        <v>0</v>
      </c>
      <c r="V474" cm="1">
        <f t="array" ref="V474">VLOOKUP($A474,Table_ship_components[],COLUMN(V:V),0)</f>
        <v>0</v>
      </c>
      <c r="W474" s="15" cm="1">
        <f t="array" ref="W474">VLOOKUP($A474,Table_ship_components[],COLUMN(W:W),0)</f>
        <v>0</v>
      </c>
      <c r="X474" cm="1">
        <f t="array" ref="X474">VLOOKUP($A474,Table_ship_components[],COLUMN(X:X),0)</f>
        <v>0</v>
      </c>
      <c r="Y474" cm="1">
        <f t="array" ref="Y474">VLOOKUP($A474,Table_ship_components[],COLUMN(Y:Y),0)</f>
        <v>0</v>
      </c>
      <c r="Z474" cm="1">
        <f t="array" ref="Z474">VLOOKUP($A474,Table_ship_components[],COLUMN(Z:Z),0)</f>
        <v>0</v>
      </c>
      <c r="AA474" cm="1">
        <f t="array" ref="AA474">VLOOKUP($A474,Table_ship_components[],COLUMN(AA:AA),0)*C474</f>
        <v>0</v>
      </c>
      <c r="AB474">
        <f t="shared" si="41"/>
        <v>0</v>
      </c>
      <c r="AC474" cm="1">
        <f t="array" ref="AC474">VLOOKUP($A474,Table_ship_components[],COLUMN(AC:AC),0)*C474</f>
        <v>0</v>
      </c>
      <c r="AD474" cm="1">
        <f t="array" ref="AD474">VLOOKUP($A474,Table_ship_components[],COLUMN(AD:AD),0)</f>
        <v>0</v>
      </c>
      <c r="AE474" cm="1">
        <f t="array" ref="AE474">VLOOKUP($A474,Table_ship_components[],COLUMN(AE:AE),0)</f>
        <v>0</v>
      </c>
      <c r="AF474" cm="1">
        <f t="array" ref="AF474">VLOOKUP($A474,Table_ship_components[],COLUMN(AF:AF),0)</f>
        <v>0</v>
      </c>
      <c r="AG474" cm="1">
        <f t="array" ref="AG474">VLOOKUP($A474,Table_ship_components[],COLUMN(AG:AG),0)</f>
        <v>0</v>
      </c>
      <c r="AH474" cm="1">
        <f t="array" ref="AH474">VLOOKUP($A474,Table_ship_components[],COLUMN(AH:AH),0)</f>
        <v>0</v>
      </c>
      <c r="AI474" cm="1">
        <f t="array" ref="AI474">VLOOKUP($A474,Table_ship_components[],COLUMN(AI:AI),0)</f>
        <v>0</v>
      </c>
      <c r="AJ474" cm="1">
        <f t="array" ref="AJ474">VLOOKUP($A474,Table_ship_components[],COLUMN(AJ:AJ),0)</f>
        <v>0</v>
      </c>
      <c r="AK474" cm="1">
        <f t="array" ref="AK474">VLOOKUP($A474,Table_ship_components[],COLUMN(AK:AK),0)</f>
        <v>0</v>
      </c>
      <c r="AL474" cm="1">
        <f t="array" ref="AL474">VLOOKUP($A474,Table_ship_components[],COLUMN(AL:AL),0)</f>
        <v>0</v>
      </c>
      <c r="AM474" cm="1">
        <f t="array" ref="AM474">VLOOKUP($A474,Table_ship_components[],COLUMN(AM:AM),0)</f>
        <v>0</v>
      </c>
      <c r="AN474" cm="1">
        <f t="array" ref="AN474">VLOOKUP($A474,Table_ship_components[],COLUMN(AN:AN),0)</f>
        <v>0</v>
      </c>
      <c r="AO474" cm="1">
        <f t="array" ref="AO474">VLOOKUP($A474,Table_ship_components[],COLUMN(AO:AO),0)</f>
        <v>0</v>
      </c>
      <c r="AP474" cm="1">
        <f t="array" ref="AP474">VLOOKUP($A474,Table_ship_components[],COLUMN(AP:AP),0)</f>
        <v>0</v>
      </c>
      <c r="AQ474" cm="1">
        <f t="array" ref="AQ474">VLOOKUP($A474,Table_ship_components[],COLUMN(AQ:AQ),0)</f>
        <v>0</v>
      </c>
      <c r="AR474" cm="1">
        <f t="array" ref="AR474">VLOOKUP($A474,Table_ship_components[],COLUMN(AR:AR),0)</f>
        <v>0</v>
      </c>
      <c r="AS474" cm="1">
        <f t="array" ref="AS474">VLOOKUP($A474,Table_ship_components[],COLUMN(AS:AS),0)</f>
        <v>0</v>
      </c>
      <c r="AT474" cm="1">
        <f t="array" ref="AT474">VLOOKUP($A474,Table_ship_components[],COLUMN(AT:AT),0)</f>
        <v>0</v>
      </c>
      <c r="AU474" s="2" cm="1">
        <f t="array" ref="AU474">VLOOKUP($A474,Table_ship_components[],COLUMN(AU:AU),0)</f>
        <v>0</v>
      </c>
      <c r="AV474" s="2" cm="1">
        <f t="array" ref="AV474">VLOOKUP($A474,Table_ship_components[],COLUMN(AV:AV),0)</f>
        <v>0</v>
      </c>
      <c r="AW474" s="2" cm="1">
        <f t="array" ref="AW474">VLOOKUP($A474,Table_ship_components[],COLUMN(AW:AW),0)</f>
        <v>0</v>
      </c>
      <c r="AX474" s="2" cm="1">
        <f t="array" ref="AX474">VLOOKUP($A474,Table_ship_components[],COLUMN(AX:AX),0)</f>
        <v>0</v>
      </c>
      <c r="AY474" s="2" cm="1">
        <f t="array" ref="AY474">VLOOKUP($A474,Table_ship_components[],COLUMN(AY:AY),0)</f>
        <v>0</v>
      </c>
      <c r="AZ474" s="2" t="str" cm="1">
        <f t="array" ref="AZ474">VLOOKUP($A474,Table_ship_components[],COLUMN(AZ:AZ),0)</f>
        <v>C</v>
      </c>
      <c r="BA474" s="14" cm="1">
        <f t="array" ref="BA474">VLOOKUP($A474,Table_ship_components[],COLUMN(BA:BA),0)</f>
        <v>0</v>
      </c>
      <c r="BB474" s="14" cm="1">
        <f t="array" ref="BB474">(VLOOKUP($A474,Table_ship_components[],COLUMN(BA:BA),0)+(W474*C474))</f>
        <v>0</v>
      </c>
      <c r="BC474" s="2" cm="1">
        <f t="array" ref="BC474">VLOOKUP($A474,Table_ship_components[],COLUMN(BC:BC),0)</f>
        <v>0</v>
      </c>
      <c r="BD474" s="2" cm="1">
        <f t="array" ref="BD474">VLOOKUP($A474,Table_ship_components[],COLUMN(BD:BD),0)</f>
        <v>0</v>
      </c>
    </row>
    <row r="475" spans="1:56" outlineLevel="1" x14ac:dyDescent="0.35">
      <c r="A475" t="s">
        <v>288</v>
      </c>
      <c r="B475" t="str" cm="1">
        <f t="array" ref="B475">VLOOKUP($A475,Table_ship_components[],COLUMN(B:B),0)</f>
        <v>PICK A COMPONENT</v>
      </c>
      <c r="D475" cm="1">
        <f t="array" ref="D475">VLOOKUP($A475,Table_ship_components[],COLUMN(D:D),0)</f>
        <v>0</v>
      </c>
      <c r="E475" cm="1">
        <f t="array" ref="E475">ROUND(VLOOKUP($A475,Table_ship_components[],COLUMN(D:D),0)+(V475*C475),0)</f>
        <v>0</v>
      </c>
      <c r="F475" cm="1">
        <f t="array" ref="F475">VLOOKUP($A475,Table_ship_components[],COLUMN(F:F),0)</f>
        <v>0</v>
      </c>
      <c r="G475" cm="1">
        <f t="array" ref="G475">ROUND(VLOOKUP($A475,Table_ship_components[],COLUMN(G:G),0)+(X475*C475),0)</f>
        <v>0</v>
      </c>
      <c r="H475" cm="1">
        <f t="array" ref="H475">VLOOKUP($A475,Table_ship_components[],COLUMN(H:H),0)</f>
        <v>0</v>
      </c>
      <c r="I475" cm="1">
        <f t="array" ref="I475">VLOOKUP($A475,Table_ship_components[],COLUMN(I:I),0)</f>
        <v>0</v>
      </c>
      <c r="J475" cm="1">
        <f t="array" ref="J475">VLOOKUP($A475,Table_ship_components[],COLUMN(J:J),0)</f>
        <v>0</v>
      </c>
      <c r="K475" cm="1">
        <f t="array" ref="K475">VLOOKUP($A475,Table_ship_components[],COLUMN(K:K),0)</f>
        <v>0</v>
      </c>
      <c r="L475" cm="1">
        <f t="array" ref="L475">VLOOKUP($A475,Table_ship_components[],COLUMN(L:L),0)</f>
        <v>0</v>
      </c>
      <c r="M475" cm="1">
        <f t="array" ref="M475">VLOOKUP($A475,Table_ship_components[],COLUMN(M:M),0)</f>
        <v>0</v>
      </c>
      <c r="N475" cm="1">
        <f t="array" ref="N475">VLOOKUP($A475,Table_ship_components[],COLUMN(N:N),0)</f>
        <v>0</v>
      </c>
      <c r="O475" cm="1">
        <f t="array" ref="O475">VLOOKUP($A475,Table_ship_components[],COLUMN(O:O),0)</f>
        <v>0</v>
      </c>
      <c r="P475" cm="1">
        <f t="array" ref="P475">VLOOKUP($A475,Table_ship_components[],COLUMN(P:P),0)</f>
        <v>0</v>
      </c>
      <c r="Q475" cm="1">
        <f t="array" ref="Q475">VLOOKUP($A475,Table_ship_components[],COLUMN(Q:Q),0)</f>
        <v>0</v>
      </c>
      <c r="R475" cm="1">
        <f t="array" ref="R475">VLOOKUP($A475,Table_ship_components[],COLUMN(R:R),0)</f>
        <v>0</v>
      </c>
      <c r="S475" cm="1">
        <f t="array" ref="S475">VLOOKUP($A475,Table_ship_components[],COLUMN(S:S),0)</f>
        <v>0</v>
      </c>
      <c r="T475" cm="1">
        <f t="array" ref="T475">VLOOKUP($A475,Table_ship_components[],COLUMN(T:T),0)</f>
        <v>0</v>
      </c>
      <c r="U475" cm="1">
        <f t="array" ref="U475">VLOOKUP($A475,Table_ship_components[],COLUMN(U:U),0)</f>
        <v>0</v>
      </c>
      <c r="V475" cm="1">
        <f t="array" ref="V475">VLOOKUP($A475,Table_ship_components[],COLUMN(V:V),0)</f>
        <v>0</v>
      </c>
      <c r="W475" s="15" cm="1">
        <f t="array" ref="W475">VLOOKUP($A475,Table_ship_components[],COLUMN(W:W),0)</f>
        <v>0</v>
      </c>
      <c r="X475" cm="1">
        <f t="array" ref="X475">VLOOKUP($A475,Table_ship_components[],COLUMN(X:X),0)</f>
        <v>0</v>
      </c>
      <c r="Y475" cm="1">
        <f t="array" ref="Y475">VLOOKUP($A475,Table_ship_components[],COLUMN(Y:Y),0)</f>
        <v>0</v>
      </c>
      <c r="Z475" cm="1">
        <f t="array" ref="Z475">VLOOKUP($A475,Table_ship_components[],COLUMN(Z:Z),0)</f>
        <v>0</v>
      </c>
      <c r="AA475" cm="1">
        <f t="array" ref="AA475">VLOOKUP($A475,Table_ship_components[],COLUMN(AA:AA),0)*C475</f>
        <v>0</v>
      </c>
      <c r="AB475">
        <f t="shared" si="41"/>
        <v>0</v>
      </c>
      <c r="AC475" cm="1">
        <f t="array" ref="AC475">VLOOKUP($A475,Table_ship_components[],COLUMN(AC:AC),0)*C475</f>
        <v>0</v>
      </c>
      <c r="AD475" cm="1">
        <f t="array" ref="AD475">VLOOKUP($A475,Table_ship_components[],COLUMN(AD:AD),0)</f>
        <v>0</v>
      </c>
      <c r="AE475" cm="1">
        <f t="array" ref="AE475">VLOOKUP($A475,Table_ship_components[],COLUMN(AE:AE),0)</f>
        <v>0</v>
      </c>
      <c r="AF475" cm="1">
        <f t="array" ref="AF475">VLOOKUP($A475,Table_ship_components[],COLUMN(AF:AF),0)</f>
        <v>0</v>
      </c>
      <c r="AG475" cm="1">
        <f t="array" ref="AG475">VLOOKUP($A475,Table_ship_components[],COLUMN(AG:AG),0)</f>
        <v>0</v>
      </c>
      <c r="AH475" cm="1">
        <f t="array" ref="AH475">VLOOKUP($A475,Table_ship_components[],COLUMN(AH:AH),0)</f>
        <v>0</v>
      </c>
      <c r="AI475" cm="1">
        <f t="array" ref="AI475">VLOOKUP($A475,Table_ship_components[],COLUMN(AI:AI),0)</f>
        <v>0</v>
      </c>
      <c r="AJ475" cm="1">
        <f t="array" ref="AJ475">VLOOKUP($A475,Table_ship_components[],COLUMN(AJ:AJ),0)</f>
        <v>0</v>
      </c>
      <c r="AK475" cm="1">
        <f t="array" ref="AK475">VLOOKUP($A475,Table_ship_components[],COLUMN(AK:AK),0)</f>
        <v>0</v>
      </c>
      <c r="AL475" cm="1">
        <f t="array" ref="AL475">VLOOKUP($A475,Table_ship_components[],COLUMN(AL:AL),0)</f>
        <v>0</v>
      </c>
      <c r="AM475" cm="1">
        <f t="array" ref="AM475">VLOOKUP($A475,Table_ship_components[],COLUMN(AM:AM),0)</f>
        <v>0</v>
      </c>
      <c r="AN475" cm="1">
        <f t="array" ref="AN475">VLOOKUP($A475,Table_ship_components[],COLUMN(AN:AN),0)</f>
        <v>0</v>
      </c>
      <c r="AO475" cm="1">
        <f t="array" ref="AO475">VLOOKUP($A475,Table_ship_components[],COLUMN(AO:AO),0)</f>
        <v>0</v>
      </c>
      <c r="AP475" cm="1">
        <f t="array" ref="AP475">VLOOKUP($A475,Table_ship_components[],COLUMN(AP:AP),0)</f>
        <v>0</v>
      </c>
      <c r="AQ475" cm="1">
        <f t="array" ref="AQ475">VLOOKUP($A475,Table_ship_components[],COLUMN(AQ:AQ),0)</f>
        <v>0</v>
      </c>
      <c r="AR475" cm="1">
        <f t="array" ref="AR475">VLOOKUP($A475,Table_ship_components[],COLUMN(AR:AR),0)</f>
        <v>0</v>
      </c>
      <c r="AS475" cm="1">
        <f t="array" ref="AS475">VLOOKUP($A475,Table_ship_components[],COLUMN(AS:AS),0)</f>
        <v>0</v>
      </c>
      <c r="AT475" cm="1">
        <f t="array" ref="AT475">VLOOKUP($A475,Table_ship_components[],COLUMN(AT:AT),0)</f>
        <v>0</v>
      </c>
      <c r="AU475" s="2" cm="1">
        <f t="array" ref="AU475">VLOOKUP($A475,Table_ship_components[],COLUMN(AU:AU),0)</f>
        <v>0</v>
      </c>
      <c r="AV475" s="2" cm="1">
        <f t="array" ref="AV475">VLOOKUP($A475,Table_ship_components[],COLUMN(AV:AV),0)</f>
        <v>0</v>
      </c>
      <c r="AW475" s="2" cm="1">
        <f t="array" ref="AW475">VLOOKUP($A475,Table_ship_components[],COLUMN(AW:AW),0)</f>
        <v>0</v>
      </c>
      <c r="AX475" s="2" cm="1">
        <f t="array" ref="AX475">VLOOKUP($A475,Table_ship_components[],COLUMN(AX:AX),0)</f>
        <v>0</v>
      </c>
      <c r="AY475" s="2" cm="1">
        <f t="array" ref="AY475">VLOOKUP($A475,Table_ship_components[],COLUMN(AY:AY),0)</f>
        <v>0</v>
      </c>
      <c r="AZ475" s="2" t="str" cm="1">
        <f t="array" ref="AZ475">VLOOKUP($A475,Table_ship_components[],COLUMN(AZ:AZ),0)</f>
        <v>C</v>
      </c>
      <c r="BA475" s="14" cm="1">
        <f t="array" ref="BA475">VLOOKUP($A475,Table_ship_components[],COLUMN(BA:BA),0)</f>
        <v>0</v>
      </c>
      <c r="BB475" s="14" cm="1">
        <f t="array" ref="BB475">(VLOOKUP($A475,Table_ship_components[],COLUMN(BA:BA),0)+(W475*C475))</f>
        <v>0</v>
      </c>
      <c r="BC475" s="2" cm="1">
        <f t="array" ref="BC475">VLOOKUP($A475,Table_ship_components[],COLUMN(BC:BC),0)</f>
        <v>0</v>
      </c>
      <c r="BD475" s="2" cm="1">
        <f t="array" ref="BD475">VLOOKUP($A475,Table_ship_components[],COLUMN(BD:BD),0)</f>
        <v>0</v>
      </c>
    </row>
    <row r="476" spans="1:56" outlineLevel="1" x14ac:dyDescent="0.35">
      <c r="A476" t="s">
        <v>288</v>
      </c>
      <c r="B476" t="str" cm="1">
        <f t="array" ref="B476">VLOOKUP($A476,Table_ship_components[],COLUMN(B:B),0)</f>
        <v>PICK A COMPONENT</v>
      </c>
      <c r="D476" cm="1">
        <f t="array" ref="D476">VLOOKUP($A476,Table_ship_components[],COLUMN(D:D),0)</f>
        <v>0</v>
      </c>
      <c r="E476" cm="1">
        <f t="array" ref="E476">ROUND(VLOOKUP($A476,Table_ship_components[],COLUMN(D:D),0)+(V476*C476),0)</f>
        <v>0</v>
      </c>
      <c r="F476" cm="1">
        <f t="array" ref="F476">VLOOKUP($A476,Table_ship_components[],COLUMN(F:F),0)</f>
        <v>0</v>
      </c>
      <c r="G476" cm="1">
        <f t="array" ref="G476">ROUND(VLOOKUP($A476,Table_ship_components[],COLUMN(G:G),0)+(X476*C476),0)</f>
        <v>0</v>
      </c>
      <c r="H476" cm="1">
        <f t="array" ref="H476">VLOOKUP($A476,Table_ship_components[],COLUMN(H:H),0)</f>
        <v>0</v>
      </c>
      <c r="I476" cm="1">
        <f t="array" ref="I476">VLOOKUP($A476,Table_ship_components[],COLUMN(I:I),0)</f>
        <v>0</v>
      </c>
      <c r="J476" cm="1">
        <f t="array" ref="J476">VLOOKUP($A476,Table_ship_components[],COLUMN(J:J),0)</f>
        <v>0</v>
      </c>
      <c r="K476" cm="1">
        <f t="array" ref="K476">VLOOKUP($A476,Table_ship_components[],COLUMN(K:K),0)</f>
        <v>0</v>
      </c>
      <c r="L476" cm="1">
        <f t="array" ref="L476">VLOOKUP($A476,Table_ship_components[],COLUMN(L:L),0)</f>
        <v>0</v>
      </c>
      <c r="M476" cm="1">
        <f t="array" ref="M476">VLOOKUP($A476,Table_ship_components[],COLUMN(M:M),0)</f>
        <v>0</v>
      </c>
      <c r="N476" cm="1">
        <f t="array" ref="N476">VLOOKUP($A476,Table_ship_components[],COLUMN(N:N),0)</f>
        <v>0</v>
      </c>
      <c r="O476" cm="1">
        <f t="array" ref="O476">VLOOKUP($A476,Table_ship_components[],COLUMN(O:O),0)</f>
        <v>0</v>
      </c>
      <c r="P476" cm="1">
        <f t="array" ref="P476">VLOOKUP($A476,Table_ship_components[],COLUMN(P:P),0)</f>
        <v>0</v>
      </c>
      <c r="Q476" cm="1">
        <f t="array" ref="Q476">VLOOKUP($A476,Table_ship_components[],COLUMN(Q:Q),0)</f>
        <v>0</v>
      </c>
      <c r="R476" cm="1">
        <f t="array" ref="R476">VLOOKUP($A476,Table_ship_components[],COLUMN(R:R),0)</f>
        <v>0</v>
      </c>
      <c r="S476" cm="1">
        <f t="array" ref="S476">VLOOKUP($A476,Table_ship_components[],COLUMN(S:S),0)</f>
        <v>0</v>
      </c>
      <c r="T476" cm="1">
        <f t="array" ref="T476">VLOOKUP($A476,Table_ship_components[],COLUMN(T:T),0)</f>
        <v>0</v>
      </c>
      <c r="U476" cm="1">
        <f t="array" ref="U476">VLOOKUP($A476,Table_ship_components[],COLUMN(U:U),0)</f>
        <v>0</v>
      </c>
      <c r="V476" cm="1">
        <f t="array" ref="V476">VLOOKUP($A476,Table_ship_components[],COLUMN(V:V),0)</f>
        <v>0</v>
      </c>
      <c r="W476" s="15" cm="1">
        <f t="array" ref="W476">VLOOKUP($A476,Table_ship_components[],COLUMN(W:W),0)</f>
        <v>0</v>
      </c>
      <c r="X476" cm="1">
        <f t="array" ref="X476">VLOOKUP($A476,Table_ship_components[],COLUMN(X:X),0)</f>
        <v>0</v>
      </c>
      <c r="Y476" cm="1">
        <f t="array" ref="Y476">VLOOKUP($A476,Table_ship_components[],COLUMN(Y:Y),0)</f>
        <v>0</v>
      </c>
      <c r="Z476" cm="1">
        <f t="array" ref="Z476">VLOOKUP($A476,Table_ship_components[],COLUMN(Z:Z),0)</f>
        <v>0</v>
      </c>
      <c r="AA476" cm="1">
        <f t="array" ref="AA476">VLOOKUP($A476,Table_ship_components[],COLUMN(AA:AA),0)*C476</f>
        <v>0</v>
      </c>
      <c r="AB476">
        <f t="shared" si="41"/>
        <v>0</v>
      </c>
      <c r="AC476" cm="1">
        <f t="array" ref="AC476">VLOOKUP($A476,Table_ship_components[],COLUMN(AC:AC),0)*C476</f>
        <v>0</v>
      </c>
      <c r="AD476" cm="1">
        <f t="array" ref="AD476">VLOOKUP($A476,Table_ship_components[],COLUMN(AD:AD),0)</f>
        <v>0</v>
      </c>
      <c r="AE476" cm="1">
        <f t="array" ref="AE476">VLOOKUP($A476,Table_ship_components[],COLUMN(AE:AE),0)</f>
        <v>0</v>
      </c>
      <c r="AF476" cm="1">
        <f t="array" ref="AF476">VLOOKUP($A476,Table_ship_components[],COLUMN(AF:AF),0)</f>
        <v>0</v>
      </c>
      <c r="AG476" cm="1">
        <f t="array" ref="AG476">VLOOKUP($A476,Table_ship_components[],COLUMN(AG:AG),0)</f>
        <v>0</v>
      </c>
      <c r="AH476" cm="1">
        <f t="array" ref="AH476">VLOOKUP($A476,Table_ship_components[],COLUMN(AH:AH),0)</f>
        <v>0</v>
      </c>
      <c r="AI476" cm="1">
        <f t="array" ref="AI476">VLOOKUP($A476,Table_ship_components[],COLUMN(AI:AI),0)</f>
        <v>0</v>
      </c>
      <c r="AJ476" cm="1">
        <f t="array" ref="AJ476">VLOOKUP($A476,Table_ship_components[],COLUMN(AJ:AJ),0)</f>
        <v>0</v>
      </c>
      <c r="AK476" cm="1">
        <f t="array" ref="AK476">VLOOKUP($A476,Table_ship_components[],COLUMN(AK:AK),0)</f>
        <v>0</v>
      </c>
      <c r="AL476" cm="1">
        <f t="array" ref="AL476">VLOOKUP($A476,Table_ship_components[],COLUMN(AL:AL),0)</f>
        <v>0</v>
      </c>
      <c r="AM476" cm="1">
        <f t="array" ref="AM476">VLOOKUP($A476,Table_ship_components[],COLUMN(AM:AM),0)</f>
        <v>0</v>
      </c>
      <c r="AN476" cm="1">
        <f t="array" ref="AN476">VLOOKUP($A476,Table_ship_components[],COLUMN(AN:AN),0)</f>
        <v>0</v>
      </c>
      <c r="AO476" cm="1">
        <f t="array" ref="AO476">VLOOKUP($A476,Table_ship_components[],COLUMN(AO:AO),0)</f>
        <v>0</v>
      </c>
      <c r="AP476" cm="1">
        <f t="array" ref="AP476">VLOOKUP($A476,Table_ship_components[],COLUMN(AP:AP),0)</f>
        <v>0</v>
      </c>
      <c r="AQ476" cm="1">
        <f t="array" ref="AQ476">VLOOKUP($A476,Table_ship_components[],COLUMN(AQ:AQ),0)</f>
        <v>0</v>
      </c>
      <c r="AR476" cm="1">
        <f t="array" ref="AR476">VLOOKUP($A476,Table_ship_components[],COLUMN(AR:AR),0)</f>
        <v>0</v>
      </c>
      <c r="AS476" cm="1">
        <f t="array" ref="AS476">VLOOKUP($A476,Table_ship_components[],COLUMN(AS:AS),0)</f>
        <v>0</v>
      </c>
      <c r="AT476" cm="1">
        <f t="array" ref="AT476">VLOOKUP($A476,Table_ship_components[],COLUMN(AT:AT),0)</f>
        <v>0</v>
      </c>
      <c r="AU476" s="2" cm="1">
        <f t="array" ref="AU476">VLOOKUP($A476,Table_ship_components[],COLUMN(AU:AU),0)</f>
        <v>0</v>
      </c>
      <c r="AV476" s="2" cm="1">
        <f t="array" ref="AV476">VLOOKUP($A476,Table_ship_components[],COLUMN(AV:AV),0)</f>
        <v>0</v>
      </c>
      <c r="AW476" s="2" cm="1">
        <f t="array" ref="AW476">VLOOKUP($A476,Table_ship_components[],COLUMN(AW:AW),0)</f>
        <v>0</v>
      </c>
      <c r="AX476" s="2" cm="1">
        <f t="array" ref="AX476">VLOOKUP($A476,Table_ship_components[],COLUMN(AX:AX),0)</f>
        <v>0</v>
      </c>
      <c r="AY476" s="2" cm="1">
        <f t="array" ref="AY476">VLOOKUP($A476,Table_ship_components[],COLUMN(AY:AY),0)</f>
        <v>0</v>
      </c>
      <c r="AZ476" s="2" t="str" cm="1">
        <f t="array" ref="AZ476">VLOOKUP($A476,Table_ship_components[],COLUMN(AZ:AZ),0)</f>
        <v>C</v>
      </c>
      <c r="BA476" s="14" cm="1">
        <f t="array" ref="BA476">VLOOKUP($A476,Table_ship_components[],COLUMN(BA:BA),0)</f>
        <v>0</v>
      </c>
      <c r="BB476" s="14" cm="1">
        <f t="array" ref="BB476">(VLOOKUP($A476,Table_ship_components[],COLUMN(BA:BA),0)+(W476*C476))</f>
        <v>0</v>
      </c>
      <c r="BC476" s="2" cm="1">
        <f t="array" ref="BC476">VLOOKUP($A476,Table_ship_components[],COLUMN(BC:BC),0)</f>
        <v>0</v>
      </c>
      <c r="BD476" s="2" cm="1">
        <f t="array" ref="BD476">VLOOKUP($A476,Table_ship_components[],COLUMN(BD:BD),0)</f>
        <v>0</v>
      </c>
    </row>
    <row r="477" spans="1:56" outlineLevel="1" x14ac:dyDescent="0.35">
      <c r="A477" t="s">
        <v>288</v>
      </c>
      <c r="B477" t="str" cm="1">
        <f t="array" ref="B477">VLOOKUP($A477,Table_ship_components[],COLUMN(B:B),0)</f>
        <v>PICK A COMPONENT</v>
      </c>
      <c r="D477" cm="1">
        <f t="array" ref="D477">VLOOKUP($A477,Table_ship_components[],COLUMN(D:D),0)</f>
        <v>0</v>
      </c>
      <c r="E477" cm="1">
        <f t="array" ref="E477">ROUND(VLOOKUP($A477,Table_ship_components[],COLUMN(D:D),0)+(V477*C477),0)</f>
        <v>0</v>
      </c>
      <c r="F477" cm="1">
        <f t="array" ref="F477">VLOOKUP($A477,Table_ship_components[],COLUMN(F:F),0)</f>
        <v>0</v>
      </c>
      <c r="G477" cm="1">
        <f t="array" ref="G477">ROUND(VLOOKUP($A477,Table_ship_components[],COLUMN(G:G),0)+(X477*C477),0)</f>
        <v>0</v>
      </c>
      <c r="H477" cm="1">
        <f t="array" ref="H477">VLOOKUP($A477,Table_ship_components[],COLUMN(H:H),0)</f>
        <v>0</v>
      </c>
      <c r="I477" cm="1">
        <f t="array" ref="I477">VLOOKUP($A477,Table_ship_components[],COLUMN(I:I),0)</f>
        <v>0</v>
      </c>
      <c r="J477" cm="1">
        <f t="array" ref="J477">VLOOKUP($A477,Table_ship_components[],COLUMN(J:J),0)</f>
        <v>0</v>
      </c>
      <c r="K477" cm="1">
        <f t="array" ref="K477">VLOOKUP($A477,Table_ship_components[],COLUMN(K:K),0)</f>
        <v>0</v>
      </c>
      <c r="L477" cm="1">
        <f t="array" ref="L477">VLOOKUP($A477,Table_ship_components[],COLUMN(L:L),0)</f>
        <v>0</v>
      </c>
      <c r="M477" cm="1">
        <f t="array" ref="M477">VLOOKUP($A477,Table_ship_components[],COLUMN(M:M),0)</f>
        <v>0</v>
      </c>
      <c r="N477" cm="1">
        <f t="array" ref="N477">VLOOKUP($A477,Table_ship_components[],COLUMN(N:N),0)</f>
        <v>0</v>
      </c>
      <c r="O477" cm="1">
        <f t="array" ref="O477">VLOOKUP($A477,Table_ship_components[],COLUMN(O:O),0)</f>
        <v>0</v>
      </c>
      <c r="P477" cm="1">
        <f t="array" ref="P477">VLOOKUP($A477,Table_ship_components[],COLUMN(P:P),0)</f>
        <v>0</v>
      </c>
      <c r="Q477" cm="1">
        <f t="array" ref="Q477">VLOOKUP($A477,Table_ship_components[],COLUMN(Q:Q),0)</f>
        <v>0</v>
      </c>
      <c r="R477" cm="1">
        <f t="array" ref="R477">VLOOKUP($A477,Table_ship_components[],COLUMN(R:R),0)</f>
        <v>0</v>
      </c>
      <c r="S477" cm="1">
        <f t="array" ref="S477">VLOOKUP($A477,Table_ship_components[],COLUMN(S:S),0)</f>
        <v>0</v>
      </c>
      <c r="T477" cm="1">
        <f t="array" ref="T477">VLOOKUP($A477,Table_ship_components[],COLUMN(T:T),0)</f>
        <v>0</v>
      </c>
      <c r="U477" cm="1">
        <f t="array" ref="U477">VLOOKUP($A477,Table_ship_components[],COLUMN(U:U),0)</f>
        <v>0</v>
      </c>
      <c r="V477" cm="1">
        <f t="array" ref="V477">VLOOKUP($A477,Table_ship_components[],COLUMN(V:V),0)</f>
        <v>0</v>
      </c>
      <c r="W477" s="15" cm="1">
        <f t="array" ref="W477">VLOOKUP($A477,Table_ship_components[],COLUMN(W:W),0)</f>
        <v>0</v>
      </c>
      <c r="X477" cm="1">
        <f t="array" ref="X477">VLOOKUP($A477,Table_ship_components[],COLUMN(X:X),0)</f>
        <v>0</v>
      </c>
      <c r="Y477" cm="1">
        <f t="array" ref="Y477">VLOOKUP($A477,Table_ship_components[],COLUMN(Y:Y),0)</f>
        <v>0</v>
      </c>
      <c r="Z477" cm="1">
        <f t="array" ref="Z477">VLOOKUP($A477,Table_ship_components[],COLUMN(Z:Z),0)</f>
        <v>0</v>
      </c>
      <c r="AA477" cm="1">
        <f t="array" ref="AA477">VLOOKUP($A477,Table_ship_components[],COLUMN(AA:AA),0)*C477</f>
        <v>0</v>
      </c>
      <c r="AB477">
        <f t="shared" si="41"/>
        <v>0</v>
      </c>
      <c r="AC477" cm="1">
        <f t="array" ref="AC477">VLOOKUP($A477,Table_ship_components[],COLUMN(AC:AC),0)*C477</f>
        <v>0</v>
      </c>
      <c r="AD477" cm="1">
        <f t="array" ref="AD477">VLOOKUP($A477,Table_ship_components[],COLUMN(AD:AD),0)</f>
        <v>0</v>
      </c>
      <c r="AE477" cm="1">
        <f t="array" ref="AE477">VLOOKUP($A477,Table_ship_components[],COLUMN(AE:AE),0)</f>
        <v>0</v>
      </c>
      <c r="AF477" cm="1">
        <f t="array" ref="AF477">VLOOKUP($A477,Table_ship_components[],COLUMN(AF:AF),0)</f>
        <v>0</v>
      </c>
      <c r="AG477" cm="1">
        <f t="array" ref="AG477">VLOOKUP($A477,Table_ship_components[],COLUMN(AG:AG),0)</f>
        <v>0</v>
      </c>
      <c r="AH477" cm="1">
        <f t="array" ref="AH477">VLOOKUP($A477,Table_ship_components[],COLUMN(AH:AH),0)</f>
        <v>0</v>
      </c>
      <c r="AI477" cm="1">
        <f t="array" ref="AI477">VLOOKUP($A477,Table_ship_components[],COLUMN(AI:AI),0)</f>
        <v>0</v>
      </c>
      <c r="AJ477" cm="1">
        <f t="array" ref="AJ477">VLOOKUP($A477,Table_ship_components[],COLUMN(AJ:AJ),0)</f>
        <v>0</v>
      </c>
      <c r="AK477" cm="1">
        <f t="array" ref="AK477">VLOOKUP($A477,Table_ship_components[],COLUMN(AK:AK),0)</f>
        <v>0</v>
      </c>
      <c r="AL477" cm="1">
        <f t="array" ref="AL477">VLOOKUP($A477,Table_ship_components[],COLUMN(AL:AL),0)</f>
        <v>0</v>
      </c>
      <c r="AM477" cm="1">
        <f t="array" ref="AM477">VLOOKUP($A477,Table_ship_components[],COLUMN(AM:AM),0)</f>
        <v>0</v>
      </c>
      <c r="AN477" cm="1">
        <f t="array" ref="AN477">VLOOKUP($A477,Table_ship_components[],COLUMN(AN:AN),0)</f>
        <v>0</v>
      </c>
      <c r="AO477" cm="1">
        <f t="array" ref="AO477">VLOOKUP($A477,Table_ship_components[],COLUMN(AO:AO),0)</f>
        <v>0</v>
      </c>
      <c r="AP477" cm="1">
        <f t="array" ref="AP477">VLOOKUP($A477,Table_ship_components[],COLUMN(AP:AP),0)</f>
        <v>0</v>
      </c>
      <c r="AQ477" cm="1">
        <f t="array" ref="AQ477">VLOOKUP($A477,Table_ship_components[],COLUMN(AQ:AQ),0)</f>
        <v>0</v>
      </c>
      <c r="AR477" cm="1">
        <f t="array" ref="AR477">VLOOKUP($A477,Table_ship_components[],COLUMN(AR:AR),0)</f>
        <v>0</v>
      </c>
      <c r="AS477" cm="1">
        <f t="array" ref="AS477">VLOOKUP($A477,Table_ship_components[],COLUMN(AS:AS),0)</f>
        <v>0</v>
      </c>
      <c r="AT477" cm="1">
        <f t="array" ref="AT477">VLOOKUP($A477,Table_ship_components[],COLUMN(AT:AT),0)</f>
        <v>0</v>
      </c>
      <c r="AU477" s="2" cm="1">
        <f t="array" ref="AU477">VLOOKUP($A477,Table_ship_components[],COLUMN(AU:AU),0)</f>
        <v>0</v>
      </c>
      <c r="AV477" s="2" cm="1">
        <f t="array" ref="AV477">VLOOKUP($A477,Table_ship_components[],COLUMN(AV:AV),0)</f>
        <v>0</v>
      </c>
      <c r="AW477" s="2" cm="1">
        <f t="array" ref="AW477">VLOOKUP($A477,Table_ship_components[],COLUMN(AW:AW),0)</f>
        <v>0</v>
      </c>
      <c r="AX477" s="2" cm="1">
        <f t="array" ref="AX477">VLOOKUP($A477,Table_ship_components[],COLUMN(AX:AX),0)</f>
        <v>0</v>
      </c>
      <c r="AY477" s="2" cm="1">
        <f t="array" ref="AY477">VLOOKUP($A477,Table_ship_components[],COLUMN(AY:AY),0)</f>
        <v>0</v>
      </c>
      <c r="AZ477" s="2" t="str" cm="1">
        <f t="array" ref="AZ477">VLOOKUP($A477,Table_ship_components[],COLUMN(AZ:AZ),0)</f>
        <v>C</v>
      </c>
      <c r="BA477" s="14" cm="1">
        <f t="array" ref="BA477">VLOOKUP($A477,Table_ship_components[],COLUMN(BA:BA),0)</f>
        <v>0</v>
      </c>
      <c r="BB477" s="14" cm="1">
        <f t="array" ref="BB477">(VLOOKUP($A477,Table_ship_components[],COLUMN(BA:BA),0)+(W477*C477))</f>
        <v>0</v>
      </c>
      <c r="BC477" s="2" cm="1">
        <f t="array" ref="BC477">VLOOKUP($A477,Table_ship_components[],COLUMN(BC:BC),0)</f>
        <v>0</v>
      </c>
      <c r="BD477" s="2" cm="1">
        <f t="array" ref="BD477">VLOOKUP($A477,Table_ship_components[],COLUMN(BD:BD),0)</f>
        <v>0</v>
      </c>
    </row>
    <row r="478" spans="1:56" outlineLevel="1" x14ac:dyDescent="0.35">
      <c r="A478" t="s">
        <v>288</v>
      </c>
      <c r="B478" t="str" cm="1">
        <f t="array" ref="B478">VLOOKUP($A478,Table_ship_components[],COLUMN(B:B),0)</f>
        <v>PICK A COMPONENT</v>
      </c>
      <c r="D478" cm="1">
        <f t="array" ref="D478">VLOOKUP($A478,Table_ship_components[],COLUMN(D:D),0)</f>
        <v>0</v>
      </c>
      <c r="E478" cm="1">
        <f t="array" ref="E478">ROUND(VLOOKUP($A478,Table_ship_components[],COLUMN(D:D),0)+(V478*C478),0)</f>
        <v>0</v>
      </c>
      <c r="F478" cm="1">
        <f t="array" ref="F478">VLOOKUP($A478,Table_ship_components[],COLUMN(F:F),0)</f>
        <v>0</v>
      </c>
      <c r="G478" cm="1">
        <f t="array" ref="G478">ROUND(VLOOKUP($A478,Table_ship_components[],COLUMN(G:G),0)+(X478*C478),0)</f>
        <v>0</v>
      </c>
      <c r="H478" cm="1">
        <f t="array" ref="H478">VLOOKUP($A478,Table_ship_components[],COLUMN(H:H),0)</f>
        <v>0</v>
      </c>
      <c r="I478" cm="1">
        <f t="array" ref="I478">VLOOKUP($A478,Table_ship_components[],COLUMN(I:I),0)</f>
        <v>0</v>
      </c>
      <c r="J478" cm="1">
        <f t="array" ref="J478">VLOOKUP($A478,Table_ship_components[],COLUMN(J:J),0)</f>
        <v>0</v>
      </c>
      <c r="K478" cm="1">
        <f t="array" ref="K478">VLOOKUP($A478,Table_ship_components[],COLUMN(K:K),0)</f>
        <v>0</v>
      </c>
      <c r="L478" cm="1">
        <f t="array" ref="L478">VLOOKUP($A478,Table_ship_components[],COLUMN(L:L),0)</f>
        <v>0</v>
      </c>
      <c r="M478" cm="1">
        <f t="array" ref="M478">VLOOKUP($A478,Table_ship_components[],COLUMN(M:M),0)</f>
        <v>0</v>
      </c>
      <c r="N478" cm="1">
        <f t="array" ref="N478">VLOOKUP($A478,Table_ship_components[],COLUMN(N:N),0)</f>
        <v>0</v>
      </c>
      <c r="O478" cm="1">
        <f t="array" ref="O478">VLOOKUP($A478,Table_ship_components[],COLUMN(O:O),0)</f>
        <v>0</v>
      </c>
      <c r="P478" cm="1">
        <f t="array" ref="P478">VLOOKUP($A478,Table_ship_components[],COLUMN(P:P),0)</f>
        <v>0</v>
      </c>
      <c r="Q478" cm="1">
        <f t="array" ref="Q478">VLOOKUP($A478,Table_ship_components[],COLUMN(Q:Q),0)</f>
        <v>0</v>
      </c>
      <c r="R478" cm="1">
        <f t="array" ref="R478">VLOOKUP($A478,Table_ship_components[],COLUMN(R:R),0)</f>
        <v>0</v>
      </c>
      <c r="S478" cm="1">
        <f t="array" ref="S478">VLOOKUP($A478,Table_ship_components[],COLUMN(S:S),0)</f>
        <v>0</v>
      </c>
      <c r="T478" cm="1">
        <f t="array" ref="T478">VLOOKUP($A478,Table_ship_components[],COLUMN(T:T),0)</f>
        <v>0</v>
      </c>
      <c r="U478" cm="1">
        <f t="array" ref="U478">VLOOKUP($A478,Table_ship_components[],COLUMN(U:U),0)</f>
        <v>0</v>
      </c>
      <c r="V478" cm="1">
        <f t="array" ref="V478">VLOOKUP($A478,Table_ship_components[],COLUMN(V:V),0)</f>
        <v>0</v>
      </c>
      <c r="W478" s="15" cm="1">
        <f t="array" ref="W478">VLOOKUP($A478,Table_ship_components[],COLUMN(W:W),0)</f>
        <v>0</v>
      </c>
      <c r="X478" cm="1">
        <f t="array" ref="X478">VLOOKUP($A478,Table_ship_components[],COLUMN(X:X),0)</f>
        <v>0</v>
      </c>
      <c r="Y478" cm="1">
        <f t="array" ref="Y478">VLOOKUP($A478,Table_ship_components[],COLUMN(Y:Y),0)</f>
        <v>0</v>
      </c>
      <c r="Z478" cm="1">
        <f t="array" ref="Z478">VLOOKUP($A478,Table_ship_components[],COLUMN(Z:Z),0)</f>
        <v>0</v>
      </c>
      <c r="AA478" cm="1">
        <f t="array" ref="AA478">VLOOKUP($A478,Table_ship_components[],COLUMN(AA:AA),0)*C478</f>
        <v>0</v>
      </c>
      <c r="AB478">
        <f>IF(A478="CARGOSPACE_0-ALL_0-UNIVERSAL",C478,0)</f>
        <v>0</v>
      </c>
      <c r="AC478" cm="1">
        <f t="array" ref="AC478">VLOOKUP($A478,Table_ship_components[],COLUMN(AC:AC),0)*C478</f>
        <v>0</v>
      </c>
      <c r="AD478" cm="1">
        <f t="array" ref="AD478">VLOOKUP($A478,Table_ship_components[],COLUMN(AD:AD),0)</f>
        <v>0</v>
      </c>
      <c r="AE478" cm="1">
        <f t="array" ref="AE478">VLOOKUP($A478,Table_ship_components[],COLUMN(AE:AE),0)</f>
        <v>0</v>
      </c>
      <c r="AF478" cm="1">
        <f t="array" ref="AF478">VLOOKUP($A478,Table_ship_components[],COLUMN(AF:AF),0)</f>
        <v>0</v>
      </c>
      <c r="AG478" cm="1">
        <f t="array" ref="AG478">VLOOKUP($A478,Table_ship_components[],COLUMN(AG:AG),0)</f>
        <v>0</v>
      </c>
      <c r="AH478" cm="1">
        <f t="array" ref="AH478">VLOOKUP($A478,Table_ship_components[],COLUMN(AH:AH),0)</f>
        <v>0</v>
      </c>
      <c r="AI478" cm="1">
        <f t="array" ref="AI478">VLOOKUP($A478,Table_ship_components[],COLUMN(AI:AI),0)</f>
        <v>0</v>
      </c>
      <c r="AJ478" cm="1">
        <f t="array" ref="AJ478">VLOOKUP($A478,Table_ship_components[],COLUMN(AJ:AJ),0)</f>
        <v>0</v>
      </c>
      <c r="AK478" cm="1">
        <f t="array" ref="AK478">VLOOKUP($A478,Table_ship_components[],COLUMN(AK:AK),0)</f>
        <v>0</v>
      </c>
      <c r="AL478" cm="1">
        <f t="array" ref="AL478">VLOOKUP($A478,Table_ship_components[],COLUMN(AL:AL),0)</f>
        <v>0</v>
      </c>
      <c r="AM478" cm="1">
        <f t="array" ref="AM478">VLOOKUP($A478,Table_ship_components[],COLUMN(AM:AM),0)</f>
        <v>0</v>
      </c>
      <c r="AN478" cm="1">
        <f t="array" ref="AN478">VLOOKUP($A478,Table_ship_components[],COLUMN(AN:AN),0)</f>
        <v>0</v>
      </c>
      <c r="AO478" cm="1">
        <f t="array" ref="AO478">VLOOKUP($A478,Table_ship_components[],COLUMN(AO:AO),0)</f>
        <v>0</v>
      </c>
      <c r="AP478" cm="1">
        <f t="array" ref="AP478">VLOOKUP($A478,Table_ship_components[],COLUMN(AP:AP),0)</f>
        <v>0</v>
      </c>
      <c r="AQ478" cm="1">
        <f t="array" ref="AQ478">VLOOKUP($A478,Table_ship_components[],COLUMN(AQ:AQ),0)</f>
        <v>0</v>
      </c>
      <c r="AR478" cm="1">
        <f t="array" ref="AR478">VLOOKUP($A478,Table_ship_components[],COLUMN(AR:AR),0)</f>
        <v>0</v>
      </c>
      <c r="AS478" cm="1">
        <f t="array" ref="AS478">VLOOKUP($A478,Table_ship_components[],COLUMN(AS:AS),0)</f>
        <v>0</v>
      </c>
      <c r="AT478" cm="1">
        <f t="array" ref="AT478">VLOOKUP($A478,Table_ship_components[],COLUMN(AT:AT),0)</f>
        <v>0</v>
      </c>
      <c r="AU478" s="2" cm="1">
        <f t="array" ref="AU478">VLOOKUP($A478,Table_ship_components[],COLUMN(AU:AU),0)</f>
        <v>0</v>
      </c>
      <c r="AV478" s="2" cm="1">
        <f t="array" ref="AV478">VLOOKUP($A478,Table_ship_components[],COLUMN(AV:AV),0)</f>
        <v>0</v>
      </c>
      <c r="AW478" s="2" cm="1">
        <f t="array" ref="AW478">VLOOKUP($A478,Table_ship_components[],COLUMN(AW:AW),0)</f>
        <v>0</v>
      </c>
      <c r="AX478" s="2" cm="1">
        <f t="array" ref="AX478">VLOOKUP($A478,Table_ship_components[],COLUMN(AX:AX),0)</f>
        <v>0</v>
      </c>
      <c r="AY478" s="2" cm="1">
        <f t="array" ref="AY478">VLOOKUP($A478,Table_ship_components[],COLUMN(AY:AY),0)</f>
        <v>0</v>
      </c>
      <c r="AZ478" s="2" t="str" cm="1">
        <f t="array" ref="AZ478">VLOOKUP($A478,Table_ship_components[],COLUMN(AZ:AZ),0)</f>
        <v>C</v>
      </c>
      <c r="BA478" s="14" cm="1">
        <f t="array" ref="BA478">VLOOKUP($A478,Table_ship_components[],COLUMN(BA:BA),0)</f>
        <v>0</v>
      </c>
      <c r="BB478" s="14" cm="1">
        <f t="array" ref="BB478">(VLOOKUP($A478,Table_ship_components[],COLUMN(BA:BA),0)+(W478*C478))</f>
        <v>0</v>
      </c>
      <c r="BC478" s="2" cm="1">
        <f t="array" ref="BC478">VLOOKUP($A478,Table_ship_components[],COLUMN(BC:BC),0)</f>
        <v>0</v>
      </c>
      <c r="BD478" s="2" cm="1">
        <f t="array" ref="BD478">VLOOKUP($A478,Table_ship_components[],COLUMN(BD:BD),0)</f>
        <v>0</v>
      </c>
    </row>
    <row r="479" spans="1:56" outlineLevel="1" x14ac:dyDescent="0.35">
      <c r="A479" s="18" t="s">
        <v>425</v>
      </c>
      <c r="B479" s="19" t="str">
        <f>CONCATENATE("SIZE ",(SUM(E480:E487)),"/",AY457,"  POWER ",(SUM(G480:G487)))</f>
        <v>SIZE 20/20  POWER 1</v>
      </c>
      <c r="AU479" s="2"/>
      <c r="AV479" s="2"/>
      <c r="AW479" s="2"/>
      <c r="AX479" s="2"/>
      <c r="AY479" s="2"/>
      <c r="AZ479" s="2"/>
      <c r="BA479" s="14"/>
      <c r="BB479" s="14"/>
      <c r="BC479" s="2"/>
      <c r="BD479" s="2"/>
    </row>
    <row r="480" spans="1:56" outlineLevel="1" x14ac:dyDescent="0.35">
      <c r="A480" t="s">
        <v>324</v>
      </c>
      <c r="B480" t="str" cm="1">
        <f t="array" ref="B480">VLOOKUP($A480,Table_ship_components[],COLUMN(B:B),0)</f>
        <v>huge fixed weapon mount</v>
      </c>
      <c r="D480" cm="1">
        <f t="array" ref="D480">VLOOKUP($A480,Table_ship_components[],COLUMN(D:D),0)</f>
        <v>5</v>
      </c>
      <c r="E480" cm="1">
        <f t="array" ref="E480">ROUND(VLOOKUP($A480,Table_ship_components[],COLUMN(D:D),0)+(V480*C480),0)</f>
        <v>5</v>
      </c>
      <c r="F480" cm="1">
        <f t="array" ref="F480">VLOOKUP($A480,Table_ship_components[],COLUMN(F:F),0)</f>
        <v>0</v>
      </c>
      <c r="G480" cm="1">
        <f t="array" ref="G480">ROUND(VLOOKUP($A480,Table_ship_components[],COLUMN(G:G),0)+(X480*C480),0)</f>
        <v>0</v>
      </c>
      <c r="H480" cm="1">
        <f t="array" ref="H480">VLOOKUP($A480,Table_ship_components[],COLUMN(H:H),0)</f>
        <v>0</v>
      </c>
      <c r="I480" cm="1">
        <f t="array" ref="I480">VLOOKUP($A480,Table_ship_components[],COLUMN(I:I),0)</f>
        <v>0</v>
      </c>
      <c r="J480" cm="1">
        <f t="array" ref="J480">VLOOKUP($A480,Table_ship_components[],COLUMN(J:J),0)</f>
        <v>0</v>
      </c>
      <c r="K480" cm="1">
        <f t="array" ref="K480">VLOOKUP($A480,Table_ship_components[],COLUMN(K:K),0)</f>
        <v>0</v>
      </c>
      <c r="L480" cm="1">
        <f t="array" ref="L480">VLOOKUP($A480,Table_ship_components[],COLUMN(L:L),0)</f>
        <v>0</v>
      </c>
      <c r="M480" cm="1">
        <f t="array" ref="M480">VLOOKUP($A480,Table_ship_components[],COLUMN(M:M),0)</f>
        <v>0</v>
      </c>
      <c r="N480" cm="1">
        <f t="array" ref="N480">VLOOKUP($A480,Table_ship_components[],COLUMN(N:N),0)</f>
        <v>1</v>
      </c>
      <c r="O480" cm="1">
        <f t="array" ref="O480">VLOOKUP($A480,Table_ship_components[],COLUMN(O:O),0)</f>
        <v>1</v>
      </c>
      <c r="P480" cm="1">
        <f t="array" ref="P480">VLOOKUP($A480,Table_ship_components[],COLUMN(P:P),0)</f>
        <v>1</v>
      </c>
      <c r="Q480" cm="1">
        <f t="array" ref="Q480">VLOOKUP($A480,Table_ship_components[],COLUMN(Q:Q),0)</f>
        <v>1</v>
      </c>
      <c r="R480" cm="1">
        <f t="array" ref="R480">VLOOKUP($A480,Table_ship_components[],COLUMN(R:R),0)</f>
        <v>1</v>
      </c>
      <c r="S480" cm="1">
        <f t="array" ref="S480">VLOOKUP($A480,Table_ship_components[],COLUMN(S:S),0)</f>
        <v>1</v>
      </c>
      <c r="T480" cm="1">
        <f t="array" ref="T480">VLOOKUP($A480,Table_ship_components[],COLUMN(T:T),0)</f>
        <v>1</v>
      </c>
      <c r="U480" cm="1">
        <f t="array" ref="U480">VLOOKUP($A480,Table_ship_components[],COLUMN(U:U),0)</f>
        <v>0</v>
      </c>
      <c r="V480" cm="1">
        <f t="array" ref="V480">VLOOKUP($A480,Table_ship_components[],COLUMN(V:V),0)</f>
        <v>0</v>
      </c>
      <c r="W480" s="15" cm="1">
        <f t="array" ref="W480">VLOOKUP($A480,Table_ship_components[],COLUMN(W:W),0)</f>
        <v>0</v>
      </c>
      <c r="X480" cm="1">
        <f t="array" ref="X480">VLOOKUP($A480,Table_ship_components[],COLUMN(X:X),0)</f>
        <v>0</v>
      </c>
      <c r="Y480" cm="1">
        <f t="array" ref="Y480">VLOOKUP($A480,Table_ship_components[],COLUMN(Y:Y),0)</f>
        <v>0</v>
      </c>
      <c r="Z480" cm="1">
        <f t="array" ref="Z480">VLOOKUP($A480,Table_ship_components[],COLUMN(Z:Z),0)</f>
        <v>0</v>
      </c>
      <c r="AA480" cm="1">
        <f t="array" ref="AA480">VLOOKUP($A480,Table_ship_components[],COLUMN(AA:AA),0)*C480</f>
        <v>0</v>
      </c>
      <c r="AB480">
        <f t="shared" ref="AB480:AB487" si="42">IF(A480="CARGOSPACE_0-ALL_0-UNIVERSAL",C480,0)</f>
        <v>0</v>
      </c>
      <c r="AC480" cm="1">
        <f t="array" ref="AC480">VLOOKUP($A480,Table_ship_components[],COLUMN(AC:AC),0)*C480</f>
        <v>0</v>
      </c>
      <c r="AD480" cm="1">
        <f t="array" ref="AD480">VLOOKUP($A480,Table_ship_components[],COLUMN(AD:AD),0)</f>
        <v>0</v>
      </c>
      <c r="AE480" cm="1">
        <f t="array" ref="AE480">VLOOKUP($A480,Table_ship_components[],COLUMN(AE:AE),0)</f>
        <v>0</v>
      </c>
      <c r="AF480" cm="1">
        <f t="array" ref="AF480">VLOOKUP($A480,Table_ship_components[],COLUMN(AF:AF),0)</f>
        <v>0</v>
      </c>
      <c r="AG480" cm="1">
        <f t="array" ref="AG480">VLOOKUP($A480,Table_ship_components[],COLUMN(AG:AG),0)</f>
        <v>0</v>
      </c>
      <c r="AH480" cm="1">
        <f t="array" ref="AH480">VLOOKUP($A480,Table_ship_components[],COLUMN(AH:AH),0)</f>
        <v>0</v>
      </c>
      <c r="AI480" cm="1">
        <f t="array" ref="AI480">VLOOKUP($A480,Table_ship_components[],COLUMN(AI:AI),0)</f>
        <v>0</v>
      </c>
      <c r="AJ480" cm="1">
        <f t="array" ref="AJ480">VLOOKUP($A480,Table_ship_components[],COLUMN(AJ:AJ),0)</f>
        <v>0</v>
      </c>
      <c r="AK480" cm="1">
        <f t="array" ref="AK480">VLOOKUP($A480,Table_ship_components[],COLUMN(AK:AK),0)</f>
        <v>0</v>
      </c>
      <c r="AL480" cm="1">
        <f t="array" ref="AL480">VLOOKUP($A480,Table_ship_components[],COLUMN(AL:AL),0)</f>
        <v>0</v>
      </c>
      <c r="AM480" cm="1">
        <f t="array" ref="AM480">VLOOKUP($A480,Table_ship_components[],COLUMN(AM:AM),0)</f>
        <v>0</v>
      </c>
      <c r="AN480" cm="1">
        <f t="array" ref="AN480">VLOOKUP($A480,Table_ship_components[],COLUMN(AN:AN),0)</f>
        <v>0</v>
      </c>
      <c r="AO480" cm="1">
        <f t="array" ref="AO480">VLOOKUP($A480,Table_ship_components[],COLUMN(AO:AO),0)</f>
        <v>0</v>
      </c>
      <c r="AP480" cm="1">
        <f t="array" ref="AP480">VLOOKUP($A480,Table_ship_components[],COLUMN(AP:AP),0)</f>
        <v>0</v>
      </c>
      <c r="AQ480" cm="1">
        <f t="array" ref="AQ480">VLOOKUP($A480,Table_ship_components[],COLUMN(AQ:AQ),0)</f>
        <v>0</v>
      </c>
      <c r="AR480" cm="1">
        <f t="array" ref="AR480">VLOOKUP($A480,Table_ship_components[],COLUMN(AR:AR),0)</f>
        <v>0</v>
      </c>
      <c r="AS480" cm="1">
        <f t="array" ref="AS480">VLOOKUP($A480,Table_ship_components[],COLUMN(AS:AS),0)</f>
        <v>0</v>
      </c>
      <c r="AT480" cm="1">
        <f t="array" ref="AT480">VLOOKUP($A480,Table_ship_components[],COLUMN(AT:AT),0)</f>
        <v>0</v>
      </c>
      <c r="AU480" s="2" cm="1">
        <f t="array" ref="AU480">VLOOKUP($A480,Table_ship_components[],COLUMN(AU:AU),0)</f>
        <v>0</v>
      </c>
      <c r="AV480" s="2" cm="1">
        <f t="array" ref="AV480">VLOOKUP($A480,Table_ship_components[],COLUMN(AV:AV),0)</f>
        <v>0</v>
      </c>
      <c r="AW480" s="2" cm="1">
        <f t="array" ref="AW480">VLOOKUP($A480,Table_ship_components[],COLUMN(AW:AW),0)</f>
        <v>0</v>
      </c>
      <c r="AX480" s="2" cm="1">
        <f t="array" ref="AX480">VLOOKUP($A480,Table_ship_components[],COLUMN(AX:AX),0)</f>
        <v>0</v>
      </c>
      <c r="AY480" s="2" cm="1">
        <f t="array" ref="AY480">VLOOKUP($A480,Table_ship_components[],COLUMN(AY:AY),0)</f>
        <v>0</v>
      </c>
      <c r="AZ480" s="2" t="str" cm="1">
        <f t="array" ref="AZ480">VLOOKUP($A480,Table_ship_components[],COLUMN(AZ:AZ),0)</f>
        <v>C</v>
      </c>
      <c r="BA480" s="14" cm="1">
        <f t="array" ref="BA480">VLOOKUP($A480,Table_ship_components[],COLUMN(BA:BA),0)</f>
        <v>200000</v>
      </c>
      <c r="BB480" s="14" cm="1">
        <f t="array" ref="BB480">(VLOOKUP($A480,Table_ship_components[],COLUMN(BA:BA),0)+(W480*C480))</f>
        <v>200000</v>
      </c>
      <c r="BC480" s="2" cm="1">
        <f t="array" ref="BC480">VLOOKUP($A480,Table_ship_components[],COLUMN(BC:BC),0)</f>
        <v>0</v>
      </c>
      <c r="BD480" s="2" cm="1">
        <f t="array" ref="BD480">VLOOKUP($A480,Table_ship_components[],COLUMN(BD:BD),0)</f>
        <v>0</v>
      </c>
    </row>
    <row r="481" spans="1:56" outlineLevel="1" x14ac:dyDescent="0.35">
      <c r="A481" t="s">
        <v>324</v>
      </c>
      <c r="B481" t="str" cm="1">
        <f t="array" ref="B481">VLOOKUP($A481,Table_ship_components[],COLUMN(B:B),0)</f>
        <v>huge fixed weapon mount</v>
      </c>
      <c r="D481" cm="1">
        <f t="array" ref="D481">VLOOKUP($A481,Table_ship_components[],COLUMN(D:D),0)</f>
        <v>5</v>
      </c>
      <c r="E481" cm="1">
        <f t="array" ref="E481">ROUND(VLOOKUP($A481,Table_ship_components[],COLUMN(D:D),0)+(V481*C481),0)</f>
        <v>5</v>
      </c>
      <c r="F481" cm="1">
        <f t="array" ref="F481">VLOOKUP($A481,Table_ship_components[],COLUMN(F:F),0)</f>
        <v>0</v>
      </c>
      <c r="G481" cm="1">
        <f t="array" ref="G481">ROUND(VLOOKUP($A481,Table_ship_components[],COLUMN(G:G),0)+(X481*C481),0)</f>
        <v>0</v>
      </c>
      <c r="H481" cm="1">
        <f t="array" ref="H481">VLOOKUP($A481,Table_ship_components[],COLUMN(H:H),0)</f>
        <v>0</v>
      </c>
      <c r="I481" cm="1">
        <f t="array" ref="I481">VLOOKUP($A481,Table_ship_components[],COLUMN(I:I),0)</f>
        <v>0</v>
      </c>
      <c r="J481" cm="1">
        <f t="array" ref="J481">VLOOKUP($A481,Table_ship_components[],COLUMN(J:J),0)</f>
        <v>0</v>
      </c>
      <c r="K481" cm="1">
        <f t="array" ref="K481">VLOOKUP($A481,Table_ship_components[],COLUMN(K:K),0)</f>
        <v>0</v>
      </c>
      <c r="L481" cm="1">
        <f t="array" ref="L481">VLOOKUP($A481,Table_ship_components[],COLUMN(L:L),0)</f>
        <v>0</v>
      </c>
      <c r="M481" cm="1">
        <f t="array" ref="M481">VLOOKUP($A481,Table_ship_components[],COLUMN(M:M),0)</f>
        <v>0</v>
      </c>
      <c r="N481" cm="1">
        <f t="array" ref="N481">VLOOKUP($A481,Table_ship_components[],COLUMN(N:N),0)</f>
        <v>1</v>
      </c>
      <c r="O481" cm="1">
        <f t="array" ref="O481">VLOOKUP($A481,Table_ship_components[],COLUMN(O:O),0)</f>
        <v>1</v>
      </c>
      <c r="P481" cm="1">
        <f t="array" ref="P481">VLOOKUP($A481,Table_ship_components[],COLUMN(P:P),0)</f>
        <v>1</v>
      </c>
      <c r="Q481" cm="1">
        <f t="array" ref="Q481">VLOOKUP($A481,Table_ship_components[],COLUMN(Q:Q),0)</f>
        <v>1</v>
      </c>
      <c r="R481" cm="1">
        <f t="array" ref="R481">VLOOKUP($A481,Table_ship_components[],COLUMN(R:R),0)</f>
        <v>1</v>
      </c>
      <c r="S481" cm="1">
        <f t="array" ref="S481">VLOOKUP($A481,Table_ship_components[],COLUMN(S:S),0)</f>
        <v>1</v>
      </c>
      <c r="T481" cm="1">
        <f t="array" ref="T481">VLOOKUP($A481,Table_ship_components[],COLUMN(T:T),0)</f>
        <v>1</v>
      </c>
      <c r="U481" cm="1">
        <f t="array" ref="U481">VLOOKUP($A481,Table_ship_components[],COLUMN(U:U),0)</f>
        <v>0</v>
      </c>
      <c r="V481" cm="1">
        <f t="array" ref="V481">VLOOKUP($A481,Table_ship_components[],COLUMN(V:V),0)</f>
        <v>0</v>
      </c>
      <c r="W481" s="15" cm="1">
        <f t="array" ref="W481">VLOOKUP($A481,Table_ship_components[],COLUMN(W:W),0)</f>
        <v>0</v>
      </c>
      <c r="X481" cm="1">
        <f t="array" ref="X481">VLOOKUP($A481,Table_ship_components[],COLUMN(X:X),0)</f>
        <v>0</v>
      </c>
      <c r="Y481" cm="1">
        <f t="array" ref="Y481">VLOOKUP($A481,Table_ship_components[],COLUMN(Y:Y),0)</f>
        <v>0</v>
      </c>
      <c r="Z481" cm="1">
        <f t="array" ref="Z481">VLOOKUP($A481,Table_ship_components[],COLUMN(Z:Z),0)</f>
        <v>0</v>
      </c>
      <c r="AA481" cm="1">
        <f t="array" ref="AA481">VLOOKUP($A481,Table_ship_components[],COLUMN(AA:AA),0)*C481</f>
        <v>0</v>
      </c>
      <c r="AB481">
        <f t="shared" si="42"/>
        <v>0</v>
      </c>
      <c r="AC481" cm="1">
        <f t="array" ref="AC481">VLOOKUP($A481,Table_ship_components[],COLUMN(AC:AC),0)*C481</f>
        <v>0</v>
      </c>
      <c r="AD481" cm="1">
        <f t="array" ref="AD481">VLOOKUP($A481,Table_ship_components[],COLUMN(AD:AD),0)</f>
        <v>0</v>
      </c>
      <c r="AE481" cm="1">
        <f t="array" ref="AE481">VLOOKUP($A481,Table_ship_components[],COLUMN(AE:AE),0)</f>
        <v>0</v>
      </c>
      <c r="AF481" cm="1">
        <f t="array" ref="AF481">VLOOKUP($A481,Table_ship_components[],COLUMN(AF:AF),0)</f>
        <v>0</v>
      </c>
      <c r="AG481" cm="1">
        <f t="array" ref="AG481">VLOOKUP($A481,Table_ship_components[],COLUMN(AG:AG),0)</f>
        <v>0</v>
      </c>
      <c r="AH481" cm="1">
        <f t="array" ref="AH481">VLOOKUP($A481,Table_ship_components[],COLUMN(AH:AH),0)</f>
        <v>0</v>
      </c>
      <c r="AI481" cm="1">
        <f t="array" ref="AI481">VLOOKUP($A481,Table_ship_components[],COLUMN(AI:AI),0)</f>
        <v>0</v>
      </c>
      <c r="AJ481" cm="1">
        <f t="array" ref="AJ481">VLOOKUP($A481,Table_ship_components[],COLUMN(AJ:AJ),0)</f>
        <v>0</v>
      </c>
      <c r="AK481" cm="1">
        <f t="array" ref="AK481">VLOOKUP($A481,Table_ship_components[],COLUMN(AK:AK),0)</f>
        <v>0</v>
      </c>
      <c r="AL481" cm="1">
        <f t="array" ref="AL481">VLOOKUP($A481,Table_ship_components[],COLUMN(AL:AL),0)</f>
        <v>0</v>
      </c>
      <c r="AM481" cm="1">
        <f t="array" ref="AM481">VLOOKUP($A481,Table_ship_components[],COLUMN(AM:AM),0)</f>
        <v>0</v>
      </c>
      <c r="AN481" cm="1">
        <f t="array" ref="AN481">VLOOKUP($A481,Table_ship_components[],COLUMN(AN:AN),0)</f>
        <v>0</v>
      </c>
      <c r="AO481" cm="1">
        <f t="array" ref="AO481">VLOOKUP($A481,Table_ship_components[],COLUMN(AO:AO),0)</f>
        <v>0</v>
      </c>
      <c r="AP481" cm="1">
        <f t="array" ref="AP481">VLOOKUP($A481,Table_ship_components[],COLUMN(AP:AP),0)</f>
        <v>0</v>
      </c>
      <c r="AQ481" cm="1">
        <f t="array" ref="AQ481">VLOOKUP($A481,Table_ship_components[],COLUMN(AQ:AQ),0)</f>
        <v>0</v>
      </c>
      <c r="AR481" cm="1">
        <f t="array" ref="AR481">VLOOKUP($A481,Table_ship_components[],COLUMN(AR:AR),0)</f>
        <v>0</v>
      </c>
      <c r="AS481" cm="1">
        <f t="array" ref="AS481">VLOOKUP($A481,Table_ship_components[],COLUMN(AS:AS),0)</f>
        <v>0</v>
      </c>
      <c r="AT481" cm="1">
        <f t="array" ref="AT481">VLOOKUP($A481,Table_ship_components[],COLUMN(AT:AT),0)</f>
        <v>0</v>
      </c>
      <c r="AU481" s="2" cm="1">
        <f t="array" ref="AU481">VLOOKUP($A481,Table_ship_components[],COLUMN(AU:AU),0)</f>
        <v>0</v>
      </c>
      <c r="AV481" s="2" cm="1">
        <f t="array" ref="AV481">VLOOKUP($A481,Table_ship_components[],COLUMN(AV:AV),0)</f>
        <v>0</v>
      </c>
      <c r="AW481" s="2" cm="1">
        <f t="array" ref="AW481">VLOOKUP($A481,Table_ship_components[],COLUMN(AW:AW),0)</f>
        <v>0</v>
      </c>
      <c r="AX481" s="2" cm="1">
        <f t="array" ref="AX481">VLOOKUP($A481,Table_ship_components[],COLUMN(AX:AX),0)</f>
        <v>0</v>
      </c>
      <c r="AY481" s="2" cm="1">
        <f t="array" ref="AY481">VLOOKUP($A481,Table_ship_components[],COLUMN(AY:AY),0)</f>
        <v>0</v>
      </c>
      <c r="AZ481" s="2" t="str" cm="1">
        <f t="array" ref="AZ481">VLOOKUP($A481,Table_ship_components[],COLUMN(AZ:AZ),0)</f>
        <v>C</v>
      </c>
      <c r="BA481" s="14" cm="1">
        <f t="array" ref="BA481">VLOOKUP($A481,Table_ship_components[],COLUMN(BA:BA),0)</f>
        <v>200000</v>
      </c>
      <c r="BB481" s="14" cm="1">
        <f t="array" ref="BB481">(VLOOKUP($A481,Table_ship_components[],COLUMN(BA:BA),0)+(W481*C481))</f>
        <v>200000</v>
      </c>
      <c r="BC481" s="2" cm="1">
        <f t="array" ref="BC481">VLOOKUP($A481,Table_ship_components[],COLUMN(BC:BC),0)</f>
        <v>0</v>
      </c>
      <c r="BD481" s="2" cm="1">
        <f t="array" ref="BD481">VLOOKUP($A481,Table_ship_components[],COLUMN(BD:BD),0)</f>
        <v>0</v>
      </c>
    </row>
    <row r="482" spans="1:56" outlineLevel="1" x14ac:dyDescent="0.35">
      <c r="A482" t="s">
        <v>317</v>
      </c>
      <c r="B482" t="str" cm="1">
        <f t="array" ref="B482">VLOOKUP($A482,Table_ship_components[],COLUMN(B:B),0)</f>
        <v>huge ordonnance bay</v>
      </c>
      <c r="D482" cm="1">
        <f t="array" ref="D482">VLOOKUP($A482,Table_ship_components[],COLUMN(D:D),0)</f>
        <v>5</v>
      </c>
      <c r="E482" cm="1">
        <f t="array" ref="E482">ROUND(VLOOKUP($A482,Table_ship_components[],COLUMN(D:D),0)+(V482*C482),0)</f>
        <v>5</v>
      </c>
      <c r="F482" cm="1">
        <f t="array" ref="F482">VLOOKUP($A482,Table_ship_components[],COLUMN(F:F),0)</f>
        <v>0</v>
      </c>
      <c r="G482" cm="1">
        <f t="array" ref="G482">ROUND(VLOOKUP($A482,Table_ship_components[],COLUMN(G:G),0)+(X482*C482),0)</f>
        <v>0</v>
      </c>
      <c r="H482" cm="1">
        <f t="array" ref="H482">VLOOKUP($A482,Table_ship_components[],COLUMN(H:H),0)</f>
        <v>0</v>
      </c>
      <c r="I482" cm="1">
        <f t="array" ref="I482">VLOOKUP($A482,Table_ship_components[],COLUMN(I:I),0)</f>
        <v>0</v>
      </c>
      <c r="J482" cm="1">
        <f t="array" ref="J482">VLOOKUP($A482,Table_ship_components[],COLUMN(J:J),0)</f>
        <v>0</v>
      </c>
      <c r="K482" cm="1">
        <f t="array" ref="K482">VLOOKUP($A482,Table_ship_components[],COLUMN(K:K),0)</f>
        <v>0</v>
      </c>
      <c r="L482" cm="1">
        <f t="array" ref="L482">VLOOKUP($A482,Table_ship_components[],COLUMN(L:L),0)</f>
        <v>0</v>
      </c>
      <c r="M482" cm="1">
        <f t="array" ref="M482">VLOOKUP($A482,Table_ship_components[],COLUMN(M:M),0)</f>
        <v>0</v>
      </c>
      <c r="N482" cm="1">
        <f t="array" ref="N482">VLOOKUP($A482,Table_ship_components[],COLUMN(N:N),0)</f>
        <v>1</v>
      </c>
      <c r="O482" cm="1">
        <f t="array" ref="O482">VLOOKUP($A482,Table_ship_components[],COLUMN(O:O),0)</f>
        <v>1</v>
      </c>
      <c r="P482" cm="1">
        <f t="array" ref="P482">VLOOKUP($A482,Table_ship_components[],COLUMN(P:P),0)</f>
        <v>1</v>
      </c>
      <c r="Q482" cm="1">
        <f t="array" ref="Q482">VLOOKUP($A482,Table_ship_components[],COLUMN(Q:Q),0)</f>
        <v>1</v>
      </c>
      <c r="R482" cm="1">
        <f t="array" ref="R482">VLOOKUP($A482,Table_ship_components[],COLUMN(R:R),0)</f>
        <v>1</v>
      </c>
      <c r="S482" cm="1">
        <f t="array" ref="S482">VLOOKUP($A482,Table_ship_components[],COLUMN(S:S),0)</f>
        <v>1</v>
      </c>
      <c r="T482" cm="1">
        <f t="array" ref="T482">VLOOKUP($A482,Table_ship_components[],COLUMN(T:T),0)</f>
        <v>1</v>
      </c>
      <c r="U482" cm="1">
        <f t="array" ref="U482">VLOOKUP($A482,Table_ship_components[],COLUMN(U:U),0)</f>
        <v>0</v>
      </c>
      <c r="V482" cm="1">
        <f t="array" ref="V482">VLOOKUP($A482,Table_ship_components[],COLUMN(V:V),0)</f>
        <v>0</v>
      </c>
      <c r="W482" s="15" cm="1">
        <f t="array" ref="W482">VLOOKUP($A482,Table_ship_components[],COLUMN(W:W),0)</f>
        <v>0</v>
      </c>
      <c r="X482" cm="1">
        <f t="array" ref="X482">VLOOKUP($A482,Table_ship_components[],COLUMN(X:X),0)</f>
        <v>0</v>
      </c>
      <c r="Y482" cm="1">
        <f t="array" ref="Y482">VLOOKUP($A482,Table_ship_components[],COLUMN(Y:Y),0)</f>
        <v>0</v>
      </c>
      <c r="Z482" cm="1">
        <f t="array" ref="Z482">VLOOKUP($A482,Table_ship_components[],COLUMN(Z:Z),0)</f>
        <v>0</v>
      </c>
      <c r="AA482" cm="1">
        <f t="array" ref="AA482">VLOOKUP($A482,Table_ship_components[],COLUMN(AA:AA),0)*C482</f>
        <v>0</v>
      </c>
      <c r="AB482">
        <f t="shared" si="42"/>
        <v>0</v>
      </c>
      <c r="AC482" cm="1">
        <f t="array" ref="AC482">VLOOKUP($A482,Table_ship_components[],COLUMN(AC:AC),0)*C482</f>
        <v>0</v>
      </c>
      <c r="AD482" cm="1">
        <f t="array" ref="AD482">VLOOKUP($A482,Table_ship_components[],COLUMN(AD:AD),0)</f>
        <v>0</v>
      </c>
      <c r="AE482" cm="1">
        <f t="array" ref="AE482">VLOOKUP($A482,Table_ship_components[],COLUMN(AE:AE),0)</f>
        <v>0</v>
      </c>
      <c r="AF482" cm="1">
        <f t="array" ref="AF482">VLOOKUP($A482,Table_ship_components[],COLUMN(AF:AF),0)</f>
        <v>0</v>
      </c>
      <c r="AG482" cm="1">
        <f t="array" ref="AG482">VLOOKUP($A482,Table_ship_components[],COLUMN(AG:AG),0)</f>
        <v>0</v>
      </c>
      <c r="AH482" cm="1">
        <f t="array" ref="AH482">VLOOKUP($A482,Table_ship_components[],COLUMN(AH:AH),0)</f>
        <v>0</v>
      </c>
      <c r="AI482" cm="1">
        <f t="array" ref="AI482">VLOOKUP($A482,Table_ship_components[],COLUMN(AI:AI),0)</f>
        <v>0</v>
      </c>
      <c r="AJ482" cm="1">
        <f t="array" ref="AJ482">VLOOKUP($A482,Table_ship_components[],COLUMN(AJ:AJ),0)</f>
        <v>0</v>
      </c>
      <c r="AK482" cm="1">
        <f t="array" ref="AK482">VLOOKUP($A482,Table_ship_components[],COLUMN(AK:AK),0)</f>
        <v>0</v>
      </c>
      <c r="AL482" cm="1">
        <f t="array" ref="AL482">VLOOKUP($A482,Table_ship_components[],COLUMN(AL:AL),0)</f>
        <v>0</v>
      </c>
      <c r="AM482" cm="1">
        <f t="array" ref="AM482">VLOOKUP($A482,Table_ship_components[],COLUMN(AM:AM),0)</f>
        <v>0</v>
      </c>
      <c r="AN482" cm="1">
        <f t="array" ref="AN482">VLOOKUP($A482,Table_ship_components[],COLUMN(AN:AN),0)</f>
        <v>0</v>
      </c>
      <c r="AO482" cm="1">
        <f t="array" ref="AO482">VLOOKUP($A482,Table_ship_components[],COLUMN(AO:AO),0)</f>
        <v>0</v>
      </c>
      <c r="AP482" cm="1">
        <f t="array" ref="AP482">VLOOKUP($A482,Table_ship_components[],COLUMN(AP:AP),0)</f>
        <v>0</v>
      </c>
      <c r="AQ482" cm="1">
        <f t="array" ref="AQ482">VLOOKUP($A482,Table_ship_components[],COLUMN(AQ:AQ),0)</f>
        <v>0</v>
      </c>
      <c r="AR482" cm="1">
        <f t="array" ref="AR482">VLOOKUP($A482,Table_ship_components[],COLUMN(AR:AR),0)</f>
        <v>0</v>
      </c>
      <c r="AS482" cm="1">
        <f t="array" ref="AS482">VLOOKUP($A482,Table_ship_components[],COLUMN(AS:AS),0)</f>
        <v>0</v>
      </c>
      <c r="AT482" cm="1">
        <f t="array" ref="AT482">VLOOKUP($A482,Table_ship_components[],COLUMN(AT:AT),0)</f>
        <v>0</v>
      </c>
      <c r="AU482" s="2" cm="1">
        <f t="array" ref="AU482">VLOOKUP($A482,Table_ship_components[],COLUMN(AU:AU),0)</f>
        <v>0</v>
      </c>
      <c r="AV482" s="2" cm="1">
        <f t="array" ref="AV482">VLOOKUP($A482,Table_ship_components[],COLUMN(AV:AV),0)</f>
        <v>0</v>
      </c>
      <c r="AW482" s="2" cm="1">
        <f t="array" ref="AW482">VLOOKUP($A482,Table_ship_components[],COLUMN(AW:AW),0)</f>
        <v>0</v>
      </c>
      <c r="AX482" s="2" cm="1">
        <f t="array" ref="AX482">VLOOKUP($A482,Table_ship_components[],COLUMN(AX:AX),0)</f>
        <v>0</v>
      </c>
      <c r="AY482" s="2" cm="1">
        <f t="array" ref="AY482">VLOOKUP($A482,Table_ship_components[],COLUMN(AY:AY),0)</f>
        <v>0</v>
      </c>
      <c r="AZ482" s="2" t="str" cm="1">
        <f t="array" ref="AZ482">VLOOKUP($A482,Table_ship_components[],COLUMN(AZ:AZ),0)</f>
        <v>C</v>
      </c>
      <c r="BA482" s="14" cm="1">
        <f t="array" ref="BA482">VLOOKUP($A482,Table_ship_components[],COLUMN(BA:BA),0)</f>
        <v>100000</v>
      </c>
      <c r="BB482" s="14" cm="1">
        <f t="array" ref="BB482">(VLOOKUP($A482,Table_ship_components[],COLUMN(BA:BA),0)+(W482*C482))</f>
        <v>100000</v>
      </c>
      <c r="BC482" s="2" cm="1">
        <f t="array" ref="BC482">VLOOKUP($A482,Table_ship_components[],COLUMN(BC:BC),0)</f>
        <v>0</v>
      </c>
      <c r="BD482" s="2" cm="1">
        <f t="array" ref="BD482">VLOOKUP($A482,Table_ship_components[],COLUMN(BD:BD),0)</f>
        <v>0</v>
      </c>
    </row>
    <row r="483" spans="1:56" outlineLevel="1" x14ac:dyDescent="0.35">
      <c r="A483" t="s">
        <v>393</v>
      </c>
      <c r="B483" t="str" cm="1">
        <f t="array" ref="B483">VLOOKUP($A483,Table_ship_components[],COLUMN(B:B),0)</f>
        <v>average fighter energy bank</v>
      </c>
      <c r="D483" cm="1">
        <f t="array" ref="D483">VLOOKUP($A483,Table_ship_components[],COLUMN(D:D),0)</f>
        <v>4</v>
      </c>
      <c r="E483" cm="1">
        <f t="array" ref="E483">ROUND(VLOOKUP($A483,Table_ship_components[],COLUMN(D:D),0)+(V483*C483),0)</f>
        <v>4</v>
      </c>
      <c r="F483" cm="1">
        <f t="array" ref="F483">VLOOKUP($A483,Table_ship_components[],COLUMN(F:F),0)</f>
        <v>0</v>
      </c>
      <c r="G483" cm="1">
        <f t="array" ref="G483">ROUND(VLOOKUP($A483,Table_ship_components[],COLUMN(G:G),0)+(X483*C483),0)</f>
        <v>0</v>
      </c>
      <c r="H483" cm="1">
        <f t="array" ref="H483">VLOOKUP($A483,Table_ship_components[],COLUMN(H:H),0)</f>
        <v>0</v>
      </c>
      <c r="I483" cm="1">
        <f t="array" ref="I483">VLOOKUP($A483,Table_ship_components[],COLUMN(I:I),0)</f>
        <v>0</v>
      </c>
      <c r="J483" cm="1">
        <f t="array" ref="J483">VLOOKUP($A483,Table_ship_components[],COLUMN(J:J),0)</f>
        <v>5</v>
      </c>
      <c r="K483" cm="1">
        <f t="array" ref="K483">VLOOKUP($A483,Table_ship_components[],COLUMN(K:K),0)</f>
        <v>0</v>
      </c>
      <c r="L483" cm="1">
        <f t="array" ref="L483">VLOOKUP($A483,Table_ship_components[],COLUMN(L:L),0)</f>
        <v>0</v>
      </c>
      <c r="M483" cm="1">
        <f t="array" ref="M483">VLOOKUP($A483,Table_ship_components[],COLUMN(M:M),0)</f>
        <v>0</v>
      </c>
      <c r="N483" cm="1">
        <f t="array" ref="N483">VLOOKUP($A483,Table_ship_components[],COLUMN(N:N),0)</f>
        <v>1</v>
      </c>
      <c r="O483" cm="1">
        <f t="array" ref="O483">VLOOKUP($A483,Table_ship_components[],COLUMN(O:O),0)</f>
        <v>0</v>
      </c>
      <c r="P483" cm="1">
        <f t="array" ref="P483">VLOOKUP($A483,Table_ship_components[],COLUMN(P:P),0)</f>
        <v>0</v>
      </c>
      <c r="Q483" cm="1">
        <f t="array" ref="Q483">VLOOKUP($A483,Table_ship_components[],COLUMN(Q:Q),0)</f>
        <v>0</v>
      </c>
      <c r="R483" cm="1">
        <f t="array" ref="R483">VLOOKUP($A483,Table_ship_components[],COLUMN(R:R),0)</f>
        <v>0</v>
      </c>
      <c r="S483" cm="1">
        <f t="array" ref="S483">VLOOKUP($A483,Table_ship_components[],COLUMN(S:S),0)</f>
        <v>0</v>
      </c>
      <c r="T483" cm="1">
        <f t="array" ref="T483">VLOOKUP($A483,Table_ship_components[],COLUMN(T:T),0)</f>
        <v>0</v>
      </c>
      <c r="U483" cm="1">
        <f t="array" ref="U483">VLOOKUP($A483,Table_ship_components[],COLUMN(U:U),0)</f>
        <v>0</v>
      </c>
      <c r="V483" cm="1">
        <f t="array" ref="V483">VLOOKUP($A483,Table_ship_components[],COLUMN(V:V),0)</f>
        <v>0</v>
      </c>
      <c r="W483" s="15" cm="1">
        <f t="array" ref="W483">VLOOKUP($A483,Table_ship_components[],COLUMN(W:W),0)</f>
        <v>0</v>
      </c>
      <c r="X483" cm="1">
        <f t="array" ref="X483">VLOOKUP($A483,Table_ship_components[],COLUMN(X:X),0)</f>
        <v>0</v>
      </c>
      <c r="Y483" cm="1">
        <f t="array" ref="Y483">VLOOKUP($A483,Table_ship_components[],COLUMN(Y:Y),0)</f>
        <v>0</v>
      </c>
      <c r="Z483" cm="1">
        <f t="array" ref="Z483">VLOOKUP($A483,Table_ship_components[],COLUMN(Z:Z),0)</f>
        <v>0</v>
      </c>
      <c r="AA483" cm="1">
        <f t="array" ref="AA483">VLOOKUP($A483,Table_ship_components[],COLUMN(AA:AA),0)*C483</f>
        <v>0</v>
      </c>
      <c r="AB483">
        <f t="shared" si="42"/>
        <v>0</v>
      </c>
      <c r="AC483" cm="1">
        <f t="array" ref="AC483">VLOOKUP($A483,Table_ship_components[],COLUMN(AC:AC),0)*C483</f>
        <v>0</v>
      </c>
      <c r="AD483" cm="1">
        <f t="array" ref="AD483">VLOOKUP($A483,Table_ship_components[],COLUMN(AD:AD),0)</f>
        <v>0</v>
      </c>
      <c r="AE483" cm="1">
        <f t="array" ref="AE483">VLOOKUP($A483,Table_ship_components[],COLUMN(AE:AE),0)</f>
        <v>0</v>
      </c>
      <c r="AF483" cm="1">
        <f t="array" ref="AF483">VLOOKUP($A483,Table_ship_components[],COLUMN(AF:AF),0)</f>
        <v>0</v>
      </c>
      <c r="AG483" cm="1">
        <f t="array" ref="AG483">VLOOKUP($A483,Table_ship_components[],COLUMN(AG:AG),0)</f>
        <v>0</v>
      </c>
      <c r="AH483" cm="1">
        <f t="array" ref="AH483">VLOOKUP($A483,Table_ship_components[],COLUMN(AH:AH),0)</f>
        <v>0</v>
      </c>
      <c r="AI483" cm="1">
        <f t="array" ref="AI483">VLOOKUP($A483,Table_ship_components[],COLUMN(AI:AI),0)</f>
        <v>0</v>
      </c>
      <c r="AJ483" cm="1">
        <f t="array" ref="AJ483">VLOOKUP($A483,Table_ship_components[],COLUMN(AJ:AJ),0)</f>
        <v>0</v>
      </c>
      <c r="AK483" cm="1">
        <f t="array" ref="AK483">VLOOKUP($A483,Table_ship_components[],COLUMN(AK:AK),0)</f>
        <v>0</v>
      </c>
      <c r="AL483" cm="1">
        <f t="array" ref="AL483">VLOOKUP($A483,Table_ship_components[],COLUMN(AL:AL),0)</f>
        <v>0</v>
      </c>
      <c r="AM483" cm="1">
        <f t="array" ref="AM483">VLOOKUP($A483,Table_ship_components[],COLUMN(AM:AM),0)</f>
        <v>0</v>
      </c>
      <c r="AN483" cm="1">
        <f t="array" ref="AN483">VLOOKUP($A483,Table_ship_components[],COLUMN(AN:AN),0)</f>
        <v>0</v>
      </c>
      <c r="AO483" cm="1">
        <f t="array" ref="AO483">VLOOKUP($A483,Table_ship_components[],COLUMN(AO:AO),0)</f>
        <v>0</v>
      </c>
      <c r="AP483" cm="1">
        <f t="array" ref="AP483">VLOOKUP($A483,Table_ship_components[],COLUMN(AP:AP),0)</f>
        <v>0</v>
      </c>
      <c r="AQ483" cm="1">
        <f t="array" ref="AQ483">VLOOKUP($A483,Table_ship_components[],COLUMN(AQ:AQ),0)</f>
        <v>0</v>
      </c>
      <c r="AR483" cm="1">
        <f t="array" ref="AR483">VLOOKUP($A483,Table_ship_components[],COLUMN(AR:AR),0)</f>
        <v>0</v>
      </c>
      <c r="AS483" cm="1">
        <f t="array" ref="AS483">VLOOKUP($A483,Table_ship_components[],COLUMN(AS:AS),0)</f>
        <v>0</v>
      </c>
      <c r="AT483" cm="1">
        <f t="array" ref="AT483">VLOOKUP($A483,Table_ship_components[],COLUMN(AT:AT),0)</f>
        <v>0</v>
      </c>
      <c r="AU483" s="2" cm="1">
        <f t="array" ref="AU483">VLOOKUP($A483,Table_ship_components[],COLUMN(AU:AU),0)</f>
        <v>0</v>
      </c>
      <c r="AV483" s="2" cm="1">
        <f t="array" ref="AV483">VLOOKUP($A483,Table_ship_components[],COLUMN(AV:AV),0)</f>
        <v>0</v>
      </c>
      <c r="AW483" s="2" cm="1">
        <f t="array" ref="AW483">VLOOKUP($A483,Table_ship_components[],COLUMN(AW:AW),0)</f>
        <v>0</v>
      </c>
      <c r="AX483" s="2" cm="1">
        <f t="array" ref="AX483">VLOOKUP($A483,Table_ship_components[],COLUMN(AX:AX),0)</f>
        <v>0</v>
      </c>
      <c r="AY483" s="2" cm="1">
        <f t="array" ref="AY483">VLOOKUP($A483,Table_ship_components[],COLUMN(AY:AY),0)</f>
        <v>0</v>
      </c>
      <c r="AZ483" s="2" t="str" cm="1">
        <f t="array" ref="AZ483">VLOOKUP($A483,Table_ship_components[],COLUMN(AZ:AZ),0)</f>
        <v>C</v>
      </c>
      <c r="BA483" s="14" cm="1">
        <f t="array" ref="BA483">VLOOKUP($A483,Table_ship_components[],COLUMN(BA:BA),0)</f>
        <v>80000</v>
      </c>
      <c r="BB483" s="14" cm="1">
        <f t="array" ref="BB483">(VLOOKUP($A483,Table_ship_components[],COLUMN(BA:BA),0)+(W483*C483))</f>
        <v>80000</v>
      </c>
      <c r="BC483" s="2" cm="1">
        <f t="array" ref="BC483">VLOOKUP($A483,Table_ship_components[],COLUMN(BC:BC),0)</f>
        <v>0</v>
      </c>
      <c r="BD483" s="2" cm="1">
        <f t="array" ref="BD483">VLOOKUP($A483,Table_ship_components[],COLUMN(BD:BD),0)</f>
        <v>0</v>
      </c>
    </row>
    <row r="484" spans="1:56" outlineLevel="1" x14ac:dyDescent="0.35">
      <c r="A484" t="s">
        <v>326</v>
      </c>
      <c r="B484" t="str" cm="1">
        <f t="array" ref="B484">VLOOKUP($A484,Table_ship_components[],COLUMN(B:B),0)</f>
        <v>basic fighter ecm upgrade</v>
      </c>
      <c r="D484" cm="1">
        <f t="array" ref="D484">VLOOKUP($A484,Table_ship_components[],COLUMN(D:D),0)</f>
        <v>1</v>
      </c>
      <c r="E484" cm="1">
        <f t="array" ref="E484">ROUND(VLOOKUP($A484,Table_ship_components[],COLUMN(D:D),0)+(V484*C484),0)</f>
        <v>1</v>
      </c>
      <c r="F484" cm="1">
        <f t="array" ref="F484">VLOOKUP($A484,Table_ship_components[],COLUMN(F:F),0)</f>
        <v>1</v>
      </c>
      <c r="G484" cm="1">
        <f t="array" ref="G484">ROUND(VLOOKUP($A484,Table_ship_components[],COLUMN(G:G),0)+(X484*C484),0)</f>
        <v>1</v>
      </c>
      <c r="H484" cm="1">
        <f t="array" ref="H484">VLOOKUP($A484,Table_ship_components[],COLUMN(H:H),0)</f>
        <v>0</v>
      </c>
      <c r="I484" cm="1">
        <f t="array" ref="I484">VLOOKUP($A484,Table_ship_components[],COLUMN(I:I),0)</f>
        <v>0</v>
      </c>
      <c r="J484" cm="1">
        <f t="array" ref="J484">VLOOKUP($A484,Table_ship_components[],COLUMN(J:J),0)</f>
        <v>0</v>
      </c>
      <c r="K484" cm="1">
        <f t="array" ref="K484">VLOOKUP($A484,Table_ship_components[],COLUMN(K:K),0)</f>
        <v>0</v>
      </c>
      <c r="L484" cm="1">
        <f t="array" ref="L484">VLOOKUP($A484,Table_ship_components[],COLUMN(L:L),0)</f>
        <v>0</v>
      </c>
      <c r="M484" cm="1">
        <f t="array" ref="M484">VLOOKUP($A484,Table_ship_components[],COLUMN(M:M),0)</f>
        <v>0</v>
      </c>
      <c r="N484" cm="1">
        <f t="array" ref="N484">VLOOKUP($A484,Table_ship_components[],COLUMN(N:N),0)</f>
        <v>1</v>
      </c>
      <c r="O484" cm="1">
        <f t="array" ref="O484">VLOOKUP($A484,Table_ship_components[],COLUMN(O:O),0)</f>
        <v>0</v>
      </c>
      <c r="P484" cm="1">
        <f t="array" ref="P484">VLOOKUP($A484,Table_ship_components[],COLUMN(P:P),0)</f>
        <v>0</v>
      </c>
      <c r="Q484" cm="1">
        <f t="array" ref="Q484">VLOOKUP($A484,Table_ship_components[],COLUMN(Q:Q),0)</f>
        <v>0</v>
      </c>
      <c r="R484" cm="1">
        <f t="array" ref="R484">VLOOKUP($A484,Table_ship_components[],COLUMN(R:R),0)</f>
        <v>0</v>
      </c>
      <c r="S484" cm="1">
        <f t="array" ref="S484">VLOOKUP($A484,Table_ship_components[],COLUMN(S:S),0)</f>
        <v>0</v>
      </c>
      <c r="T484" cm="1">
        <f t="array" ref="T484">VLOOKUP($A484,Table_ship_components[],COLUMN(T:T),0)</f>
        <v>0</v>
      </c>
      <c r="U484" cm="1">
        <f t="array" ref="U484">VLOOKUP($A484,Table_ship_components[],COLUMN(U:U),0)</f>
        <v>0</v>
      </c>
      <c r="V484" cm="1">
        <f t="array" ref="V484">VLOOKUP($A484,Table_ship_components[],COLUMN(V:V),0)</f>
        <v>0</v>
      </c>
      <c r="W484" s="15" cm="1">
        <f t="array" ref="W484">VLOOKUP($A484,Table_ship_components[],COLUMN(W:W),0)</f>
        <v>0</v>
      </c>
      <c r="X484" cm="1">
        <f t="array" ref="X484">VLOOKUP($A484,Table_ship_components[],COLUMN(X:X),0)</f>
        <v>0</v>
      </c>
      <c r="Y484" cm="1">
        <f t="array" ref="Y484">VLOOKUP($A484,Table_ship_components[],COLUMN(Y:Y),0)</f>
        <v>0</v>
      </c>
      <c r="Z484" cm="1">
        <f t="array" ref="Z484">VLOOKUP($A484,Table_ship_components[],COLUMN(Z:Z),0)</f>
        <v>0</v>
      </c>
      <c r="AA484" cm="1">
        <f t="array" ref="AA484">VLOOKUP($A484,Table_ship_components[],COLUMN(AA:AA),0)*C484</f>
        <v>0</v>
      </c>
      <c r="AB484">
        <f t="shared" si="42"/>
        <v>0</v>
      </c>
      <c r="AC484" cm="1">
        <f t="array" ref="AC484">VLOOKUP($A484,Table_ship_components[],COLUMN(AC:AC),0)*C484</f>
        <v>0</v>
      </c>
      <c r="AD484" cm="1">
        <f t="array" ref="AD484">VLOOKUP($A484,Table_ship_components[],COLUMN(AD:AD),0)</f>
        <v>0</v>
      </c>
      <c r="AE484" cm="1">
        <f t="array" ref="AE484">VLOOKUP($A484,Table_ship_components[],COLUMN(AE:AE),0)</f>
        <v>0</v>
      </c>
      <c r="AF484" cm="1">
        <f t="array" ref="AF484">VLOOKUP($A484,Table_ship_components[],COLUMN(AF:AF),0)</f>
        <v>0</v>
      </c>
      <c r="AG484" cm="1">
        <f t="array" ref="AG484">VLOOKUP($A484,Table_ship_components[],COLUMN(AG:AG),0)</f>
        <v>0</v>
      </c>
      <c r="AH484" cm="1">
        <f t="array" ref="AH484">VLOOKUP($A484,Table_ship_components[],COLUMN(AH:AH),0)</f>
        <v>0</v>
      </c>
      <c r="AI484" cm="1">
        <f t="array" ref="AI484">VLOOKUP($A484,Table_ship_components[],COLUMN(AI:AI),0)</f>
        <v>0</v>
      </c>
      <c r="AJ484" cm="1">
        <f t="array" ref="AJ484">VLOOKUP($A484,Table_ship_components[],COLUMN(AJ:AJ),0)</f>
        <v>0</v>
      </c>
      <c r="AK484" cm="1">
        <f t="array" ref="AK484">VLOOKUP($A484,Table_ship_components[],COLUMN(AK:AK),0)</f>
        <v>0</v>
      </c>
      <c r="AL484" cm="1">
        <f t="array" ref="AL484">VLOOKUP($A484,Table_ship_components[],COLUMN(AL:AL),0)</f>
        <v>0</v>
      </c>
      <c r="AM484" cm="1">
        <f t="array" ref="AM484">VLOOKUP($A484,Table_ship_components[],COLUMN(AM:AM),0)</f>
        <v>0</v>
      </c>
      <c r="AN484" cm="1">
        <f t="array" ref="AN484">VLOOKUP($A484,Table_ship_components[],COLUMN(AN:AN),0)</f>
        <v>0</v>
      </c>
      <c r="AO484" cm="1">
        <f t="array" ref="AO484">VLOOKUP($A484,Table_ship_components[],COLUMN(AO:AO),0)</f>
        <v>1</v>
      </c>
      <c r="AP484" cm="1">
        <f t="array" ref="AP484">VLOOKUP($A484,Table_ship_components[],COLUMN(AP:AP),0)</f>
        <v>0</v>
      </c>
      <c r="AQ484" cm="1">
        <f t="array" ref="AQ484">VLOOKUP($A484,Table_ship_components[],COLUMN(AQ:AQ),0)</f>
        <v>0</v>
      </c>
      <c r="AR484" cm="1">
        <f t="array" ref="AR484">VLOOKUP($A484,Table_ship_components[],COLUMN(AR:AR),0)</f>
        <v>0</v>
      </c>
      <c r="AS484" cm="1">
        <f t="array" ref="AS484">VLOOKUP($A484,Table_ship_components[],COLUMN(AS:AS),0)</f>
        <v>0</v>
      </c>
      <c r="AT484" cm="1">
        <f t="array" ref="AT484">VLOOKUP($A484,Table_ship_components[],COLUMN(AT:AT),0)</f>
        <v>0</v>
      </c>
      <c r="AU484" s="2" cm="1">
        <f t="array" ref="AU484">VLOOKUP($A484,Table_ship_components[],COLUMN(AU:AU),0)</f>
        <v>0</v>
      </c>
      <c r="AV484" s="2" cm="1">
        <f t="array" ref="AV484">VLOOKUP($A484,Table_ship_components[],COLUMN(AV:AV),0)</f>
        <v>0</v>
      </c>
      <c r="AW484" s="2" cm="1">
        <f t="array" ref="AW484">VLOOKUP($A484,Table_ship_components[],COLUMN(AW:AW),0)</f>
        <v>0</v>
      </c>
      <c r="AX484" s="2" cm="1">
        <f t="array" ref="AX484">VLOOKUP($A484,Table_ship_components[],COLUMN(AX:AX),0)</f>
        <v>0</v>
      </c>
      <c r="AY484" s="2" cm="1">
        <f t="array" ref="AY484">VLOOKUP($A484,Table_ship_components[],COLUMN(AY:AY),0)</f>
        <v>0</v>
      </c>
      <c r="AZ484" s="2" t="str" cm="1">
        <f t="array" ref="AZ484">VLOOKUP($A484,Table_ship_components[],COLUMN(AZ:AZ),0)</f>
        <v>C</v>
      </c>
      <c r="BA484" s="14" cm="1">
        <f t="array" ref="BA484">VLOOKUP($A484,Table_ship_components[],COLUMN(BA:BA),0)</f>
        <v>10000</v>
      </c>
      <c r="BB484" s="14" cm="1">
        <f t="array" ref="BB484">(VLOOKUP($A484,Table_ship_components[],COLUMN(BA:BA),0)+(W484*C484))</f>
        <v>10000</v>
      </c>
      <c r="BC484" s="2" cm="1">
        <f t="array" ref="BC484">VLOOKUP($A484,Table_ship_components[],COLUMN(BC:BC),0)</f>
        <v>0</v>
      </c>
      <c r="BD484" s="2" cm="1">
        <f t="array" ref="BD484">VLOOKUP($A484,Table_ship_components[],COLUMN(BD:BD),0)</f>
        <v>0</v>
      </c>
    </row>
    <row r="485" spans="1:56" outlineLevel="1" x14ac:dyDescent="0.35">
      <c r="A485" t="s">
        <v>288</v>
      </c>
      <c r="B485" t="str" cm="1">
        <f t="array" ref="B485">VLOOKUP($A485,Table_ship_components[],COLUMN(B:B),0)</f>
        <v>PICK A COMPONENT</v>
      </c>
      <c r="D485" cm="1">
        <f t="array" ref="D485">VLOOKUP($A485,Table_ship_components[],COLUMN(D:D),0)</f>
        <v>0</v>
      </c>
      <c r="E485" cm="1">
        <f t="array" ref="E485">ROUND(VLOOKUP($A485,Table_ship_components[],COLUMN(D:D),0)+(V485*C485),0)</f>
        <v>0</v>
      </c>
      <c r="F485" cm="1">
        <f t="array" ref="F485">VLOOKUP($A485,Table_ship_components[],COLUMN(F:F),0)</f>
        <v>0</v>
      </c>
      <c r="G485" cm="1">
        <f t="array" ref="G485">ROUND(VLOOKUP($A485,Table_ship_components[],COLUMN(G:G),0)+(X485*C485),0)</f>
        <v>0</v>
      </c>
      <c r="H485" cm="1">
        <f t="array" ref="H485">VLOOKUP($A485,Table_ship_components[],COLUMN(H:H),0)</f>
        <v>0</v>
      </c>
      <c r="I485" cm="1">
        <f t="array" ref="I485">VLOOKUP($A485,Table_ship_components[],COLUMN(I:I),0)</f>
        <v>0</v>
      </c>
      <c r="J485" cm="1">
        <f t="array" ref="J485">VLOOKUP($A485,Table_ship_components[],COLUMN(J:J),0)</f>
        <v>0</v>
      </c>
      <c r="K485" cm="1">
        <f t="array" ref="K485">VLOOKUP($A485,Table_ship_components[],COLUMN(K:K),0)</f>
        <v>0</v>
      </c>
      <c r="L485" cm="1">
        <f t="array" ref="L485">VLOOKUP($A485,Table_ship_components[],COLUMN(L:L),0)</f>
        <v>0</v>
      </c>
      <c r="M485" cm="1">
        <f t="array" ref="M485">VLOOKUP($A485,Table_ship_components[],COLUMN(M:M),0)</f>
        <v>0</v>
      </c>
      <c r="N485" cm="1">
        <f t="array" ref="N485">VLOOKUP($A485,Table_ship_components[],COLUMN(N:N),0)</f>
        <v>0</v>
      </c>
      <c r="O485" cm="1">
        <f t="array" ref="O485">VLOOKUP($A485,Table_ship_components[],COLUMN(O:O),0)</f>
        <v>0</v>
      </c>
      <c r="P485" cm="1">
        <f t="array" ref="P485">VLOOKUP($A485,Table_ship_components[],COLUMN(P:P),0)</f>
        <v>0</v>
      </c>
      <c r="Q485" cm="1">
        <f t="array" ref="Q485">VLOOKUP($A485,Table_ship_components[],COLUMN(Q:Q),0)</f>
        <v>0</v>
      </c>
      <c r="R485" cm="1">
        <f t="array" ref="R485">VLOOKUP($A485,Table_ship_components[],COLUMN(R:R),0)</f>
        <v>0</v>
      </c>
      <c r="S485" cm="1">
        <f t="array" ref="S485">VLOOKUP($A485,Table_ship_components[],COLUMN(S:S),0)</f>
        <v>0</v>
      </c>
      <c r="T485" cm="1">
        <f t="array" ref="T485">VLOOKUP($A485,Table_ship_components[],COLUMN(T:T),0)</f>
        <v>0</v>
      </c>
      <c r="U485" cm="1">
        <f t="array" ref="U485">VLOOKUP($A485,Table_ship_components[],COLUMN(U:U),0)</f>
        <v>0</v>
      </c>
      <c r="V485" cm="1">
        <f t="array" ref="V485">VLOOKUP($A485,Table_ship_components[],COLUMN(V:V),0)</f>
        <v>0</v>
      </c>
      <c r="W485" s="15" cm="1">
        <f t="array" ref="W485">VLOOKUP($A485,Table_ship_components[],COLUMN(W:W),0)</f>
        <v>0</v>
      </c>
      <c r="X485" cm="1">
        <f t="array" ref="X485">VLOOKUP($A485,Table_ship_components[],COLUMN(X:X),0)</f>
        <v>0</v>
      </c>
      <c r="Y485" cm="1">
        <f t="array" ref="Y485">VLOOKUP($A485,Table_ship_components[],COLUMN(Y:Y),0)</f>
        <v>0</v>
      </c>
      <c r="Z485" cm="1">
        <f t="array" ref="Z485">VLOOKUP($A485,Table_ship_components[],COLUMN(Z:Z),0)</f>
        <v>0</v>
      </c>
      <c r="AA485" cm="1">
        <f t="array" ref="AA485">VLOOKUP($A485,Table_ship_components[],COLUMN(AA:AA),0)*C485</f>
        <v>0</v>
      </c>
      <c r="AB485">
        <f t="shared" si="42"/>
        <v>0</v>
      </c>
      <c r="AC485" cm="1">
        <f t="array" ref="AC485">VLOOKUP($A485,Table_ship_components[],COLUMN(AC:AC),0)*C485</f>
        <v>0</v>
      </c>
      <c r="AD485" cm="1">
        <f t="array" ref="AD485">VLOOKUP($A485,Table_ship_components[],COLUMN(AD:AD),0)</f>
        <v>0</v>
      </c>
      <c r="AE485" cm="1">
        <f t="array" ref="AE485">VLOOKUP($A485,Table_ship_components[],COLUMN(AE:AE),0)</f>
        <v>0</v>
      </c>
      <c r="AF485" cm="1">
        <f t="array" ref="AF485">VLOOKUP($A485,Table_ship_components[],COLUMN(AF:AF),0)</f>
        <v>0</v>
      </c>
      <c r="AG485" cm="1">
        <f t="array" ref="AG485">VLOOKUP($A485,Table_ship_components[],COLUMN(AG:AG),0)</f>
        <v>0</v>
      </c>
      <c r="AH485" cm="1">
        <f t="array" ref="AH485">VLOOKUP($A485,Table_ship_components[],COLUMN(AH:AH),0)</f>
        <v>0</v>
      </c>
      <c r="AI485" cm="1">
        <f t="array" ref="AI485">VLOOKUP($A485,Table_ship_components[],COLUMN(AI:AI),0)</f>
        <v>0</v>
      </c>
      <c r="AJ485" cm="1">
        <f t="array" ref="AJ485">VLOOKUP($A485,Table_ship_components[],COLUMN(AJ:AJ),0)</f>
        <v>0</v>
      </c>
      <c r="AK485" cm="1">
        <f t="array" ref="AK485">VLOOKUP($A485,Table_ship_components[],COLUMN(AK:AK),0)</f>
        <v>0</v>
      </c>
      <c r="AL485" cm="1">
        <f t="array" ref="AL485">VLOOKUP($A485,Table_ship_components[],COLUMN(AL:AL),0)</f>
        <v>0</v>
      </c>
      <c r="AM485" cm="1">
        <f t="array" ref="AM485">VLOOKUP($A485,Table_ship_components[],COLUMN(AM:AM),0)</f>
        <v>0</v>
      </c>
      <c r="AN485" cm="1">
        <f t="array" ref="AN485">VLOOKUP($A485,Table_ship_components[],COLUMN(AN:AN),0)</f>
        <v>0</v>
      </c>
      <c r="AO485" cm="1">
        <f t="array" ref="AO485">VLOOKUP($A485,Table_ship_components[],COLUMN(AO:AO),0)</f>
        <v>0</v>
      </c>
      <c r="AP485" cm="1">
        <f t="array" ref="AP485">VLOOKUP($A485,Table_ship_components[],COLUMN(AP:AP),0)</f>
        <v>0</v>
      </c>
      <c r="AQ485" cm="1">
        <f t="array" ref="AQ485">VLOOKUP($A485,Table_ship_components[],COLUMN(AQ:AQ),0)</f>
        <v>0</v>
      </c>
      <c r="AR485" cm="1">
        <f t="array" ref="AR485">VLOOKUP($A485,Table_ship_components[],COLUMN(AR:AR),0)</f>
        <v>0</v>
      </c>
      <c r="AS485" cm="1">
        <f t="array" ref="AS485">VLOOKUP($A485,Table_ship_components[],COLUMN(AS:AS),0)</f>
        <v>0</v>
      </c>
      <c r="AT485" cm="1">
        <f t="array" ref="AT485">VLOOKUP($A485,Table_ship_components[],COLUMN(AT:AT),0)</f>
        <v>0</v>
      </c>
      <c r="AU485" s="2" cm="1">
        <f t="array" ref="AU485">VLOOKUP($A485,Table_ship_components[],COLUMN(AU:AU),0)</f>
        <v>0</v>
      </c>
      <c r="AV485" s="2" cm="1">
        <f t="array" ref="AV485">VLOOKUP($A485,Table_ship_components[],COLUMN(AV:AV),0)</f>
        <v>0</v>
      </c>
      <c r="AW485" s="2" cm="1">
        <f t="array" ref="AW485">VLOOKUP($A485,Table_ship_components[],COLUMN(AW:AW),0)</f>
        <v>0</v>
      </c>
      <c r="AX485" s="2" cm="1">
        <f t="array" ref="AX485">VLOOKUP($A485,Table_ship_components[],COLUMN(AX:AX),0)</f>
        <v>0</v>
      </c>
      <c r="AY485" s="2" cm="1">
        <f t="array" ref="AY485">VLOOKUP($A485,Table_ship_components[],COLUMN(AY:AY),0)</f>
        <v>0</v>
      </c>
      <c r="AZ485" s="2" t="str" cm="1">
        <f t="array" ref="AZ485">VLOOKUP($A485,Table_ship_components[],COLUMN(AZ:AZ),0)</f>
        <v>C</v>
      </c>
      <c r="BA485" s="14" cm="1">
        <f t="array" ref="BA485">VLOOKUP($A485,Table_ship_components[],COLUMN(BA:BA),0)</f>
        <v>0</v>
      </c>
      <c r="BB485" s="14" cm="1">
        <f t="array" ref="BB485">(VLOOKUP($A485,Table_ship_components[],COLUMN(BA:BA),0)+(W485*C485))</f>
        <v>0</v>
      </c>
      <c r="BC485" s="2" cm="1">
        <f t="array" ref="BC485">VLOOKUP($A485,Table_ship_components[],COLUMN(BC:BC),0)</f>
        <v>0</v>
      </c>
      <c r="BD485" s="2" cm="1">
        <f t="array" ref="BD485">VLOOKUP($A485,Table_ship_components[],COLUMN(BD:BD),0)</f>
        <v>0</v>
      </c>
    </row>
    <row r="486" spans="1:56" outlineLevel="1" x14ac:dyDescent="0.35">
      <c r="A486" t="s">
        <v>288</v>
      </c>
      <c r="B486" t="str" cm="1">
        <f t="array" ref="B486">VLOOKUP($A486,Table_ship_components[],COLUMN(B:B),0)</f>
        <v>PICK A COMPONENT</v>
      </c>
      <c r="D486" cm="1">
        <f t="array" ref="D486">VLOOKUP($A486,Table_ship_components[],COLUMN(D:D),0)</f>
        <v>0</v>
      </c>
      <c r="E486" cm="1">
        <f t="array" ref="E486">ROUND(VLOOKUP($A486,Table_ship_components[],COLUMN(D:D),0)+(V486*C486),0)</f>
        <v>0</v>
      </c>
      <c r="F486" cm="1">
        <f t="array" ref="F486">VLOOKUP($A486,Table_ship_components[],COLUMN(F:F),0)</f>
        <v>0</v>
      </c>
      <c r="G486" cm="1">
        <f t="array" ref="G486">ROUND(VLOOKUP($A486,Table_ship_components[],COLUMN(G:G),0)+(X486*C486),0)</f>
        <v>0</v>
      </c>
      <c r="H486" cm="1">
        <f t="array" ref="H486">VLOOKUP($A486,Table_ship_components[],COLUMN(H:H),0)</f>
        <v>0</v>
      </c>
      <c r="I486" cm="1">
        <f t="array" ref="I486">VLOOKUP($A486,Table_ship_components[],COLUMN(I:I),0)</f>
        <v>0</v>
      </c>
      <c r="J486" cm="1">
        <f t="array" ref="J486">VLOOKUP($A486,Table_ship_components[],COLUMN(J:J),0)</f>
        <v>0</v>
      </c>
      <c r="K486" cm="1">
        <f t="array" ref="K486">VLOOKUP($A486,Table_ship_components[],COLUMN(K:K),0)</f>
        <v>0</v>
      </c>
      <c r="L486" cm="1">
        <f t="array" ref="L486">VLOOKUP($A486,Table_ship_components[],COLUMN(L:L),0)</f>
        <v>0</v>
      </c>
      <c r="M486" cm="1">
        <f t="array" ref="M486">VLOOKUP($A486,Table_ship_components[],COLUMN(M:M),0)</f>
        <v>0</v>
      </c>
      <c r="N486" cm="1">
        <f t="array" ref="N486">VLOOKUP($A486,Table_ship_components[],COLUMN(N:N),0)</f>
        <v>0</v>
      </c>
      <c r="O486" cm="1">
        <f t="array" ref="O486">VLOOKUP($A486,Table_ship_components[],COLUMN(O:O),0)</f>
        <v>0</v>
      </c>
      <c r="P486" cm="1">
        <f t="array" ref="P486">VLOOKUP($A486,Table_ship_components[],COLUMN(P:P),0)</f>
        <v>0</v>
      </c>
      <c r="Q486" cm="1">
        <f t="array" ref="Q486">VLOOKUP($A486,Table_ship_components[],COLUMN(Q:Q),0)</f>
        <v>0</v>
      </c>
      <c r="R486" cm="1">
        <f t="array" ref="R486">VLOOKUP($A486,Table_ship_components[],COLUMN(R:R),0)</f>
        <v>0</v>
      </c>
      <c r="S486" cm="1">
        <f t="array" ref="S486">VLOOKUP($A486,Table_ship_components[],COLUMN(S:S),0)</f>
        <v>0</v>
      </c>
      <c r="T486" cm="1">
        <f t="array" ref="T486">VLOOKUP($A486,Table_ship_components[],COLUMN(T:T),0)</f>
        <v>0</v>
      </c>
      <c r="U486" cm="1">
        <f t="array" ref="U486">VLOOKUP($A486,Table_ship_components[],COLUMN(U:U),0)</f>
        <v>0</v>
      </c>
      <c r="V486" cm="1">
        <f t="array" ref="V486">VLOOKUP($A486,Table_ship_components[],COLUMN(V:V),0)</f>
        <v>0</v>
      </c>
      <c r="W486" s="15" cm="1">
        <f t="array" ref="W486">VLOOKUP($A486,Table_ship_components[],COLUMN(W:W),0)</f>
        <v>0</v>
      </c>
      <c r="X486" cm="1">
        <f t="array" ref="X486">VLOOKUP($A486,Table_ship_components[],COLUMN(X:X),0)</f>
        <v>0</v>
      </c>
      <c r="Y486" cm="1">
        <f t="array" ref="Y486">VLOOKUP($A486,Table_ship_components[],COLUMN(Y:Y),0)</f>
        <v>0</v>
      </c>
      <c r="Z486" cm="1">
        <f t="array" ref="Z486">VLOOKUP($A486,Table_ship_components[],COLUMN(Z:Z),0)</f>
        <v>0</v>
      </c>
      <c r="AA486" cm="1">
        <f t="array" ref="AA486">VLOOKUP($A486,Table_ship_components[],COLUMN(AA:AA),0)*C486</f>
        <v>0</v>
      </c>
      <c r="AB486">
        <f t="shared" si="42"/>
        <v>0</v>
      </c>
      <c r="AC486" cm="1">
        <f t="array" ref="AC486">VLOOKUP($A486,Table_ship_components[],COLUMN(AC:AC),0)*C486</f>
        <v>0</v>
      </c>
      <c r="AD486" cm="1">
        <f t="array" ref="AD486">VLOOKUP($A486,Table_ship_components[],COLUMN(AD:AD),0)</f>
        <v>0</v>
      </c>
      <c r="AE486" cm="1">
        <f t="array" ref="AE486">VLOOKUP($A486,Table_ship_components[],COLUMN(AE:AE),0)</f>
        <v>0</v>
      </c>
      <c r="AF486" cm="1">
        <f t="array" ref="AF486">VLOOKUP($A486,Table_ship_components[],COLUMN(AF:AF),0)</f>
        <v>0</v>
      </c>
      <c r="AG486" cm="1">
        <f t="array" ref="AG486">VLOOKUP($A486,Table_ship_components[],COLUMN(AG:AG),0)</f>
        <v>0</v>
      </c>
      <c r="AH486" cm="1">
        <f t="array" ref="AH486">VLOOKUP($A486,Table_ship_components[],COLUMN(AH:AH),0)</f>
        <v>0</v>
      </c>
      <c r="AI486" cm="1">
        <f t="array" ref="AI486">VLOOKUP($A486,Table_ship_components[],COLUMN(AI:AI),0)</f>
        <v>0</v>
      </c>
      <c r="AJ486" cm="1">
        <f t="array" ref="AJ486">VLOOKUP($A486,Table_ship_components[],COLUMN(AJ:AJ),0)</f>
        <v>0</v>
      </c>
      <c r="AK486" cm="1">
        <f t="array" ref="AK486">VLOOKUP($A486,Table_ship_components[],COLUMN(AK:AK),0)</f>
        <v>0</v>
      </c>
      <c r="AL486" cm="1">
        <f t="array" ref="AL486">VLOOKUP($A486,Table_ship_components[],COLUMN(AL:AL),0)</f>
        <v>0</v>
      </c>
      <c r="AM486" cm="1">
        <f t="array" ref="AM486">VLOOKUP($A486,Table_ship_components[],COLUMN(AM:AM),0)</f>
        <v>0</v>
      </c>
      <c r="AN486" cm="1">
        <f t="array" ref="AN486">VLOOKUP($A486,Table_ship_components[],COLUMN(AN:AN),0)</f>
        <v>0</v>
      </c>
      <c r="AO486" cm="1">
        <f t="array" ref="AO486">VLOOKUP($A486,Table_ship_components[],COLUMN(AO:AO),0)</f>
        <v>0</v>
      </c>
      <c r="AP486" cm="1">
        <f t="array" ref="AP486">VLOOKUP($A486,Table_ship_components[],COLUMN(AP:AP),0)</f>
        <v>0</v>
      </c>
      <c r="AQ486" cm="1">
        <f t="array" ref="AQ486">VLOOKUP($A486,Table_ship_components[],COLUMN(AQ:AQ),0)</f>
        <v>0</v>
      </c>
      <c r="AR486" cm="1">
        <f t="array" ref="AR486">VLOOKUP($A486,Table_ship_components[],COLUMN(AR:AR),0)</f>
        <v>0</v>
      </c>
      <c r="AS486" cm="1">
        <f t="array" ref="AS486">VLOOKUP($A486,Table_ship_components[],COLUMN(AS:AS),0)</f>
        <v>0</v>
      </c>
      <c r="AT486" cm="1">
        <f t="array" ref="AT486">VLOOKUP($A486,Table_ship_components[],COLUMN(AT:AT),0)</f>
        <v>0</v>
      </c>
      <c r="AU486" s="2" cm="1">
        <f t="array" ref="AU486">VLOOKUP($A486,Table_ship_components[],COLUMN(AU:AU),0)</f>
        <v>0</v>
      </c>
      <c r="AV486" s="2" cm="1">
        <f t="array" ref="AV486">VLOOKUP($A486,Table_ship_components[],COLUMN(AV:AV),0)</f>
        <v>0</v>
      </c>
      <c r="AW486" s="2" cm="1">
        <f t="array" ref="AW486">VLOOKUP($A486,Table_ship_components[],COLUMN(AW:AW),0)</f>
        <v>0</v>
      </c>
      <c r="AX486" s="2" cm="1">
        <f t="array" ref="AX486">VLOOKUP($A486,Table_ship_components[],COLUMN(AX:AX),0)</f>
        <v>0</v>
      </c>
      <c r="AY486" s="2" cm="1">
        <f t="array" ref="AY486">VLOOKUP($A486,Table_ship_components[],COLUMN(AY:AY),0)</f>
        <v>0</v>
      </c>
      <c r="AZ486" s="2" t="str" cm="1">
        <f t="array" ref="AZ486">VLOOKUP($A486,Table_ship_components[],COLUMN(AZ:AZ),0)</f>
        <v>C</v>
      </c>
      <c r="BA486" s="14" cm="1">
        <f t="array" ref="BA486">VLOOKUP($A486,Table_ship_components[],COLUMN(BA:BA),0)</f>
        <v>0</v>
      </c>
      <c r="BB486" s="14" cm="1">
        <f t="array" ref="BB486">(VLOOKUP($A486,Table_ship_components[],COLUMN(BA:BA),0)+(W486*C486))</f>
        <v>0</v>
      </c>
      <c r="BC486" s="2" cm="1">
        <f t="array" ref="BC486">VLOOKUP($A486,Table_ship_components[],COLUMN(BC:BC),0)</f>
        <v>0</v>
      </c>
      <c r="BD486" s="2" cm="1">
        <f t="array" ref="BD486">VLOOKUP($A486,Table_ship_components[],COLUMN(BD:BD),0)</f>
        <v>0</v>
      </c>
    </row>
    <row r="487" spans="1:56" outlineLevel="1" x14ac:dyDescent="0.35">
      <c r="A487" t="s">
        <v>288</v>
      </c>
      <c r="B487" t="str" cm="1">
        <f t="array" ref="B487">VLOOKUP($A487,Table_ship_components[],COLUMN(B:B),0)</f>
        <v>PICK A COMPONENT</v>
      </c>
      <c r="D487" cm="1">
        <f t="array" ref="D487">VLOOKUP($A487,Table_ship_components[],COLUMN(D:D),0)</f>
        <v>0</v>
      </c>
      <c r="E487" cm="1">
        <f t="array" ref="E487">ROUND(VLOOKUP($A487,Table_ship_components[],COLUMN(D:D),0)+(V487*C487),0)</f>
        <v>0</v>
      </c>
      <c r="F487" cm="1">
        <f t="array" ref="F487">VLOOKUP($A487,Table_ship_components[],COLUMN(F:F),0)</f>
        <v>0</v>
      </c>
      <c r="G487" cm="1">
        <f t="array" ref="G487">ROUND(VLOOKUP($A487,Table_ship_components[],COLUMN(G:G),0)+(X487*C487),0)</f>
        <v>0</v>
      </c>
      <c r="H487" cm="1">
        <f t="array" ref="H487">VLOOKUP($A487,Table_ship_components[],COLUMN(H:H),0)</f>
        <v>0</v>
      </c>
      <c r="I487" cm="1">
        <f t="array" ref="I487">VLOOKUP($A487,Table_ship_components[],COLUMN(I:I),0)</f>
        <v>0</v>
      </c>
      <c r="J487" cm="1">
        <f t="array" ref="J487">VLOOKUP($A487,Table_ship_components[],COLUMN(J:J),0)</f>
        <v>0</v>
      </c>
      <c r="K487" cm="1">
        <f t="array" ref="K487">VLOOKUP($A487,Table_ship_components[],COLUMN(K:K),0)</f>
        <v>0</v>
      </c>
      <c r="L487" cm="1">
        <f t="array" ref="L487">VLOOKUP($A487,Table_ship_components[],COLUMN(L:L),0)</f>
        <v>0</v>
      </c>
      <c r="M487" cm="1">
        <f t="array" ref="M487">VLOOKUP($A487,Table_ship_components[],COLUMN(M:M),0)</f>
        <v>0</v>
      </c>
      <c r="N487" cm="1">
        <f t="array" ref="N487">VLOOKUP($A487,Table_ship_components[],COLUMN(N:N),0)</f>
        <v>0</v>
      </c>
      <c r="O487" cm="1">
        <f t="array" ref="O487">VLOOKUP($A487,Table_ship_components[],COLUMN(O:O),0)</f>
        <v>0</v>
      </c>
      <c r="P487" cm="1">
        <f t="array" ref="P487">VLOOKUP($A487,Table_ship_components[],COLUMN(P:P),0)</f>
        <v>0</v>
      </c>
      <c r="Q487" cm="1">
        <f t="array" ref="Q487">VLOOKUP($A487,Table_ship_components[],COLUMN(Q:Q),0)</f>
        <v>0</v>
      </c>
      <c r="R487" cm="1">
        <f t="array" ref="R487">VLOOKUP($A487,Table_ship_components[],COLUMN(R:R),0)</f>
        <v>0</v>
      </c>
      <c r="S487" cm="1">
        <f t="array" ref="S487">VLOOKUP($A487,Table_ship_components[],COLUMN(S:S),0)</f>
        <v>0</v>
      </c>
      <c r="T487" cm="1">
        <f t="array" ref="T487">VLOOKUP($A487,Table_ship_components[],COLUMN(T:T),0)</f>
        <v>0</v>
      </c>
      <c r="U487" cm="1">
        <f t="array" ref="U487">VLOOKUP($A487,Table_ship_components[],COLUMN(U:U),0)</f>
        <v>0</v>
      </c>
      <c r="V487" cm="1">
        <f t="array" ref="V487">VLOOKUP($A487,Table_ship_components[],COLUMN(V:V),0)</f>
        <v>0</v>
      </c>
      <c r="W487" s="15" cm="1">
        <f t="array" ref="W487">VLOOKUP($A487,Table_ship_components[],COLUMN(W:W),0)</f>
        <v>0</v>
      </c>
      <c r="X487" cm="1">
        <f t="array" ref="X487">VLOOKUP($A487,Table_ship_components[],COLUMN(X:X),0)</f>
        <v>0</v>
      </c>
      <c r="Y487" cm="1">
        <f t="array" ref="Y487">VLOOKUP($A487,Table_ship_components[],COLUMN(Y:Y),0)</f>
        <v>0</v>
      </c>
      <c r="Z487" cm="1">
        <f t="array" ref="Z487">VLOOKUP($A487,Table_ship_components[],COLUMN(Z:Z),0)</f>
        <v>0</v>
      </c>
      <c r="AA487" cm="1">
        <f t="array" ref="AA487">VLOOKUP($A487,Table_ship_components[],COLUMN(AA:AA),0)*C487</f>
        <v>0</v>
      </c>
      <c r="AB487">
        <f t="shared" si="42"/>
        <v>0</v>
      </c>
      <c r="AC487" cm="1">
        <f t="array" ref="AC487">VLOOKUP($A487,Table_ship_components[],COLUMN(AC:AC),0)*C487</f>
        <v>0</v>
      </c>
      <c r="AD487" cm="1">
        <f t="array" ref="AD487">VLOOKUP($A487,Table_ship_components[],COLUMN(AD:AD),0)</f>
        <v>0</v>
      </c>
      <c r="AE487" cm="1">
        <f t="array" ref="AE487">VLOOKUP($A487,Table_ship_components[],COLUMN(AE:AE),0)</f>
        <v>0</v>
      </c>
      <c r="AF487" cm="1">
        <f t="array" ref="AF487">VLOOKUP($A487,Table_ship_components[],COLUMN(AF:AF),0)</f>
        <v>0</v>
      </c>
      <c r="AG487" cm="1">
        <f t="array" ref="AG487">VLOOKUP($A487,Table_ship_components[],COLUMN(AG:AG),0)</f>
        <v>0</v>
      </c>
      <c r="AH487" cm="1">
        <f t="array" ref="AH487">VLOOKUP($A487,Table_ship_components[],COLUMN(AH:AH),0)</f>
        <v>0</v>
      </c>
      <c r="AI487" cm="1">
        <f t="array" ref="AI487">VLOOKUP($A487,Table_ship_components[],COLUMN(AI:AI),0)</f>
        <v>0</v>
      </c>
      <c r="AJ487" cm="1">
        <f t="array" ref="AJ487">VLOOKUP($A487,Table_ship_components[],COLUMN(AJ:AJ),0)</f>
        <v>0</v>
      </c>
      <c r="AK487" cm="1">
        <f t="array" ref="AK487">VLOOKUP($A487,Table_ship_components[],COLUMN(AK:AK),0)</f>
        <v>0</v>
      </c>
      <c r="AL487" cm="1">
        <f t="array" ref="AL487">VLOOKUP($A487,Table_ship_components[],COLUMN(AL:AL),0)</f>
        <v>0</v>
      </c>
      <c r="AM487" cm="1">
        <f t="array" ref="AM487">VLOOKUP($A487,Table_ship_components[],COLUMN(AM:AM),0)</f>
        <v>0</v>
      </c>
      <c r="AN487" cm="1">
        <f t="array" ref="AN487">VLOOKUP($A487,Table_ship_components[],COLUMN(AN:AN),0)</f>
        <v>0</v>
      </c>
      <c r="AO487" cm="1">
        <f t="array" ref="AO487">VLOOKUP($A487,Table_ship_components[],COLUMN(AO:AO),0)</f>
        <v>0</v>
      </c>
      <c r="AP487" cm="1">
        <f t="array" ref="AP487">VLOOKUP($A487,Table_ship_components[],COLUMN(AP:AP),0)</f>
        <v>0</v>
      </c>
      <c r="AQ487" cm="1">
        <f t="array" ref="AQ487">VLOOKUP($A487,Table_ship_components[],COLUMN(AQ:AQ),0)</f>
        <v>0</v>
      </c>
      <c r="AR487" cm="1">
        <f t="array" ref="AR487">VLOOKUP($A487,Table_ship_components[],COLUMN(AR:AR),0)</f>
        <v>0</v>
      </c>
      <c r="AS487" cm="1">
        <f t="array" ref="AS487">VLOOKUP($A487,Table_ship_components[],COLUMN(AS:AS),0)</f>
        <v>0</v>
      </c>
      <c r="AT487" cm="1">
        <f t="array" ref="AT487">VLOOKUP($A487,Table_ship_components[],COLUMN(AT:AT),0)</f>
        <v>0</v>
      </c>
      <c r="AU487" s="2" cm="1">
        <f t="array" ref="AU487">VLOOKUP($A487,Table_ship_components[],COLUMN(AU:AU),0)</f>
        <v>0</v>
      </c>
      <c r="AV487" s="2" cm="1">
        <f t="array" ref="AV487">VLOOKUP($A487,Table_ship_components[],COLUMN(AV:AV),0)</f>
        <v>0</v>
      </c>
      <c r="AW487" s="2" cm="1">
        <f t="array" ref="AW487">VLOOKUP($A487,Table_ship_components[],COLUMN(AW:AW),0)</f>
        <v>0</v>
      </c>
      <c r="AX487" s="2" cm="1">
        <f t="array" ref="AX487">VLOOKUP($A487,Table_ship_components[],COLUMN(AX:AX),0)</f>
        <v>0</v>
      </c>
      <c r="AY487" s="2" cm="1">
        <f t="array" ref="AY487">VLOOKUP($A487,Table_ship_components[],COLUMN(AY:AY),0)</f>
        <v>0</v>
      </c>
      <c r="AZ487" s="2" t="str" cm="1">
        <f t="array" ref="AZ487">VLOOKUP($A487,Table_ship_components[],COLUMN(AZ:AZ),0)</f>
        <v>C</v>
      </c>
      <c r="BA487" s="14" cm="1">
        <f t="array" ref="BA487">VLOOKUP($A487,Table_ship_components[],COLUMN(BA:BA),0)</f>
        <v>0</v>
      </c>
      <c r="BB487" s="14" cm="1">
        <f t="array" ref="BB487">(VLOOKUP($A487,Table_ship_components[],COLUMN(BA:BA),0)+(W487*C487))</f>
        <v>0</v>
      </c>
      <c r="BC487" s="2" cm="1">
        <f t="array" ref="BC487">VLOOKUP($A487,Table_ship_components[],COLUMN(BC:BC),0)</f>
        <v>0</v>
      </c>
      <c r="BD487" s="2" cm="1">
        <f t="array" ref="BD487">VLOOKUP($A487,Table_ship_components[],COLUMN(BD:BD),0)</f>
        <v>0</v>
      </c>
    </row>
    <row r="488" spans="1:56" ht="15" outlineLevel="1" thickBot="1" x14ac:dyDescent="0.4">
      <c r="D488" s="32"/>
      <c r="E488" s="32">
        <f>SUM(E457:E487)</f>
        <v>49</v>
      </c>
      <c r="F488" s="32"/>
      <c r="G488" s="32">
        <f t="shared" ref="G488:L488" si="43">SUM(G457:G487)</f>
        <v>21</v>
      </c>
      <c r="H488" s="32">
        <f t="shared" si="43"/>
        <v>0</v>
      </c>
      <c r="I488" s="32">
        <f t="shared" si="43"/>
        <v>30</v>
      </c>
      <c r="J488" s="32">
        <f t="shared" si="43"/>
        <v>5</v>
      </c>
      <c r="K488" s="32">
        <f t="shared" si="43"/>
        <v>25</v>
      </c>
      <c r="L488" s="32">
        <f t="shared" si="43"/>
        <v>5</v>
      </c>
      <c r="M488" s="32"/>
      <c r="N488" s="32"/>
      <c r="O488" s="32"/>
      <c r="P488" s="32"/>
      <c r="Q488" s="32"/>
      <c r="R488" s="32"/>
      <c r="S488" s="32"/>
      <c r="T488" s="32"/>
      <c r="U488" s="32"/>
      <c r="V488" s="32"/>
      <c r="W488" s="32"/>
      <c r="X488" s="32"/>
      <c r="Y488" s="32">
        <f t="shared" ref="Y488:AY488" si="44">SUM(Y457:Y487)</f>
        <v>1</v>
      </c>
      <c r="Z488" s="32">
        <f t="shared" si="44"/>
        <v>1</v>
      </c>
      <c r="AA488" s="32">
        <f t="shared" si="44"/>
        <v>0</v>
      </c>
      <c r="AB488" s="32">
        <f t="shared" si="44"/>
        <v>1</v>
      </c>
      <c r="AC488" s="32">
        <f t="shared" si="44"/>
        <v>1</v>
      </c>
      <c r="AD488" s="32">
        <f t="shared" si="44"/>
        <v>10</v>
      </c>
      <c r="AE488" s="32">
        <f t="shared" si="44"/>
        <v>0</v>
      </c>
      <c r="AF488" s="32">
        <f t="shared" si="44"/>
        <v>0</v>
      </c>
      <c r="AG488" s="32">
        <f t="shared" si="44"/>
        <v>0</v>
      </c>
      <c r="AH488" s="32">
        <f t="shared" si="44"/>
        <v>2000</v>
      </c>
      <c r="AI488" s="32">
        <f t="shared" si="44"/>
        <v>10000</v>
      </c>
      <c r="AJ488" s="32">
        <f t="shared" si="44"/>
        <v>0</v>
      </c>
      <c r="AK488" s="32">
        <f t="shared" si="44"/>
        <v>0</v>
      </c>
      <c r="AL488" s="32">
        <f t="shared" si="44"/>
        <v>3</v>
      </c>
      <c r="AM488" s="32">
        <f t="shared" si="44"/>
        <v>2</v>
      </c>
      <c r="AN488" s="32">
        <f t="shared" si="44"/>
        <v>5</v>
      </c>
      <c r="AO488" s="32">
        <f t="shared" si="44"/>
        <v>3</v>
      </c>
      <c r="AP488" s="32">
        <f t="shared" si="44"/>
        <v>5</v>
      </c>
      <c r="AQ488" s="32">
        <f t="shared" si="44"/>
        <v>0</v>
      </c>
      <c r="AR488" s="32">
        <f t="shared" si="44"/>
        <v>4</v>
      </c>
      <c r="AS488" s="32">
        <f t="shared" si="44"/>
        <v>3</v>
      </c>
      <c r="AT488" s="32">
        <f t="shared" si="44"/>
        <v>2</v>
      </c>
      <c r="AU488" s="32">
        <f t="shared" si="44"/>
        <v>3</v>
      </c>
      <c r="AV488" s="32">
        <f t="shared" si="44"/>
        <v>50</v>
      </c>
      <c r="AW488" s="32">
        <f t="shared" si="44"/>
        <v>15</v>
      </c>
      <c r="AX488" s="32">
        <f t="shared" si="44"/>
        <v>15</v>
      </c>
      <c r="AY488" s="32">
        <f t="shared" si="44"/>
        <v>20</v>
      </c>
      <c r="AZ488" s="32"/>
      <c r="BA488" s="33">
        <f>SUM(BA457:BA487)</f>
        <v>3090000</v>
      </c>
      <c r="BB488" s="33">
        <f>SUM(BB457:BB487)</f>
        <v>3098000</v>
      </c>
      <c r="BC488" s="32"/>
      <c r="BD488" s="32"/>
    </row>
    <row r="489" spans="1:56" ht="19" outlineLevel="1" thickTop="1" x14ac:dyDescent="0.45">
      <c r="A489" s="35" t="s">
        <v>691</v>
      </c>
      <c r="B489" s="34">
        <f>BB488</f>
        <v>3098000</v>
      </c>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c r="AZ489" s="36"/>
      <c r="BA489" s="37"/>
      <c r="BB489" s="37"/>
      <c r="BC489" s="36"/>
      <c r="BD489" s="36"/>
    </row>
    <row r="490" spans="1:56" ht="21" x14ac:dyDescent="0.5">
      <c r="A490" s="38" t="s">
        <v>165</v>
      </c>
      <c r="B490" s="38" t="s">
        <v>742</v>
      </c>
    </row>
    <row r="491" spans="1:56" outlineLevel="1" x14ac:dyDescent="0.35">
      <c r="A491" t="s">
        <v>725</v>
      </c>
      <c r="B491" t="str" cm="1">
        <f t="array" ref="B491">VLOOKUP($A491,Table_ship_components[],COLUMN(B:B),0)</f>
        <v>attack fighter templace</v>
      </c>
      <c r="D491" cm="1">
        <f t="array" ref="D491">VLOOKUP($A491,Table_ship_components[],COLUMN(D:D),0)</f>
        <v>0</v>
      </c>
      <c r="E491" cm="1">
        <f t="array" ref="E491">(VLOOKUP($A491,Table_ship_components[],COLUMN(D:D),0)+(V491*C491))</f>
        <v>0</v>
      </c>
      <c r="F491" cm="1">
        <f t="array" ref="F491">VLOOKUP($A491,Table_ship_components[],COLUMN(F:F),0)</f>
        <v>0</v>
      </c>
      <c r="G491" cm="1">
        <f t="array" ref="G491">(VLOOKUP($A491,Table_ship_components[],COLUMN(G:G),0)+(X491*C491))</f>
        <v>0</v>
      </c>
      <c r="H491" cm="1">
        <f t="array" ref="H491">VLOOKUP($A491,Table_ship_components[],COLUMN(H:H),0)</f>
        <v>0</v>
      </c>
      <c r="I491" cm="1">
        <f t="array" ref="I491">VLOOKUP($A491,Table_ship_components[],COLUMN(I:I),0)</f>
        <v>0</v>
      </c>
      <c r="J491" cm="1">
        <f t="array" ref="J491">VLOOKUP($A491,Table_ship_components[],COLUMN(J:J),0)</f>
        <v>0</v>
      </c>
      <c r="K491" cm="1">
        <f t="array" ref="K491">VLOOKUP($A491,Table_ship_components[],COLUMN(K:K),0)</f>
        <v>0</v>
      </c>
      <c r="L491" cm="1">
        <f t="array" ref="L491">VLOOKUP($A491,Table_ship_components[],COLUMN(L:L),0)</f>
        <v>0</v>
      </c>
      <c r="M491" cm="1">
        <f t="array" ref="M491">VLOOKUP($A491,Table_ship_components[],COLUMN(M:M),0)</f>
        <v>0</v>
      </c>
      <c r="N491" cm="1">
        <f t="array" ref="N491">VLOOKUP($A491,Table_ship_components[],COLUMN(N:N),0)</f>
        <v>0</v>
      </c>
      <c r="O491" cm="1">
        <f t="array" ref="O491">VLOOKUP($A491,Table_ship_components[],COLUMN(O:O),0)</f>
        <v>0</v>
      </c>
      <c r="P491" cm="1">
        <f t="array" ref="P491">VLOOKUP($A491,Table_ship_components[],COLUMN(P:P),0)</f>
        <v>0</v>
      </c>
      <c r="Q491" cm="1">
        <f t="array" ref="Q491">VLOOKUP($A491,Table_ship_components[],COLUMN(Q:Q),0)</f>
        <v>0</v>
      </c>
      <c r="R491" cm="1">
        <f t="array" ref="R491">VLOOKUP($A491,Table_ship_components[],COLUMN(R:R),0)</f>
        <v>0</v>
      </c>
      <c r="S491" cm="1">
        <f t="array" ref="S491">VLOOKUP($A491,Table_ship_components[],COLUMN(S:S),0)</f>
        <v>0</v>
      </c>
      <c r="T491" cm="1">
        <f t="array" ref="T491">VLOOKUP($A491,Table_ship_components[],COLUMN(T:T),0)</f>
        <v>0</v>
      </c>
      <c r="U491" cm="1">
        <f t="array" ref="U491">VLOOKUP($A491,Table_ship_components[],COLUMN(U:U),0)</f>
        <v>0</v>
      </c>
      <c r="V491" cm="1">
        <f t="array" ref="V491">VLOOKUP($A491,Table_ship_components[],COLUMN(V:V),0)</f>
        <v>0</v>
      </c>
      <c r="W491" s="15" cm="1">
        <f t="array" ref="W491">VLOOKUP($A491,Table_ship_components[],COLUMN(W:W),0)</f>
        <v>0</v>
      </c>
      <c r="X491" cm="1">
        <f t="array" ref="X491">VLOOKUP($A491,Table_ship_components[],COLUMN(X:X),0)</f>
        <v>0</v>
      </c>
      <c r="Y491" cm="1">
        <f t="array" ref="Y491">VLOOKUP($A491,Table_ship_components[],COLUMN(Y:Y),0)</f>
        <v>0</v>
      </c>
      <c r="Z491" cm="1">
        <f t="array" ref="Z491">VLOOKUP($A491,Table_ship_components[],COLUMN(Z:Z),0)</f>
        <v>0</v>
      </c>
      <c r="AA491" cm="1">
        <f t="array" ref="AA491">VLOOKUP($A491,Table_ship_components[],COLUMN(AA:AA),0)</f>
        <v>0</v>
      </c>
      <c r="AB491" cm="1">
        <f t="array" ref="AB491">VLOOKUP($A491,Table_ship_components[],COLUMN(AB:AB),0)</f>
        <v>0</v>
      </c>
      <c r="AC491" cm="1">
        <f t="array" ref="AC491">VLOOKUP($A491,Table_ship_components[],COLUMN(AC:AC),0)</f>
        <v>0</v>
      </c>
      <c r="AD491" cm="1">
        <f t="array" ref="AD491">VLOOKUP($A491,Table_ship_components[],COLUMN(AD:AD),0)</f>
        <v>0</v>
      </c>
      <c r="AE491" cm="1">
        <f t="array" ref="AE491">VLOOKUP($A491,Table_ship_components[],COLUMN(AE:AE),0)</f>
        <v>0</v>
      </c>
      <c r="AF491" cm="1">
        <f t="array" ref="AF491">VLOOKUP($A491,Table_ship_components[],COLUMN(AF:AF),0)</f>
        <v>0</v>
      </c>
      <c r="AG491" cm="1">
        <f t="array" ref="AG491">VLOOKUP($A491,Table_ship_components[],COLUMN(AG:AG),0)</f>
        <v>0</v>
      </c>
      <c r="AH491" cm="1">
        <f t="array" ref="AH491">VLOOKUP($A491,Table_ship_components[],COLUMN(AH:AH),0)</f>
        <v>0</v>
      </c>
      <c r="AI491" cm="1">
        <f t="array" ref="AI491">VLOOKUP($A491,Table_ship_components[],COLUMN(AI:AI),0)</f>
        <v>0</v>
      </c>
      <c r="AJ491" cm="1">
        <f t="array" ref="AJ491">VLOOKUP($A491,Table_ship_components[],COLUMN(AJ:AJ),0)</f>
        <v>0</v>
      </c>
      <c r="AK491" cm="1">
        <f t="array" ref="AK491">VLOOKUP($A491,Table_ship_components[],COLUMN(AK:AK),0)</f>
        <v>0</v>
      </c>
      <c r="AL491" cm="1">
        <f t="array" ref="AL491">VLOOKUP($A491,Table_ship_components[],COLUMN(AL:AL),0)</f>
        <v>0</v>
      </c>
      <c r="AM491" cm="1">
        <f t="array" ref="AM491">VLOOKUP($A491,Table_ship_components[],COLUMN(AM:AM),0)</f>
        <v>2</v>
      </c>
      <c r="AN491" cm="1">
        <f t="array" ref="AN491">VLOOKUP($A491,Table_ship_components[],COLUMN(AN:AN),0)</f>
        <v>5</v>
      </c>
      <c r="AO491" cm="1">
        <f t="array" ref="AO491">VLOOKUP($A491,Table_ship_components[],COLUMN(AO:AO),0)</f>
        <v>2</v>
      </c>
      <c r="AP491" cm="1">
        <f t="array" ref="AP491">VLOOKUP($A491,Table_ship_components[],COLUMN(AP:AP),0)</f>
        <v>5</v>
      </c>
      <c r="AQ491" cm="1">
        <f t="array" ref="AQ491">VLOOKUP($A491,Table_ship_components[],COLUMN(AQ:AQ),0)</f>
        <v>0</v>
      </c>
      <c r="AR491" cm="1">
        <f t="array" ref="AR491">VLOOKUP($A491,Table_ship_components[],COLUMN(AR:AR),0)</f>
        <v>3</v>
      </c>
      <c r="AS491" cm="1">
        <f t="array" ref="AS491">VLOOKUP($A491,Table_ship_components[],COLUMN(AS:AS),0)</f>
        <v>2</v>
      </c>
      <c r="AT491" cm="1">
        <f t="array" ref="AT491">VLOOKUP($A491,Table_ship_components[],COLUMN(AT:AT),0)</f>
        <v>2</v>
      </c>
      <c r="AU491" s="2" cm="1">
        <f t="array" ref="AU491">VLOOKUP($A491,Table_ship_components[],COLUMN(AU:AU),0)</f>
        <v>3</v>
      </c>
      <c r="AV491" s="2" cm="1">
        <f t="array" ref="AV491">VLOOKUP($A491,Table_ship_components[],COLUMN(AV:AV),0)</f>
        <v>50</v>
      </c>
      <c r="AW491" s="2" cm="1">
        <f t="array" ref="AW491">VLOOKUP($A491,Table_ship_components[],COLUMN(AW:AW),0)</f>
        <v>20</v>
      </c>
      <c r="AX491" s="2" cm="1">
        <f t="array" ref="AX491">VLOOKUP($A491,Table_ship_components[],COLUMN(AX:AX),0)</f>
        <v>20</v>
      </c>
      <c r="AY491" s="2" cm="1">
        <f t="array" ref="AY491">VLOOKUP($A491,Table_ship_components[],COLUMN(AY:AY),0)</f>
        <v>10</v>
      </c>
      <c r="AZ491" s="2" t="str" cm="1">
        <f t="array" ref="AZ491">VLOOKUP($A491,Table_ship_components[],COLUMN(AZ:AZ),0)</f>
        <v>C</v>
      </c>
      <c r="BA491" s="14" cm="1">
        <f t="array" ref="BA491">VLOOKUP($A491,Table_ship_components[],COLUMN(BA:BA),0)</f>
        <v>1105000</v>
      </c>
      <c r="BB491" s="14" cm="1">
        <f t="array" ref="BB491">(VLOOKUP($A491,Table_ship_components[],COLUMN(BA:BA),0)+(W491*C491))</f>
        <v>1105000</v>
      </c>
      <c r="BC491" s="2" cm="1">
        <f t="array" ref="BC491">VLOOKUP($A491,Table_ship_components[],COLUMN(BC:BC),0)</f>
        <v>0</v>
      </c>
      <c r="BD491" s="2" cm="1">
        <f t="array" ref="BD491">VLOOKUP($A491,Table_ship_components[],COLUMN(BD:BD),0)</f>
        <v>0</v>
      </c>
    </row>
    <row r="492" spans="1:56" outlineLevel="1" x14ac:dyDescent="0.35"/>
    <row r="493" spans="1:56" outlineLevel="1" x14ac:dyDescent="0.35">
      <c r="A493" s="40" t="str">
        <f>CONCATENATE("LIFE SUPPORT VALID : ",IF((SUM(Z522:AA522)&lt;=AC522),"YES","NO"))</f>
        <v>LIFE SUPPORT VALID : YES</v>
      </c>
      <c r="B493" s="39" t="str">
        <f>CONCATENATE("TOTAL SIZE ",(SUM(E495:E521))," TOTAL POWER ",(SUM(G495:G521))," / ",(SUM(I495:I521)))</f>
        <v>TOTAL SIZE 49 TOTAL POWER 20 / 30</v>
      </c>
    </row>
    <row r="494" spans="1:56" outlineLevel="1" x14ac:dyDescent="0.35">
      <c r="A494" s="18" t="s">
        <v>423</v>
      </c>
      <c r="B494" s="19" t="str">
        <f>CONCATENATE("SIZE ",(SUM(E495:E500)),"/", AW491,"  POWER ",(SUM(G495:G500)),)</f>
        <v>SIZE 20/20  POWER 11</v>
      </c>
      <c r="C494" s="31" t="s">
        <v>521</v>
      </c>
    </row>
    <row r="495" spans="1:56" outlineLevel="1" x14ac:dyDescent="0.35">
      <c r="A495" t="s">
        <v>336</v>
      </c>
      <c r="B495" t="str" cm="1">
        <f t="array" ref="B495">VLOOKUP($A495,Table_ship_components[],COLUMN(B:B),0)</f>
        <v>avg fighter power plant</v>
      </c>
      <c r="D495" cm="1">
        <f t="array" ref="D495">VLOOKUP($A495,Table_ship_components[],COLUMN(D:D),0)</f>
        <v>8</v>
      </c>
      <c r="E495" cm="1">
        <f t="array" ref="E495">ROUND(VLOOKUP($A495,Table_ship_components[],COLUMN(D:D),0)+(V495*C495),0)</f>
        <v>8</v>
      </c>
      <c r="F495" cm="1">
        <f t="array" ref="F495">VLOOKUP($A495,Table_ship_components[],COLUMN(F:F),0)</f>
        <v>0</v>
      </c>
      <c r="G495" cm="1">
        <f t="array" ref="G495">ROUND(VLOOKUP($A495,Table_ship_components[],COLUMN(G:G),0)+(X495*C495),0)</f>
        <v>0</v>
      </c>
      <c r="H495" cm="1">
        <f t="array" ref="H495">VLOOKUP($A495,Table_ship_components[],COLUMN(H:H),0)</f>
        <v>0</v>
      </c>
      <c r="I495" cm="1">
        <f t="array" ref="I495">VLOOKUP($A495,Table_ship_components[],COLUMN(I:I),0)</f>
        <v>30</v>
      </c>
      <c r="J495" cm="1">
        <f t="array" ref="J495">VLOOKUP($A495,Table_ship_components[],COLUMN(J:J),0)</f>
        <v>0</v>
      </c>
      <c r="K495" cm="1">
        <f t="array" ref="K495">VLOOKUP($A495,Table_ship_components[],COLUMN(K:K),0)</f>
        <v>0</v>
      </c>
      <c r="L495" cm="1">
        <f t="array" ref="L495">VLOOKUP($A495,Table_ship_components[],COLUMN(L:L),0)</f>
        <v>0</v>
      </c>
      <c r="M495" cm="1">
        <f t="array" ref="M495">VLOOKUP($A495,Table_ship_components[],COLUMN(M:M),0)</f>
        <v>0</v>
      </c>
      <c r="N495" cm="1">
        <f t="array" ref="N495">VLOOKUP($A495,Table_ship_components[],COLUMN(N:N),0)</f>
        <v>1</v>
      </c>
      <c r="O495" cm="1">
        <f t="array" ref="O495">VLOOKUP($A495,Table_ship_components[],COLUMN(O:O),0)</f>
        <v>0</v>
      </c>
      <c r="P495" cm="1">
        <f t="array" ref="P495">VLOOKUP($A495,Table_ship_components[],COLUMN(P:P),0)</f>
        <v>0</v>
      </c>
      <c r="Q495" cm="1">
        <f t="array" ref="Q495">VLOOKUP($A495,Table_ship_components[],COLUMN(Q:Q),0)</f>
        <v>0</v>
      </c>
      <c r="R495" cm="1">
        <f t="array" ref="R495">VLOOKUP($A495,Table_ship_components[],COLUMN(R:R),0)</f>
        <v>0</v>
      </c>
      <c r="S495" cm="1">
        <f t="array" ref="S495">VLOOKUP($A495,Table_ship_components[],COLUMN(S:S),0)</f>
        <v>0</v>
      </c>
      <c r="T495" cm="1">
        <f t="array" ref="T495">VLOOKUP($A495,Table_ship_components[],COLUMN(T:T),0)</f>
        <v>0</v>
      </c>
      <c r="U495" cm="1">
        <f t="array" ref="U495">VLOOKUP($A495,Table_ship_components[],COLUMN(U:U),0)</f>
        <v>0</v>
      </c>
      <c r="V495" cm="1">
        <f t="array" ref="V495">VLOOKUP($A495,Table_ship_components[],COLUMN(V:V),0)</f>
        <v>0</v>
      </c>
      <c r="W495" s="15" cm="1">
        <f t="array" ref="W495">VLOOKUP($A495,Table_ship_components[],COLUMN(W:W),0)</f>
        <v>0</v>
      </c>
      <c r="X495" cm="1">
        <f t="array" ref="X495">VLOOKUP($A495,Table_ship_components[],COLUMN(X:X),0)</f>
        <v>0</v>
      </c>
      <c r="Y495" cm="1">
        <f t="array" ref="Y495">VLOOKUP($A495,Table_ship_components[],COLUMN(Y:Y),0)</f>
        <v>0</v>
      </c>
      <c r="Z495" cm="1">
        <f t="array" ref="Z495">VLOOKUP($A495,Table_ship_components[],COLUMN(Z:Z),0)</f>
        <v>0</v>
      </c>
      <c r="AA495" cm="1">
        <f t="array" ref="AA495">VLOOKUP($A495,Table_ship_components[],COLUMN(AA:AA),0)*C495</f>
        <v>0</v>
      </c>
      <c r="AB495">
        <f>IF(A495="CARGOSPACE_0-ALL_0-UNIVERSAL",C495,0)</f>
        <v>0</v>
      </c>
      <c r="AC495" cm="1">
        <f t="array" ref="AC495">VLOOKUP($A495,Table_ship_components[],COLUMN(AC:AC),0)*C495</f>
        <v>0</v>
      </c>
      <c r="AD495" cm="1">
        <f t="array" ref="AD495">VLOOKUP($A495,Table_ship_components[],COLUMN(AD:AD),0)</f>
        <v>0</v>
      </c>
      <c r="AE495" cm="1">
        <f t="array" ref="AE495">VLOOKUP($A495,Table_ship_components[],COLUMN(AE:AE),0)</f>
        <v>0</v>
      </c>
      <c r="AF495" cm="1">
        <f t="array" ref="AF495">VLOOKUP($A495,Table_ship_components[],COLUMN(AF:AF),0)</f>
        <v>0</v>
      </c>
      <c r="AG495" cm="1">
        <f t="array" ref="AG495">VLOOKUP($A495,Table_ship_components[],COLUMN(AG:AG),0)</f>
        <v>0</v>
      </c>
      <c r="AH495" cm="1">
        <f t="array" ref="AH495">VLOOKUP($A495,Table_ship_components[],COLUMN(AH:AH),0)</f>
        <v>0</v>
      </c>
      <c r="AI495" cm="1">
        <f t="array" ref="AI495">VLOOKUP($A495,Table_ship_components[],COLUMN(AI:AI),0)</f>
        <v>0</v>
      </c>
      <c r="AJ495" cm="1">
        <f t="array" ref="AJ495">VLOOKUP($A495,Table_ship_components[],COLUMN(AJ:AJ),0)</f>
        <v>0</v>
      </c>
      <c r="AK495" cm="1">
        <f t="array" ref="AK495">VLOOKUP($A495,Table_ship_components[],COLUMN(AK:AK),0)</f>
        <v>0</v>
      </c>
      <c r="AL495" cm="1">
        <f t="array" ref="AL495">VLOOKUP($A495,Table_ship_components[],COLUMN(AL:AL),0)</f>
        <v>0</v>
      </c>
      <c r="AM495" cm="1">
        <f t="array" ref="AM495">VLOOKUP($A495,Table_ship_components[],COLUMN(AM:AM),0)</f>
        <v>0</v>
      </c>
      <c r="AN495" cm="1">
        <f t="array" ref="AN495">VLOOKUP($A495,Table_ship_components[],COLUMN(AN:AN),0)</f>
        <v>0</v>
      </c>
      <c r="AO495" cm="1">
        <f t="array" ref="AO495">VLOOKUP($A495,Table_ship_components[],COLUMN(AO:AO),0)</f>
        <v>0</v>
      </c>
      <c r="AP495" cm="1">
        <f t="array" ref="AP495">VLOOKUP($A495,Table_ship_components[],COLUMN(AP:AP),0)</f>
        <v>0</v>
      </c>
      <c r="AQ495" cm="1">
        <f t="array" ref="AQ495">VLOOKUP($A495,Table_ship_components[],COLUMN(AQ:AQ),0)</f>
        <v>0</v>
      </c>
      <c r="AR495" cm="1">
        <f t="array" ref="AR495">VLOOKUP($A495,Table_ship_components[],COLUMN(AR:AR),0)</f>
        <v>0</v>
      </c>
      <c r="AS495" cm="1">
        <f t="array" ref="AS495">VLOOKUP($A495,Table_ship_components[],COLUMN(AS:AS),0)</f>
        <v>0</v>
      </c>
      <c r="AT495" cm="1">
        <f t="array" ref="AT495">VLOOKUP($A495,Table_ship_components[],COLUMN(AT:AT),0)</f>
        <v>0</v>
      </c>
      <c r="AU495" s="2" cm="1">
        <f t="array" ref="AU495">VLOOKUP($A495,Table_ship_components[],COLUMN(AU:AU),0)</f>
        <v>0</v>
      </c>
      <c r="AV495" s="2" cm="1">
        <f t="array" ref="AV495">VLOOKUP($A495,Table_ship_components[],COLUMN(AV:AV),0)</f>
        <v>0</v>
      </c>
      <c r="AW495" s="2" cm="1">
        <f t="array" ref="AW495">VLOOKUP($A495,Table_ship_components[],COLUMN(AW:AW),0)</f>
        <v>0</v>
      </c>
      <c r="AX495" s="2" cm="1">
        <f t="array" ref="AX495">VLOOKUP($A495,Table_ship_components[],COLUMN(AX:AX),0)</f>
        <v>0</v>
      </c>
      <c r="AY495" s="2" cm="1">
        <f t="array" ref="AY495">VLOOKUP($A495,Table_ship_components[],COLUMN(AY:AY),0)</f>
        <v>0</v>
      </c>
      <c r="AZ495" s="2" t="str" cm="1">
        <f t="array" ref="AZ495">VLOOKUP($A495,Table_ship_components[],COLUMN(AZ:AZ),0)</f>
        <v>C</v>
      </c>
      <c r="BA495" s="14" cm="1">
        <f t="array" ref="BA495">VLOOKUP($A495,Table_ship_components[],COLUMN(BA:BA),0)</f>
        <v>200000</v>
      </c>
      <c r="BB495" s="14" cm="1">
        <f t="array" ref="BB495">(VLOOKUP($A495,Table_ship_components[],COLUMN(BA:BA),0)+(W495*C495))</f>
        <v>200000</v>
      </c>
      <c r="BC495" s="2" cm="1">
        <f t="array" ref="BC495">VLOOKUP($A495,Table_ship_components[],COLUMN(BC:BC),0)</f>
        <v>0</v>
      </c>
      <c r="BD495" s="2" cm="1">
        <f t="array" ref="BD495">VLOOKUP($A495,Table_ship_components[],COLUMN(BD:BD),0)</f>
        <v>0</v>
      </c>
    </row>
    <row r="496" spans="1:56" outlineLevel="1" x14ac:dyDescent="0.35">
      <c r="A496" t="s">
        <v>288</v>
      </c>
      <c r="B496" t="str" cm="1">
        <f t="array" ref="B496">VLOOKUP($A496,Table_ship_components[],COLUMN(B:B),0)</f>
        <v>PICK A COMPONENT</v>
      </c>
      <c r="D496" cm="1">
        <f t="array" ref="D496">VLOOKUP($A496,Table_ship_components[],COLUMN(D:D),0)</f>
        <v>0</v>
      </c>
      <c r="E496" cm="1">
        <f t="array" ref="E496">ROUND(VLOOKUP($A496,Table_ship_components[],COLUMN(D:D),0)+(V496*C496),0)</f>
        <v>0</v>
      </c>
      <c r="F496" cm="1">
        <f t="array" ref="F496">VLOOKUP($A496,Table_ship_components[],COLUMN(F:F),0)</f>
        <v>0</v>
      </c>
      <c r="G496" cm="1">
        <f t="array" ref="G496">ROUND(VLOOKUP($A496,Table_ship_components[],COLUMN(G:G),0)+(X496*C496),0)</f>
        <v>0</v>
      </c>
      <c r="H496" cm="1">
        <f t="array" ref="H496">VLOOKUP($A496,Table_ship_components[],COLUMN(H:H),0)</f>
        <v>0</v>
      </c>
      <c r="I496" cm="1">
        <f t="array" ref="I496">VLOOKUP($A496,Table_ship_components[],COLUMN(I:I),0)</f>
        <v>0</v>
      </c>
      <c r="J496" cm="1">
        <f t="array" ref="J496">VLOOKUP($A496,Table_ship_components[],COLUMN(J:J),0)</f>
        <v>0</v>
      </c>
      <c r="K496" cm="1">
        <f t="array" ref="K496">VLOOKUP($A496,Table_ship_components[],COLUMN(K:K),0)</f>
        <v>0</v>
      </c>
      <c r="L496" cm="1">
        <f t="array" ref="L496">VLOOKUP($A496,Table_ship_components[],COLUMN(L:L),0)</f>
        <v>0</v>
      </c>
      <c r="M496" cm="1">
        <f t="array" ref="M496">VLOOKUP($A496,Table_ship_components[],COLUMN(M:M),0)</f>
        <v>0</v>
      </c>
      <c r="N496" cm="1">
        <f t="array" ref="N496">VLOOKUP($A496,Table_ship_components[],COLUMN(N:N),0)</f>
        <v>0</v>
      </c>
      <c r="O496" cm="1">
        <f t="array" ref="O496">VLOOKUP($A496,Table_ship_components[],COLUMN(O:O),0)</f>
        <v>0</v>
      </c>
      <c r="P496" cm="1">
        <f t="array" ref="P496">VLOOKUP($A496,Table_ship_components[],COLUMN(P:P),0)</f>
        <v>0</v>
      </c>
      <c r="Q496" cm="1">
        <f t="array" ref="Q496">VLOOKUP($A496,Table_ship_components[],COLUMN(Q:Q),0)</f>
        <v>0</v>
      </c>
      <c r="R496" cm="1">
        <f t="array" ref="R496">VLOOKUP($A496,Table_ship_components[],COLUMN(R:R),0)</f>
        <v>0</v>
      </c>
      <c r="S496" cm="1">
        <f t="array" ref="S496">VLOOKUP($A496,Table_ship_components[],COLUMN(S:S),0)</f>
        <v>0</v>
      </c>
      <c r="T496" cm="1">
        <f t="array" ref="T496">VLOOKUP($A496,Table_ship_components[],COLUMN(T:T),0)</f>
        <v>0</v>
      </c>
      <c r="U496" cm="1">
        <f t="array" ref="U496">VLOOKUP($A496,Table_ship_components[],COLUMN(U:U),0)</f>
        <v>0</v>
      </c>
      <c r="V496" cm="1">
        <f t="array" ref="V496">VLOOKUP($A496,Table_ship_components[],COLUMN(V:V),0)</f>
        <v>0</v>
      </c>
      <c r="W496" s="15" cm="1">
        <f t="array" ref="W496">VLOOKUP($A496,Table_ship_components[],COLUMN(W:W),0)</f>
        <v>0</v>
      </c>
      <c r="X496" cm="1">
        <f t="array" ref="X496">VLOOKUP($A496,Table_ship_components[],COLUMN(X:X),0)</f>
        <v>0</v>
      </c>
      <c r="Y496" cm="1">
        <f t="array" ref="Y496">VLOOKUP($A496,Table_ship_components[],COLUMN(Y:Y),0)</f>
        <v>0</v>
      </c>
      <c r="Z496" cm="1">
        <f t="array" ref="Z496">VLOOKUP($A496,Table_ship_components[],COLUMN(Z:Z),0)</f>
        <v>0</v>
      </c>
      <c r="AA496" cm="1">
        <f t="array" ref="AA496">VLOOKUP($A496,Table_ship_components[],COLUMN(AA:AA),0)*C496</f>
        <v>0</v>
      </c>
      <c r="AB496">
        <f t="shared" ref="AB496:AB500" si="45">IF(A496="CARGOSPACE_0-ALL_0-UNIVERSAL",C496,0)</f>
        <v>0</v>
      </c>
      <c r="AC496" cm="1">
        <f t="array" ref="AC496">VLOOKUP($A496,Table_ship_components[],COLUMN(AC:AC),0)*C496</f>
        <v>0</v>
      </c>
      <c r="AD496" cm="1">
        <f t="array" ref="AD496">VLOOKUP($A496,Table_ship_components[],COLUMN(AD:AD),0)</f>
        <v>0</v>
      </c>
      <c r="AE496" cm="1">
        <f t="array" ref="AE496">VLOOKUP($A496,Table_ship_components[],COLUMN(AE:AE),0)</f>
        <v>0</v>
      </c>
      <c r="AF496" cm="1">
        <f t="array" ref="AF496">VLOOKUP($A496,Table_ship_components[],COLUMN(AF:AF),0)</f>
        <v>0</v>
      </c>
      <c r="AG496" cm="1">
        <f t="array" ref="AG496">VLOOKUP($A496,Table_ship_components[],COLUMN(AG:AG),0)</f>
        <v>0</v>
      </c>
      <c r="AH496" cm="1">
        <f t="array" ref="AH496">VLOOKUP($A496,Table_ship_components[],COLUMN(AH:AH),0)</f>
        <v>0</v>
      </c>
      <c r="AI496" cm="1">
        <f t="array" ref="AI496">VLOOKUP($A496,Table_ship_components[],COLUMN(AI:AI),0)</f>
        <v>0</v>
      </c>
      <c r="AJ496" cm="1">
        <f t="array" ref="AJ496">VLOOKUP($A496,Table_ship_components[],COLUMN(AJ:AJ),0)</f>
        <v>0</v>
      </c>
      <c r="AK496" cm="1">
        <f t="array" ref="AK496">VLOOKUP($A496,Table_ship_components[],COLUMN(AK:AK),0)</f>
        <v>0</v>
      </c>
      <c r="AL496" cm="1">
        <f t="array" ref="AL496">VLOOKUP($A496,Table_ship_components[],COLUMN(AL:AL),0)</f>
        <v>0</v>
      </c>
      <c r="AM496" cm="1">
        <f t="array" ref="AM496">VLOOKUP($A496,Table_ship_components[],COLUMN(AM:AM),0)</f>
        <v>0</v>
      </c>
      <c r="AN496" cm="1">
        <f t="array" ref="AN496">VLOOKUP($A496,Table_ship_components[],COLUMN(AN:AN),0)</f>
        <v>0</v>
      </c>
      <c r="AO496" cm="1">
        <f t="array" ref="AO496">VLOOKUP($A496,Table_ship_components[],COLUMN(AO:AO),0)</f>
        <v>0</v>
      </c>
      <c r="AP496" cm="1">
        <f t="array" ref="AP496">VLOOKUP($A496,Table_ship_components[],COLUMN(AP:AP),0)</f>
        <v>0</v>
      </c>
      <c r="AQ496" cm="1">
        <f t="array" ref="AQ496">VLOOKUP($A496,Table_ship_components[],COLUMN(AQ:AQ),0)</f>
        <v>0</v>
      </c>
      <c r="AR496" cm="1">
        <f t="array" ref="AR496">VLOOKUP($A496,Table_ship_components[],COLUMN(AR:AR),0)</f>
        <v>0</v>
      </c>
      <c r="AS496" cm="1">
        <f t="array" ref="AS496">VLOOKUP($A496,Table_ship_components[],COLUMN(AS:AS),0)</f>
        <v>0</v>
      </c>
      <c r="AT496" cm="1">
        <f t="array" ref="AT496">VLOOKUP($A496,Table_ship_components[],COLUMN(AT:AT),0)</f>
        <v>0</v>
      </c>
      <c r="AU496" s="2" cm="1">
        <f t="array" ref="AU496">VLOOKUP($A496,Table_ship_components[],COLUMN(AU:AU),0)</f>
        <v>0</v>
      </c>
      <c r="AV496" s="2" cm="1">
        <f t="array" ref="AV496">VLOOKUP($A496,Table_ship_components[],COLUMN(AV:AV),0)</f>
        <v>0</v>
      </c>
      <c r="AW496" s="2" cm="1">
        <f t="array" ref="AW496">VLOOKUP($A496,Table_ship_components[],COLUMN(AW:AW),0)</f>
        <v>0</v>
      </c>
      <c r="AX496" s="2" cm="1">
        <f t="array" ref="AX496">VLOOKUP($A496,Table_ship_components[],COLUMN(AX:AX),0)</f>
        <v>0</v>
      </c>
      <c r="AY496" s="2" cm="1">
        <f t="array" ref="AY496">VLOOKUP($A496,Table_ship_components[],COLUMN(AY:AY),0)</f>
        <v>0</v>
      </c>
      <c r="AZ496" s="2" t="str" cm="1">
        <f t="array" ref="AZ496">VLOOKUP($A496,Table_ship_components[],COLUMN(AZ:AZ),0)</f>
        <v>C</v>
      </c>
      <c r="BA496" s="14" cm="1">
        <f t="array" ref="BA496">VLOOKUP($A496,Table_ship_components[],COLUMN(BA:BA),0)</f>
        <v>0</v>
      </c>
      <c r="BB496" s="14" cm="1">
        <f t="array" ref="BB496">(VLOOKUP($A496,Table_ship_components[],COLUMN(BA:BA),0)+(W496*C496))</f>
        <v>0</v>
      </c>
      <c r="BC496" s="2" cm="1">
        <f t="array" ref="BC496">VLOOKUP($A496,Table_ship_components[],COLUMN(BC:BC),0)</f>
        <v>0</v>
      </c>
      <c r="BD496" s="2" cm="1">
        <f t="array" ref="BD496">VLOOKUP($A496,Table_ship_components[],COLUMN(BD:BD),0)</f>
        <v>0</v>
      </c>
    </row>
    <row r="497" spans="1:56" outlineLevel="1" x14ac:dyDescent="0.35">
      <c r="A497" t="s">
        <v>343</v>
      </c>
      <c r="B497" t="str" cm="1">
        <f t="array" ref="B497">VLOOKUP($A497,Table_ship_components[],COLUMN(B:B),0)</f>
        <v>good fighter warfare computer</v>
      </c>
      <c r="D497" cm="1">
        <f t="array" ref="D497">VLOOKUP($A497,Table_ship_components[],COLUMN(D:D),0)</f>
        <v>3</v>
      </c>
      <c r="E497" cm="1">
        <f t="array" ref="E497">ROUND(VLOOKUP($A497,Table_ship_components[],COLUMN(D:D),0)+(V497*C497),0)</f>
        <v>3</v>
      </c>
      <c r="F497" cm="1">
        <f t="array" ref="F497">VLOOKUP($A497,Table_ship_components[],COLUMN(F:F),0)</f>
        <v>3</v>
      </c>
      <c r="G497" cm="1">
        <f t="array" ref="G497">ROUND(VLOOKUP($A497,Table_ship_components[],COLUMN(G:G),0)+(X497*C497),0)</f>
        <v>3</v>
      </c>
      <c r="H497" cm="1">
        <f t="array" ref="H497">VLOOKUP($A497,Table_ship_components[],COLUMN(H:H),0)</f>
        <v>0</v>
      </c>
      <c r="I497" cm="1">
        <f t="array" ref="I497">VLOOKUP($A497,Table_ship_components[],COLUMN(I:I),0)</f>
        <v>0</v>
      </c>
      <c r="J497" cm="1">
        <f t="array" ref="J497">VLOOKUP($A497,Table_ship_components[],COLUMN(J:J),0)</f>
        <v>0</v>
      </c>
      <c r="K497" cm="1">
        <f t="array" ref="K497">VLOOKUP($A497,Table_ship_components[],COLUMN(K:K),0)</f>
        <v>0</v>
      </c>
      <c r="L497" cm="1">
        <f t="array" ref="L497">VLOOKUP($A497,Table_ship_components[],COLUMN(L:L),0)</f>
        <v>0</v>
      </c>
      <c r="M497" cm="1">
        <f t="array" ref="M497">VLOOKUP($A497,Table_ship_components[],COLUMN(M:M),0)</f>
        <v>0</v>
      </c>
      <c r="N497" cm="1">
        <f t="array" ref="N497">VLOOKUP($A497,Table_ship_components[],COLUMN(N:N),0)</f>
        <v>1</v>
      </c>
      <c r="O497" cm="1">
        <f t="array" ref="O497">VLOOKUP($A497,Table_ship_components[],COLUMN(O:O),0)</f>
        <v>0</v>
      </c>
      <c r="P497" cm="1">
        <f t="array" ref="P497">VLOOKUP($A497,Table_ship_components[],COLUMN(P:P),0)</f>
        <v>0</v>
      </c>
      <c r="Q497" cm="1">
        <f t="array" ref="Q497">VLOOKUP($A497,Table_ship_components[],COLUMN(Q:Q),0)</f>
        <v>0</v>
      </c>
      <c r="R497" cm="1">
        <f t="array" ref="R497">VLOOKUP($A497,Table_ship_components[],COLUMN(R:R),0)</f>
        <v>0</v>
      </c>
      <c r="S497" cm="1">
        <f t="array" ref="S497">VLOOKUP($A497,Table_ship_components[],COLUMN(S:S),0)</f>
        <v>0</v>
      </c>
      <c r="T497" cm="1">
        <f t="array" ref="T497">VLOOKUP($A497,Table_ship_components[],COLUMN(T:T),0)</f>
        <v>0</v>
      </c>
      <c r="U497" cm="1">
        <f t="array" ref="U497">VLOOKUP($A497,Table_ship_components[],COLUMN(U:U),0)</f>
        <v>0</v>
      </c>
      <c r="V497" cm="1">
        <f t="array" ref="V497">VLOOKUP($A497,Table_ship_components[],COLUMN(V:V),0)</f>
        <v>0</v>
      </c>
      <c r="W497" s="15" cm="1">
        <f t="array" ref="W497">VLOOKUP($A497,Table_ship_components[],COLUMN(W:W),0)</f>
        <v>0</v>
      </c>
      <c r="X497" cm="1">
        <f t="array" ref="X497">VLOOKUP($A497,Table_ship_components[],COLUMN(X:X),0)</f>
        <v>0</v>
      </c>
      <c r="Y497" cm="1">
        <f t="array" ref="Y497">VLOOKUP($A497,Table_ship_components[],COLUMN(Y:Y),0)</f>
        <v>0</v>
      </c>
      <c r="Z497" cm="1">
        <f t="array" ref="Z497">VLOOKUP($A497,Table_ship_components[],COLUMN(Z:Z),0)</f>
        <v>0</v>
      </c>
      <c r="AA497" cm="1">
        <f t="array" ref="AA497">VLOOKUP($A497,Table_ship_components[],COLUMN(AA:AA),0)*C497</f>
        <v>0</v>
      </c>
      <c r="AB497">
        <f t="shared" si="45"/>
        <v>0</v>
      </c>
      <c r="AC497" cm="1">
        <f t="array" ref="AC497">VLOOKUP($A497,Table_ship_components[],COLUMN(AC:AC),0)*C497</f>
        <v>0</v>
      </c>
      <c r="AD497" cm="1">
        <f t="array" ref="AD497">VLOOKUP($A497,Table_ship_components[],COLUMN(AD:AD),0)</f>
        <v>0</v>
      </c>
      <c r="AE497" cm="1">
        <f t="array" ref="AE497">VLOOKUP($A497,Table_ship_components[],COLUMN(AE:AE),0)</f>
        <v>0</v>
      </c>
      <c r="AF497" cm="1">
        <f t="array" ref="AF497">VLOOKUP($A497,Table_ship_components[],COLUMN(AF:AF),0)</f>
        <v>0</v>
      </c>
      <c r="AG497" cm="1">
        <f t="array" ref="AG497">VLOOKUP($A497,Table_ship_components[],COLUMN(AG:AG),0)</f>
        <v>0</v>
      </c>
      <c r="AH497" cm="1">
        <f t="array" ref="AH497">VLOOKUP($A497,Table_ship_components[],COLUMN(AH:AH),0)</f>
        <v>0</v>
      </c>
      <c r="AI497" cm="1">
        <f t="array" ref="AI497">VLOOKUP($A497,Table_ship_components[],COLUMN(AI:AI),0)</f>
        <v>0</v>
      </c>
      <c r="AJ497" cm="1">
        <f t="array" ref="AJ497">VLOOKUP($A497,Table_ship_components[],COLUMN(AJ:AJ),0)</f>
        <v>0</v>
      </c>
      <c r="AK497" cm="1">
        <f t="array" ref="AK497">VLOOKUP($A497,Table_ship_components[],COLUMN(AK:AK),0)</f>
        <v>0</v>
      </c>
      <c r="AL497" cm="1">
        <f t="array" ref="AL497">VLOOKUP($A497,Table_ship_components[],COLUMN(AL:AL),0)</f>
        <v>0</v>
      </c>
      <c r="AM497" cm="1">
        <f t="array" ref="AM497">VLOOKUP($A497,Table_ship_components[],COLUMN(AM:AM),0)</f>
        <v>0</v>
      </c>
      <c r="AN497" cm="1">
        <f t="array" ref="AN497">VLOOKUP($A497,Table_ship_components[],COLUMN(AN:AN),0)</f>
        <v>0</v>
      </c>
      <c r="AO497" cm="1">
        <f t="array" ref="AO497">VLOOKUP($A497,Table_ship_components[],COLUMN(AO:AO),0)</f>
        <v>0</v>
      </c>
      <c r="AP497" cm="1">
        <f t="array" ref="AP497">VLOOKUP($A497,Table_ship_components[],COLUMN(AP:AP),0)</f>
        <v>0</v>
      </c>
      <c r="AQ497" cm="1">
        <f t="array" ref="AQ497">VLOOKUP($A497,Table_ship_components[],COLUMN(AQ:AQ),0)</f>
        <v>0</v>
      </c>
      <c r="AR497" cm="1">
        <f t="array" ref="AR497">VLOOKUP($A497,Table_ship_components[],COLUMN(AR:AR),0)</f>
        <v>0</v>
      </c>
      <c r="AS497" cm="1">
        <f t="array" ref="AS497">VLOOKUP($A497,Table_ship_components[],COLUMN(AS:AS),0)</f>
        <v>0</v>
      </c>
      <c r="AT497" cm="1">
        <f t="array" ref="AT497">VLOOKUP($A497,Table_ship_components[],COLUMN(AT:AT),0)</f>
        <v>0</v>
      </c>
      <c r="AU497" s="2" cm="1">
        <f t="array" ref="AU497">VLOOKUP($A497,Table_ship_components[],COLUMN(AU:AU),0)</f>
        <v>1</v>
      </c>
      <c r="AV497" s="2" cm="1">
        <f t="array" ref="AV497">VLOOKUP($A497,Table_ship_components[],COLUMN(AV:AV),0)</f>
        <v>0</v>
      </c>
      <c r="AW497" s="2" cm="1">
        <f t="array" ref="AW497">VLOOKUP($A497,Table_ship_components[],COLUMN(AW:AW),0)</f>
        <v>0</v>
      </c>
      <c r="AX497" s="2" cm="1">
        <f t="array" ref="AX497">VLOOKUP($A497,Table_ship_components[],COLUMN(AX:AX),0)</f>
        <v>0</v>
      </c>
      <c r="AY497" s="2" cm="1">
        <f t="array" ref="AY497">VLOOKUP($A497,Table_ship_components[],COLUMN(AY:AY),0)</f>
        <v>0</v>
      </c>
      <c r="AZ497" s="2" t="str" cm="1">
        <f t="array" ref="AZ497">VLOOKUP($A497,Table_ship_components[],COLUMN(AZ:AZ),0)</f>
        <v>C</v>
      </c>
      <c r="BA497" s="14" cm="1">
        <f t="array" ref="BA497">VLOOKUP($A497,Table_ship_components[],COLUMN(BA:BA),0)</f>
        <v>320000</v>
      </c>
      <c r="BB497" s="14" cm="1">
        <f t="array" ref="BB497">(VLOOKUP($A497,Table_ship_components[],COLUMN(BA:BA),0)+(W497*C497))</f>
        <v>320000</v>
      </c>
      <c r="BC497" s="2" cm="1">
        <f t="array" ref="BC497">VLOOKUP($A497,Table_ship_components[],COLUMN(BC:BC),0)</f>
        <v>0</v>
      </c>
      <c r="BD497" s="2" cm="1">
        <f t="array" ref="BD497">VLOOKUP($A497,Table_ship_components[],COLUMN(BD:BD),0)</f>
        <v>0</v>
      </c>
    </row>
    <row r="498" spans="1:56" outlineLevel="1" x14ac:dyDescent="0.35">
      <c r="A498" t="s">
        <v>634</v>
      </c>
      <c r="B498" t="str" cm="1">
        <f t="array" ref="B498">VLOOKUP($A498,Table_ship_components[],COLUMN(B:B),0)</f>
        <v>med speed fighter balanced engine</v>
      </c>
      <c r="D498" cm="1">
        <f t="array" ref="D498">VLOOKUP($A498,Table_ship_components[],COLUMN(D:D),0)</f>
        <v>4</v>
      </c>
      <c r="E498" cm="1">
        <f t="array" ref="E498">ROUND(VLOOKUP($A498,Table_ship_components[],COLUMN(D:D),0)+(V498*C498),0)</f>
        <v>4</v>
      </c>
      <c r="F498" cm="1">
        <f t="array" ref="F498">VLOOKUP($A498,Table_ship_components[],COLUMN(F:F),0)</f>
        <v>5</v>
      </c>
      <c r="G498" cm="1">
        <f t="array" ref="G498">ROUND(VLOOKUP($A498,Table_ship_components[],COLUMN(G:G),0)+(X498*C498),0)</f>
        <v>5</v>
      </c>
      <c r="H498" cm="1">
        <f t="array" ref="H498">VLOOKUP($A498,Table_ship_components[],COLUMN(H:H),0)</f>
        <v>0</v>
      </c>
      <c r="I498" cm="1">
        <f t="array" ref="I498">VLOOKUP($A498,Table_ship_components[],COLUMN(I:I),0)</f>
        <v>0</v>
      </c>
      <c r="J498" cm="1">
        <f t="array" ref="J498">VLOOKUP($A498,Table_ship_components[],COLUMN(J:J),0)</f>
        <v>0</v>
      </c>
      <c r="K498" cm="1">
        <f t="array" ref="K498">VLOOKUP($A498,Table_ship_components[],COLUMN(K:K),0)</f>
        <v>0</v>
      </c>
      <c r="L498" cm="1">
        <f t="array" ref="L498">VLOOKUP($A498,Table_ship_components[],COLUMN(L:L),0)</f>
        <v>0</v>
      </c>
      <c r="M498" cm="1">
        <f t="array" ref="M498">VLOOKUP($A498,Table_ship_components[],COLUMN(M:M),0)</f>
        <v>0</v>
      </c>
      <c r="N498" cm="1">
        <f t="array" ref="N498">VLOOKUP($A498,Table_ship_components[],COLUMN(N:N),0)</f>
        <v>1</v>
      </c>
      <c r="O498" cm="1">
        <f t="array" ref="O498">VLOOKUP($A498,Table_ship_components[],COLUMN(O:O),0)</f>
        <v>0</v>
      </c>
      <c r="P498" cm="1">
        <f t="array" ref="P498">VLOOKUP($A498,Table_ship_components[],COLUMN(P:P),0)</f>
        <v>0</v>
      </c>
      <c r="Q498" cm="1">
        <f t="array" ref="Q498">VLOOKUP($A498,Table_ship_components[],COLUMN(Q:Q),0)</f>
        <v>0</v>
      </c>
      <c r="R498" cm="1">
        <f t="array" ref="R498">VLOOKUP($A498,Table_ship_components[],COLUMN(R:R),0)</f>
        <v>0</v>
      </c>
      <c r="S498" cm="1">
        <f t="array" ref="S498">VLOOKUP($A498,Table_ship_components[],COLUMN(S:S),0)</f>
        <v>0</v>
      </c>
      <c r="T498" cm="1">
        <f t="array" ref="T498">VLOOKUP($A498,Table_ship_components[],COLUMN(T:T),0)</f>
        <v>0</v>
      </c>
      <c r="U498" cm="1">
        <f t="array" ref="U498">VLOOKUP($A498,Table_ship_components[],COLUMN(U:U),0)</f>
        <v>0</v>
      </c>
      <c r="V498" cm="1">
        <f t="array" ref="V498">VLOOKUP($A498,Table_ship_components[],COLUMN(V:V),0)</f>
        <v>0</v>
      </c>
      <c r="W498" s="15" cm="1">
        <f t="array" ref="W498">VLOOKUP($A498,Table_ship_components[],COLUMN(W:W),0)</f>
        <v>0</v>
      </c>
      <c r="X498" cm="1">
        <f t="array" ref="X498">VLOOKUP($A498,Table_ship_components[],COLUMN(X:X),0)</f>
        <v>0</v>
      </c>
      <c r="Y498" cm="1">
        <f t="array" ref="Y498">VLOOKUP($A498,Table_ship_components[],COLUMN(Y:Y),0)</f>
        <v>0</v>
      </c>
      <c r="Z498" cm="1">
        <f t="array" ref="Z498">VLOOKUP($A498,Table_ship_components[],COLUMN(Z:Z),0)</f>
        <v>0</v>
      </c>
      <c r="AA498" cm="1">
        <f t="array" ref="AA498">VLOOKUP($A498,Table_ship_components[],COLUMN(AA:AA),0)*C498</f>
        <v>0</v>
      </c>
      <c r="AB498">
        <f t="shared" si="45"/>
        <v>0</v>
      </c>
      <c r="AC498" cm="1">
        <f t="array" ref="AC498">VLOOKUP($A498,Table_ship_components[],COLUMN(AC:AC),0)*C498</f>
        <v>0</v>
      </c>
      <c r="AD498" cm="1">
        <f t="array" ref="AD498">VLOOKUP($A498,Table_ship_components[],COLUMN(AD:AD),0)</f>
        <v>0</v>
      </c>
      <c r="AE498" cm="1">
        <f t="array" ref="AE498">VLOOKUP($A498,Table_ship_components[],COLUMN(AE:AE),0)</f>
        <v>0</v>
      </c>
      <c r="AF498" cm="1">
        <f t="array" ref="AF498">VLOOKUP($A498,Table_ship_components[],COLUMN(AF:AF),0)</f>
        <v>0</v>
      </c>
      <c r="AG498" cm="1">
        <f t="array" ref="AG498">VLOOKUP($A498,Table_ship_components[],COLUMN(AG:AG),0)</f>
        <v>0</v>
      </c>
      <c r="AH498" cm="1">
        <f t="array" ref="AH498">VLOOKUP($A498,Table_ship_components[],COLUMN(AH:AH),0)</f>
        <v>0</v>
      </c>
      <c r="AI498" cm="1">
        <f t="array" ref="AI498">VLOOKUP($A498,Table_ship_components[],COLUMN(AI:AI),0)</f>
        <v>0</v>
      </c>
      <c r="AJ498" cm="1">
        <f t="array" ref="AJ498">VLOOKUP($A498,Table_ship_components[],COLUMN(AJ:AJ),0)</f>
        <v>0</v>
      </c>
      <c r="AK498" cm="1">
        <f t="array" ref="AK498">VLOOKUP($A498,Table_ship_components[],COLUMN(AK:AK),0)</f>
        <v>0</v>
      </c>
      <c r="AL498" cm="1">
        <f t="array" ref="AL498">VLOOKUP($A498,Table_ship_components[],COLUMN(AL:AL),0)</f>
        <v>2</v>
      </c>
      <c r="AM498" cm="1">
        <f t="array" ref="AM498">VLOOKUP($A498,Table_ship_components[],COLUMN(AM:AM),0)</f>
        <v>0</v>
      </c>
      <c r="AN498" cm="1">
        <f t="array" ref="AN498">VLOOKUP($A498,Table_ship_components[],COLUMN(AN:AN),0)</f>
        <v>0</v>
      </c>
      <c r="AO498" cm="1">
        <f t="array" ref="AO498">VLOOKUP($A498,Table_ship_components[],COLUMN(AO:AO),0)</f>
        <v>0</v>
      </c>
      <c r="AP498" cm="1">
        <f t="array" ref="AP498">VLOOKUP($A498,Table_ship_components[],COLUMN(AP:AP),0)</f>
        <v>0</v>
      </c>
      <c r="AQ498" cm="1">
        <f t="array" ref="AQ498">VLOOKUP($A498,Table_ship_components[],COLUMN(AQ:AQ),0)</f>
        <v>0</v>
      </c>
      <c r="AR498" cm="1">
        <f t="array" ref="AR498">VLOOKUP($A498,Table_ship_components[],COLUMN(AR:AR),0)</f>
        <v>1</v>
      </c>
      <c r="AS498" cm="1">
        <f t="array" ref="AS498">VLOOKUP($A498,Table_ship_components[],COLUMN(AS:AS),0)</f>
        <v>0</v>
      </c>
      <c r="AT498" cm="1">
        <f t="array" ref="AT498">VLOOKUP($A498,Table_ship_components[],COLUMN(AT:AT),0)</f>
        <v>0</v>
      </c>
      <c r="AU498" s="2" cm="1">
        <f t="array" ref="AU498">VLOOKUP($A498,Table_ship_components[],COLUMN(AU:AU),0)</f>
        <v>1</v>
      </c>
      <c r="AV498" s="2" cm="1">
        <f t="array" ref="AV498">VLOOKUP($A498,Table_ship_components[],COLUMN(AV:AV),0)</f>
        <v>0</v>
      </c>
      <c r="AW498" s="2" cm="1">
        <f t="array" ref="AW498">VLOOKUP($A498,Table_ship_components[],COLUMN(AW:AW),0)</f>
        <v>0</v>
      </c>
      <c r="AX498" s="2" cm="1">
        <f t="array" ref="AX498">VLOOKUP($A498,Table_ship_components[],COLUMN(AX:AX),0)</f>
        <v>0</v>
      </c>
      <c r="AY498" s="2" cm="1">
        <f t="array" ref="AY498">VLOOKUP($A498,Table_ship_components[],COLUMN(AY:AY),0)</f>
        <v>0</v>
      </c>
      <c r="AZ498" s="2" t="str" cm="1">
        <f t="array" ref="AZ498">VLOOKUP($A498,Table_ship_components[],COLUMN(AZ:AZ),0)</f>
        <v>C</v>
      </c>
      <c r="BA498" s="14" cm="1">
        <f t="array" ref="BA498">VLOOKUP($A498,Table_ship_components[],COLUMN(BA:BA),0)</f>
        <v>300000</v>
      </c>
      <c r="BB498" s="14" cm="1">
        <f t="array" ref="BB498">(VLOOKUP($A498,Table_ship_components[],COLUMN(BA:BA),0)+(W498*C498))</f>
        <v>300000</v>
      </c>
      <c r="BC498" s="2" cm="1">
        <f t="array" ref="BC498">VLOOKUP($A498,Table_ship_components[],COLUMN(BC:BC),0)</f>
        <v>0</v>
      </c>
      <c r="BD498" s="2" cm="1">
        <f t="array" ref="BD498">VLOOKUP($A498,Table_ship_components[],COLUMN(BD:BD),0)</f>
        <v>0</v>
      </c>
    </row>
    <row r="499" spans="1:56" outlineLevel="1" x14ac:dyDescent="0.35">
      <c r="A499" t="s">
        <v>332</v>
      </c>
      <c r="B499" t="str" cm="1">
        <f t="array" ref="B499">VLOOKUP($A499,Table_ship_components[],COLUMN(B:B),0)</f>
        <v>fighter life support</v>
      </c>
      <c r="C499" s="2">
        <v>1</v>
      </c>
      <c r="D499" cm="1">
        <f t="array" ref="D499">VLOOKUP($A499,Table_ship_components[],COLUMN(D:D),0)</f>
        <v>3</v>
      </c>
      <c r="E499" cm="1">
        <f t="array" ref="E499">ROUND(VLOOKUP($A499,Table_ship_components[],COLUMN(D:D),0)+(V499*C499),0)</f>
        <v>3</v>
      </c>
      <c r="F499" cm="1">
        <f t="array" ref="F499">VLOOKUP($A499,Table_ship_components[],COLUMN(F:F),0)</f>
        <v>2</v>
      </c>
      <c r="G499" cm="1">
        <f t="array" ref="G499">ROUND(VLOOKUP($A499,Table_ship_components[],COLUMN(G:G),0)+(X499*C499),0)</f>
        <v>2</v>
      </c>
      <c r="H499" cm="1">
        <f t="array" ref="H499">VLOOKUP($A499,Table_ship_components[],COLUMN(H:H),0)</f>
        <v>0</v>
      </c>
      <c r="I499" cm="1">
        <f t="array" ref="I499">VLOOKUP($A499,Table_ship_components[],COLUMN(I:I),0)</f>
        <v>0</v>
      </c>
      <c r="J499" cm="1">
        <f t="array" ref="J499">VLOOKUP($A499,Table_ship_components[],COLUMN(J:J),0)</f>
        <v>0</v>
      </c>
      <c r="K499" cm="1">
        <f t="array" ref="K499">VLOOKUP($A499,Table_ship_components[],COLUMN(K:K),0)</f>
        <v>0</v>
      </c>
      <c r="L499" cm="1">
        <f t="array" ref="L499">VLOOKUP($A499,Table_ship_components[],COLUMN(L:L),0)</f>
        <v>0</v>
      </c>
      <c r="M499" cm="1">
        <f t="array" ref="M499">VLOOKUP($A499,Table_ship_components[],COLUMN(M:M),0)</f>
        <v>0</v>
      </c>
      <c r="N499" cm="1">
        <f t="array" ref="N499">VLOOKUP($A499,Table_ship_components[],COLUMN(N:N),0)</f>
        <v>1</v>
      </c>
      <c r="O499" cm="1">
        <f t="array" ref="O499">VLOOKUP($A499,Table_ship_components[],COLUMN(O:O),0)</f>
        <v>0</v>
      </c>
      <c r="P499" cm="1">
        <f t="array" ref="P499">VLOOKUP($A499,Table_ship_components[],COLUMN(P:P),0)</f>
        <v>0</v>
      </c>
      <c r="Q499" cm="1">
        <f t="array" ref="Q499">VLOOKUP($A499,Table_ship_components[],COLUMN(Q:Q),0)</f>
        <v>0</v>
      </c>
      <c r="R499" cm="1">
        <f t="array" ref="R499">VLOOKUP($A499,Table_ship_components[],COLUMN(R:R),0)</f>
        <v>0</v>
      </c>
      <c r="S499" cm="1">
        <f t="array" ref="S499">VLOOKUP($A499,Table_ship_components[],COLUMN(S:S),0)</f>
        <v>0</v>
      </c>
      <c r="T499" cm="1">
        <f t="array" ref="T499">VLOOKUP($A499,Table_ship_components[],COLUMN(T:T),0)</f>
        <v>0</v>
      </c>
      <c r="U499" cm="1">
        <f t="array" ref="U499">VLOOKUP($A499,Table_ship_components[],COLUMN(U:U),0)</f>
        <v>1</v>
      </c>
      <c r="V499" cm="1">
        <f t="array" ref="V499">VLOOKUP($A499,Table_ship_components[],COLUMN(V:V),0)</f>
        <v>0.1</v>
      </c>
      <c r="W499" s="15" cm="1">
        <f t="array" ref="W499">VLOOKUP($A499,Table_ship_components[],COLUMN(W:W),0)</f>
        <v>3000</v>
      </c>
      <c r="X499" cm="1">
        <f t="array" ref="X499">VLOOKUP($A499,Table_ship_components[],COLUMN(X:X),0)</f>
        <v>0.1</v>
      </c>
      <c r="Y499" cm="1">
        <f t="array" ref="Y499">VLOOKUP($A499,Table_ship_components[],COLUMN(Y:Y),0)</f>
        <v>0</v>
      </c>
      <c r="Z499" cm="1">
        <f t="array" ref="Z499">VLOOKUP($A499,Table_ship_components[],COLUMN(Z:Z),0)</f>
        <v>0</v>
      </c>
      <c r="AA499" cm="1">
        <f t="array" ref="AA499">VLOOKUP($A499,Table_ship_components[],COLUMN(AA:AA),0)*C499</f>
        <v>0</v>
      </c>
      <c r="AB499">
        <f t="shared" si="45"/>
        <v>0</v>
      </c>
      <c r="AC499" cm="1">
        <f t="array" ref="AC499">VLOOKUP($A499,Table_ship_components[],COLUMN(AC:AC),0)*C499</f>
        <v>1</v>
      </c>
      <c r="AD499" cm="1">
        <f t="array" ref="AD499">VLOOKUP($A499,Table_ship_components[],COLUMN(AD:AD),0)</f>
        <v>10</v>
      </c>
      <c r="AE499" cm="1">
        <f t="array" ref="AE499">VLOOKUP($A499,Table_ship_components[],COLUMN(AE:AE),0)</f>
        <v>0</v>
      </c>
      <c r="AF499" cm="1">
        <f t="array" ref="AF499">VLOOKUP($A499,Table_ship_components[],COLUMN(AF:AF),0)</f>
        <v>0</v>
      </c>
      <c r="AG499" cm="1">
        <f t="array" ref="AG499">VLOOKUP($A499,Table_ship_components[],COLUMN(AG:AG),0)</f>
        <v>0</v>
      </c>
      <c r="AH499" cm="1">
        <f t="array" ref="AH499">VLOOKUP($A499,Table_ship_components[],COLUMN(AH:AH),0)</f>
        <v>0</v>
      </c>
      <c r="AI499" cm="1">
        <f t="array" ref="AI499">VLOOKUP($A499,Table_ship_components[],COLUMN(AI:AI),0)</f>
        <v>0</v>
      </c>
      <c r="AJ499" cm="1">
        <f t="array" ref="AJ499">VLOOKUP($A499,Table_ship_components[],COLUMN(AJ:AJ),0)</f>
        <v>0</v>
      </c>
      <c r="AK499" cm="1">
        <f t="array" ref="AK499">VLOOKUP($A499,Table_ship_components[],COLUMN(AK:AK),0)</f>
        <v>0</v>
      </c>
      <c r="AL499" cm="1">
        <f t="array" ref="AL499">VLOOKUP($A499,Table_ship_components[],COLUMN(AL:AL),0)</f>
        <v>0</v>
      </c>
      <c r="AM499" cm="1">
        <f t="array" ref="AM499">VLOOKUP($A499,Table_ship_components[],COLUMN(AM:AM),0)</f>
        <v>0</v>
      </c>
      <c r="AN499" cm="1">
        <f t="array" ref="AN499">VLOOKUP($A499,Table_ship_components[],COLUMN(AN:AN),0)</f>
        <v>0</v>
      </c>
      <c r="AO499" cm="1">
        <f t="array" ref="AO499">VLOOKUP($A499,Table_ship_components[],COLUMN(AO:AO),0)</f>
        <v>0</v>
      </c>
      <c r="AP499" cm="1">
        <f t="array" ref="AP499">VLOOKUP($A499,Table_ship_components[],COLUMN(AP:AP),0)</f>
        <v>0</v>
      </c>
      <c r="AQ499" cm="1">
        <f t="array" ref="AQ499">VLOOKUP($A499,Table_ship_components[],COLUMN(AQ:AQ),0)</f>
        <v>0</v>
      </c>
      <c r="AR499" cm="1">
        <f t="array" ref="AR499">VLOOKUP($A499,Table_ship_components[],COLUMN(AR:AR),0)</f>
        <v>0</v>
      </c>
      <c r="AS499" cm="1">
        <f t="array" ref="AS499">VLOOKUP($A499,Table_ship_components[],COLUMN(AS:AS),0)</f>
        <v>0</v>
      </c>
      <c r="AT499" cm="1">
        <f t="array" ref="AT499">VLOOKUP($A499,Table_ship_components[],COLUMN(AT:AT),0)</f>
        <v>0</v>
      </c>
      <c r="AU499" s="2" cm="1">
        <f t="array" ref="AU499">VLOOKUP($A499,Table_ship_components[],COLUMN(AU:AU),0)</f>
        <v>0</v>
      </c>
      <c r="AV499" s="2" cm="1">
        <f t="array" ref="AV499">VLOOKUP($A499,Table_ship_components[],COLUMN(AV:AV),0)</f>
        <v>0</v>
      </c>
      <c r="AW499" s="2" cm="1">
        <f t="array" ref="AW499">VLOOKUP($A499,Table_ship_components[],COLUMN(AW:AW),0)</f>
        <v>0</v>
      </c>
      <c r="AX499" s="2" cm="1">
        <f t="array" ref="AX499">VLOOKUP($A499,Table_ship_components[],COLUMN(AX:AX),0)</f>
        <v>0</v>
      </c>
      <c r="AY499" s="2" cm="1">
        <f t="array" ref="AY499">VLOOKUP($A499,Table_ship_components[],COLUMN(AY:AY),0)</f>
        <v>0</v>
      </c>
      <c r="AZ499" s="2" t="str" cm="1">
        <f t="array" ref="AZ499">VLOOKUP($A499,Table_ship_components[],COLUMN(AZ:AZ),0)</f>
        <v>C</v>
      </c>
      <c r="BA499" s="14" cm="1">
        <f t="array" ref="BA499">VLOOKUP($A499,Table_ship_components[],COLUMN(BA:BA),0)</f>
        <v>30000</v>
      </c>
      <c r="BB499" s="14" cm="1">
        <f t="array" ref="BB499">(VLOOKUP($A499,Table_ship_components[],COLUMN(BA:BA),0)+(W499*C499))</f>
        <v>33000</v>
      </c>
      <c r="BC499" s="2" cm="1">
        <f t="array" ref="BC499">VLOOKUP($A499,Table_ship_components[],COLUMN(BC:BC),0)</f>
        <v>0</v>
      </c>
      <c r="BD499" s="2" cm="1">
        <f t="array" ref="BD499">VLOOKUP($A499,Table_ship_components[],COLUMN(BD:BD),0)</f>
        <v>0</v>
      </c>
    </row>
    <row r="500" spans="1:56" outlineLevel="1" x14ac:dyDescent="0.35">
      <c r="A500" t="s">
        <v>736</v>
      </c>
      <c r="B500" t="str" cm="1">
        <f t="array" ref="B500">VLOOKUP($A500,Table_ship_components[],COLUMN(B:B),0)</f>
        <v>basic cockpit for fighters</v>
      </c>
      <c r="D500" cm="1">
        <f t="array" ref="D500">VLOOKUP($A500,Table_ship_components[],COLUMN(D:D),0)</f>
        <v>2</v>
      </c>
      <c r="E500" cm="1">
        <f t="array" ref="E500">ROUND(VLOOKUP($A500,Table_ship_components[],COLUMN(D:D),0)+(V500*C500),0)</f>
        <v>2</v>
      </c>
      <c r="F500" cm="1">
        <f t="array" ref="F500">VLOOKUP($A500,Table_ship_components[],COLUMN(F:F),0)</f>
        <v>1</v>
      </c>
      <c r="G500" cm="1">
        <f t="array" ref="G500">ROUND(VLOOKUP($A500,Table_ship_components[],COLUMN(G:G),0)+(X500*C500),0)</f>
        <v>1</v>
      </c>
      <c r="H500" cm="1">
        <f t="array" ref="H500">VLOOKUP($A500,Table_ship_components[],COLUMN(H:H),0)</f>
        <v>0</v>
      </c>
      <c r="I500" cm="1">
        <f t="array" ref="I500">VLOOKUP($A500,Table_ship_components[],COLUMN(I:I),0)</f>
        <v>0</v>
      </c>
      <c r="J500" cm="1">
        <f t="array" ref="J500">VLOOKUP($A500,Table_ship_components[],COLUMN(J:J),0)</f>
        <v>0</v>
      </c>
      <c r="K500" cm="1">
        <f t="array" ref="K500">VLOOKUP($A500,Table_ship_components[],COLUMN(K:K),0)</f>
        <v>0</v>
      </c>
      <c r="L500" cm="1">
        <f t="array" ref="L500">VLOOKUP($A500,Table_ship_components[],COLUMN(L:L),0)</f>
        <v>0</v>
      </c>
      <c r="M500" cm="1">
        <f t="array" ref="M500">VLOOKUP($A500,Table_ship_components[],COLUMN(M:M),0)</f>
        <v>0</v>
      </c>
      <c r="N500" cm="1">
        <f t="array" ref="N500">VLOOKUP($A500,Table_ship_components[],COLUMN(N:N),0)</f>
        <v>1</v>
      </c>
      <c r="O500" cm="1">
        <f t="array" ref="O500">VLOOKUP($A500,Table_ship_components[],COLUMN(O:O),0)</f>
        <v>0</v>
      </c>
      <c r="P500" cm="1">
        <f t="array" ref="P500">VLOOKUP($A500,Table_ship_components[],COLUMN(P:P),0)</f>
        <v>0</v>
      </c>
      <c r="Q500" cm="1">
        <f t="array" ref="Q500">VLOOKUP($A500,Table_ship_components[],COLUMN(Q:Q),0)</f>
        <v>0</v>
      </c>
      <c r="R500" cm="1">
        <f t="array" ref="R500">VLOOKUP($A500,Table_ship_components[],COLUMN(R:R),0)</f>
        <v>0</v>
      </c>
      <c r="S500" cm="1">
        <f t="array" ref="S500">VLOOKUP($A500,Table_ship_components[],COLUMN(S:S),0)</f>
        <v>0</v>
      </c>
      <c r="T500" cm="1">
        <f t="array" ref="T500">VLOOKUP($A500,Table_ship_components[],COLUMN(T:T),0)</f>
        <v>0</v>
      </c>
      <c r="U500" cm="1">
        <f t="array" ref="U500">VLOOKUP($A500,Table_ship_components[],COLUMN(U:U),0)</f>
        <v>0</v>
      </c>
      <c r="V500" cm="1">
        <f t="array" ref="V500">VLOOKUP($A500,Table_ship_components[],COLUMN(V:V),0)</f>
        <v>0</v>
      </c>
      <c r="W500" s="15" cm="1">
        <f t="array" ref="W500">VLOOKUP($A500,Table_ship_components[],COLUMN(W:W),0)</f>
        <v>0</v>
      </c>
      <c r="X500" cm="1">
        <f t="array" ref="X500">VLOOKUP($A500,Table_ship_components[],COLUMN(X:X),0)</f>
        <v>1</v>
      </c>
      <c r="Y500" cm="1">
        <f t="array" ref="Y500">VLOOKUP($A500,Table_ship_components[],COLUMN(Y:Y),0)</f>
        <v>1</v>
      </c>
      <c r="Z500" cm="1">
        <f t="array" ref="Z500">VLOOKUP($A500,Table_ship_components[],COLUMN(Z:Z),0)</f>
        <v>1</v>
      </c>
      <c r="AA500" cm="1">
        <f t="array" ref="AA500">VLOOKUP($A500,Table_ship_components[],COLUMN(AA:AA),0)*C500</f>
        <v>0</v>
      </c>
      <c r="AB500">
        <f t="shared" si="45"/>
        <v>0</v>
      </c>
      <c r="AC500" cm="1">
        <f t="array" ref="AC500">VLOOKUP($A500,Table_ship_components[],COLUMN(AC:AC),0)*C500</f>
        <v>0</v>
      </c>
      <c r="AD500" cm="1">
        <f t="array" ref="AD500">VLOOKUP($A500,Table_ship_components[],COLUMN(AD:AD),0)</f>
        <v>0</v>
      </c>
      <c r="AE500" cm="1">
        <f t="array" ref="AE500">VLOOKUP($A500,Table_ship_components[],COLUMN(AE:AE),0)</f>
        <v>0</v>
      </c>
      <c r="AF500" cm="1">
        <f t="array" ref="AF500">VLOOKUP($A500,Table_ship_components[],COLUMN(AF:AF),0)</f>
        <v>0</v>
      </c>
      <c r="AG500" cm="1">
        <f t="array" ref="AG500">VLOOKUP($A500,Table_ship_components[],COLUMN(AG:AG),0)</f>
        <v>0</v>
      </c>
      <c r="AH500" cm="1">
        <f t="array" ref="AH500">VLOOKUP($A500,Table_ship_components[],COLUMN(AH:AH),0)</f>
        <v>0</v>
      </c>
      <c r="AI500" cm="1">
        <f t="array" ref="AI500">VLOOKUP($A500,Table_ship_components[],COLUMN(AI:AI),0)</f>
        <v>0</v>
      </c>
      <c r="AJ500" cm="1">
        <f t="array" ref="AJ500">VLOOKUP($A500,Table_ship_components[],COLUMN(AJ:AJ),0)</f>
        <v>0</v>
      </c>
      <c r="AK500" cm="1">
        <f t="array" ref="AK500">VLOOKUP($A500,Table_ship_components[],COLUMN(AK:AK),0)</f>
        <v>0</v>
      </c>
      <c r="AL500" cm="1">
        <f t="array" ref="AL500">VLOOKUP($A500,Table_ship_components[],COLUMN(AL:AL),0)</f>
        <v>0</v>
      </c>
      <c r="AM500" cm="1">
        <f t="array" ref="AM500">VLOOKUP($A500,Table_ship_components[],COLUMN(AM:AM),0)</f>
        <v>0</v>
      </c>
      <c r="AN500" cm="1">
        <f t="array" ref="AN500">VLOOKUP($A500,Table_ship_components[],COLUMN(AN:AN),0)</f>
        <v>0</v>
      </c>
      <c r="AO500" cm="1">
        <f t="array" ref="AO500">VLOOKUP($A500,Table_ship_components[],COLUMN(AO:AO),0)</f>
        <v>0</v>
      </c>
      <c r="AP500" cm="1">
        <f t="array" ref="AP500">VLOOKUP($A500,Table_ship_components[],COLUMN(AP:AP),0)</f>
        <v>0</v>
      </c>
      <c r="AQ500" cm="1">
        <f t="array" ref="AQ500">VLOOKUP($A500,Table_ship_components[],COLUMN(AQ:AQ),0)</f>
        <v>0</v>
      </c>
      <c r="AR500" cm="1">
        <f t="array" ref="AR500">VLOOKUP($A500,Table_ship_components[],COLUMN(AR:AR),0)</f>
        <v>0</v>
      </c>
      <c r="AS500" cm="1">
        <f t="array" ref="AS500">VLOOKUP($A500,Table_ship_components[],COLUMN(AS:AS),0)</f>
        <v>0</v>
      </c>
      <c r="AT500" cm="1">
        <f t="array" ref="AT500">VLOOKUP($A500,Table_ship_components[],COLUMN(AT:AT),0)</f>
        <v>0</v>
      </c>
      <c r="AU500" s="2" cm="1">
        <f t="array" ref="AU500">VLOOKUP($A500,Table_ship_components[],COLUMN(AU:AU),0)</f>
        <v>0</v>
      </c>
      <c r="AV500" s="2" cm="1">
        <f t="array" ref="AV500">VLOOKUP($A500,Table_ship_components[],COLUMN(AV:AV),0)</f>
        <v>0</v>
      </c>
      <c r="AW500" s="2" cm="1">
        <f t="array" ref="AW500">VLOOKUP($A500,Table_ship_components[],COLUMN(AW:AW),0)</f>
        <v>0</v>
      </c>
      <c r="AX500" s="2" cm="1">
        <f t="array" ref="AX500">VLOOKUP($A500,Table_ship_components[],COLUMN(AX:AX),0)</f>
        <v>0</v>
      </c>
      <c r="AY500" s="2" cm="1">
        <f t="array" ref="AY500">VLOOKUP($A500,Table_ship_components[],COLUMN(AY:AY),0)</f>
        <v>0</v>
      </c>
      <c r="AZ500" s="2" t="str" cm="1">
        <f t="array" ref="AZ500">VLOOKUP($A500,Table_ship_components[],COLUMN(AZ:AZ),0)</f>
        <v>C</v>
      </c>
      <c r="BA500" s="14" cm="1">
        <f t="array" ref="BA500">VLOOKUP($A500,Table_ship_components[],COLUMN(BA:BA),0)</f>
        <v>50000</v>
      </c>
      <c r="BB500" s="14" cm="1">
        <f t="array" ref="BB500">(VLOOKUP($A500,Table_ship_components[],COLUMN(BA:BA),0)+(W500*C500))</f>
        <v>50000</v>
      </c>
      <c r="BC500" s="2" cm="1">
        <f t="array" ref="BC500">VLOOKUP($A500,Table_ship_components[],COLUMN(BC:BC),0)</f>
        <v>0</v>
      </c>
      <c r="BD500" s="2" cm="1">
        <f t="array" ref="BD500">VLOOKUP($A500,Table_ship_components[],COLUMN(BD:BD),0)</f>
        <v>0</v>
      </c>
    </row>
    <row r="501" spans="1:56" outlineLevel="1" x14ac:dyDescent="0.35">
      <c r="A501" s="18" t="s">
        <v>424</v>
      </c>
      <c r="B501" s="19" t="str">
        <f>CONCATENATE("SIZE ",(SUM(E502:E512)),"/",AX491,"  POWER ",(SUM(G502:G512)))</f>
        <v>SIZE 20/20  POWER 5</v>
      </c>
      <c r="AU501" s="2"/>
      <c r="AV501" s="2"/>
      <c r="AW501" s="2"/>
      <c r="AX501" s="2"/>
      <c r="AY501" s="2"/>
      <c r="AZ501" s="2"/>
      <c r="BA501" s="14"/>
      <c r="BB501" s="14"/>
      <c r="BC501" s="2"/>
      <c r="BD501" s="2"/>
    </row>
    <row r="502" spans="1:56" outlineLevel="1" x14ac:dyDescent="0.35">
      <c r="A502" t="s">
        <v>288</v>
      </c>
      <c r="B502" t="str" cm="1">
        <f t="array" ref="B502">VLOOKUP($A502,Table_ship_components[],COLUMN(B:B),0)</f>
        <v>PICK A COMPONENT</v>
      </c>
      <c r="D502" cm="1">
        <f t="array" ref="D502">VLOOKUP($A502,Table_ship_components[],COLUMN(D:D),0)</f>
        <v>0</v>
      </c>
      <c r="E502" cm="1">
        <f t="array" ref="E502">ROUND(VLOOKUP($A502,Table_ship_components[],COLUMN(D:D),0)+(V502*C502),0)</f>
        <v>0</v>
      </c>
      <c r="F502" cm="1">
        <f t="array" ref="F502">VLOOKUP($A502,Table_ship_components[],COLUMN(F:F),0)</f>
        <v>0</v>
      </c>
      <c r="G502" cm="1">
        <f t="array" ref="G502">ROUND(VLOOKUP($A502,Table_ship_components[],COLUMN(G:G),0)+(X502*C502),0)</f>
        <v>0</v>
      </c>
      <c r="H502" cm="1">
        <f t="array" ref="H502">VLOOKUP($A502,Table_ship_components[],COLUMN(H:H),0)</f>
        <v>0</v>
      </c>
      <c r="I502" cm="1">
        <f t="array" ref="I502">VLOOKUP($A502,Table_ship_components[],COLUMN(I:I),0)</f>
        <v>0</v>
      </c>
      <c r="J502" cm="1">
        <f t="array" ref="J502">VLOOKUP($A502,Table_ship_components[],COLUMN(J:J),0)</f>
        <v>0</v>
      </c>
      <c r="K502" cm="1">
        <f t="array" ref="K502">VLOOKUP($A502,Table_ship_components[],COLUMN(K:K),0)</f>
        <v>0</v>
      </c>
      <c r="L502" cm="1">
        <f t="array" ref="L502">VLOOKUP($A502,Table_ship_components[],COLUMN(L:L),0)</f>
        <v>0</v>
      </c>
      <c r="M502" cm="1">
        <f t="array" ref="M502">VLOOKUP($A502,Table_ship_components[],COLUMN(M:M),0)</f>
        <v>0</v>
      </c>
      <c r="N502" cm="1">
        <f t="array" ref="N502">VLOOKUP($A502,Table_ship_components[],COLUMN(N:N),0)</f>
        <v>0</v>
      </c>
      <c r="O502" cm="1">
        <f t="array" ref="O502">VLOOKUP($A502,Table_ship_components[],COLUMN(O:O),0)</f>
        <v>0</v>
      </c>
      <c r="P502" cm="1">
        <f t="array" ref="P502">VLOOKUP($A502,Table_ship_components[],COLUMN(P:P),0)</f>
        <v>0</v>
      </c>
      <c r="Q502" cm="1">
        <f t="array" ref="Q502">VLOOKUP($A502,Table_ship_components[],COLUMN(Q:Q),0)</f>
        <v>0</v>
      </c>
      <c r="R502" cm="1">
        <f t="array" ref="R502">VLOOKUP($A502,Table_ship_components[],COLUMN(R:R),0)</f>
        <v>0</v>
      </c>
      <c r="S502" cm="1">
        <f t="array" ref="S502">VLOOKUP($A502,Table_ship_components[],COLUMN(S:S),0)</f>
        <v>0</v>
      </c>
      <c r="T502" cm="1">
        <f t="array" ref="T502">VLOOKUP($A502,Table_ship_components[],COLUMN(T:T),0)</f>
        <v>0</v>
      </c>
      <c r="U502" cm="1">
        <f t="array" ref="U502">VLOOKUP($A502,Table_ship_components[],COLUMN(U:U),0)</f>
        <v>0</v>
      </c>
      <c r="V502" cm="1">
        <f t="array" ref="V502">VLOOKUP($A502,Table_ship_components[],COLUMN(V:V),0)</f>
        <v>0</v>
      </c>
      <c r="W502" s="15" cm="1">
        <f t="array" ref="W502">VLOOKUP($A502,Table_ship_components[],COLUMN(W:W),0)</f>
        <v>0</v>
      </c>
      <c r="X502" cm="1">
        <f t="array" ref="X502">VLOOKUP($A502,Table_ship_components[],COLUMN(X:X),0)</f>
        <v>0</v>
      </c>
      <c r="Y502" cm="1">
        <f t="array" ref="Y502">VLOOKUP($A502,Table_ship_components[],COLUMN(Y:Y),0)</f>
        <v>0</v>
      </c>
      <c r="Z502" cm="1">
        <f t="array" ref="Z502">VLOOKUP($A502,Table_ship_components[],COLUMN(Z:Z),0)</f>
        <v>0</v>
      </c>
      <c r="AA502" cm="1">
        <f t="array" ref="AA502">VLOOKUP($A502,Table_ship_components[],COLUMN(AA:AA),0)*C502</f>
        <v>0</v>
      </c>
      <c r="AB502">
        <f t="shared" ref="AB502:AB511" si="46">IF(A502="CARGOSPACE_0-ALL_0-UNIVERSAL",C502,0)</f>
        <v>0</v>
      </c>
      <c r="AC502" cm="1">
        <f t="array" ref="AC502">VLOOKUP($A502,Table_ship_components[],COLUMN(AC:AC),0)*C502</f>
        <v>0</v>
      </c>
      <c r="AD502" cm="1">
        <f t="array" ref="AD502">VLOOKUP($A502,Table_ship_components[],COLUMN(AD:AD),0)</f>
        <v>0</v>
      </c>
      <c r="AE502" cm="1">
        <f t="array" ref="AE502">VLOOKUP($A502,Table_ship_components[],COLUMN(AE:AE),0)</f>
        <v>0</v>
      </c>
      <c r="AF502" cm="1">
        <f t="array" ref="AF502">VLOOKUP($A502,Table_ship_components[],COLUMN(AF:AF),0)</f>
        <v>0</v>
      </c>
      <c r="AG502" cm="1">
        <f t="array" ref="AG502">VLOOKUP($A502,Table_ship_components[],COLUMN(AG:AG),0)</f>
        <v>0</v>
      </c>
      <c r="AH502" cm="1">
        <f t="array" ref="AH502">VLOOKUP($A502,Table_ship_components[],COLUMN(AH:AH),0)</f>
        <v>0</v>
      </c>
      <c r="AI502" cm="1">
        <f t="array" ref="AI502">VLOOKUP($A502,Table_ship_components[],COLUMN(AI:AI),0)</f>
        <v>0</v>
      </c>
      <c r="AJ502" cm="1">
        <f t="array" ref="AJ502">VLOOKUP($A502,Table_ship_components[],COLUMN(AJ:AJ),0)</f>
        <v>0</v>
      </c>
      <c r="AK502" cm="1">
        <f t="array" ref="AK502">VLOOKUP($A502,Table_ship_components[],COLUMN(AK:AK),0)</f>
        <v>0</v>
      </c>
      <c r="AL502" cm="1">
        <f t="array" ref="AL502">VLOOKUP($A502,Table_ship_components[],COLUMN(AL:AL),0)</f>
        <v>0</v>
      </c>
      <c r="AM502" cm="1">
        <f t="array" ref="AM502">VLOOKUP($A502,Table_ship_components[],COLUMN(AM:AM),0)</f>
        <v>0</v>
      </c>
      <c r="AN502" cm="1">
        <f t="array" ref="AN502">VLOOKUP($A502,Table_ship_components[],COLUMN(AN:AN),0)</f>
        <v>0</v>
      </c>
      <c r="AO502" cm="1">
        <f t="array" ref="AO502">VLOOKUP($A502,Table_ship_components[],COLUMN(AO:AO),0)</f>
        <v>0</v>
      </c>
      <c r="AP502" cm="1">
        <f t="array" ref="AP502">VLOOKUP($A502,Table_ship_components[],COLUMN(AP:AP),0)</f>
        <v>0</v>
      </c>
      <c r="AQ502" cm="1">
        <f t="array" ref="AQ502">VLOOKUP($A502,Table_ship_components[],COLUMN(AQ:AQ),0)</f>
        <v>0</v>
      </c>
      <c r="AR502" cm="1">
        <f t="array" ref="AR502">VLOOKUP($A502,Table_ship_components[],COLUMN(AR:AR),0)</f>
        <v>0</v>
      </c>
      <c r="AS502" cm="1">
        <f t="array" ref="AS502">VLOOKUP($A502,Table_ship_components[],COLUMN(AS:AS),0)</f>
        <v>0</v>
      </c>
      <c r="AT502" cm="1">
        <f t="array" ref="AT502">VLOOKUP($A502,Table_ship_components[],COLUMN(AT:AT),0)</f>
        <v>0</v>
      </c>
      <c r="AU502" s="2" cm="1">
        <f t="array" ref="AU502">VLOOKUP($A502,Table_ship_components[],COLUMN(AU:AU),0)</f>
        <v>0</v>
      </c>
      <c r="AV502" s="2" cm="1">
        <f t="array" ref="AV502">VLOOKUP($A502,Table_ship_components[],COLUMN(AV:AV),0)</f>
        <v>0</v>
      </c>
      <c r="AW502" s="2" cm="1">
        <f t="array" ref="AW502">VLOOKUP($A502,Table_ship_components[],COLUMN(AW:AW),0)</f>
        <v>0</v>
      </c>
      <c r="AX502" s="2" cm="1">
        <f t="array" ref="AX502">VLOOKUP($A502,Table_ship_components[],COLUMN(AX:AX),0)</f>
        <v>0</v>
      </c>
      <c r="AY502" s="2" cm="1">
        <f t="array" ref="AY502">VLOOKUP($A502,Table_ship_components[],COLUMN(AY:AY),0)</f>
        <v>0</v>
      </c>
      <c r="AZ502" s="2" t="str" cm="1">
        <f t="array" ref="AZ502">VLOOKUP($A502,Table_ship_components[],COLUMN(AZ:AZ),0)</f>
        <v>C</v>
      </c>
      <c r="BA502" s="14" cm="1">
        <f t="array" ref="BA502">VLOOKUP($A502,Table_ship_components[],COLUMN(BA:BA),0)</f>
        <v>0</v>
      </c>
      <c r="BB502" s="14" cm="1">
        <f t="array" ref="BB502">(VLOOKUP($A502,Table_ship_components[],COLUMN(BA:BA),0)+(W502*C502))</f>
        <v>0</v>
      </c>
      <c r="BC502" s="2" cm="1">
        <f t="array" ref="BC502">VLOOKUP($A502,Table_ship_components[],COLUMN(BC:BC),0)</f>
        <v>0</v>
      </c>
      <c r="BD502" s="2" cm="1">
        <f t="array" ref="BD502">VLOOKUP($A502,Table_ship_components[],COLUMN(BD:BD),0)</f>
        <v>0</v>
      </c>
    </row>
    <row r="503" spans="1:56" outlineLevel="1" x14ac:dyDescent="0.35">
      <c r="A503" t="s">
        <v>339</v>
      </c>
      <c r="B503" t="str" cm="1">
        <f t="array" ref="B503">VLOOKUP($A503,Table_ship_components[],COLUMN(B:B),0)</f>
        <v>average fighter shield</v>
      </c>
      <c r="D503" cm="1">
        <f t="array" ref="D503">VLOOKUP($A503,Table_ship_components[],COLUMN(D:D),0)</f>
        <v>5</v>
      </c>
      <c r="E503" cm="1">
        <f t="array" ref="E503">ROUND(VLOOKUP($A503,Table_ship_components[],COLUMN(D:D),0)+(V503*C503),0)</f>
        <v>5</v>
      </c>
      <c r="F503" cm="1">
        <f t="array" ref="F503">VLOOKUP($A503,Table_ship_components[],COLUMN(F:F),0)</f>
        <v>5</v>
      </c>
      <c r="G503" cm="1">
        <f t="array" ref="G503">ROUND(VLOOKUP($A503,Table_ship_components[],COLUMN(G:G),0)+(X503*C503),0)</f>
        <v>5</v>
      </c>
      <c r="H503" cm="1">
        <f t="array" ref="H503">VLOOKUP($A503,Table_ship_components[],COLUMN(H:H),0)</f>
        <v>0</v>
      </c>
      <c r="I503" cm="1">
        <f t="array" ref="I503">VLOOKUP($A503,Table_ship_components[],COLUMN(I:I),0)</f>
        <v>0</v>
      </c>
      <c r="J503" cm="1">
        <f t="array" ref="J503">VLOOKUP($A503,Table_ship_components[],COLUMN(J:J),0)</f>
        <v>0</v>
      </c>
      <c r="K503" cm="1">
        <f t="array" ref="K503">VLOOKUP($A503,Table_ship_components[],COLUMN(K:K),0)</f>
        <v>25</v>
      </c>
      <c r="L503" cm="1">
        <f t="array" ref="L503">VLOOKUP($A503,Table_ship_components[],COLUMN(L:L),0)</f>
        <v>5</v>
      </c>
      <c r="M503" cm="1">
        <f t="array" ref="M503">VLOOKUP($A503,Table_ship_components[],COLUMN(M:M),0)</f>
        <v>0</v>
      </c>
      <c r="N503" cm="1">
        <f t="array" ref="N503">VLOOKUP($A503,Table_ship_components[],COLUMN(N:N),0)</f>
        <v>1</v>
      </c>
      <c r="O503" cm="1">
        <f t="array" ref="O503">VLOOKUP($A503,Table_ship_components[],COLUMN(O:O),0)</f>
        <v>0</v>
      </c>
      <c r="P503" cm="1">
        <f t="array" ref="P503">VLOOKUP($A503,Table_ship_components[],COLUMN(P:P),0)</f>
        <v>0</v>
      </c>
      <c r="Q503" cm="1">
        <f t="array" ref="Q503">VLOOKUP($A503,Table_ship_components[],COLUMN(Q:Q),0)</f>
        <v>0</v>
      </c>
      <c r="R503" cm="1">
        <f t="array" ref="R503">VLOOKUP($A503,Table_ship_components[],COLUMN(R:R),0)</f>
        <v>0</v>
      </c>
      <c r="S503" cm="1">
        <f t="array" ref="S503">VLOOKUP($A503,Table_ship_components[],COLUMN(S:S),0)</f>
        <v>0</v>
      </c>
      <c r="T503" cm="1">
        <f t="array" ref="T503">VLOOKUP($A503,Table_ship_components[],COLUMN(T:T),0)</f>
        <v>0</v>
      </c>
      <c r="U503" cm="1">
        <f t="array" ref="U503">VLOOKUP($A503,Table_ship_components[],COLUMN(U:U),0)</f>
        <v>0</v>
      </c>
      <c r="V503" cm="1">
        <f t="array" ref="V503">VLOOKUP($A503,Table_ship_components[],COLUMN(V:V),0)</f>
        <v>0</v>
      </c>
      <c r="W503" s="15" cm="1">
        <f t="array" ref="W503">VLOOKUP($A503,Table_ship_components[],COLUMN(W:W),0)</f>
        <v>0</v>
      </c>
      <c r="X503" cm="1">
        <f t="array" ref="X503">VLOOKUP($A503,Table_ship_components[],COLUMN(X:X),0)</f>
        <v>0</v>
      </c>
      <c r="Y503" cm="1">
        <f t="array" ref="Y503">VLOOKUP($A503,Table_ship_components[],COLUMN(Y:Y),0)</f>
        <v>0</v>
      </c>
      <c r="Z503" cm="1">
        <f t="array" ref="Z503">VLOOKUP($A503,Table_ship_components[],COLUMN(Z:Z),0)</f>
        <v>0</v>
      </c>
      <c r="AA503" cm="1">
        <f t="array" ref="AA503">VLOOKUP($A503,Table_ship_components[],COLUMN(AA:AA),0)*C503</f>
        <v>0</v>
      </c>
      <c r="AB503">
        <f t="shared" si="46"/>
        <v>0</v>
      </c>
      <c r="AC503" cm="1">
        <f t="array" ref="AC503">VLOOKUP($A503,Table_ship_components[],COLUMN(AC:AC),0)*C503</f>
        <v>0</v>
      </c>
      <c r="AD503" cm="1">
        <f t="array" ref="AD503">VLOOKUP($A503,Table_ship_components[],COLUMN(AD:AD),0)</f>
        <v>0</v>
      </c>
      <c r="AE503" cm="1">
        <f t="array" ref="AE503">VLOOKUP($A503,Table_ship_components[],COLUMN(AE:AE),0)</f>
        <v>0</v>
      </c>
      <c r="AF503" cm="1">
        <f t="array" ref="AF503">VLOOKUP($A503,Table_ship_components[],COLUMN(AF:AF),0)</f>
        <v>0</v>
      </c>
      <c r="AG503" cm="1">
        <f t="array" ref="AG503">VLOOKUP($A503,Table_ship_components[],COLUMN(AG:AG),0)</f>
        <v>0</v>
      </c>
      <c r="AH503" cm="1">
        <f t="array" ref="AH503">VLOOKUP($A503,Table_ship_components[],COLUMN(AH:AH),0)</f>
        <v>0</v>
      </c>
      <c r="AI503" cm="1">
        <f t="array" ref="AI503">VLOOKUP($A503,Table_ship_components[],COLUMN(AI:AI),0)</f>
        <v>0</v>
      </c>
      <c r="AJ503" cm="1">
        <f t="array" ref="AJ503">VLOOKUP($A503,Table_ship_components[],COLUMN(AJ:AJ),0)</f>
        <v>0</v>
      </c>
      <c r="AK503" cm="1">
        <f t="array" ref="AK503">VLOOKUP($A503,Table_ship_components[],COLUMN(AK:AK),0)</f>
        <v>0</v>
      </c>
      <c r="AL503" cm="1">
        <f t="array" ref="AL503">VLOOKUP($A503,Table_ship_components[],COLUMN(AL:AL),0)</f>
        <v>0</v>
      </c>
      <c r="AM503" cm="1">
        <f t="array" ref="AM503">VLOOKUP($A503,Table_ship_components[],COLUMN(AM:AM),0)</f>
        <v>0</v>
      </c>
      <c r="AN503" cm="1">
        <f t="array" ref="AN503">VLOOKUP($A503,Table_ship_components[],COLUMN(AN:AN),0)</f>
        <v>0</v>
      </c>
      <c r="AO503" cm="1">
        <f t="array" ref="AO503">VLOOKUP($A503,Table_ship_components[],COLUMN(AO:AO),0)</f>
        <v>0</v>
      </c>
      <c r="AP503" cm="1">
        <f t="array" ref="AP503">VLOOKUP($A503,Table_ship_components[],COLUMN(AP:AP),0)</f>
        <v>0</v>
      </c>
      <c r="AQ503" cm="1">
        <f t="array" ref="AQ503">VLOOKUP($A503,Table_ship_components[],COLUMN(AQ:AQ),0)</f>
        <v>0</v>
      </c>
      <c r="AR503" cm="1">
        <f t="array" ref="AR503">VLOOKUP($A503,Table_ship_components[],COLUMN(AR:AR),0)</f>
        <v>0</v>
      </c>
      <c r="AS503" cm="1">
        <f t="array" ref="AS503">VLOOKUP($A503,Table_ship_components[],COLUMN(AS:AS),0)</f>
        <v>0</v>
      </c>
      <c r="AT503" cm="1">
        <f t="array" ref="AT503">VLOOKUP($A503,Table_ship_components[],COLUMN(AT:AT),0)</f>
        <v>0</v>
      </c>
      <c r="AU503" s="2" cm="1">
        <f t="array" ref="AU503">VLOOKUP($A503,Table_ship_components[],COLUMN(AU:AU),0)</f>
        <v>0</v>
      </c>
      <c r="AV503" s="2" cm="1">
        <f t="array" ref="AV503">VLOOKUP($A503,Table_ship_components[],COLUMN(AV:AV),0)</f>
        <v>0</v>
      </c>
      <c r="AW503" s="2" cm="1">
        <f t="array" ref="AW503">VLOOKUP($A503,Table_ship_components[],COLUMN(AW:AW),0)</f>
        <v>0</v>
      </c>
      <c r="AX503" s="2" cm="1">
        <f t="array" ref="AX503">VLOOKUP($A503,Table_ship_components[],COLUMN(AX:AX),0)</f>
        <v>0</v>
      </c>
      <c r="AY503" s="2" cm="1">
        <f t="array" ref="AY503">VLOOKUP($A503,Table_ship_components[],COLUMN(AY:AY),0)</f>
        <v>0</v>
      </c>
      <c r="AZ503" s="2" t="str" cm="1">
        <f t="array" ref="AZ503">VLOOKUP($A503,Table_ship_components[],COLUMN(AZ:AZ),0)</f>
        <v>C</v>
      </c>
      <c r="BA503" s="14" cm="1">
        <f t="array" ref="BA503">VLOOKUP($A503,Table_ship_components[],COLUMN(BA:BA),0)</f>
        <v>350000</v>
      </c>
      <c r="BB503" s="14" cm="1">
        <f t="array" ref="BB503">(VLOOKUP($A503,Table_ship_components[],COLUMN(BA:BA),0)+(W503*C503))</f>
        <v>350000</v>
      </c>
      <c r="BC503" s="2" t="str" cm="1">
        <f t="array" ref="BC503">VLOOKUP($A503,Table_ship_components[],COLUMN(BC:BC),0)</f>
        <v>UNCOMMON</v>
      </c>
      <c r="BD503" s="2" cm="1">
        <f t="array" ref="BD503">VLOOKUP($A503,Table_ship_components[],COLUMN(BD:BD),0)</f>
        <v>0</v>
      </c>
    </row>
    <row r="504" spans="1:56" outlineLevel="1" x14ac:dyDescent="0.35">
      <c r="A504" t="s">
        <v>288</v>
      </c>
      <c r="B504" t="str" cm="1">
        <f t="array" ref="B504">VLOOKUP($A504,Table_ship_components[],COLUMN(B:B),0)</f>
        <v>PICK A COMPONENT</v>
      </c>
      <c r="D504" cm="1">
        <f t="array" ref="D504">VLOOKUP($A504,Table_ship_components[],COLUMN(D:D),0)</f>
        <v>0</v>
      </c>
      <c r="E504" cm="1">
        <f t="array" ref="E504">ROUND(VLOOKUP($A504,Table_ship_components[],COLUMN(D:D),0)+(V504*C504),0)</f>
        <v>0</v>
      </c>
      <c r="F504" cm="1">
        <f t="array" ref="F504">VLOOKUP($A504,Table_ship_components[],COLUMN(F:F),0)</f>
        <v>0</v>
      </c>
      <c r="G504" cm="1">
        <f t="array" ref="G504">ROUND(VLOOKUP($A504,Table_ship_components[],COLUMN(G:G),0)+(X504*C504),0)</f>
        <v>0</v>
      </c>
      <c r="H504" cm="1">
        <f t="array" ref="H504">VLOOKUP($A504,Table_ship_components[],COLUMN(H:H),0)</f>
        <v>0</v>
      </c>
      <c r="I504" cm="1">
        <f t="array" ref="I504">VLOOKUP($A504,Table_ship_components[],COLUMN(I:I),0)</f>
        <v>0</v>
      </c>
      <c r="J504" cm="1">
        <f t="array" ref="J504">VLOOKUP($A504,Table_ship_components[],COLUMN(J:J),0)</f>
        <v>0</v>
      </c>
      <c r="K504" cm="1">
        <f t="array" ref="K504">VLOOKUP($A504,Table_ship_components[],COLUMN(K:K),0)</f>
        <v>0</v>
      </c>
      <c r="L504" cm="1">
        <f t="array" ref="L504">VLOOKUP($A504,Table_ship_components[],COLUMN(L:L),0)</f>
        <v>0</v>
      </c>
      <c r="M504" cm="1">
        <f t="array" ref="M504">VLOOKUP($A504,Table_ship_components[],COLUMN(M:M),0)</f>
        <v>0</v>
      </c>
      <c r="N504" cm="1">
        <f t="array" ref="N504">VLOOKUP($A504,Table_ship_components[],COLUMN(N:N),0)</f>
        <v>0</v>
      </c>
      <c r="O504" cm="1">
        <f t="array" ref="O504">VLOOKUP($A504,Table_ship_components[],COLUMN(O:O),0)</f>
        <v>0</v>
      </c>
      <c r="P504" cm="1">
        <f t="array" ref="P504">VLOOKUP($A504,Table_ship_components[],COLUMN(P:P),0)</f>
        <v>0</v>
      </c>
      <c r="Q504" cm="1">
        <f t="array" ref="Q504">VLOOKUP($A504,Table_ship_components[],COLUMN(Q:Q),0)</f>
        <v>0</v>
      </c>
      <c r="R504" cm="1">
        <f t="array" ref="R504">VLOOKUP($A504,Table_ship_components[],COLUMN(R:R),0)</f>
        <v>0</v>
      </c>
      <c r="S504" cm="1">
        <f t="array" ref="S504">VLOOKUP($A504,Table_ship_components[],COLUMN(S:S),0)</f>
        <v>0</v>
      </c>
      <c r="T504" cm="1">
        <f t="array" ref="T504">VLOOKUP($A504,Table_ship_components[],COLUMN(T:T),0)</f>
        <v>0</v>
      </c>
      <c r="U504" cm="1">
        <f t="array" ref="U504">VLOOKUP($A504,Table_ship_components[],COLUMN(U:U),0)</f>
        <v>0</v>
      </c>
      <c r="V504" cm="1">
        <f t="array" ref="V504">VLOOKUP($A504,Table_ship_components[],COLUMN(V:V),0)</f>
        <v>0</v>
      </c>
      <c r="W504" s="15" cm="1">
        <f t="array" ref="W504">VLOOKUP($A504,Table_ship_components[],COLUMN(W:W),0)</f>
        <v>0</v>
      </c>
      <c r="X504" cm="1">
        <f t="array" ref="X504">VLOOKUP($A504,Table_ship_components[],COLUMN(X:X),0)</f>
        <v>0</v>
      </c>
      <c r="Y504" cm="1">
        <f t="array" ref="Y504">VLOOKUP($A504,Table_ship_components[],COLUMN(Y:Y),0)</f>
        <v>0</v>
      </c>
      <c r="Z504" cm="1">
        <f t="array" ref="Z504">VLOOKUP($A504,Table_ship_components[],COLUMN(Z:Z),0)</f>
        <v>0</v>
      </c>
      <c r="AA504" cm="1">
        <f t="array" ref="AA504">VLOOKUP($A504,Table_ship_components[],COLUMN(AA:AA),0)*C504</f>
        <v>0</v>
      </c>
      <c r="AB504">
        <f t="shared" si="46"/>
        <v>0</v>
      </c>
      <c r="AC504" cm="1">
        <f t="array" ref="AC504">VLOOKUP($A504,Table_ship_components[],COLUMN(AC:AC),0)*C504</f>
        <v>0</v>
      </c>
      <c r="AD504" cm="1">
        <f t="array" ref="AD504">VLOOKUP($A504,Table_ship_components[],COLUMN(AD:AD),0)</f>
        <v>0</v>
      </c>
      <c r="AE504" cm="1">
        <f t="array" ref="AE504">VLOOKUP($A504,Table_ship_components[],COLUMN(AE:AE),0)</f>
        <v>0</v>
      </c>
      <c r="AF504" cm="1">
        <f t="array" ref="AF504">VLOOKUP($A504,Table_ship_components[],COLUMN(AF:AF),0)</f>
        <v>0</v>
      </c>
      <c r="AG504" cm="1">
        <f t="array" ref="AG504">VLOOKUP($A504,Table_ship_components[],COLUMN(AG:AG),0)</f>
        <v>0</v>
      </c>
      <c r="AH504" cm="1">
        <f t="array" ref="AH504">VLOOKUP($A504,Table_ship_components[],COLUMN(AH:AH),0)</f>
        <v>0</v>
      </c>
      <c r="AI504" cm="1">
        <f t="array" ref="AI504">VLOOKUP($A504,Table_ship_components[],COLUMN(AI:AI),0)</f>
        <v>0</v>
      </c>
      <c r="AJ504" cm="1">
        <f t="array" ref="AJ504">VLOOKUP($A504,Table_ship_components[],COLUMN(AJ:AJ),0)</f>
        <v>0</v>
      </c>
      <c r="AK504" cm="1">
        <f t="array" ref="AK504">VLOOKUP($A504,Table_ship_components[],COLUMN(AK:AK),0)</f>
        <v>0</v>
      </c>
      <c r="AL504" cm="1">
        <f t="array" ref="AL504">VLOOKUP($A504,Table_ship_components[],COLUMN(AL:AL),0)</f>
        <v>0</v>
      </c>
      <c r="AM504" cm="1">
        <f t="array" ref="AM504">VLOOKUP($A504,Table_ship_components[],COLUMN(AM:AM),0)</f>
        <v>0</v>
      </c>
      <c r="AN504" cm="1">
        <f t="array" ref="AN504">VLOOKUP($A504,Table_ship_components[],COLUMN(AN:AN),0)</f>
        <v>0</v>
      </c>
      <c r="AO504" cm="1">
        <f t="array" ref="AO504">VLOOKUP($A504,Table_ship_components[],COLUMN(AO:AO),0)</f>
        <v>0</v>
      </c>
      <c r="AP504" cm="1">
        <f t="array" ref="AP504">VLOOKUP($A504,Table_ship_components[],COLUMN(AP:AP),0)</f>
        <v>0</v>
      </c>
      <c r="AQ504" cm="1">
        <f t="array" ref="AQ504">VLOOKUP($A504,Table_ship_components[],COLUMN(AQ:AQ),0)</f>
        <v>0</v>
      </c>
      <c r="AR504" cm="1">
        <f t="array" ref="AR504">VLOOKUP($A504,Table_ship_components[],COLUMN(AR:AR),0)</f>
        <v>0</v>
      </c>
      <c r="AS504" cm="1">
        <f t="array" ref="AS504">VLOOKUP($A504,Table_ship_components[],COLUMN(AS:AS),0)</f>
        <v>0</v>
      </c>
      <c r="AT504" cm="1">
        <f t="array" ref="AT504">VLOOKUP($A504,Table_ship_components[],COLUMN(AT:AT),0)</f>
        <v>0</v>
      </c>
      <c r="AU504" s="2" cm="1">
        <f t="array" ref="AU504">VLOOKUP($A504,Table_ship_components[],COLUMN(AU:AU),0)</f>
        <v>0</v>
      </c>
      <c r="AV504" s="2" cm="1">
        <f t="array" ref="AV504">VLOOKUP($A504,Table_ship_components[],COLUMN(AV:AV),0)</f>
        <v>0</v>
      </c>
      <c r="AW504" s="2" cm="1">
        <f t="array" ref="AW504">VLOOKUP($A504,Table_ship_components[],COLUMN(AW:AW),0)</f>
        <v>0</v>
      </c>
      <c r="AX504" s="2" cm="1">
        <f t="array" ref="AX504">VLOOKUP($A504,Table_ship_components[],COLUMN(AX:AX),0)</f>
        <v>0</v>
      </c>
      <c r="AY504" s="2" cm="1">
        <f t="array" ref="AY504">VLOOKUP($A504,Table_ship_components[],COLUMN(AY:AY),0)</f>
        <v>0</v>
      </c>
      <c r="AZ504" s="2" t="str" cm="1">
        <f t="array" ref="AZ504">VLOOKUP($A504,Table_ship_components[],COLUMN(AZ:AZ),0)</f>
        <v>C</v>
      </c>
      <c r="BA504" s="14" cm="1">
        <f t="array" ref="BA504">VLOOKUP($A504,Table_ship_components[],COLUMN(BA:BA),0)</f>
        <v>0</v>
      </c>
      <c r="BB504" s="14" cm="1">
        <f t="array" ref="BB504">(VLOOKUP($A504,Table_ship_components[],COLUMN(BA:BA),0)+(W504*C504))</f>
        <v>0</v>
      </c>
      <c r="BC504" s="2" cm="1">
        <f t="array" ref="BC504">VLOOKUP($A504,Table_ship_components[],COLUMN(BC:BC),0)</f>
        <v>0</v>
      </c>
      <c r="BD504" s="2" cm="1">
        <f t="array" ref="BD504">VLOOKUP($A504,Table_ship_components[],COLUMN(BD:BD),0)</f>
        <v>0</v>
      </c>
    </row>
    <row r="505" spans="1:56" outlineLevel="1" x14ac:dyDescent="0.35">
      <c r="A505" t="s">
        <v>288</v>
      </c>
      <c r="B505" t="str" cm="1">
        <f t="array" ref="B505">VLOOKUP($A505,Table_ship_components[],COLUMN(B:B),0)</f>
        <v>PICK A COMPONENT</v>
      </c>
      <c r="D505" cm="1">
        <f t="array" ref="D505">VLOOKUP($A505,Table_ship_components[],COLUMN(D:D),0)</f>
        <v>0</v>
      </c>
      <c r="E505" cm="1">
        <f t="array" ref="E505">ROUND(VLOOKUP($A505,Table_ship_components[],COLUMN(D:D),0)+(V505*C505),0)</f>
        <v>0</v>
      </c>
      <c r="F505" cm="1">
        <f t="array" ref="F505">VLOOKUP($A505,Table_ship_components[],COLUMN(F:F),0)</f>
        <v>0</v>
      </c>
      <c r="G505" cm="1">
        <f t="array" ref="G505">ROUND(VLOOKUP($A505,Table_ship_components[],COLUMN(G:G),0)+(X505*C505),0)</f>
        <v>0</v>
      </c>
      <c r="H505" cm="1">
        <f t="array" ref="H505">VLOOKUP($A505,Table_ship_components[],COLUMN(H:H),0)</f>
        <v>0</v>
      </c>
      <c r="I505" cm="1">
        <f t="array" ref="I505">VLOOKUP($A505,Table_ship_components[],COLUMN(I:I),0)</f>
        <v>0</v>
      </c>
      <c r="J505" cm="1">
        <f t="array" ref="J505">VLOOKUP($A505,Table_ship_components[],COLUMN(J:J),0)</f>
        <v>0</v>
      </c>
      <c r="K505" cm="1">
        <f t="array" ref="K505">VLOOKUP($A505,Table_ship_components[],COLUMN(K:K),0)</f>
        <v>0</v>
      </c>
      <c r="L505" cm="1">
        <f t="array" ref="L505">VLOOKUP($A505,Table_ship_components[],COLUMN(L:L),0)</f>
        <v>0</v>
      </c>
      <c r="M505" cm="1">
        <f t="array" ref="M505">VLOOKUP($A505,Table_ship_components[],COLUMN(M:M),0)</f>
        <v>0</v>
      </c>
      <c r="N505" cm="1">
        <f t="array" ref="N505">VLOOKUP($A505,Table_ship_components[],COLUMN(N:N),0)</f>
        <v>0</v>
      </c>
      <c r="O505" cm="1">
        <f t="array" ref="O505">VLOOKUP($A505,Table_ship_components[],COLUMN(O:O),0)</f>
        <v>0</v>
      </c>
      <c r="P505" cm="1">
        <f t="array" ref="P505">VLOOKUP($A505,Table_ship_components[],COLUMN(P:P),0)</f>
        <v>0</v>
      </c>
      <c r="Q505" cm="1">
        <f t="array" ref="Q505">VLOOKUP($A505,Table_ship_components[],COLUMN(Q:Q),0)</f>
        <v>0</v>
      </c>
      <c r="R505" cm="1">
        <f t="array" ref="R505">VLOOKUP($A505,Table_ship_components[],COLUMN(R:R),0)</f>
        <v>0</v>
      </c>
      <c r="S505" cm="1">
        <f t="array" ref="S505">VLOOKUP($A505,Table_ship_components[],COLUMN(S:S),0)</f>
        <v>0</v>
      </c>
      <c r="T505" cm="1">
        <f t="array" ref="T505">VLOOKUP($A505,Table_ship_components[],COLUMN(T:T),0)</f>
        <v>0</v>
      </c>
      <c r="U505" cm="1">
        <f t="array" ref="U505">VLOOKUP($A505,Table_ship_components[],COLUMN(U:U),0)</f>
        <v>0</v>
      </c>
      <c r="V505" cm="1">
        <f t="array" ref="V505">VLOOKUP($A505,Table_ship_components[],COLUMN(V:V),0)</f>
        <v>0</v>
      </c>
      <c r="W505" s="15" cm="1">
        <f t="array" ref="W505">VLOOKUP($A505,Table_ship_components[],COLUMN(W:W),0)</f>
        <v>0</v>
      </c>
      <c r="X505" cm="1">
        <f t="array" ref="X505">VLOOKUP($A505,Table_ship_components[],COLUMN(X:X),0)</f>
        <v>0</v>
      </c>
      <c r="Y505" cm="1">
        <f t="array" ref="Y505">VLOOKUP($A505,Table_ship_components[],COLUMN(Y:Y),0)</f>
        <v>0</v>
      </c>
      <c r="Z505" cm="1">
        <f t="array" ref="Z505">VLOOKUP($A505,Table_ship_components[],COLUMN(Z:Z),0)</f>
        <v>0</v>
      </c>
      <c r="AA505" cm="1">
        <f t="array" ref="AA505">VLOOKUP($A505,Table_ship_components[],COLUMN(AA:AA),0)*C505</f>
        <v>0</v>
      </c>
      <c r="AB505">
        <f t="shared" si="46"/>
        <v>0</v>
      </c>
      <c r="AC505" cm="1">
        <f t="array" ref="AC505">VLOOKUP($A505,Table_ship_components[],COLUMN(AC:AC),0)*C505</f>
        <v>0</v>
      </c>
      <c r="AD505" cm="1">
        <f t="array" ref="AD505">VLOOKUP($A505,Table_ship_components[],COLUMN(AD:AD),0)</f>
        <v>0</v>
      </c>
      <c r="AE505" cm="1">
        <f t="array" ref="AE505">VLOOKUP($A505,Table_ship_components[],COLUMN(AE:AE),0)</f>
        <v>0</v>
      </c>
      <c r="AF505" cm="1">
        <f t="array" ref="AF505">VLOOKUP($A505,Table_ship_components[],COLUMN(AF:AF),0)</f>
        <v>0</v>
      </c>
      <c r="AG505" cm="1">
        <f t="array" ref="AG505">VLOOKUP($A505,Table_ship_components[],COLUMN(AG:AG),0)</f>
        <v>0</v>
      </c>
      <c r="AH505" cm="1">
        <f t="array" ref="AH505">VLOOKUP($A505,Table_ship_components[],COLUMN(AH:AH),0)</f>
        <v>0</v>
      </c>
      <c r="AI505" cm="1">
        <f t="array" ref="AI505">VLOOKUP($A505,Table_ship_components[],COLUMN(AI:AI),0)</f>
        <v>0</v>
      </c>
      <c r="AJ505" cm="1">
        <f t="array" ref="AJ505">VLOOKUP($A505,Table_ship_components[],COLUMN(AJ:AJ),0)</f>
        <v>0</v>
      </c>
      <c r="AK505" cm="1">
        <f t="array" ref="AK505">VLOOKUP($A505,Table_ship_components[],COLUMN(AK:AK),0)</f>
        <v>0</v>
      </c>
      <c r="AL505" cm="1">
        <f t="array" ref="AL505">VLOOKUP($A505,Table_ship_components[],COLUMN(AL:AL),0)</f>
        <v>0</v>
      </c>
      <c r="AM505" cm="1">
        <f t="array" ref="AM505">VLOOKUP($A505,Table_ship_components[],COLUMN(AM:AM),0)</f>
        <v>0</v>
      </c>
      <c r="AN505" cm="1">
        <f t="array" ref="AN505">VLOOKUP($A505,Table_ship_components[],COLUMN(AN:AN),0)</f>
        <v>0</v>
      </c>
      <c r="AO505" cm="1">
        <f t="array" ref="AO505">VLOOKUP($A505,Table_ship_components[],COLUMN(AO:AO),0)</f>
        <v>0</v>
      </c>
      <c r="AP505" cm="1">
        <f t="array" ref="AP505">VLOOKUP($A505,Table_ship_components[],COLUMN(AP:AP),0)</f>
        <v>0</v>
      </c>
      <c r="AQ505" cm="1">
        <f t="array" ref="AQ505">VLOOKUP($A505,Table_ship_components[],COLUMN(AQ:AQ),0)</f>
        <v>0</v>
      </c>
      <c r="AR505" cm="1">
        <f t="array" ref="AR505">VLOOKUP($A505,Table_ship_components[],COLUMN(AR:AR),0)</f>
        <v>0</v>
      </c>
      <c r="AS505" cm="1">
        <f t="array" ref="AS505">VLOOKUP($A505,Table_ship_components[],COLUMN(AS:AS),0)</f>
        <v>0</v>
      </c>
      <c r="AT505" cm="1">
        <f t="array" ref="AT505">VLOOKUP($A505,Table_ship_components[],COLUMN(AT:AT),0)</f>
        <v>0</v>
      </c>
      <c r="AU505" s="2" cm="1">
        <f t="array" ref="AU505">VLOOKUP($A505,Table_ship_components[],COLUMN(AU:AU),0)</f>
        <v>0</v>
      </c>
      <c r="AV505" s="2" cm="1">
        <f t="array" ref="AV505">VLOOKUP($A505,Table_ship_components[],COLUMN(AV:AV),0)</f>
        <v>0</v>
      </c>
      <c r="AW505" s="2" cm="1">
        <f t="array" ref="AW505">VLOOKUP($A505,Table_ship_components[],COLUMN(AW:AW),0)</f>
        <v>0</v>
      </c>
      <c r="AX505" s="2" cm="1">
        <f t="array" ref="AX505">VLOOKUP($A505,Table_ship_components[],COLUMN(AX:AX),0)</f>
        <v>0</v>
      </c>
      <c r="AY505" s="2" cm="1">
        <f t="array" ref="AY505">VLOOKUP($A505,Table_ship_components[],COLUMN(AY:AY),0)</f>
        <v>0</v>
      </c>
      <c r="AZ505" s="2" t="str" cm="1">
        <f t="array" ref="AZ505">VLOOKUP($A505,Table_ship_components[],COLUMN(AZ:AZ),0)</f>
        <v>C</v>
      </c>
      <c r="BA505" s="14" cm="1">
        <f t="array" ref="BA505">VLOOKUP($A505,Table_ship_components[],COLUMN(BA:BA),0)</f>
        <v>0</v>
      </c>
      <c r="BB505" s="14" cm="1">
        <f t="array" ref="BB505">(VLOOKUP($A505,Table_ship_components[],COLUMN(BA:BA),0)+(W505*C505))</f>
        <v>0</v>
      </c>
      <c r="BC505" s="2" cm="1">
        <f t="array" ref="BC505">VLOOKUP($A505,Table_ship_components[],COLUMN(BC:BC),0)</f>
        <v>0</v>
      </c>
      <c r="BD505" s="2" cm="1">
        <f t="array" ref="BD505">VLOOKUP($A505,Table_ship_components[],COLUMN(BD:BD),0)</f>
        <v>0</v>
      </c>
    </row>
    <row r="506" spans="1:56" outlineLevel="1" x14ac:dyDescent="0.35">
      <c r="A506" t="s">
        <v>317</v>
      </c>
      <c r="B506" t="str" cm="1">
        <f t="array" ref="B506">VLOOKUP($A506,Table_ship_components[],COLUMN(B:B),0)</f>
        <v>huge ordonnance bay</v>
      </c>
      <c r="D506" cm="1">
        <f t="array" ref="D506">VLOOKUP($A506,Table_ship_components[],COLUMN(D:D),0)</f>
        <v>5</v>
      </c>
      <c r="E506" cm="1">
        <f t="array" ref="E506">ROUND(VLOOKUP($A506,Table_ship_components[],COLUMN(D:D),0)+(V506*C506),0)</f>
        <v>5</v>
      </c>
      <c r="F506" cm="1">
        <f t="array" ref="F506">VLOOKUP($A506,Table_ship_components[],COLUMN(F:F),0)</f>
        <v>0</v>
      </c>
      <c r="G506" cm="1">
        <f t="array" ref="G506">ROUND(VLOOKUP($A506,Table_ship_components[],COLUMN(G:G),0)+(X506*C506),0)</f>
        <v>0</v>
      </c>
      <c r="H506" cm="1">
        <f t="array" ref="H506">VLOOKUP($A506,Table_ship_components[],COLUMN(H:H),0)</f>
        <v>0</v>
      </c>
      <c r="I506" cm="1">
        <f t="array" ref="I506">VLOOKUP($A506,Table_ship_components[],COLUMN(I:I),0)</f>
        <v>0</v>
      </c>
      <c r="J506" cm="1">
        <f t="array" ref="J506">VLOOKUP($A506,Table_ship_components[],COLUMN(J:J),0)</f>
        <v>0</v>
      </c>
      <c r="K506" cm="1">
        <f t="array" ref="K506">VLOOKUP($A506,Table_ship_components[],COLUMN(K:K),0)</f>
        <v>0</v>
      </c>
      <c r="L506" cm="1">
        <f t="array" ref="L506">VLOOKUP($A506,Table_ship_components[],COLUMN(L:L),0)</f>
        <v>0</v>
      </c>
      <c r="M506" cm="1">
        <f t="array" ref="M506">VLOOKUP($A506,Table_ship_components[],COLUMN(M:M),0)</f>
        <v>0</v>
      </c>
      <c r="N506" cm="1">
        <f t="array" ref="N506">VLOOKUP($A506,Table_ship_components[],COLUMN(N:N),0)</f>
        <v>1</v>
      </c>
      <c r="O506" cm="1">
        <f t="array" ref="O506">VLOOKUP($A506,Table_ship_components[],COLUMN(O:O),0)</f>
        <v>1</v>
      </c>
      <c r="P506" cm="1">
        <f t="array" ref="P506">VLOOKUP($A506,Table_ship_components[],COLUMN(P:P),0)</f>
        <v>1</v>
      </c>
      <c r="Q506" cm="1">
        <f t="array" ref="Q506">VLOOKUP($A506,Table_ship_components[],COLUMN(Q:Q),0)</f>
        <v>1</v>
      </c>
      <c r="R506" cm="1">
        <f t="array" ref="R506">VLOOKUP($A506,Table_ship_components[],COLUMN(R:R),0)</f>
        <v>1</v>
      </c>
      <c r="S506" cm="1">
        <f t="array" ref="S506">VLOOKUP($A506,Table_ship_components[],COLUMN(S:S),0)</f>
        <v>1</v>
      </c>
      <c r="T506" cm="1">
        <f t="array" ref="T506">VLOOKUP($A506,Table_ship_components[],COLUMN(T:T),0)</f>
        <v>1</v>
      </c>
      <c r="U506" cm="1">
        <f t="array" ref="U506">VLOOKUP($A506,Table_ship_components[],COLUMN(U:U),0)</f>
        <v>0</v>
      </c>
      <c r="V506" cm="1">
        <f t="array" ref="V506">VLOOKUP($A506,Table_ship_components[],COLUMN(V:V),0)</f>
        <v>0</v>
      </c>
      <c r="W506" s="15" cm="1">
        <f t="array" ref="W506">VLOOKUP($A506,Table_ship_components[],COLUMN(W:W),0)</f>
        <v>0</v>
      </c>
      <c r="X506" cm="1">
        <f t="array" ref="X506">VLOOKUP($A506,Table_ship_components[],COLUMN(X:X),0)</f>
        <v>0</v>
      </c>
      <c r="Y506" cm="1">
        <f t="array" ref="Y506">VLOOKUP($A506,Table_ship_components[],COLUMN(Y:Y),0)</f>
        <v>0</v>
      </c>
      <c r="Z506" cm="1">
        <f t="array" ref="Z506">VLOOKUP($A506,Table_ship_components[],COLUMN(Z:Z),0)</f>
        <v>0</v>
      </c>
      <c r="AA506" cm="1">
        <f t="array" ref="AA506">VLOOKUP($A506,Table_ship_components[],COLUMN(AA:AA),0)*C506</f>
        <v>0</v>
      </c>
      <c r="AB506">
        <f t="shared" si="46"/>
        <v>0</v>
      </c>
      <c r="AC506" cm="1">
        <f t="array" ref="AC506">VLOOKUP($A506,Table_ship_components[],COLUMN(AC:AC),0)*C506</f>
        <v>0</v>
      </c>
      <c r="AD506" cm="1">
        <f t="array" ref="AD506">VLOOKUP($A506,Table_ship_components[],COLUMN(AD:AD),0)</f>
        <v>0</v>
      </c>
      <c r="AE506" cm="1">
        <f t="array" ref="AE506">VLOOKUP($A506,Table_ship_components[],COLUMN(AE:AE),0)</f>
        <v>0</v>
      </c>
      <c r="AF506" cm="1">
        <f t="array" ref="AF506">VLOOKUP($A506,Table_ship_components[],COLUMN(AF:AF),0)</f>
        <v>0</v>
      </c>
      <c r="AG506" cm="1">
        <f t="array" ref="AG506">VLOOKUP($A506,Table_ship_components[],COLUMN(AG:AG),0)</f>
        <v>0</v>
      </c>
      <c r="AH506" cm="1">
        <f t="array" ref="AH506">VLOOKUP($A506,Table_ship_components[],COLUMN(AH:AH),0)</f>
        <v>0</v>
      </c>
      <c r="AI506" cm="1">
        <f t="array" ref="AI506">VLOOKUP($A506,Table_ship_components[],COLUMN(AI:AI),0)</f>
        <v>0</v>
      </c>
      <c r="AJ506" cm="1">
        <f t="array" ref="AJ506">VLOOKUP($A506,Table_ship_components[],COLUMN(AJ:AJ),0)</f>
        <v>0</v>
      </c>
      <c r="AK506" cm="1">
        <f t="array" ref="AK506">VLOOKUP($A506,Table_ship_components[],COLUMN(AK:AK),0)</f>
        <v>0</v>
      </c>
      <c r="AL506" cm="1">
        <f t="array" ref="AL506">VLOOKUP($A506,Table_ship_components[],COLUMN(AL:AL),0)</f>
        <v>0</v>
      </c>
      <c r="AM506" cm="1">
        <f t="array" ref="AM506">VLOOKUP($A506,Table_ship_components[],COLUMN(AM:AM),0)</f>
        <v>0</v>
      </c>
      <c r="AN506" cm="1">
        <f t="array" ref="AN506">VLOOKUP($A506,Table_ship_components[],COLUMN(AN:AN),0)</f>
        <v>0</v>
      </c>
      <c r="AO506" cm="1">
        <f t="array" ref="AO506">VLOOKUP($A506,Table_ship_components[],COLUMN(AO:AO),0)</f>
        <v>0</v>
      </c>
      <c r="AP506" cm="1">
        <f t="array" ref="AP506">VLOOKUP($A506,Table_ship_components[],COLUMN(AP:AP),0)</f>
        <v>0</v>
      </c>
      <c r="AQ506" cm="1">
        <f t="array" ref="AQ506">VLOOKUP($A506,Table_ship_components[],COLUMN(AQ:AQ),0)</f>
        <v>0</v>
      </c>
      <c r="AR506" cm="1">
        <f t="array" ref="AR506">VLOOKUP($A506,Table_ship_components[],COLUMN(AR:AR),0)</f>
        <v>0</v>
      </c>
      <c r="AS506" cm="1">
        <f t="array" ref="AS506">VLOOKUP($A506,Table_ship_components[],COLUMN(AS:AS),0)</f>
        <v>0</v>
      </c>
      <c r="AT506" cm="1">
        <f t="array" ref="AT506">VLOOKUP($A506,Table_ship_components[],COLUMN(AT:AT),0)</f>
        <v>0</v>
      </c>
      <c r="AU506" s="2" cm="1">
        <f t="array" ref="AU506">VLOOKUP($A506,Table_ship_components[],COLUMN(AU:AU),0)</f>
        <v>0</v>
      </c>
      <c r="AV506" s="2" cm="1">
        <f t="array" ref="AV506">VLOOKUP($A506,Table_ship_components[],COLUMN(AV:AV),0)</f>
        <v>0</v>
      </c>
      <c r="AW506" s="2" cm="1">
        <f t="array" ref="AW506">VLOOKUP($A506,Table_ship_components[],COLUMN(AW:AW),0)</f>
        <v>0</v>
      </c>
      <c r="AX506" s="2" cm="1">
        <f t="array" ref="AX506">VLOOKUP($A506,Table_ship_components[],COLUMN(AX:AX),0)</f>
        <v>0</v>
      </c>
      <c r="AY506" s="2" cm="1">
        <f t="array" ref="AY506">VLOOKUP($A506,Table_ship_components[],COLUMN(AY:AY),0)</f>
        <v>0</v>
      </c>
      <c r="AZ506" s="2" t="str" cm="1">
        <f t="array" ref="AZ506">VLOOKUP($A506,Table_ship_components[],COLUMN(AZ:AZ),0)</f>
        <v>C</v>
      </c>
      <c r="BA506" s="14" cm="1">
        <f t="array" ref="BA506">VLOOKUP($A506,Table_ship_components[],COLUMN(BA:BA),0)</f>
        <v>100000</v>
      </c>
      <c r="BB506" s="14" cm="1">
        <f t="array" ref="BB506">(VLOOKUP($A506,Table_ship_components[],COLUMN(BA:BA),0)+(W506*C506))</f>
        <v>100000</v>
      </c>
      <c r="BC506" s="2" cm="1">
        <f t="array" ref="BC506">VLOOKUP($A506,Table_ship_components[],COLUMN(BC:BC),0)</f>
        <v>0</v>
      </c>
      <c r="BD506" s="2" cm="1">
        <f t="array" ref="BD506">VLOOKUP($A506,Table_ship_components[],COLUMN(BD:BD),0)</f>
        <v>0</v>
      </c>
    </row>
    <row r="507" spans="1:56" outlineLevel="1" x14ac:dyDescent="0.35">
      <c r="A507" t="s">
        <v>324</v>
      </c>
      <c r="B507" t="str" cm="1">
        <f t="array" ref="B507">VLOOKUP($A507,Table_ship_components[],COLUMN(B:B),0)</f>
        <v>huge fixed weapon mount</v>
      </c>
      <c r="D507" cm="1">
        <f t="array" ref="D507">VLOOKUP($A507,Table_ship_components[],COLUMN(D:D),0)</f>
        <v>5</v>
      </c>
      <c r="E507" cm="1">
        <f t="array" ref="E507">ROUND(VLOOKUP($A507,Table_ship_components[],COLUMN(D:D),0)+(V507*C507),0)</f>
        <v>5</v>
      </c>
      <c r="F507" cm="1">
        <f t="array" ref="F507">VLOOKUP($A507,Table_ship_components[],COLUMN(F:F),0)</f>
        <v>0</v>
      </c>
      <c r="G507" cm="1">
        <f t="array" ref="G507">ROUND(VLOOKUP($A507,Table_ship_components[],COLUMN(G:G),0)+(X507*C507),0)</f>
        <v>0</v>
      </c>
      <c r="H507" cm="1">
        <f t="array" ref="H507">VLOOKUP($A507,Table_ship_components[],COLUMN(H:H),0)</f>
        <v>0</v>
      </c>
      <c r="I507" cm="1">
        <f t="array" ref="I507">VLOOKUP($A507,Table_ship_components[],COLUMN(I:I),0)</f>
        <v>0</v>
      </c>
      <c r="J507" cm="1">
        <f t="array" ref="J507">VLOOKUP($A507,Table_ship_components[],COLUMN(J:J),0)</f>
        <v>0</v>
      </c>
      <c r="K507" cm="1">
        <f t="array" ref="K507">VLOOKUP($A507,Table_ship_components[],COLUMN(K:K),0)</f>
        <v>0</v>
      </c>
      <c r="L507" cm="1">
        <f t="array" ref="L507">VLOOKUP($A507,Table_ship_components[],COLUMN(L:L),0)</f>
        <v>0</v>
      </c>
      <c r="M507" cm="1">
        <f t="array" ref="M507">VLOOKUP($A507,Table_ship_components[],COLUMN(M:M),0)</f>
        <v>0</v>
      </c>
      <c r="N507" cm="1">
        <f t="array" ref="N507">VLOOKUP($A507,Table_ship_components[],COLUMN(N:N),0)</f>
        <v>1</v>
      </c>
      <c r="O507" cm="1">
        <f t="array" ref="O507">VLOOKUP($A507,Table_ship_components[],COLUMN(O:O),0)</f>
        <v>1</v>
      </c>
      <c r="P507" cm="1">
        <f t="array" ref="P507">VLOOKUP($A507,Table_ship_components[],COLUMN(P:P),0)</f>
        <v>1</v>
      </c>
      <c r="Q507" cm="1">
        <f t="array" ref="Q507">VLOOKUP($A507,Table_ship_components[],COLUMN(Q:Q),0)</f>
        <v>1</v>
      </c>
      <c r="R507" cm="1">
        <f t="array" ref="R507">VLOOKUP($A507,Table_ship_components[],COLUMN(R:R),0)</f>
        <v>1</v>
      </c>
      <c r="S507" cm="1">
        <f t="array" ref="S507">VLOOKUP($A507,Table_ship_components[],COLUMN(S:S),0)</f>
        <v>1</v>
      </c>
      <c r="T507" cm="1">
        <f t="array" ref="T507">VLOOKUP($A507,Table_ship_components[],COLUMN(T:T),0)</f>
        <v>1</v>
      </c>
      <c r="U507" cm="1">
        <f t="array" ref="U507">VLOOKUP($A507,Table_ship_components[],COLUMN(U:U),0)</f>
        <v>0</v>
      </c>
      <c r="V507" cm="1">
        <f t="array" ref="V507">VLOOKUP($A507,Table_ship_components[],COLUMN(V:V),0)</f>
        <v>0</v>
      </c>
      <c r="W507" s="15" cm="1">
        <f t="array" ref="W507">VLOOKUP($A507,Table_ship_components[],COLUMN(W:W),0)</f>
        <v>0</v>
      </c>
      <c r="X507" cm="1">
        <f t="array" ref="X507">VLOOKUP($A507,Table_ship_components[],COLUMN(X:X),0)</f>
        <v>0</v>
      </c>
      <c r="Y507" cm="1">
        <f t="array" ref="Y507">VLOOKUP($A507,Table_ship_components[],COLUMN(Y:Y),0)</f>
        <v>0</v>
      </c>
      <c r="Z507" cm="1">
        <f t="array" ref="Z507">VLOOKUP($A507,Table_ship_components[],COLUMN(Z:Z),0)</f>
        <v>0</v>
      </c>
      <c r="AA507" cm="1">
        <f t="array" ref="AA507">VLOOKUP($A507,Table_ship_components[],COLUMN(AA:AA),0)*C507</f>
        <v>0</v>
      </c>
      <c r="AB507">
        <f t="shared" si="46"/>
        <v>0</v>
      </c>
      <c r="AC507" cm="1">
        <f t="array" ref="AC507">VLOOKUP($A507,Table_ship_components[],COLUMN(AC:AC),0)*C507</f>
        <v>0</v>
      </c>
      <c r="AD507" cm="1">
        <f t="array" ref="AD507">VLOOKUP($A507,Table_ship_components[],COLUMN(AD:AD),0)</f>
        <v>0</v>
      </c>
      <c r="AE507" cm="1">
        <f t="array" ref="AE507">VLOOKUP($A507,Table_ship_components[],COLUMN(AE:AE),0)</f>
        <v>0</v>
      </c>
      <c r="AF507" cm="1">
        <f t="array" ref="AF507">VLOOKUP($A507,Table_ship_components[],COLUMN(AF:AF),0)</f>
        <v>0</v>
      </c>
      <c r="AG507" cm="1">
        <f t="array" ref="AG507">VLOOKUP($A507,Table_ship_components[],COLUMN(AG:AG),0)</f>
        <v>0</v>
      </c>
      <c r="AH507" cm="1">
        <f t="array" ref="AH507">VLOOKUP($A507,Table_ship_components[],COLUMN(AH:AH),0)</f>
        <v>0</v>
      </c>
      <c r="AI507" cm="1">
        <f t="array" ref="AI507">VLOOKUP($A507,Table_ship_components[],COLUMN(AI:AI),0)</f>
        <v>0</v>
      </c>
      <c r="AJ507" cm="1">
        <f t="array" ref="AJ507">VLOOKUP($A507,Table_ship_components[],COLUMN(AJ:AJ),0)</f>
        <v>0</v>
      </c>
      <c r="AK507" cm="1">
        <f t="array" ref="AK507">VLOOKUP($A507,Table_ship_components[],COLUMN(AK:AK),0)</f>
        <v>0</v>
      </c>
      <c r="AL507" cm="1">
        <f t="array" ref="AL507">VLOOKUP($A507,Table_ship_components[],COLUMN(AL:AL),0)</f>
        <v>0</v>
      </c>
      <c r="AM507" cm="1">
        <f t="array" ref="AM507">VLOOKUP($A507,Table_ship_components[],COLUMN(AM:AM),0)</f>
        <v>0</v>
      </c>
      <c r="AN507" cm="1">
        <f t="array" ref="AN507">VLOOKUP($A507,Table_ship_components[],COLUMN(AN:AN),0)</f>
        <v>0</v>
      </c>
      <c r="AO507" cm="1">
        <f t="array" ref="AO507">VLOOKUP($A507,Table_ship_components[],COLUMN(AO:AO),0)</f>
        <v>0</v>
      </c>
      <c r="AP507" cm="1">
        <f t="array" ref="AP507">VLOOKUP($A507,Table_ship_components[],COLUMN(AP:AP),0)</f>
        <v>0</v>
      </c>
      <c r="AQ507" cm="1">
        <f t="array" ref="AQ507">VLOOKUP($A507,Table_ship_components[],COLUMN(AQ:AQ),0)</f>
        <v>0</v>
      </c>
      <c r="AR507" cm="1">
        <f t="array" ref="AR507">VLOOKUP($A507,Table_ship_components[],COLUMN(AR:AR),0)</f>
        <v>0</v>
      </c>
      <c r="AS507" cm="1">
        <f t="array" ref="AS507">VLOOKUP($A507,Table_ship_components[],COLUMN(AS:AS),0)</f>
        <v>0</v>
      </c>
      <c r="AT507" cm="1">
        <f t="array" ref="AT507">VLOOKUP($A507,Table_ship_components[],COLUMN(AT:AT),0)</f>
        <v>0</v>
      </c>
      <c r="AU507" s="2" cm="1">
        <f t="array" ref="AU507">VLOOKUP($A507,Table_ship_components[],COLUMN(AU:AU),0)</f>
        <v>0</v>
      </c>
      <c r="AV507" s="2" cm="1">
        <f t="array" ref="AV507">VLOOKUP($A507,Table_ship_components[],COLUMN(AV:AV),0)</f>
        <v>0</v>
      </c>
      <c r="AW507" s="2" cm="1">
        <f t="array" ref="AW507">VLOOKUP($A507,Table_ship_components[],COLUMN(AW:AW),0)</f>
        <v>0</v>
      </c>
      <c r="AX507" s="2" cm="1">
        <f t="array" ref="AX507">VLOOKUP($A507,Table_ship_components[],COLUMN(AX:AX),0)</f>
        <v>0</v>
      </c>
      <c r="AY507" s="2" cm="1">
        <f t="array" ref="AY507">VLOOKUP($A507,Table_ship_components[],COLUMN(AY:AY),0)</f>
        <v>0</v>
      </c>
      <c r="AZ507" s="2" t="str" cm="1">
        <f t="array" ref="AZ507">VLOOKUP($A507,Table_ship_components[],COLUMN(AZ:AZ),0)</f>
        <v>C</v>
      </c>
      <c r="BA507" s="14" cm="1">
        <f t="array" ref="BA507">VLOOKUP($A507,Table_ship_components[],COLUMN(BA:BA),0)</f>
        <v>200000</v>
      </c>
      <c r="BB507" s="14" cm="1">
        <f t="array" ref="BB507">(VLOOKUP($A507,Table_ship_components[],COLUMN(BA:BA),0)+(W507*C507))</f>
        <v>200000</v>
      </c>
      <c r="BC507" s="2" cm="1">
        <f t="array" ref="BC507">VLOOKUP($A507,Table_ship_components[],COLUMN(BC:BC),0)</f>
        <v>0</v>
      </c>
      <c r="BD507" s="2" cm="1">
        <f t="array" ref="BD507">VLOOKUP($A507,Table_ship_components[],COLUMN(BD:BD),0)</f>
        <v>0</v>
      </c>
    </row>
    <row r="508" spans="1:56" outlineLevel="1" x14ac:dyDescent="0.35">
      <c r="A508" t="s">
        <v>324</v>
      </c>
      <c r="B508" t="str" cm="1">
        <f t="array" ref="B508">VLOOKUP($A508,Table_ship_components[],COLUMN(B:B),0)</f>
        <v>huge fixed weapon mount</v>
      </c>
      <c r="D508" cm="1">
        <f t="array" ref="D508">VLOOKUP($A508,Table_ship_components[],COLUMN(D:D),0)</f>
        <v>5</v>
      </c>
      <c r="E508" cm="1">
        <f t="array" ref="E508">ROUND(VLOOKUP($A508,Table_ship_components[],COLUMN(D:D),0)+(V508*C508),0)</f>
        <v>5</v>
      </c>
      <c r="F508" cm="1">
        <f t="array" ref="F508">VLOOKUP($A508,Table_ship_components[],COLUMN(F:F),0)</f>
        <v>0</v>
      </c>
      <c r="G508" cm="1">
        <f t="array" ref="G508">ROUND(VLOOKUP($A508,Table_ship_components[],COLUMN(G:G),0)+(X508*C508),0)</f>
        <v>0</v>
      </c>
      <c r="H508" cm="1">
        <f t="array" ref="H508">VLOOKUP($A508,Table_ship_components[],COLUMN(H:H),0)</f>
        <v>0</v>
      </c>
      <c r="I508" cm="1">
        <f t="array" ref="I508">VLOOKUP($A508,Table_ship_components[],COLUMN(I:I),0)</f>
        <v>0</v>
      </c>
      <c r="J508" cm="1">
        <f t="array" ref="J508">VLOOKUP($A508,Table_ship_components[],COLUMN(J:J),0)</f>
        <v>0</v>
      </c>
      <c r="K508" cm="1">
        <f t="array" ref="K508">VLOOKUP($A508,Table_ship_components[],COLUMN(K:K),0)</f>
        <v>0</v>
      </c>
      <c r="L508" cm="1">
        <f t="array" ref="L508">VLOOKUP($A508,Table_ship_components[],COLUMN(L:L),0)</f>
        <v>0</v>
      </c>
      <c r="M508" cm="1">
        <f t="array" ref="M508">VLOOKUP($A508,Table_ship_components[],COLUMN(M:M),0)</f>
        <v>0</v>
      </c>
      <c r="N508" cm="1">
        <f t="array" ref="N508">VLOOKUP($A508,Table_ship_components[],COLUMN(N:N),0)</f>
        <v>1</v>
      </c>
      <c r="O508" cm="1">
        <f t="array" ref="O508">VLOOKUP($A508,Table_ship_components[],COLUMN(O:O),0)</f>
        <v>1</v>
      </c>
      <c r="P508" cm="1">
        <f t="array" ref="P508">VLOOKUP($A508,Table_ship_components[],COLUMN(P:P),0)</f>
        <v>1</v>
      </c>
      <c r="Q508" cm="1">
        <f t="array" ref="Q508">VLOOKUP($A508,Table_ship_components[],COLUMN(Q:Q),0)</f>
        <v>1</v>
      </c>
      <c r="R508" cm="1">
        <f t="array" ref="R508">VLOOKUP($A508,Table_ship_components[],COLUMN(R:R),0)</f>
        <v>1</v>
      </c>
      <c r="S508" cm="1">
        <f t="array" ref="S508">VLOOKUP($A508,Table_ship_components[],COLUMN(S:S),0)</f>
        <v>1</v>
      </c>
      <c r="T508" cm="1">
        <f t="array" ref="T508">VLOOKUP($A508,Table_ship_components[],COLUMN(T:T),0)</f>
        <v>1</v>
      </c>
      <c r="U508" cm="1">
        <f t="array" ref="U508">VLOOKUP($A508,Table_ship_components[],COLUMN(U:U),0)</f>
        <v>0</v>
      </c>
      <c r="V508" cm="1">
        <f t="array" ref="V508">VLOOKUP($A508,Table_ship_components[],COLUMN(V:V),0)</f>
        <v>0</v>
      </c>
      <c r="W508" s="15" cm="1">
        <f t="array" ref="W508">VLOOKUP($A508,Table_ship_components[],COLUMN(W:W),0)</f>
        <v>0</v>
      </c>
      <c r="X508" cm="1">
        <f t="array" ref="X508">VLOOKUP($A508,Table_ship_components[],COLUMN(X:X),0)</f>
        <v>0</v>
      </c>
      <c r="Y508" cm="1">
        <f t="array" ref="Y508">VLOOKUP($A508,Table_ship_components[],COLUMN(Y:Y),0)</f>
        <v>0</v>
      </c>
      <c r="Z508" cm="1">
        <f t="array" ref="Z508">VLOOKUP($A508,Table_ship_components[],COLUMN(Z:Z),0)</f>
        <v>0</v>
      </c>
      <c r="AA508" cm="1">
        <f t="array" ref="AA508">VLOOKUP($A508,Table_ship_components[],COLUMN(AA:AA),0)*C508</f>
        <v>0</v>
      </c>
      <c r="AB508">
        <f t="shared" si="46"/>
        <v>0</v>
      </c>
      <c r="AC508" cm="1">
        <f t="array" ref="AC508">VLOOKUP($A508,Table_ship_components[],COLUMN(AC:AC),0)*C508</f>
        <v>0</v>
      </c>
      <c r="AD508" cm="1">
        <f t="array" ref="AD508">VLOOKUP($A508,Table_ship_components[],COLUMN(AD:AD),0)</f>
        <v>0</v>
      </c>
      <c r="AE508" cm="1">
        <f t="array" ref="AE508">VLOOKUP($A508,Table_ship_components[],COLUMN(AE:AE),0)</f>
        <v>0</v>
      </c>
      <c r="AF508" cm="1">
        <f t="array" ref="AF508">VLOOKUP($A508,Table_ship_components[],COLUMN(AF:AF),0)</f>
        <v>0</v>
      </c>
      <c r="AG508" cm="1">
        <f t="array" ref="AG508">VLOOKUP($A508,Table_ship_components[],COLUMN(AG:AG),0)</f>
        <v>0</v>
      </c>
      <c r="AH508" cm="1">
        <f t="array" ref="AH508">VLOOKUP($A508,Table_ship_components[],COLUMN(AH:AH),0)</f>
        <v>0</v>
      </c>
      <c r="AI508" cm="1">
        <f t="array" ref="AI508">VLOOKUP($A508,Table_ship_components[],COLUMN(AI:AI),0)</f>
        <v>0</v>
      </c>
      <c r="AJ508" cm="1">
        <f t="array" ref="AJ508">VLOOKUP($A508,Table_ship_components[],COLUMN(AJ:AJ),0)</f>
        <v>0</v>
      </c>
      <c r="AK508" cm="1">
        <f t="array" ref="AK508">VLOOKUP($A508,Table_ship_components[],COLUMN(AK:AK),0)</f>
        <v>0</v>
      </c>
      <c r="AL508" cm="1">
        <f t="array" ref="AL508">VLOOKUP($A508,Table_ship_components[],COLUMN(AL:AL),0)</f>
        <v>0</v>
      </c>
      <c r="AM508" cm="1">
        <f t="array" ref="AM508">VLOOKUP($A508,Table_ship_components[],COLUMN(AM:AM),0)</f>
        <v>0</v>
      </c>
      <c r="AN508" cm="1">
        <f t="array" ref="AN508">VLOOKUP($A508,Table_ship_components[],COLUMN(AN:AN),0)</f>
        <v>0</v>
      </c>
      <c r="AO508" cm="1">
        <f t="array" ref="AO508">VLOOKUP($A508,Table_ship_components[],COLUMN(AO:AO),0)</f>
        <v>0</v>
      </c>
      <c r="AP508" cm="1">
        <f t="array" ref="AP508">VLOOKUP($A508,Table_ship_components[],COLUMN(AP:AP),0)</f>
        <v>0</v>
      </c>
      <c r="AQ508" cm="1">
        <f t="array" ref="AQ508">VLOOKUP($A508,Table_ship_components[],COLUMN(AQ:AQ),0)</f>
        <v>0</v>
      </c>
      <c r="AR508" cm="1">
        <f t="array" ref="AR508">VLOOKUP($A508,Table_ship_components[],COLUMN(AR:AR),0)</f>
        <v>0</v>
      </c>
      <c r="AS508" cm="1">
        <f t="array" ref="AS508">VLOOKUP($A508,Table_ship_components[],COLUMN(AS:AS),0)</f>
        <v>0</v>
      </c>
      <c r="AT508" cm="1">
        <f t="array" ref="AT508">VLOOKUP($A508,Table_ship_components[],COLUMN(AT:AT),0)</f>
        <v>0</v>
      </c>
      <c r="AU508" s="2" cm="1">
        <f t="array" ref="AU508">VLOOKUP($A508,Table_ship_components[],COLUMN(AU:AU),0)</f>
        <v>0</v>
      </c>
      <c r="AV508" s="2" cm="1">
        <f t="array" ref="AV508">VLOOKUP($A508,Table_ship_components[],COLUMN(AV:AV),0)</f>
        <v>0</v>
      </c>
      <c r="AW508" s="2" cm="1">
        <f t="array" ref="AW508">VLOOKUP($A508,Table_ship_components[],COLUMN(AW:AW),0)</f>
        <v>0</v>
      </c>
      <c r="AX508" s="2" cm="1">
        <f t="array" ref="AX508">VLOOKUP($A508,Table_ship_components[],COLUMN(AX:AX),0)</f>
        <v>0</v>
      </c>
      <c r="AY508" s="2" cm="1">
        <f t="array" ref="AY508">VLOOKUP($A508,Table_ship_components[],COLUMN(AY:AY),0)</f>
        <v>0</v>
      </c>
      <c r="AZ508" s="2" t="str" cm="1">
        <f t="array" ref="AZ508">VLOOKUP($A508,Table_ship_components[],COLUMN(AZ:AZ),0)</f>
        <v>C</v>
      </c>
      <c r="BA508" s="14" cm="1">
        <f t="array" ref="BA508">VLOOKUP($A508,Table_ship_components[],COLUMN(BA:BA),0)</f>
        <v>200000</v>
      </c>
      <c r="BB508" s="14" cm="1">
        <f t="array" ref="BB508">(VLOOKUP($A508,Table_ship_components[],COLUMN(BA:BA),0)+(W508*C508))</f>
        <v>200000</v>
      </c>
      <c r="BC508" s="2" cm="1">
        <f t="array" ref="BC508">VLOOKUP($A508,Table_ship_components[],COLUMN(BC:BC),0)</f>
        <v>0</v>
      </c>
      <c r="BD508" s="2" cm="1">
        <f t="array" ref="BD508">VLOOKUP($A508,Table_ship_components[],COLUMN(BD:BD),0)</f>
        <v>0</v>
      </c>
    </row>
    <row r="509" spans="1:56" outlineLevel="1" x14ac:dyDescent="0.35">
      <c r="A509" t="s">
        <v>288</v>
      </c>
      <c r="B509" t="str" cm="1">
        <f t="array" ref="B509">VLOOKUP($A509,Table_ship_components[],COLUMN(B:B),0)</f>
        <v>PICK A COMPONENT</v>
      </c>
      <c r="D509" cm="1">
        <f t="array" ref="D509">VLOOKUP($A509,Table_ship_components[],COLUMN(D:D),0)</f>
        <v>0</v>
      </c>
      <c r="E509" cm="1">
        <f t="array" ref="E509">ROUND(VLOOKUP($A509,Table_ship_components[],COLUMN(D:D),0)+(V509*C509),0)</f>
        <v>0</v>
      </c>
      <c r="F509" cm="1">
        <f t="array" ref="F509">VLOOKUP($A509,Table_ship_components[],COLUMN(F:F),0)</f>
        <v>0</v>
      </c>
      <c r="G509" cm="1">
        <f t="array" ref="G509">ROUND(VLOOKUP($A509,Table_ship_components[],COLUMN(G:G),0)+(X509*C509),0)</f>
        <v>0</v>
      </c>
      <c r="H509" cm="1">
        <f t="array" ref="H509">VLOOKUP($A509,Table_ship_components[],COLUMN(H:H),0)</f>
        <v>0</v>
      </c>
      <c r="I509" cm="1">
        <f t="array" ref="I509">VLOOKUP($A509,Table_ship_components[],COLUMN(I:I),0)</f>
        <v>0</v>
      </c>
      <c r="J509" cm="1">
        <f t="array" ref="J509">VLOOKUP($A509,Table_ship_components[],COLUMN(J:J),0)</f>
        <v>0</v>
      </c>
      <c r="K509" cm="1">
        <f t="array" ref="K509">VLOOKUP($A509,Table_ship_components[],COLUMN(K:K),0)</f>
        <v>0</v>
      </c>
      <c r="L509" cm="1">
        <f t="array" ref="L509">VLOOKUP($A509,Table_ship_components[],COLUMN(L:L),0)</f>
        <v>0</v>
      </c>
      <c r="M509" cm="1">
        <f t="array" ref="M509">VLOOKUP($A509,Table_ship_components[],COLUMN(M:M),0)</f>
        <v>0</v>
      </c>
      <c r="N509" cm="1">
        <f t="array" ref="N509">VLOOKUP($A509,Table_ship_components[],COLUMN(N:N),0)</f>
        <v>0</v>
      </c>
      <c r="O509" cm="1">
        <f t="array" ref="O509">VLOOKUP($A509,Table_ship_components[],COLUMN(O:O),0)</f>
        <v>0</v>
      </c>
      <c r="P509" cm="1">
        <f t="array" ref="P509">VLOOKUP($A509,Table_ship_components[],COLUMN(P:P),0)</f>
        <v>0</v>
      </c>
      <c r="Q509" cm="1">
        <f t="array" ref="Q509">VLOOKUP($A509,Table_ship_components[],COLUMN(Q:Q),0)</f>
        <v>0</v>
      </c>
      <c r="R509" cm="1">
        <f t="array" ref="R509">VLOOKUP($A509,Table_ship_components[],COLUMN(R:R),0)</f>
        <v>0</v>
      </c>
      <c r="S509" cm="1">
        <f t="array" ref="S509">VLOOKUP($A509,Table_ship_components[],COLUMN(S:S),0)</f>
        <v>0</v>
      </c>
      <c r="T509" cm="1">
        <f t="array" ref="T509">VLOOKUP($A509,Table_ship_components[],COLUMN(T:T),0)</f>
        <v>0</v>
      </c>
      <c r="U509" cm="1">
        <f t="array" ref="U509">VLOOKUP($A509,Table_ship_components[],COLUMN(U:U),0)</f>
        <v>0</v>
      </c>
      <c r="V509" cm="1">
        <f t="array" ref="V509">VLOOKUP($A509,Table_ship_components[],COLUMN(V:V),0)</f>
        <v>0</v>
      </c>
      <c r="W509" s="15" cm="1">
        <f t="array" ref="W509">VLOOKUP($A509,Table_ship_components[],COLUMN(W:W),0)</f>
        <v>0</v>
      </c>
      <c r="X509" cm="1">
        <f t="array" ref="X509">VLOOKUP($A509,Table_ship_components[],COLUMN(X:X),0)</f>
        <v>0</v>
      </c>
      <c r="Y509" cm="1">
        <f t="array" ref="Y509">VLOOKUP($A509,Table_ship_components[],COLUMN(Y:Y),0)</f>
        <v>0</v>
      </c>
      <c r="Z509" cm="1">
        <f t="array" ref="Z509">VLOOKUP($A509,Table_ship_components[],COLUMN(Z:Z),0)</f>
        <v>0</v>
      </c>
      <c r="AA509" cm="1">
        <f t="array" ref="AA509">VLOOKUP($A509,Table_ship_components[],COLUMN(AA:AA),0)*C509</f>
        <v>0</v>
      </c>
      <c r="AB509">
        <f t="shared" si="46"/>
        <v>0</v>
      </c>
      <c r="AC509" cm="1">
        <f t="array" ref="AC509">VLOOKUP($A509,Table_ship_components[],COLUMN(AC:AC),0)*C509</f>
        <v>0</v>
      </c>
      <c r="AD509" cm="1">
        <f t="array" ref="AD509">VLOOKUP($A509,Table_ship_components[],COLUMN(AD:AD),0)</f>
        <v>0</v>
      </c>
      <c r="AE509" cm="1">
        <f t="array" ref="AE509">VLOOKUP($A509,Table_ship_components[],COLUMN(AE:AE),0)</f>
        <v>0</v>
      </c>
      <c r="AF509" cm="1">
        <f t="array" ref="AF509">VLOOKUP($A509,Table_ship_components[],COLUMN(AF:AF),0)</f>
        <v>0</v>
      </c>
      <c r="AG509" cm="1">
        <f t="array" ref="AG509">VLOOKUP($A509,Table_ship_components[],COLUMN(AG:AG),0)</f>
        <v>0</v>
      </c>
      <c r="AH509" cm="1">
        <f t="array" ref="AH509">VLOOKUP($A509,Table_ship_components[],COLUMN(AH:AH),0)</f>
        <v>0</v>
      </c>
      <c r="AI509" cm="1">
        <f t="array" ref="AI509">VLOOKUP($A509,Table_ship_components[],COLUMN(AI:AI),0)</f>
        <v>0</v>
      </c>
      <c r="AJ509" cm="1">
        <f t="array" ref="AJ509">VLOOKUP($A509,Table_ship_components[],COLUMN(AJ:AJ),0)</f>
        <v>0</v>
      </c>
      <c r="AK509" cm="1">
        <f t="array" ref="AK509">VLOOKUP($A509,Table_ship_components[],COLUMN(AK:AK),0)</f>
        <v>0</v>
      </c>
      <c r="AL509" cm="1">
        <f t="array" ref="AL509">VLOOKUP($A509,Table_ship_components[],COLUMN(AL:AL),0)</f>
        <v>0</v>
      </c>
      <c r="AM509" cm="1">
        <f t="array" ref="AM509">VLOOKUP($A509,Table_ship_components[],COLUMN(AM:AM),0)</f>
        <v>0</v>
      </c>
      <c r="AN509" cm="1">
        <f t="array" ref="AN509">VLOOKUP($A509,Table_ship_components[],COLUMN(AN:AN),0)</f>
        <v>0</v>
      </c>
      <c r="AO509" cm="1">
        <f t="array" ref="AO509">VLOOKUP($A509,Table_ship_components[],COLUMN(AO:AO),0)</f>
        <v>0</v>
      </c>
      <c r="AP509" cm="1">
        <f t="array" ref="AP509">VLOOKUP($A509,Table_ship_components[],COLUMN(AP:AP),0)</f>
        <v>0</v>
      </c>
      <c r="AQ509" cm="1">
        <f t="array" ref="AQ509">VLOOKUP($A509,Table_ship_components[],COLUMN(AQ:AQ),0)</f>
        <v>0</v>
      </c>
      <c r="AR509" cm="1">
        <f t="array" ref="AR509">VLOOKUP($A509,Table_ship_components[],COLUMN(AR:AR),0)</f>
        <v>0</v>
      </c>
      <c r="AS509" cm="1">
        <f t="array" ref="AS509">VLOOKUP($A509,Table_ship_components[],COLUMN(AS:AS),0)</f>
        <v>0</v>
      </c>
      <c r="AT509" cm="1">
        <f t="array" ref="AT509">VLOOKUP($A509,Table_ship_components[],COLUMN(AT:AT),0)</f>
        <v>0</v>
      </c>
      <c r="AU509" s="2" cm="1">
        <f t="array" ref="AU509">VLOOKUP($A509,Table_ship_components[],COLUMN(AU:AU),0)</f>
        <v>0</v>
      </c>
      <c r="AV509" s="2" cm="1">
        <f t="array" ref="AV509">VLOOKUP($A509,Table_ship_components[],COLUMN(AV:AV),0)</f>
        <v>0</v>
      </c>
      <c r="AW509" s="2" cm="1">
        <f t="array" ref="AW509">VLOOKUP($A509,Table_ship_components[],COLUMN(AW:AW),0)</f>
        <v>0</v>
      </c>
      <c r="AX509" s="2" cm="1">
        <f t="array" ref="AX509">VLOOKUP($A509,Table_ship_components[],COLUMN(AX:AX),0)</f>
        <v>0</v>
      </c>
      <c r="AY509" s="2" cm="1">
        <f t="array" ref="AY509">VLOOKUP($A509,Table_ship_components[],COLUMN(AY:AY),0)</f>
        <v>0</v>
      </c>
      <c r="AZ509" s="2" t="str" cm="1">
        <f t="array" ref="AZ509">VLOOKUP($A509,Table_ship_components[],COLUMN(AZ:AZ),0)</f>
        <v>C</v>
      </c>
      <c r="BA509" s="14" cm="1">
        <f t="array" ref="BA509">VLOOKUP($A509,Table_ship_components[],COLUMN(BA:BA),0)</f>
        <v>0</v>
      </c>
      <c r="BB509" s="14" cm="1">
        <f t="array" ref="BB509">(VLOOKUP($A509,Table_ship_components[],COLUMN(BA:BA),0)+(W509*C509))</f>
        <v>0</v>
      </c>
      <c r="BC509" s="2" cm="1">
        <f t="array" ref="BC509">VLOOKUP($A509,Table_ship_components[],COLUMN(BC:BC),0)</f>
        <v>0</v>
      </c>
      <c r="BD509" s="2" cm="1">
        <f t="array" ref="BD509">VLOOKUP($A509,Table_ship_components[],COLUMN(BD:BD),0)</f>
        <v>0</v>
      </c>
    </row>
    <row r="510" spans="1:56" outlineLevel="1" x14ac:dyDescent="0.35">
      <c r="A510" t="s">
        <v>288</v>
      </c>
      <c r="B510" t="str" cm="1">
        <f t="array" ref="B510">VLOOKUP($A510,Table_ship_components[],COLUMN(B:B),0)</f>
        <v>PICK A COMPONENT</v>
      </c>
      <c r="D510" cm="1">
        <f t="array" ref="D510">VLOOKUP($A510,Table_ship_components[],COLUMN(D:D),0)</f>
        <v>0</v>
      </c>
      <c r="E510" cm="1">
        <f t="array" ref="E510">ROUND(VLOOKUP($A510,Table_ship_components[],COLUMN(D:D),0)+(V510*C510),0)</f>
        <v>0</v>
      </c>
      <c r="F510" cm="1">
        <f t="array" ref="F510">VLOOKUP($A510,Table_ship_components[],COLUMN(F:F),0)</f>
        <v>0</v>
      </c>
      <c r="G510" cm="1">
        <f t="array" ref="G510">ROUND(VLOOKUP($A510,Table_ship_components[],COLUMN(G:G),0)+(X510*C510),0)</f>
        <v>0</v>
      </c>
      <c r="H510" cm="1">
        <f t="array" ref="H510">VLOOKUP($A510,Table_ship_components[],COLUMN(H:H),0)</f>
        <v>0</v>
      </c>
      <c r="I510" cm="1">
        <f t="array" ref="I510">VLOOKUP($A510,Table_ship_components[],COLUMN(I:I),0)</f>
        <v>0</v>
      </c>
      <c r="J510" cm="1">
        <f t="array" ref="J510">VLOOKUP($A510,Table_ship_components[],COLUMN(J:J),0)</f>
        <v>0</v>
      </c>
      <c r="K510" cm="1">
        <f t="array" ref="K510">VLOOKUP($A510,Table_ship_components[],COLUMN(K:K),0)</f>
        <v>0</v>
      </c>
      <c r="L510" cm="1">
        <f t="array" ref="L510">VLOOKUP($A510,Table_ship_components[],COLUMN(L:L),0)</f>
        <v>0</v>
      </c>
      <c r="M510" cm="1">
        <f t="array" ref="M510">VLOOKUP($A510,Table_ship_components[],COLUMN(M:M),0)</f>
        <v>0</v>
      </c>
      <c r="N510" cm="1">
        <f t="array" ref="N510">VLOOKUP($A510,Table_ship_components[],COLUMN(N:N),0)</f>
        <v>0</v>
      </c>
      <c r="O510" cm="1">
        <f t="array" ref="O510">VLOOKUP($A510,Table_ship_components[],COLUMN(O:O),0)</f>
        <v>0</v>
      </c>
      <c r="P510" cm="1">
        <f t="array" ref="P510">VLOOKUP($A510,Table_ship_components[],COLUMN(P:P),0)</f>
        <v>0</v>
      </c>
      <c r="Q510" cm="1">
        <f t="array" ref="Q510">VLOOKUP($A510,Table_ship_components[],COLUMN(Q:Q),0)</f>
        <v>0</v>
      </c>
      <c r="R510" cm="1">
        <f t="array" ref="R510">VLOOKUP($A510,Table_ship_components[],COLUMN(R:R),0)</f>
        <v>0</v>
      </c>
      <c r="S510" cm="1">
        <f t="array" ref="S510">VLOOKUP($A510,Table_ship_components[],COLUMN(S:S),0)</f>
        <v>0</v>
      </c>
      <c r="T510" cm="1">
        <f t="array" ref="T510">VLOOKUP($A510,Table_ship_components[],COLUMN(T:T),0)</f>
        <v>0</v>
      </c>
      <c r="U510" cm="1">
        <f t="array" ref="U510">VLOOKUP($A510,Table_ship_components[],COLUMN(U:U),0)</f>
        <v>0</v>
      </c>
      <c r="V510" cm="1">
        <f t="array" ref="V510">VLOOKUP($A510,Table_ship_components[],COLUMN(V:V),0)</f>
        <v>0</v>
      </c>
      <c r="W510" s="15" cm="1">
        <f t="array" ref="W510">VLOOKUP($A510,Table_ship_components[],COLUMN(W:W),0)</f>
        <v>0</v>
      </c>
      <c r="X510" cm="1">
        <f t="array" ref="X510">VLOOKUP($A510,Table_ship_components[],COLUMN(X:X),0)</f>
        <v>0</v>
      </c>
      <c r="Y510" cm="1">
        <f t="array" ref="Y510">VLOOKUP($A510,Table_ship_components[],COLUMN(Y:Y),0)</f>
        <v>0</v>
      </c>
      <c r="Z510" cm="1">
        <f t="array" ref="Z510">VLOOKUP($A510,Table_ship_components[],COLUMN(Z:Z),0)</f>
        <v>0</v>
      </c>
      <c r="AA510" cm="1">
        <f t="array" ref="AA510">VLOOKUP($A510,Table_ship_components[],COLUMN(AA:AA),0)*C510</f>
        <v>0</v>
      </c>
      <c r="AB510">
        <f t="shared" si="46"/>
        <v>0</v>
      </c>
      <c r="AC510" cm="1">
        <f t="array" ref="AC510">VLOOKUP($A510,Table_ship_components[],COLUMN(AC:AC),0)*C510</f>
        <v>0</v>
      </c>
      <c r="AD510" cm="1">
        <f t="array" ref="AD510">VLOOKUP($A510,Table_ship_components[],COLUMN(AD:AD),0)</f>
        <v>0</v>
      </c>
      <c r="AE510" cm="1">
        <f t="array" ref="AE510">VLOOKUP($A510,Table_ship_components[],COLUMN(AE:AE),0)</f>
        <v>0</v>
      </c>
      <c r="AF510" cm="1">
        <f t="array" ref="AF510">VLOOKUP($A510,Table_ship_components[],COLUMN(AF:AF),0)</f>
        <v>0</v>
      </c>
      <c r="AG510" cm="1">
        <f t="array" ref="AG510">VLOOKUP($A510,Table_ship_components[],COLUMN(AG:AG),0)</f>
        <v>0</v>
      </c>
      <c r="AH510" cm="1">
        <f t="array" ref="AH510">VLOOKUP($A510,Table_ship_components[],COLUMN(AH:AH),0)</f>
        <v>0</v>
      </c>
      <c r="AI510" cm="1">
        <f t="array" ref="AI510">VLOOKUP($A510,Table_ship_components[],COLUMN(AI:AI),0)</f>
        <v>0</v>
      </c>
      <c r="AJ510" cm="1">
        <f t="array" ref="AJ510">VLOOKUP($A510,Table_ship_components[],COLUMN(AJ:AJ),0)</f>
        <v>0</v>
      </c>
      <c r="AK510" cm="1">
        <f t="array" ref="AK510">VLOOKUP($A510,Table_ship_components[],COLUMN(AK:AK),0)</f>
        <v>0</v>
      </c>
      <c r="AL510" cm="1">
        <f t="array" ref="AL510">VLOOKUP($A510,Table_ship_components[],COLUMN(AL:AL),0)</f>
        <v>0</v>
      </c>
      <c r="AM510" cm="1">
        <f t="array" ref="AM510">VLOOKUP($A510,Table_ship_components[],COLUMN(AM:AM),0)</f>
        <v>0</v>
      </c>
      <c r="AN510" cm="1">
        <f t="array" ref="AN510">VLOOKUP($A510,Table_ship_components[],COLUMN(AN:AN),0)</f>
        <v>0</v>
      </c>
      <c r="AO510" cm="1">
        <f t="array" ref="AO510">VLOOKUP($A510,Table_ship_components[],COLUMN(AO:AO),0)</f>
        <v>0</v>
      </c>
      <c r="AP510" cm="1">
        <f t="array" ref="AP510">VLOOKUP($A510,Table_ship_components[],COLUMN(AP:AP),0)</f>
        <v>0</v>
      </c>
      <c r="AQ510" cm="1">
        <f t="array" ref="AQ510">VLOOKUP($A510,Table_ship_components[],COLUMN(AQ:AQ),0)</f>
        <v>0</v>
      </c>
      <c r="AR510" cm="1">
        <f t="array" ref="AR510">VLOOKUP($A510,Table_ship_components[],COLUMN(AR:AR),0)</f>
        <v>0</v>
      </c>
      <c r="AS510" cm="1">
        <f t="array" ref="AS510">VLOOKUP($A510,Table_ship_components[],COLUMN(AS:AS),0)</f>
        <v>0</v>
      </c>
      <c r="AT510" cm="1">
        <f t="array" ref="AT510">VLOOKUP($A510,Table_ship_components[],COLUMN(AT:AT),0)</f>
        <v>0</v>
      </c>
      <c r="AU510" s="2" cm="1">
        <f t="array" ref="AU510">VLOOKUP($A510,Table_ship_components[],COLUMN(AU:AU),0)</f>
        <v>0</v>
      </c>
      <c r="AV510" s="2" cm="1">
        <f t="array" ref="AV510">VLOOKUP($A510,Table_ship_components[],COLUMN(AV:AV),0)</f>
        <v>0</v>
      </c>
      <c r="AW510" s="2" cm="1">
        <f t="array" ref="AW510">VLOOKUP($A510,Table_ship_components[],COLUMN(AW:AW),0)</f>
        <v>0</v>
      </c>
      <c r="AX510" s="2" cm="1">
        <f t="array" ref="AX510">VLOOKUP($A510,Table_ship_components[],COLUMN(AX:AX),0)</f>
        <v>0</v>
      </c>
      <c r="AY510" s="2" cm="1">
        <f t="array" ref="AY510">VLOOKUP($A510,Table_ship_components[],COLUMN(AY:AY),0)</f>
        <v>0</v>
      </c>
      <c r="AZ510" s="2" t="str" cm="1">
        <f t="array" ref="AZ510">VLOOKUP($A510,Table_ship_components[],COLUMN(AZ:AZ),0)</f>
        <v>C</v>
      </c>
      <c r="BA510" s="14" cm="1">
        <f t="array" ref="BA510">VLOOKUP($A510,Table_ship_components[],COLUMN(BA:BA),0)</f>
        <v>0</v>
      </c>
      <c r="BB510" s="14" cm="1">
        <f t="array" ref="BB510">(VLOOKUP($A510,Table_ship_components[],COLUMN(BA:BA),0)+(W510*C510))</f>
        <v>0</v>
      </c>
      <c r="BC510" s="2" cm="1">
        <f t="array" ref="BC510">VLOOKUP($A510,Table_ship_components[],COLUMN(BC:BC),0)</f>
        <v>0</v>
      </c>
      <c r="BD510" s="2" cm="1">
        <f t="array" ref="BD510">VLOOKUP($A510,Table_ship_components[],COLUMN(BD:BD),0)</f>
        <v>0</v>
      </c>
    </row>
    <row r="511" spans="1:56" outlineLevel="1" x14ac:dyDescent="0.35">
      <c r="A511" t="s">
        <v>288</v>
      </c>
      <c r="B511" t="str" cm="1">
        <f t="array" ref="B511">VLOOKUP($A511,Table_ship_components[],COLUMN(B:B),0)</f>
        <v>PICK A COMPONENT</v>
      </c>
      <c r="D511" cm="1">
        <f t="array" ref="D511">VLOOKUP($A511,Table_ship_components[],COLUMN(D:D),0)</f>
        <v>0</v>
      </c>
      <c r="E511" cm="1">
        <f t="array" ref="E511">ROUND(VLOOKUP($A511,Table_ship_components[],COLUMN(D:D),0)+(V511*C511),0)</f>
        <v>0</v>
      </c>
      <c r="F511" cm="1">
        <f t="array" ref="F511">VLOOKUP($A511,Table_ship_components[],COLUMN(F:F),0)</f>
        <v>0</v>
      </c>
      <c r="G511" cm="1">
        <f t="array" ref="G511">ROUND(VLOOKUP($A511,Table_ship_components[],COLUMN(G:G),0)+(X511*C511),0)</f>
        <v>0</v>
      </c>
      <c r="H511" cm="1">
        <f t="array" ref="H511">VLOOKUP($A511,Table_ship_components[],COLUMN(H:H),0)</f>
        <v>0</v>
      </c>
      <c r="I511" cm="1">
        <f t="array" ref="I511">VLOOKUP($A511,Table_ship_components[],COLUMN(I:I),0)</f>
        <v>0</v>
      </c>
      <c r="J511" cm="1">
        <f t="array" ref="J511">VLOOKUP($A511,Table_ship_components[],COLUMN(J:J),0)</f>
        <v>0</v>
      </c>
      <c r="K511" cm="1">
        <f t="array" ref="K511">VLOOKUP($A511,Table_ship_components[],COLUMN(K:K),0)</f>
        <v>0</v>
      </c>
      <c r="L511" cm="1">
        <f t="array" ref="L511">VLOOKUP($A511,Table_ship_components[],COLUMN(L:L),0)</f>
        <v>0</v>
      </c>
      <c r="M511" cm="1">
        <f t="array" ref="M511">VLOOKUP($A511,Table_ship_components[],COLUMN(M:M),0)</f>
        <v>0</v>
      </c>
      <c r="N511" cm="1">
        <f t="array" ref="N511">VLOOKUP($A511,Table_ship_components[],COLUMN(N:N),0)</f>
        <v>0</v>
      </c>
      <c r="O511" cm="1">
        <f t="array" ref="O511">VLOOKUP($A511,Table_ship_components[],COLUMN(O:O),0)</f>
        <v>0</v>
      </c>
      <c r="P511" cm="1">
        <f t="array" ref="P511">VLOOKUP($A511,Table_ship_components[],COLUMN(P:P),0)</f>
        <v>0</v>
      </c>
      <c r="Q511" cm="1">
        <f t="array" ref="Q511">VLOOKUP($A511,Table_ship_components[],COLUMN(Q:Q),0)</f>
        <v>0</v>
      </c>
      <c r="R511" cm="1">
        <f t="array" ref="R511">VLOOKUP($A511,Table_ship_components[],COLUMN(R:R),0)</f>
        <v>0</v>
      </c>
      <c r="S511" cm="1">
        <f t="array" ref="S511">VLOOKUP($A511,Table_ship_components[],COLUMN(S:S),0)</f>
        <v>0</v>
      </c>
      <c r="T511" cm="1">
        <f t="array" ref="T511">VLOOKUP($A511,Table_ship_components[],COLUMN(T:T),0)</f>
        <v>0</v>
      </c>
      <c r="U511" cm="1">
        <f t="array" ref="U511">VLOOKUP($A511,Table_ship_components[],COLUMN(U:U),0)</f>
        <v>0</v>
      </c>
      <c r="V511" cm="1">
        <f t="array" ref="V511">VLOOKUP($A511,Table_ship_components[],COLUMN(V:V),0)</f>
        <v>0</v>
      </c>
      <c r="W511" s="15" cm="1">
        <f t="array" ref="W511">VLOOKUP($A511,Table_ship_components[],COLUMN(W:W),0)</f>
        <v>0</v>
      </c>
      <c r="X511" cm="1">
        <f t="array" ref="X511">VLOOKUP($A511,Table_ship_components[],COLUMN(X:X),0)</f>
        <v>0</v>
      </c>
      <c r="Y511" cm="1">
        <f t="array" ref="Y511">VLOOKUP($A511,Table_ship_components[],COLUMN(Y:Y),0)</f>
        <v>0</v>
      </c>
      <c r="Z511" cm="1">
        <f t="array" ref="Z511">VLOOKUP($A511,Table_ship_components[],COLUMN(Z:Z),0)</f>
        <v>0</v>
      </c>
      <c r="AA511" cm="1">
        <f t="array" ref="AA511">VLOOKUP($A511,Table_ship_components[],COLUMN(AA:AA),0)*C511</f>
        <v>0</v>
      </c>
      <c r="AB511">
        <f t="shared" si="46"/>
        <v>0</v>
      </c>
      <c r="AC511" cm="1">
        <f t="array" ref="AC511">VLOOKUP($A511,Table_ship_components[],COLUMN(AC:AC),0)*C511</f>
        <v>0</v>
      </c>
      <c r="AD511" cm="1">
        <f t="array" ref="AD511">VLOOKUP($A511,Table_ship_components[],COLUMN(AD:AD),0)</f>
        <v>0</v>
      </c>
      <c r="AE511" cm="1">
        <f t="array" ref="AE511">VLOOKUP($A511,Table_ship_components[],COLUMN(AE:AE),0)</f>
        <v>0</v>
      </c>
      <c r="AF511" cm="1">
        <f t="array" ref="AF511">VLOOKUP($A511,Table_ship_components[],COLUMN(AF:AF),0)</f>
        <v>0</v>
      </c>
      <c r="AG511" cm="1">
        <f t="array" ref="AG511">VLOOKUP($A511,Table_ship_components[],COLUMN(AG:AG),0)</f>
        <v>0</v>
      </c>
      <c r="AH511" cm="1">
        <f t="array" ref="AH511">VLOOKUP($A511,Table_ship_components[],COLUMN(AH:AH),0)</f>
        <v>0</v>
      </c>
      <c r="AI511" cm="1">
        <f t="array" ref="AI511">VLOOKUP($A511,Table_ship_components[],COLUMN(AI:AI),0)</f>
        <v>0</v>
      </c>
      <c r="AJ511" cm="1">
        <f t="array" ref="AJ511">VLOOKUP($A511,Table_ship_components[],COLUMN(AJ:AJ),0)</f>
        <v>0</v>
      </c>
      <c r="AK511" cm="1">
        <f t="array" ref="AK511">VLOOKUP($A511,Table_ship_components[],COLUMN(AK:AK),0)</f>
        <v>0</v>
      </c>
      <c r="AL511" cm="1">
        <f t="array" ref="AL511">VLOOKUP($A511,Table_ship_components[],COLUMN(AL:AL),0)</f>
        <v>0</v>
      </c>
      <c r="AM511" cm="1">
        <f t="array" ref="AM511">VLOOKUP($A511,Table_ship_components[],COLUMN(AM:AM),0)</f>
        <v>0</v>
      </c>
      <c r="AN511" cm="1">
        <f t="array" ref="AN511">VLOOKUP($A511,Table_ship_components[],COLUMN(AN:AN),0)</f>
        <v>0</v>
      </c>
      <c r="AO511" cm="1">
        <f t="array" ref="AO511">VLOOKUP($A511,Table_ship_components[],COLUMN(AO:AO),0)</f>
        <v>0</v>
      </c>
      <c r="AP511" cm="1">
        <f t="array" ref="AP511">VLOOKUP($A511,Table_ship_components[],COLUMN(AP:AP),0)</f>
        <v>0</v>
      </c>
      <c r="AQ511" cm="1">
        <f t="array" ref="AQ511">VLOOKUP($A511,Table_ship_components[],COLUMN(AQ:AQ),0)</f>
        <v>0</v>
      </c>
      <c r="AR511" cm="1">
        <f t="array" ref="AR511">VLOOKUP($A511,Table_ship_components[],COLUMN(AR:AR),0)</f>
        <v>0</v>
      </c>
      <c r="AS511" cm="1">
        <f t="array" ref="AS511">VLOOKUP($A511,Table_ship_components[],COLUMN(AS:AS),0)</f>
        <v>0</v>
      </c>
      <c r="AT511" cm="1">
        <f t="array" ref="AT511">VLOOKUP($A511,Table_ship_components[],COLUMN(AT:AT),0)</f>
        <v>0</v>
      </c>
      <c r="AU511" s="2" cm="1">
        <f t="array" ref="AU511">VLOOKUP($A511,Table_ship_components[],COLUMN(AU:AU),0)</f>
        <v>0</v>
      </c>
      <c r="AV511" s="2" cm="1">
        <f t="array" ref="AV511">VLOOKUP($A511,Table_ship_components[],COLUMN(AV:AV),0)</f>
        <v>0</v>
      </c>
      <c r="AW511" s="2" cm="1">
        <f t="array" ref="AW511">VLOOKUP($A511,Table_ship_components[],COLUMN(AW:AW),0)</f>
        <v>0</v>
      </c>
      <c r="AX511" s="2" cm="1">
        <f t="array" ref="AX511">VLOOKUP($A511,Table_ship_components[],COLUMN(AX:AX),0)</f>
        <v>0</v>
      </c>
      <c r="AY511" s="2" cm="1">
        <f t="array" ref="AY511">VLOOKUP($A511,Table_ship_components[],COLUMN(AY:AY),0)</f>
        <v>0</v>
      </c>
      <c r="AZ511" s="2" t="str" cm="1">
        <f t="array" ref="AZ511">VLOOKUP($A511,Table_ship_components[],COLUMN(AZ:AZ),0)</f>
        <v>C</v>
      </c>
      <c r="BA511" s="14" cm="1">
        <f t="array" ref="BA511">VLOOKUP($A511,Table_ship_components[],COLUMN(BA:BA),0)</f>
        <v>0</v>
      </c>
      <c r="BB511" s="14" cm="1">
        <f t="array" ref="BB511">(VLOOKUP($A511,Table_ship_components[],COLUMN(BA:BA),0)+(W511*C511))</f>
        <v>0</v>
      </c>
      <c r="BC511" s="2" cm="1">
        <f t="array" ref="BC511">VLOOKUP($A511,Table_ship_components[],COLUMN(BC:BC),0)</f>
        <v>0</v>
      </c>
      <c r="BD511" s="2" cm="1">
        <f t="array" ref="BD511">VLOOKUP($A511,Table_ship_components[],COLUMN(BD:BD),0)</f>
        <v>0</v>
      </c>
    </row>
    <row r="512" spans="1:56" outlineLevel="1" x14ac:dyDescent="0.35">
      <c r="A512" t="s">
        <v>288</v>
      </c>
      <c r="B512" t="str" cm="1">
        <f t="array" ref="B512">VLOOKUP($A512,Table_ship_components[],COLUMN(B:B),0)</f>
        <v>PICK A COMPONENT</v>
      </c>
      <c r="D512" cm="1">
        <f t="array" ref="D512">VLOOKUP($A512,Table_ship_components[],COLUMN(D:D),0)</f>
        <v>0</v>
      </c>
      <c r="E512" cm="1">
        <f t="array" ref="E512">ROUND(VLOOKUP($A512,Table_ship_components[],COLUMN(D:D),0)+(V512*C512),0)</f>
        <v>0</v>
      </c>
      <c r="F512" cm="1">
        <f t="array" ref="F512">VLOOKUP($A512,Table_ship_components[],COLUMN(F:F),0)</f>
        <v>0</v>
      </c>
      <c r="G512" cm="1">
        <f t="array" ref="G512">ROUND(VLOOKUP($A512,Table_ship_components[],COLUMN(G:G),0)+(X512*C512),0)</f>
        <v>0</v>
      </c>
      <c r="H512" cm="1">
        <f t="array" ref="H512">VLOOKUP($A512,Table_ship_components[],COLUMN(H:H),0)</f>
        <v>0</v>
      </c>
      <c r="I512" cm="1">
        <f t="array" ref="I512">VLOOKUP($A512,Table_ship_components[],COLUMN(I:I),0)</f>
        <v>0</v>
      </c>
      <c r="J512" cm="1">
        <f t="array" ref="J512">VLOOKUP($A512,Table_ship_components[],COLUMN(J:J),0)</f>
        <v>0</v>
      </c>
      <c r="K512" cm="1">
        <f t="array" ref="K512">VLOOKUP($A512,Table_ship_components[],COLUMN(K:K),0)</f>
        <v>0</v>
      </c>
      <c r="L512" cm="1">
        <f t="array" ref="L512">VLOOKUP($A512,Table_ship_components[],COLUMN(L:L),0)</f>
        <v>0</v>
      </c>
      <c r="M512" cm="1">
        <f t="array" ref="M512">VLOOKUP($A512,Table_ship_components[],COLUMN(M:M),0)</f>
        <v>0</v>
      </c>
      <c r="N512" cm="1">
        <f t="array" ref="N512">VLOOKUP($A512,Table_ship_components[],COLUMN(N:N),0)</f>
        <v>0</v>
      </c>
      <c r="O512" cm="1">
        <f t="array" ref="O512">VLOOKUP($A512,Table_ship_components[],COLUMN(O:O),0)</f>
        <v>0</v>
      </c>
      <c r="P512" cm="1">
        <f t="array" ref="P512">VLOOKUP($A512,Table_ship_components[],COLUMN(P:P),0)</f>
        <v>0</v>
      </c>
      <c r="Q512" cm="1">
        <f t="array" ref="Q512">VLOOKUP($A512,Table_ship_components[],COLUMN(Q:Q),0)</f>
        <v>0</v>
      </c>
      <c r="R512" cm="1">
        <f t="array" ref="R512">VLOOKUP($A512,Table_ship_components[],COLUMN(R:R),0)</f>
        <v>0</v>
      </c>
      <c r="S512" cm="1">
        <f t="array" ref="S512">VLOOKUP($A512,Table_ship_components[],COLUMN(S:S),0)</f>
        <v>0</v>
      </c>
      <c r="T512" cm="1">
        <f t="array" ref="T512">VLOOKUP($A512,Table_ship_components[],COLUMN(T:T),0)</f>
        <v>0</v>
      </c>
      <c r="U512" cm="1">
        <f t="array" ref="U512">VLOOKUP($A512,Table_ship_components[],COLUMN(U:U),0)</f>
        <v>0</v>
      </c>
      <c r="V512" cm="1">
        <f t="array" ref="V512">VLOOKUP($A512,Table_ship_components[],COLUMN(V:V),0)</f>
        <v>0</v>
      </c>
      <c r="W512" s="15" cm="1">
        <f t="array" ref="W512">VLOOKUP($A512,Table_ship_components[],COLUMN(W:W),0)</f>
        <v>0</v>
      </c>
      <c r="X512" cm="1">
        <f t="array" ref="X512">VLOOKUP($A512,Table_ship_components[],COLUMN(X:X),0)</f>
        <v>0</v>
      </c>
      <c r="Y512" cm="1">
        <f t="array" ref="Y512">VLOOKUP($A512,Table_ship_components[],COLUMN(Y:Y),0)</f>
        <v>0</v>
      </c>
      <c r="Z512" cm="1">
        <f t="array" ref="Z512">VLOOKUP($A512,Table_ship_components[],COLUMN(Z:Z),0)</f>
        <v>0</v>
      </c>
      <c r="AA512" cm="1">
        <f t="array" ref="AA512">VLOOKUP($A512,Table_ship_components[],COLUMN(AA:AA),0)*C512</f>
        <v>0</v>
      </c>
      <c r="AB512">
        <f>IF(A512="CARGOSPACE_0-ALL_0-UNIVERSAL",C512,0)</f>
        <v>0</v>
      </c>
      <c r="AC512" cm="1">
        <f t="array" ref="AC512">VLOOKUP($A512,Table_ship_components[],COLUMN(AC:AC),0)*C512</f>
        <v>0</v>
      </c>
      <c r="AD512" cm="1">
        <f t="array" ref="AD512">VLOOKUP($A512,Table_ship_components[],COLUMN(AD:AD),0)</f>
        <v>0</v>
      </c>
      <c r="AE512" cm="1">
        <f t="array" ref="AE512">VLOOKUP($A512,Table_ship_components[],COLUMN(AE:AE),0)</f>
        <v>0</v>
      </c>
      <c r="AF512" cm="1">
        <f t="array" ref="AF512">VLOOKUP($A512,Table_ship_components[],COLUMN(AF:AF),0)</f>
        <v>0</v>
      </c>
      <c r="AG512" cm="1">
        <f t="array" ref="AG512">VLOOKUP($A512,Table_ship_components[],COLUMN(AG:AG),0)</f>
        <v>0</v>
      </c>
      <c r="AH512" cm="1">
        <f t="array" ref="AH512">VLOOKUP($A512,Table_ship_components[],COLUMN(AH:AH),0)</f>
        <v>0</v>
      </c>
      <c r="AI512" cm="1">
        <f t="array" ref="AI512">VLOOKUP($A512,Table_ship_components[],COLUMN(AI:AI),0)</f>
        <v>0</v>
      </c>
      <c r="AJ512" cm="1">
        <f t="array" ref="AJ512">VLOOKUP($A512,Table_ship_components[],COLUMN(AJ:AJ),0)</f>
        <v>0</v>
      </c>
      <c r="AK512" cm="1">
        <f t="array" ref="AK512">VLOOKUP($A512,Table_ship_components[],COLUMN(AK:AK),0)</f>
        <v>0</v>
      </c>
      <c r="AL512" cm="1">
        <f t="array" ref="AL512">VLOOKUP($A512,Table_ship_components[],COLUMN(AL:AL),0)</f>
        <v>0</v>
      </c>
      <c r="AM512" cm="1">
        <f t="array" ref="AM512">VLOOKUP($A512,Table_ship_components[],COLUMN(AM:AM),0)</f>
        <v>0</v>
      </c>
      <c r="AN512" cm="1">
        <f t="array" ref="AN512">VLOOKUP($A512,Table_ship_components[],COLUMN(AN:AN),0)</f>
        <v>0</v>
      </c>
      <c r="AO512" cm="1">
        <f t="array" ref="AO512">VLOOKUP($A512,Table_ship_components[],COLUMN(AO:AO),0)</f>
        <v>0</v>
      </c>
      <c r="AP512" cm="1">
        <f t="array" ref="AP512">VLOOKUP($A512,Table_ship_components[],COLUMN(AP:AP),0)</f>
        <v>0</v>
      </c>
      <c r="AQ512" cm="1">
        <f t="array" ref="AQ512">VLOOKUP($A512,Table_ship_components[],COLUMN(AQ:AQ),0)</f>
        <v>0</v>
      </c>
      <c r="AR512" cm="1">
        <f t="array" ref="AR512">VLOOKUP($A512,Table_ship_components[],COLUMN(AR:AR),0)</f>
        <v>0</v>
      </c>
      <c r="AS512" cm="1">
        <f t="array" ref="AS512">VLOOKUP($A512,Table_ship_components[],COLUMN(AS:AS),0)</f>
        <v>0</v>
      </c>
      <c r="AT512" cm="1">
        <f t="array" ref="AT512">VLOOKUP($A512,Table_ship_components[],COLUMN(AT:AT),0)</f>
        <v>0</v>
      </c>
      <c r="AU512" s="2" cm="1">
        <f t="array" ref="AU512">VLOOKUP($A512,Table_ship_components[],COLUMN(AU:AU),0)</f>
        <v>0</v>
      </c>
      <c r="AV512" s="2" cm="1">
        <f t="array" ref="AV512">VLOOKUP($A512,Table_ship_components[],COLUMN(AV:AV),0)</f>
        <v>0</v>
      </c>
      <c r="AW512" s="2" cm="1">
        <f t="array" ref="AW512">VLOOKUP($A512,Table_ship_components[],COLUMN(AW:AW),0)</f>
        <v>0</v>
      </c>
      <c r="AX512" s="2" cm="1">
        <f t="array" ref="AX512">VLOOKUP($A512,Table_ship_components[],COLUMN(AX:AX),0)</f>
        <v>0</v>
      </c>
      <c r="AY512" s="2" cm="1">
        <f t="array" ref="AY512">VLOOKUP($A512,Table_ship_components[],COLUMN(AY:AY),0)</f>
        <v>0</v>
      </c>
      <c r="AZ512" s="2" t="str" cm="1">
        <f t="array" ref="AZ512">VLOOKUP($A512,Table_ship_components[],COLUMN(AZ:AZ),0)</f>
        <v>C</v>
      </c>
      <c r="BA512" s="14" cm="1">
        <f t="array" ref="BA512">VLOOKUP($A512,Table_ship_components[],COLUMN(BA:BA),0)</f>
        <v>0</v>
      </c>
      <c r="BB512" s="14" cm="1">
        <f t="array" ref="BB512">(VLOOKUP($A512,Table_ship_components[],COLUMN(BA:BA),0)+(W512*C512))</f>
        <v>0</v>
      </c>
      <c r="BC512" s="2" cm="1">
        <f t="array" ref="BC512">VLOOKUP($A512,Table_ship_components[],COLUMN(BC:BC),0)</f>
        <v>0</v>
      </c>
      <c r="BD512" s="2" cm="1">
        <f t="array" ref="BD512">VLOOKUP($A512,Table_ship_components[],COLUMN(BD:BD),0)</f>
        <v>0</v>
      </c>
    </row>
    <row r="513" spans="1:56" outlineLevel="1" x14ac:dyDescent="0.35">
      <c r="A513" s="18" t="s">
        <v>425</v>
      </c>
      <c r="B513" s="19" t="str">
        <f>CONCATENATE("SIZE ",(SUM(E514:E521)),"/",AY491,"  POWER ",(SUM(G514:G521)))</f>
        <v>SIZE 9/10  POWER 4</v>
      </c>
      <c r="AU513" s="2"/>
      <c r="AV513" s="2"/>
      <c r="AW513" s="2"/>
      <c r="AX513" s="2"/>
      <c r="AY513" s="2"/>
      <c r="AZ513" s="2"/>
      <c r="BA513" s="14"/>
      <c r="BB513" s="14"/>
      <c r="BC513" s="2"/>
      <c r="BD513" s="2"/>
    </row>
    <row r="514" spans="1:56" outlineLevel="1" x14ac:dyDescent="0.35">
      <c r="A514" t="s">
        <v>400</v>
      </c>
      <c r="B514" t="str" cm="1">
        <f t="array" ref="B514">VLOOKUP($A514,Table_ship_components[],COLUMN(B:B),0)</f>
        <v>good fighter radar and scans</v>
      </c>
      <c r="D514" cm="1">
        <f t="array" ref="D514">VLOOKUP($A514,Table_ship_components[],COLUMN(D:D),0)</f>
        <v>3</v>
      </c>
      <c r="E514" cm="1">
        <f t="array" ref="E514">ROUND(VLOOKUP($A514,Table_ship_components[],COLUMN(D:D),0)+(V514*C514),0)</f>
        <v>3</v>
      </c>
      <c r="F514" cm="1">
        <f t="array" ref="F514">VLOOKUP($A514,Table_ship_components[],COLUMN(F:F),0)</f>
        <v>4</v>
      </c>
      <c r="G514" cm="1">
        <f t="array" ref="G514">ROUND(VLOOKUP($A514,Table_ship_components[],COLUMN(G:G),0)+(X514*C514),0)</f>
        <v>4</v>
      </c>
      <c r="H514" cm="1">
        <f t="array" ref="H514">VLOOKUP($A514,Table_ship_components[],COLUMN(H:H),0)</f>
        <v>0</v>
      </c>
      <c r="I514" cm="1">
        <f t="array" ref="I514">VLOOKUP($A514,Table_ship_components[],COLUMN(I:I),0)</f>
        <v>0</v>
      </c>
      <c r="J514" cm="1">
        <f t="array" ref="J514">VLOOKUP($A514,Table_ship_components[],COLUMN(J:J),0)</f>
        <v>0</v>
      </c>
      <c r="K514" cm="1">
        <f t="array" ref="K514">VLOOKUP($A514,Table_ship_components[],COLUMN(K:K),0)</f>
        <v>0</v>
      </c>
      <c r="L514" cm="1">
        <f t="array" ref="L514">VLOOKUP($A514,Table_ship_components[],COLUMN(L:L),0)</f>
        <v>0</v>
      </c>
      <c r="M514" cm="1">
        <f t="array" ref="M514">VLOOKUP($A514,Table_ship_components[],COLUMN(M:M),0)</f>
        <v>0</v>
      </c>
      <c r="N514" cm="1">
        <f t="array" ref="N514">VLOOKUP($A514,Table_ship_components[],COLUMN(N:N),0)</f>
        <v>1</v>
      </c>
      <c r="O514" cm="1">
        <f t="array" ref="O514">VLOOKUP($A514,Table_ship_components[],COLUMN(O:O),0)</f>
        <v>0</v>
      </c>
      <c r="P514" cm="1">
        <f t="array" ref="P514">VLOOKUP($A514,Table_ship_components[],COLUMN(P:P),0)</f>
        <v>0</v>
      </c>
      <c r="Q514" cm="1">
        <f t="array" ref="Q514">VLOOKUP($A514,Table_ship_components[],COLUMN(Q:Q),0)</f>
        <v>0</v>
      </c>
      <c r="R514" cm="1">
        <f t="array" ref="R514">VLOOKUP($A514,Table_ship_components[],COLUMN(R:R),0)</f>
        <v>0</v>
      </c>
      <c r="S514" cm="1">
        <f t="array" ref="S514">VLOOKUP($A514,Table_ship_components[],COLUMN(S:S),0)</f>
        <v>0</v>
      </c>
      <c r="T514" cm="1">
        <f t="array" ref="T514">VLOOKUP($A514,Table_ship_components[],COLUMN(T:T),0)</f>
        <v>0</v>
      </c>
      <c r="U514" cm="1">
        <f t="array" ref="U514">VLOOKUP($A514,Table_ship_components[],COLUMN(U:U),0)</f>
        <v>0</v>
      </c>
      <c r="V514" cm="1">
        <f t="array" ref="V514">VLOOKUP($A514,Table_ship_components[],COLUMN(V:V),0)</f>
        <v>0</v>
      </c>
      <c r="W514" s="15" cm="1">
        <f t="array" ref="W514">VLOOKUP($A514,Table_ship_components[],COLUMN(W:W),0)</f>
        <v>0</v>
      </c>
      <c r="X514" cm="1">
        <f t="array" ref="X514">VLOOKUP($A514,Table_ship_components[],COLUMN(X:X),0)</f>
        <v>0</v>
      </c>
      <c r="Y514" cm="1">
        <f t="array" ref="Y514">VLOOKUP($A514,Table_ship_components[],COLUMN(Y:Y),0)</f>
        <v>0</v>
      </c>
      <c r="Z514" cm="1">
        <f t="array" ref="Z514">VLOOKUP($A514,Table_ship_components[],COLUMN(Z:Z),0)</f>
        <v>0</v>
      </c>
      <c r="AA514" cm="1">
        <f t="array" ref="AA514">VLOOKUP($A514,Table_ship_components[],COLUMN(AA:AA),0)*C514</f>
        <v>0</v>
      </c>
      <c r="AB514">
        <f t="shared" ref="AB514:AB521" si="47">IF(A514="CARGOSPACE_0-ALL_0-UNIVERSAL",C514,0)</f>
        <v>0</v>
      </c>
      <c r="AC514" cm="1">
        <f t="array" ref="AC514">VLOOKUP($A514,Table_ship_components[],COLUMN(AC:AC),0)*C514</f>
        <v>0</v>
      </c>
      <c r="AD514" cm="1">
        <f t="array" ref="AD514">VLOOKUP($A514,Table_ship_components[],COLUMN(AD:AD),0)</f>
        <v>0</v>
      </c>
      <c r="AE514" cm="1">
        <f t="array" ref="AE514">VLOOKUP($A514,Table_ship_components[],COLUMN(AE:AE),0)</f>
        <v>0</v>
      </c>
      <c r="AF514" cm="1">
        <f t="array" ref="AF514">VLOOKUP($A514,Table_ship_components[],COLUMN(AF:AF),0)</f>
        <v>0</v>
      </c>
      <c r="AG514" cm="1">
        <f t="array" ref="AG514">VLOOKUP($A514,Table_ship_components[],COLUMN(AG:AG),0)</f>
        <v>0</v>
      </c>
      <c r="AH514" cm="1">
        <f t="array" ref="AH514">VLOOKUP($A514,Table_ship_components[],COLUMN(AH:AH),0)</f>
        <v>2000</v>
      </c>
      <c r="AI514" cm="1">
        <f t="array" ref="AI514">VLOOKUP($A514,Table_ship_components[],COLUMN(AI:AI),0)</f>
        <v>10000</v>
      </c>
      <c r="AJ514" cm="1">
        <f t="array" ref="AJ514">VLOOKUP($A514,Table_ship_components[],COLUMN(AJ:AJ),0)</f>
        <v>0</v>
      </c>
      <c r="AK514" cm="1">
        <f t="array" ref="AK514">VLOOKUP($A514,Table_ship_components[],COLUMN(AK:AK),0)</f>
        <v>0</v>
      </c>
      <c r="AL514" cm="1">
        <f t="array" ref="AL514">VLOOKUP($A514,Table_ship_components[],COLUMN(AL:AL),0)</f>
        <v>0</v>
      </c>
      <c r="AM514" cm="1">
        <f t="array" ref="AM514">VLOOKUP($A514,Table_ship_components[],COLUMN(AM:AM),0)</f>
        <v>0</v>
      </c>
      <c r="AN514" cm="1">
        <f t="array" ref="AN514">VLOOKUP($A514,Table_ship_components[],COLUMN(AN:AN),0)</f>
        <v>0</v>
      </c>
      <c r="AO514" cm="1">
        <f t="array" ref="AO514">VLOOKUP($A514,Table_ship_components[],COLUMN(AO:AO),0)</f>
        <v>0</v>
      </c>
      <c r="AP514" cm="1">
        <f t="array" ref="AP514">VLOOKUP($A514,Table_ship_components[],COLUMN(AP:AP),0)</f>
        <v>0</v>
      </c>
      <c r="AQ514" cm="1">
        <f t="array" ref="AQ514">VLOOKUP($A514,Table_ship_components[],COLUMN(AQ:AQ),0)</f>
        <v>0</v>
      </c>
      <c r="AR514" cm="1">
        <f t="array" ref="AR514">VLOOKUP($A514,Table_ship_components[],COLUMN(AR:AR),0)</f>
        <v>0</v>
      </c>
      <c r="AS514" cm="1">
        <f t="array" ref="AS514">VLOOKUP($A514,Table_ship_components[],COLUMN(AS:AS),0)</f>
        <v>1</v>
      </c>
      <c r="AT514" cm="1">
        <f t="array" ref="AT514">VLOOKUP($A514,Table_ship_components[],COLUMN(AT:AT),0)</f>
        <v>0</v>
      </c>
      <c r="AU514" s="2" cm="1">
        <f t="array" ref="AU514">VLOOKUP($A514,Table_ship_components[],COLUMN(AU:AU),0)</f>
        <v>0</v>
      </c>
      <c r="AV514" s="2" cm="1">
        <f t="array" ref="AV514">VLOOKUP($A514,Table_ship_components[],COLUMN(AV:AV),0)</f>
        <v>0</v>
      </c>
      <c r="AW514" s="2" cm="1">
        <f t="array" ref="AW514">VLOOKUP($A514,Table_ship_components[],COLUMN(AW:AW),0)</f>
        <v>0</v>
      </c>
      <c r="AX514" s="2" cm="1">
        <f t="array" ref="AX514">VLOOKUP($A514,Table_ship_components[],COLUMN(AX:AX),0)</f>
        <v>0</v>
      </c>
      <c r="AY514" s="2" cm="1">
        <f t="array" ref="AY514">VLOOKUP($A514,Table_ship_components[],COLUMN(AY:AY),0)</f>
        <v>0</v>
      </c>
      <c r="AZ514" s="2" t="str" cm="1">
        <f t="array" ref="AZ514">VLOOKUP($A514,Table_ship_components[],COLUMN(AZ:AZ),0)</f>
        <v>C</v>
      </c>
      <c r="BA514" s="14" cm="1">
        <f t="array" ref="BA514">VLOOKUP($A514,Table_ship_components[],COLUMN(BA:BA),0)</f>
        <v>350000</v>
      </c>
      <c r="BB514" s="14" cm="1">
        <f t="array" ref="BB514">(VLOOKUP($A514,Table_ship_components[],COLUMN(BA:BA),0)+(W514*C514))</f>
        <v>350000</v>
      </c>
      <c r="BC514" s="2" cm="1">
        <f t="array" ref="BC514">VLOOKUP($A514,Table_ship_components[],COLUMN(BC:BC),0)</f>
        <v>0</v>
      </c>
      <c r="BD514" s="2" cm="1">
        <f t="array" ref="BD514">VLOOKUP($A514,Table_ship_components[],COLUMN(BD:BD),0)</f>
        <v>0</v>
      </c>
    </row>
    <row r="515" spans="1:56" outlineLevel="1" x14ac:dyDescent="0.35">
      <c r="A515" t="s">
        <v>331</v>
      </c>
      <c r="B515" t="str" cm="1">
        <f t="array" ref="B515">VLOOKUP($A515,Table_ship_components[],COLUMN(B:B),0)</f>
        <v>good reinforced fighter hull</v>
      </c>
      <c r="D515" cm="1">
        <f t="array" ref="D515">VLOOKUP($A515,Table_ship_components[],COLUMN(D:D),0)</f>
        <v>5</v>
      </c>
      <c r="E515" cm="1">
        <f t="array" ref="E515">ROUND(VLOOKUP($A515,Table_ship_components[],COLUMN(D:D),0)+(V515*C515),0)</f>
        <v>5</v>
      </c>
      <c r="F515" cm="1">
        <f t="array" ref="F515">VLOOKUP($A515,Table_ship_components[],COLUMN(F:F),0)</f>
        <v>0</v>
      </c>
      <c r="G515" cm="1">
        <f t="array" ref="G515">ROUND(VLOOKUP($A515,Table_ship_components[],COLUMN(G:G),0)+(X515*C515),0)</f>
        <v>0</v>
      </c>
      <c r="H515" cm="1">
        <f t="array" ref="H515">VLOOKUP($A515,Table_ship_components[],COLUMN(H:H),0)</f>
        <v>0</v>
      </c>
      <c r="I515" cm="1">
        <f t="array" ref="I515">VLOOKUP($A515,Table_ship_components[],COLUMN(I:I),0)</f>
        <v>0</v>
      </c>
      <c r="J515" cm="1">
        <f t="array" ref="J515">VLOOKUP($A515,Table_ship_components[],COLUMN(J:J),0)</f>
        <v>0</v>
      </c>
      <c r="K515" cm="1">
        <f t="array" ref="K515">VLOOKUP($A515,Table_ship_components[],COLUMN(K:K),0)</f>
        <v>0</v>
      </c>
      <c r="L515" cm="1">
        <f t="array" ref="L515">VLOOKUP($A515,Table_ship_components[],COLUMN(L:L),0)</f>
        <v>0</v>
      </c>
      <c r="M515" cm="1">
        <f t="array" ref="M515">VLOOKUP($A515,Table_ship_components[],COLUMN(M:M),0)</f>
        <v>0</v>
      </c>
      <c r="N515" cm="1">
        <f t="array" ref="N515">VLOOKUP($A515,Table_ship_components[],COLUMN(N:N),0)</f>
        <v>1</v>
      </c>
      <c r="O515" cm="1">
        <f t="array" ref="O515">VLOOKUP($A515,Table_ship_components[],COLUMN(O:O),0)</f>
        <v>0</v>
      </c>
      <c r="P515" cm="1">
        <f t="array" ref="P515">VLOOKUP($A515,Table_ship_components[],COLUMN(P:P),0)</f>
        <v>0</v>
      </c>
      <c r="Q515" cm="1">
        <f t="array" ref="Q515">VLOOKUP($A515,Table_ship_components[],COLUMN(Q:Q),0)</f>
        <v>0</v>
      </c>
      <c r="R515" cm="1">
        <f t="array" ref="R515">VLOOKUP($A515,Table_ship_components[],COLUMN(R:R),0)</f>
        <v>0</v>
      </c>
      <c r="S515" cm="1">
        <f t="array" ref="S515">VLOOKUP($A515,Table_ship_components[],COLUMN(S:S),0)</f>
        <v>0</v>
      </c>
      <c r="T515" cm="1">
        <f t="array" ref="T515">VLOOKUP($A515,Table_ship_components[],COLUMN(T:T),0)</f>
        <v>0</v>
      </c>
      <c r="U515" cm="1">
        <f t="array" ref="U515">VLOOKUP($A515,Table_ship_components[],COLUMN(U:U),0)</f>
        <v>0</v>
      </c>
      <c r="V515" cm="1">
        <f t="array" ref="V515">VLOOKUP($A515,Table_ship_components[],COLUMN(V:V),0)</f>
        <v>0</v>
      </c>
      <c r="W515" s="15" cm="1">
        <f t="array" ref="W515">VLOOKUP($A515,Table_ship_components[],COLUMN(W:W),0)</f>
        <v>0</v>
      </c>
      <c r="X515" cm="1">
        <f t="array" ref="X515">VLOOKUP($A515,Table_ship_components[],COLUMN(X:X),0)</f>
        <v>0</v>
      </c>
      <c r="Y515" cm="1">
        <f t="array" ref="Y515">VLOOKUP($A515,Table_ship_components[],COLUMN(Y:Y),0)</f>
        <v>0</v>
      </c>
      <c r="Z515" cm="1">
        <f t="array" ref="Z515">VLOOKUP($A515,Table_ship_components[],COLUMN(Z:Z),0)</f>
        <v>0</v>
      </c>
      <c r="AA515" cm="1">
        <f t="array" ref="AA515">VLOOKUP($A515,Table_ship_components[],COLUMN(AA:AA),0)*C515</f>
        <v>0</v>
      </c>
      <c r="AB515">
        <f t="shared" si="47"/>
        <v>0</v>
      </c>
      <c r="AC515" cm="1">
        <f t="array" ref="AC515">VLOOKUP($A515,Table_ship_components[],COLUMN(AC:AC),0)*C515</f>
        <v>0</v>
      </c>
      <c r="AD515" cm="1">
        <f t="array" ref="AD515">VLOOKUP($A515,Table_ship_components[],COLUMN(AD:AD),0)</f>
        <v>0</v>
      </c>
      <c r="AE515" cm="1">
        <f t="array" ref="AE515">VLOOKUP($A515,Table_ship_components[],COLUMN(AE:AE),0)</f>
        <v>0</v>
      </c>
      <c r="AF515" cm="1">
        <f t="array" ref="AF515">VLOOKUP($A515,Table_ship_components[],COLUMN(AF:AF),0)</f>
        <v>0</v>
      </c>
      <c r="AG515" cm="1">
        <f t="array" ref="AG515">VLOOKUP($A515,Table_ship_components[],COLUMN(AG:AG),0)</f>
        <v>0</v>
      </c>
      <c r="AH515" cm="1">
        <f t="array" ref="AH515">VLOOKUP($A515,Table_ship_components[],COLUMN(AH:AH),0)</f>
        <v>0</v>
      </c>
      <c r="AI515" cm="1">
        <f t="array" ref="AI515">VLOOKUP($A515,Table_ship_components[],COLUMN(AI:AI),0)</f>
        <v>0</v>
      </c>
      <c r="AJ515" cm="1">
        <f t="array" ref="AJ515">VLOOKUP($A515,Table_ship_components[],COLUMN(AJ:AJ),0)</f>
        <v>0</v>
      </c>
      <c r="AK515" cm="1">
        <f t="array" ref="AK515">VLOOKUP($A515,Table_ship_components[],COLUMN(AK:AK),0)</f>
        <v>0</v>
      </c>
      <c r="AL515" cm="1">
        <f t="array" ref="AL515">VLOOKUP($A515,Table_ship_components[],COLUMN(AL:AL),0)</f>
        <v>0</v>
      </c>
      <c r="AM515" cm="1">
        <f t="array" ref="AM515">VLOOKUP($A515,Table_ship_components[],COLUMN(AM:AM),0)</f>
        <v>0</v>
      </c>
      <c r="AN515" cm="1">
        <f t="array" ref="AN515">VLOOKUP($A515,Table_ship_components[],COLUMN(AN:AN),0)</f>
        <v>5</v>
      </c>
      <c r="AO515" cm="1">
        <f t="array" ref="AO515">VLOOKUP($A515,Table_ship_components[],COLUMN(AO:AO),0)</f>
        <v>0</v>
      </c>
      <c r="AP515" cm="1">
        <f t="array" ref="AP515">VLOOKUP($A515,Table_ship_components[],COLUMN(AP:AP),0)</f>
        <v>0</v>
      </c>
      <c r="AQ515" cm="1">
        <f t="array" ref="AQ515">VLOOKUP($A515,Table_ship_components[],COLUMN(AQ:AQ),0)</f>
        <v>0</v>
      </c>
      <c r="AR515" cm="1">
        <f t="array" ref="AR515">VLOOKUP($A515,Table_ship_components[],COLUMN(AR:AR),0)</f>
        <v>-1</v>
      </c>
      <c r="AS515" cm="1">
        <f t="array" ref="AS515">VLOOKUP($A515,Table_ship_components[],COLUMN(AS:AS),0)</f>
        <v>0</v>
      </c>
      <c r="AT515" cm="1">
        <f t="array" ref="AT515">VLOOKUP($A515,Table_ship_components[],COLUMN(AT:AT),0)</f>
        <v>0</v>
      </c>
      <c r="AU515" s="2" cm="1">
        <f t="array" ref="AU515">VLOOKUP($A515,Table_ship_components[],COLUMN(AU:AU),0)</f>
        <v>0</v>
      </c>
      <c r="AV515" s="2" cm="1">
        <f t="array" ref="AV515">VLOOKUP($A515,Table_ship_components[],COLUMN(AV:AV),0)</f>
        <v>0</v>
      </c>
      <c r="AW515" s="2" cm="1">
        <f t="array" ref="AW515">VLOOKUP($A515,Table_ship_components[],COLUMN(AW:AW),0)</f>
        <v>0</v>
      </c>
      <c r="AX515" s="2" cm="1">
        <f t="array" ref="AX515">VLOOKUP($A515,Table_ship_components[],COLUMN(AX:AX),0)</f>
        <v>0</v>
      </c>
      <c r="AY515" s="2" cm="1">
        <f t="array" ref="AY515">VLOOKUP($A515,Table_ship_components[],COLUMN(AY:AY),0)</f>
        <v>0</v>
      </c>
      <c r="AZ515" s="2" t="str" cm="1">
        <f t="array" ref="AZ515">VLOOKUP($A515,Table_ship_components[],COLUMN(AZ:AZ),0)</f>
        <v>C</v>
      </c>
      <c r="BA515" s="14" cm="1">
        <f t="array" ref="BA515">VLOOKUP($A515,Table_ship_components[],COLUMN(BA:BA),0)</f>
        <v>250000</v>
      </c>
      <c r="BB515" s="14" cm="1">
        <f t="array" ref="BB515">(VLOOKUP($A515,Table_ship_components[],COLUMN(BA:BA),0)+(W515*C515))</f>
        <v>250000</v>
      </c>
      <c r="BC515" s="2" cm="1">
        <f t="array" ref="BC515">VLOOKUP($A515,Table_ship_components[],COLUMN(BC:BC),0)</f>
        <v>0</v>
      </c>
      <c r="BD515" s="2" cm="1">
        <f t="array" ref="BD515">VLOOKUP($A515,Table_ship_components[],COLUMN(BD:BD),0)</f>
        <v>0</v>
      </c>
    </row>
    <row r="516" spans="1:56" outlineLevel="1" x14ac:dyDescent="0.35">
      <c r="A516" t="s">
        <v>315</v>
      </c>
      <c r="B516" t="str" cm="1">
        <f t="array" ref="B516">VLOOKUP($A516,Table_ship_components[],COLUMN(B:B),0)</f>
        <v>cargo space (1 HUGE item per unit)</v>
      </c>
      <c r="C516" s="2">
        <v>1</v>
      </c>
      <c r="D516" cm="1">
        <f t="array" ref="D516">VLOOKUP($A516,Table_ship_components[],COLUMN(D:D),0)</f>
        <v>0</v>
      </c>
      <c r="E516" cm="1">
        <f t="array" ref="E516">ROUND(VLOOKUP($A516,Table_ship_components[],COLUMN(D:D),0)+(V516*C516),0)</f>
        <v>1</v>
      </c>
      <c r="F516" cm="1">
        <f t="array" ref="F516">VLOOKUP($A516,Table_ship_components[],COLUMN(F:F),0)</f>
        <v>0</v>
      </c>
      <c r="G516" cm="1">
        <f t="array" ref="G516">ROUND(VLOOKUP($A516,Table_ship_components[],COLUMN(G:G),0)+(X516*C516),0)</f>
        <v>0</v>
      </c>
      <c r="H516" cm="1">
        <f t="array" ref="H516">VLOOKUP($A516,Table_ship_components[],COLUMN(H:H),0)</f>
        <v>0</v>
      </c>
      <c r="I516" cm="1">
        <f t="array" ref="I516">VLOOKUP($A516,Table_ship_components[],COLUMN(I:I),0)</f>
        <v>0</v>
      </c>
      <c r="J516" cm="1">
        <f t="array" ref="J516">VLOOKUP($A516,Table_ship_components[],COLUMN(J:J),0)</f>
        <v>0</v>
      </c>
      <c r="K516" cm="1">
        <f t="array" ref="K516">VLOOKUP($A516,Table_ship_components[],COLUMN(K:K),0)</f>
        <v>0</v>
      </c>
      <c r="L516" cm="1">
        <f t="array" ref="L516">VLOOKUP($A516,Table_ship_components[],COLUMN(L:L),0)</f>
        <v>0</v>
      </c>
      <c r="M516" cm="1">
        <f t="array" ref="M516">VLOOKUP($A516,Table_ship_components[],COLUMN(M:M),0)</f>
        <v>0</v>
      </c>
      <c r="N516" cm="1">
        <f t="array" ref="N516">VLOOKUP($A516,Table_ship_components[],COLUMN(N:N),0)</f>
        <v>1</v>
      </c>
      <c r="O516" cm="1">
        <f t="array" ref="O516">VLOOKUP($A516,Table_ship_components[],COLUMN(O:O),0)</f>
        <v>1</v>
      </c>
      <c r="P516" cm="1">
        <f t="array" ref="P516">VLOOKUP($A516,Table_ship_components[],COLUMN(P:P),0)</f>
        <v>1</v>
      </c>
      <c r="Q516" cm="1">
        <f t="array" ref="Q516">VLOOKUP($A516,Table_ship_components[],COLUMN(Q:Q),0)</f>
        <v>1</v>
      </c>
      <c r="R516" cm="1">
        <f t="array" ref="R516">VLOOKUP($A516,Table_ship_components[],COLUMN(R:R),0)</f>
        <v>1</v>
      </c>
      <c r="S516" cm="1">
        <f t="array" ref="S516">VLOOKUP($A516,Table_ship_components[],COLUMN(S:S),0)</f>
        <v>1</v>
      </c>
      <c r="T516" cm="1">
        <f t="array" ref="T516">VLOOKUP($A516,Table_ship_components[],COLUMN(T:T),0)</f>
        <v>1</v>
      </c>
      <c r="U516" cm="1">
        <f t="array" ref="U516">VLOOKUP($A516,Table_ship_components[],COLUMN(U:U),0)</f>
        <v>1</v>
      </c>
      <c r="V516" cm="1">
        <f t="array" ref="V516">VLOOKUP($A516,Table_ship_components[],COLUMN(V:V),0)</f>
        <v>1</v>
      </c>
      <c r="W516" s="15" cm="1">
        <f t="array" ref="W516">VLOOKUP($A516,Table_ship_components[],COLUMN(W:W),0)</f>
        <v>5000</v>
      </c>
      <c r="X516" cm="1">
        <f t="array" ref="X516">VLOOKUP($A516,Table_ship_components[],COLUMN(X:X),0)</f>
        <v>0</v>
      </c>
      <c r="Y516" cm="1">
        <f t="array" ref="Y516">VLOOKUP($A516,Table_ship_components[],COLUMN(Y:Y),0)</f>
        <v>0</v>
      </c>
      <c r="Z516" cm="1">
        <f t="array" ref="Z516">VLOOKUP($A516,Table_ship_components[],COLUMN(Z:Z),0)</f>
        <v>0</v>
      </c>
      <c r="AA516" cm="1">
        <f t="array" ref="AA516">VLOOKUP($A516,Table_ship_components[],COLUMN(AA:AA),0)*C516</f>
        <v>0</v>
      </c>
      <c r="AB516">
        <f t="shared" si="47"/>
        <v>1</v>
      </c>
      <c r="AC516" cm="1">
        <f t="array" ref="AC516">VLOOKUP($A516,Table_ship_components[],COLUMN(AC:AC),0)*C516</f>
        <v>0</v>
      </c>
      <c r="AD516" cm="1">
        <f t="array" ref="AD516">VLOOKUP($A516,Table_ship_components[],COLUMN(AD:AD),0)</f>
        <v>0</v>
      </c>
      <c r="AE516" cm="1">
        <f t="array" ref="AE516">VLOOKUP($A516,Table_ship_components[],COLUMN(AE:AE),0)</f>
        <v>0</v>
      </c>
      <c r="AF516" cm="1">
        <f t="array" ref="AF516">VLOOKUP($A516,Table_ship_components[],COLUMN(AF:AF),0)</f>
        <v>0</v>
      </c>
      <c r="AG516" cm="1">
        <f t="array" ref="AG516">VLOOKUP($A516,Table_ship_components[],COLUMN(AG:AG),0)</f>
        <v>0</v>
      </c>
      <c r="AH516" cm="1">
        <f t="array" ref="AH516">VLOOKUP($A516,Table_ship_components[],COLUMN(AH:AH),0)</f>
        <v>0</v>
      </c>
      <c r="AI516" cm="1">
        <f t="array" ref="AI516">VLOOKUP($A516,Table_ship_components[],COLUMN(AI:AI),0)</f>
        <v>0</v>
      </c>
      <c r="AJ516" cm="1">
        <f t="array" ref="AJ516">VLOOKUP($A516,Table_ship_components[],COLUMN(AJ:AJ),0)</f>
        <v>0</v>
      </c>
      <c r="AK516" cm="1">
        <f t="array" ref="AK516">VLOOKUP($A516,Table_ship_components[],COLUMN(AK:AK),0)</f>
        <v>0</v>
      </c>
      <c r="AL516" cm="1">
        <f t="array" ref="AL516">VLOOKUP($A516,Table_ship_components[],COLUMN(AL:AL),0)</f>
        <v>0</v>
      </c>
      <c r="AM516" cm="1">
        <f t="array" ref="AM516">VLOOKUP($A516,Table_ship_components[],COLUMN(AM:AM),0)</f>
        <v>0</v>
      </c>
      <c r="AN516" cm="1">
        <f t="array" ref="AN516">VLOOKUP($A516,Table_ship_components[],COLUMN(AN:AN),0)</f>
        <v>0</v>
      </c>
      <c r="AO516" cm="1">
        <f t="array" ref="AO516">VLOOKUP($A516,Table_ship_components[],COLUMN(AO:AO),0)</f>
        <v>0</v>
      </c>
      <c r="AP516" cm="1">
        <f t="array" ref="AP516">VLOOKUP($A516,Table_ship_components[],COLUMN(AP:AP),0)</f>
        <v>0</v>
      </c>
      <c r="AQ516" cm="1">
        <f t="array" ref="AQ516">VLOOKUP($A516,Table_ship_components[],COLUMN(AQ:AQ),0)</f>
        <v>0</v>
      </c>
      <c r="AR516" cm="1">
        <f t="array" ref="AR516">VLOOKUP($A516,Table_ship_components[],COLUMN(AR:AR),0)</f>
        <v>0</v>
      </c>
      <c r="AS516" cm="1">
        <f t="array" ref="AS516">VLOOKUP($A516,Table_ship_components[],COLUMN(AS:AS),0)</f>
        <v>0</v>
      </c>
      <c r="AT516" cm="1">
        <f t="array" ref="AT516">VLOOKUP($A516,Table_ship_components[],COLUMN(AT:AT),0)</f>
        <v>0</v>
      </c>
      <c r="AU516" s="2" cm="1">
        <f t="array" ref="AU516">VLOOKUP($A516,Table_ship_components[],COLUMN(AU:AU),0)</f>
        <v>0</v>
      </c>
      <c r="AV516" s="2" cm="1">
        <f t="array" ref="AV516">VLOOKUP($A516,Table_ship_components[],COLUMN(AV:AV),0)</f>
        <v>0</v>
      </c>
      <c r="AW516" s="2" cm="1">
        <f t="array" ref="AW516">VLOOKUP($A516,Table_ship_components[],COLUMN(AW:AW),0)</f>
        <v>0</v>
      </c>
      <c r="AX516" s="2" cm="1">
        <f t="array" ref="AX516">VLOOKUP($A516,Table_ship_components[],COLUMN(AX:AX),0)</f>
        <v>0</v>
      </c>
      <c r="AY516" s="2" cm="1">
        <f t="array" ref="AY516">VLOOKUP($A516,Table_ship_components[],COLUMN(AY:AY),0)</f>
        <v>0</v>
      </c>
      <c r="AZ516" s="2" t="str" cm="1">
        <f t="array" ref="AZ516">VLOOKUP($A516,Table_ship_components[],COLUMN(AZ:AZ),0)</f>
        <v>C</v>
      </c>
      <c r="BA516" s="14" cm="1">
        <f t="array" ref="BA516">VLOOKUP($A516,Table_ship_components[],COLUMN(BA:BA),0)</f>
        <v>5000</v>
      </c>
      <c r="BB516" s="14" cm="1">
        <f t="array" ref="BB516">(VLOOKUP($A516,Table_ship_components[],COLUMN(BA:BA),0)+(W516*C516))</f>
        <v>10000</v>
      </c>
      <c r="BC516" s="2" cm="1">
        <f t="array" ref="BC516">VLOOKUP($A516,Table_ship_components[],COLUMN(BC:BC),0)</f>
        <v>0</v>
      </c>
      <c r="BD516" s="2" cm="1">
        <f t="array" ref="BD516">VLOOKUP($A516,Table_ship_components[],COLUMN(BD:BD),0)</f>
        <v>0</v>
      </c>
    </row>
    <row r="517" spans="1:56" outlineLevel="1" x14ac:dyDescent="0.35">
      <c r="A517" t="s">
        <v>288</v>
      </c>
      <c r="B517" t="str" cm="1">
        <f t="array" ref="B517">VLOOKUP($A517,Table_ship_components[],COLUMN(B:B),0)</f>
        <v>PICK A COMPONENT</v>
      </c>
      <c r="D517" cm="1">
        <f t="array" ref="D517">VLOOKUP($A517,Table_ship_components[],COLUMN(D:D),0)</f>
        <v>0</v>
      </c>
      <c r="E517" cm="1">
        <f t="array" ref="E517">ROUND(VLOOKUP($A517,Table_ship_components[],COLUMN(D:D),0)+(V517*C517),0)</f>
        <v>0</v>
      </c>
      <c r="F517" cm="1">
        <f t="array" ref="F517">VLOOKUP($A517,Table_ship_components[],COLUMN(F:F),0)</f>
        <v>0</v>
      </c>
      <c r="G517" cm="1">
        <f t="array" ref="G517">ROUND(VLOOKUP($A517,Table_ship_components[],COLUMN(G:G),0)+(X517*C517),0)</f>
        <v>0</v>
      </c>
      <c r="H517" cm="1">
        <f t="array" ref="H517">VLOOKUP($A517,Table_ship_components[],COLUMN(H:H),0)</f>
        <v>0</v>
      </c>
      <c r="I517" cm="1">
        <f t="array" ref="I517">VLOOKUP($A517,Table_ship_components[],COLUMN(I:I),0)</f>
        <v>0</v>
      </c>
      <c r="J517" cm="1">
        <f t="array" ref="J517">VLOOKUP($A517,Table_ship_components[],COLUMN(J:J),0)</f>
        <v>0</v>
      </c>
      <c r="K517" cm="1">
        <f t="array" ref="K517">VLOOKUP($A517,Table_ship_components[],COLUMN(K:K),0)</f>
        <v>0</v>
      </c>
      <c r="L517" cm="1">
        <f t="array" ref="L517">VLOOKUP($A517,Table_ship_components[],COLUMN(L:L),0)</f>
        <v>0</v>
      </c>
      <c r="M517" cm="1">
        <f t="array" ref="M517">VLOOKUP($A517,Table_ship_components[],COLUMN(M:M),0)</f>
        <v>0</v>
      </c>
      <c r="N517" cm="1">
        <f t="array" ref="N517">VLOOKUP($A517,Table_ship_components[],COLUMN(N:N),0)</f>
        <v>0</v>
      </c>
      <c r="O517" cm="1">
        <f t="array" ref="O517">VLOOKUP($A517,Table_ship_components[],COLUMN(O:O),0)</f>
        <v>0</v>
      </c>
      <c r="P517" cm="1">
        <f t="array" ref="P517">VLOOKUP($A517,Table_ship_components[],COLUMN(P:P),0)</f>
        <v>0</v>
      </c>
      <c r="Q517" cm="1">
        <f t="array" ref="Q517">VLOOKUP($A517,Table_ship_components[],COLUMN(Q:Q),0)</f>
        <v>0</v>
      </c>
      <c r="R517" cm="1">
        <f t="array" ref="R517">VLOOKUP($A517,Table_ship_components[],COLUMN(R:R),0)</f>
        <v>0</v>
      </c>
      <c r="S517" cm="1">
        <f t="array" ref="S517">VLOOKUP($A517,Table_ship_components[],COLUMN(S:S),0)</f>
        <v>0</v>
      </c>
      <c r="T517" cm="1">
        <f t="array" ref="T517">VLOOKUP($A517,Table_ship_components[],COLUMN(T:T),0)</f>
        <v>0</v>
      </c>
      <c r="U517" cm="1">
        <f t="array" ref="U517">VLOOKUP($A517,Table_ship_components[],COLUMN(U:U),0)</f>
        <v>0</v>
      </c>
      <c r="V517" cm="1">
        <f t="array" ref="V517">VLOOKUP($A517,Table_ship_components[],COLUMN(V:V),0)</f>
        <v>0</v>
      </c>
      <c r="W517" s="15" cm="1">
        <f t="array" ref="W517">VLOOKUP($A517,Table_ship_components[],COLUMN(W:W),0)</f>
        <v>0</v>
      </c>
      <c r="X517" cm="1">
        <f t="array" ref="X517">VLOOKUP($A517,Table_ship_components[],COLUMN(X:X),0)</f>
        <v>0</v>
      </c>
      <c r="Y517" cm="1">
        <f t="array" ref="Y517">VLOOKUP($A517,Table_ship_components[],COLUMN(Y:Y),0)</f>
        <v>0</v>
      </c>
      <c r="Z517" cm="1">
        <f t="array" ref="Z517">VLOOKUP($A517,Table_ship_components[],COLUMN(Z:Z),0)</f>
        <v>0</v>
      </c>
      <c r="AA517" cm="1">
        <f t="array" ref="AA517">VLOOKUP($A517,Table_ship_components[],COLUMN(AA:AA),0)*C517</f>
        <v>0</v>
      </c>
      <c r="AB517">
        <f t="shared" si="47"/>
        <v>0</v>
      </c>
      <c r="AC517" cm="1">
        <f t="array" ref="AC517">VLOOKUP($A517,Table_ship_components[],COLUMN(AC:AC),0)*C517</f>
        <v>0</v>
      </c>
      <c r="AD517" cm="1">
        <f t="array" ref="AD517">VLOOKUP($A517,Table_ship_components[],COLUMN(AD:AD),0)</f>
        <v>0</v>
      </c>
      <c r="AE517" cm="1">
        <f t="array" ref="AE517">VLOOKUP($A517,Table_ship_components[],COLUMN(AE:AE),0)</f>
        <v>0</v>
      </c>
      <c r="AF517" cm="1">
        <f t="array" ref="AF517">VLOOKUP($A517,Table_ship_components[],COLUMN(AF:AF),0)</f>
        <v>0</v>
      </c>
      <c r="AG517" cm="1">
        <f t="array" ref="AG517">VLOOKUP($A517,Table_ship_components[],COLUMN(AG:AG),0)</f>
        <v>0</v>
      </c>
      <c r="AH517" cm="1">
        <f t="array" ref="AH517">VLOOKUP($A517,Table_ship_components[],COLUMN(AH:AH),0)</f>
        <v>0</v>
      </c>
      <c r="AI517" cm="1">
        <f t="array" ref="AI517">VLOOKUP($A517,Table_ship_components[],COLUMN(AI:AI),0)</f>
        <v>0</v>
      </c>
      <c r="AJ517" cm="1">
        <f t="array" ref="AJ517">VLOOKUP($A517,Table_ship_components[],COLUMN(AJ:AJ),0)</f>
        <v>0</v>
      </c>
      <c r="AK517" cm="1">
        <f t="array" ref="AK517">VLOOKUP($A517,Table_ship_components[],COLUMN(AK:AK),0)</f>
        <v>0</v>
      </c>
      <c r="AL517" cm="1">
        <f t="array" ref="AL517">VLOOKUP($A517,Table_ship_components[],COLUMN(AL:AL),0)</f>
        <v>0</v>
      </c>
      <c r="AM517" cm="1">
        <f t="array" ref="AM517">VLOOKUP($A517,Table_ship_components[],COLUMN(AM:AM),0)</f>
        <v>0</v>
      </c>
      <c r="AN517" cm="1">
        <f t="array" ref="AN517">VLOOKUP($A517,Table_ship_components[],COLUMN(AN:AN),0)</f>
        <v>0</v>
      </c>
      <c r="AO517" cm="1">
        <f t="array" ref="AO517">VLOOKUP($A517,Table_ship_components[],COLUMN(AO:AO),0)</f>
        <v>0</v>
      </c>
      <c r="AP517" cm="1">
        <f t="array" ref="AP517">VLOOKUP($A517,Table_ship_components[],COLUMN(AP:AP),0)</f>
        <v>0</v>
      </c>
      <c r="AQ517" cm="1">
        <f t="array" ref="AQ517">VLOOKUP($A517,Table_ship_components[],COLUMN(AQ:AQ),0)</f>
        <v>0</v>
      </c>
      <c r="AR517" cm="1">
        <f t="array" ref="AR517">VLOOKUP($A517,Table_ship_components[],COLUMN(AR:AR),0)</f>
        <v>0</v>
      </c>
      <c r="AS517" cm="1">
        <f t="array" ref="AS517">VLOOKUP($A517,Table_ship_components[],COLUMN(AS:AS),0)</f>
        <v>0</v>
      </c>
      <c r="AT517" cm="1">
        <f t="array" ref="AT517">VLOOKUP($A517,Table_ship_components[],COLUMN(AT:AT),0)</f>
        <v>0</v>
      </c>
      <c r="AU517" s="2" cm="1">
        <f t="array" ref="AU517">VLOOKUP($A517,Table_ship_components[],COLUMN(AU:AU),0)</f>
        <v>0</v>
      </c>
      <c r="AV517" s="2" cm="1">
        <f t="array" ref="AV517">VLOOKUP($A517,Table_ship_components[],COLUMN(AV:AV),0)</f>
        <v>0</v>
      </c>
      <c r="AW517" s="2" cm="1">
        <f t="array" ref="AW517">VLOOKUP($A517,Table_ship_components[],COLUMN(AW:AW),0)</f>
        <v>0</v>
      </c>
      <c r="AX517" s="2" cm="1">
        <f t="array" ref="AX517">VLOOKUP($A517,Table_ship_components[],COLUMN(AX:AX),0)</f>
        <v>0</v>
      </c>
      <c r="AY517" s="2" cm="1">
        <f t="array" ref="AY517">VLOOKUP($A517,Table_ship_components[],COLUMN(AY:AY),0)</f>
        <v>0</v>
      </c>
      <c r="AZ517" s="2" t="str" cm="1">
        <f t="array" ref="AZ517">VLOOKUP($A517,Table_ship_components[],COLUMN(AZ:AZ),0)</f>
        <v>C</v>
      </c>
      <c r="BA517" s="14" cm="1">
        <f t="array" ref="BA517">VLOOKUP($A517,Table_ship_components[],COLUMN(BA:BA),0)</f>
        <v>0</v>
      </c>
      <c r="BB517" s="14" cm="1">
        <f t="array" ref="BB517">(VLOOKUP($A517,Table_ship_components[],COLUMN(BA:BA),0)+(W517*C517))</f>
        <v>0</v>
      </c>
      <c r="BC517" s="2" cm="1">
        <f t="array" ref="BC517">VLOOKUP($A517,Table_ship_components[],COLUMN(BC:BC),0)</f>
        <v>0</v>
      </c>
      <c r="BD517" s="2" cm="1">
        <f t="array" ref="BD517">VLOOKUP($A517,Table_ship_components[],COLUMN(BD:BD),0)</f>
        <v>0</v>
      </c>
    </row>
    <row r="518" spans="1:56" outlineLevel="1" x14ac:dyDescent="0.35">
      <c r="A518" t="s">
        <v>288</v>
      </c>
      <c r="B518" t="str" cm="1">
        <f t="array" ref="B518">VLOOKUP($A518,Table_ship_components[],COLUMN(B:B),0)</f>
        <v>PICK A COMPONENT</v>
      </c>
      <c r="D518" cm="1">
        <f t="array" ref="D518">VLOOKUP($A518,Table_ship_components[],COLUMN(D:D),0)</f>
        <v>0</v>
      </c>
      <c r="E518" cm="1">
        <f t="array" ref="E518">ROUND(VLOOKUP($A518,Table_ship_components[],COLUMN(D:D),0)+(V518*C518),0)</f>
        <v>0</v>
      </c>
      <c r="F518" cm="1">
        <f t="array" ref="F518">VLOOKUP($A518,Table_ship_components[],COLUMN(F:F),0)</f>
        <v>0</v>
      </c>
      <c r="G518" cm="1">
        <f t="array" ref="G518">ROUND(VLOOKUP($A518,Table_ship_components[],COLUMN(G:G),0)+(X518*C518),0)</f>
        <v>0</v>
      </c>
      <c r="H518" cm="1">
        <f t="array" ref="H518">VLOOKUP($A518,Table_ship_components[],COLUMN(H:H),0)</f>
        <v>0</v>
      </c>
      <c r="I518" cm="1">
        <f t="array" ref="I518">VLOOKUP($A518,Table_ship_components[],COLUMN(I:I),0)</f>
        <v>0</v>
      </c>
      <c r="J518" cm="1">
        <f t="array" ref="J518">VLOOKUP($A518,Table_ship_components[],COLUMN(J:J),0)</f>
        <v>0</v>
      </c>
      <c r="K518" cm="1">
        <f t="array" ref="K518">VLOOKUP($A518,Table_ship_components[],COLUMN(K:K),0)</f>
        <v>0</v>
      </c>
      <c r="L518" cm="1">
        <f t="array" ref="L518">VLOOKUP($A518,Table_ship_components[],COLUMN(L:L),0)</f>
        <v>0</v>
      </c>
      <c r="M518" cm="1">
        <f t="array" ref="M518">VLOOKUP($A518,Table_ship_components[],COLUMN(M:M),0)</f>
        <v>0</v>
      </c>
      <c r="N518" cm="1">
        <f t="array" ref="N518">VLOOKUP($A518,Table_ship_components[],COLUMN(N:N),0)</f>
        <v>0</v>
      </c>
      <c r="O518" cm="1">
        <f t="array" ref="O518">VLOOKUP($A518,Table_ship_components[],COLUMN(O:O),0)</f>
        <v>0</v>
      </c>
      <c r="P518" cm="1">
        <f t="array" ref="P518">VLOOKUP($A518,Table_ship_components[],COLUMN(P:P),0)</f>
        <v>0</v>
      </c>
      <c r="Q518" cm="1">
        <f t="array" ref="Q518">VLOOKUP($A518,Table_ship_components[],COLUMN(Q:Q),0)</f>
        <v>0</v>
      </c>
      <c r="R518" cm="1">
        <f t="array" ref="R518">VLOOKUP($A518,Table_ship_components[],COLUMN(R:R),0)</f>
        <v>0</v>
      </c>
      <c r="S518" cm="1">
        <f t="array" ref="S518">VLOOKUP($A518,Table_ship_components[],COLUMN(S:S),0)</f>
        <v>0</v>
      </c>
      <c r="T518" cm="1">
        <f t="array" ref="T518">VLOOKUP($A518,Table_ship_components[],COLUMN(T:T),0)</f>
        <v>0</v>
      </c>
      <c r="U518" cm="1">
        <f t="array" ref="U518">VLOOKUP($A518,Table_ship_components[],COLUMN(U:U),0)</f>
        <v>0</v>
      </c>
      <c r="V518" cm="1">
        <f t="array" ref="V518">VLOOKUP($A518,Table_ship_components[],COLUMN(V:V),0)</f>
        <v>0</v>
      </c>
      <c r="W518" s="15" cm="1">
        <f t="array" ref="W518">VLOOKUP($A518,Table_ship_components[],COLUMN(W:W),0)</f>
        <v>0</v>
      </c>
      <c r="X518" cm="1">
        <f t="array" ref="X518">VLOOKUP($A518,Table_ship_components[],COLUMN(X:X),0)</f>
        <v>0</v>
      </c>
      <c r="Y518" cm="1">
        <f t="array" ref="Y518">VLOOKUP($A518,Table_ship_components[],COLUMN(Y:Y),0)</f>
        <v>0</v>
      </c>
      <c r="Z518" cm="1">
        <f t="array" ref="Z518">VLOOKUP($A518,Table_ship_components[],COLUMN(Z:Z),0)</f>
        <v>0</v>
      </c>
      <c r="AA518" cm="1">
        <f t="array" ref="AA518">VLOOKUP($A518,Table_ship_components[],COLUMN(AA:AA),0)*C518</f>
        <v>0</v>
      </c>
      <c r="AB518">
        <f t="shared" si="47"/>
        <v>0</v>
      </c>
      <c r="AC518" cm="1">
        <f t="array" ref="AC518">VLOOKUP($A518,Table_ship_components[],COLUMN(AC:AC),0)*C518</f>
        <v>0</v>
      </c>
      <c r="AD518" cm="1">
        <f t="array" ref="AD518">VLOOKUP($A518,Table_ship_components[],COLUMN(AD:AD),0)</f>
        <v>0</v>
      </c>
      <c r="AE518" cm="1">
        <f t="array" ref="AE518">VLOOKUP($A518,Table_ship_components[],COLUMN(AE:AE),0)</f>
        <v>0</v>
      </c>
      <c r="AF518" cm="1">
        <f t="array" ref="AF518">VLOOKUP($A518,Table_ship_components[],COLUMN(AF:AF),0)</f>
        <v>0</v>
      </c>
      <c r="AG518" cm="1">
        <f t="array" ref="AG518">VLOOKUP($A518,Table_ship_components[],COLUMN(AG:AG),0)</f>
        <v>0</v>
      </c>
      <c r="AH518" cm="1">
        <f t="array" ref="AH518">VLOOKUP($A518,Table_ship_components[],COLUMN(AH:AH),0)</f>
        <v>0</v>
      </c>
      <c r="AI518" cm="1">
        <f t="array" ref="AI518">VLOOKUP($A518,Table_ship_components[],COLUMN(AI:AI),0)</f>
        <v>0</v>
      </c>
      <c r="AJ518" cm="1">
        <f t="array" ref="AJ518">VLOOKUP($A518,Table_ship_components[],COLUMN(AJ:AJ),0)</f>
        <v>0</v>
      </c>
      <c r="AK518" cm="1">
        <f t="array" ref="AK518">VLOOKUP($A518,Table_ship_components[],COLUMN(AK:AK),0)</f>
        <v>0</v>
      </c>
      <c r="AL518" cm="1">
        <f t="array" ref="AL518">VLOOKUP($A518,Table_ship_components[],COLUMN(AL:AL),0)</f>
        <v>0</v>
      </c>
      <c r="AM518" cm="1">
        <f t="array" ref="AM518">VLOOKUP($A518,Table_ship_components[],COLUMN(AM:AM),0)</f>
        <v>0</v>
      </c>
      <c r="AN518" cm="1">
        <f t="array" ref="AN518">VLOOKUP($A518,Table_ship_components[],COLUMN(AN:AN),0)</f>
        <v>0</v>
      </c>
      <c r="AO518" cm="1">
        <f t="array" ref="AO518">VLOOKUP($A518,Table_ship_components[],COLUMN(AO:AO),0)</f>
        <v>0</v>
      </c>
      <c r="AP518" cm="1">
        <f t="array" ref="AP518">VLOOKUP($A518,Table_ship_components[],COLUMN(AP:AP),0)</f>
        <v>0</v>
      </c>
      <c r="AQ518" cm="1">
        <f t="array" ref="AQ518">VLOOKUP($A518,Table_ship_components[],COLUMN(AQ:AQ),0)</f>
        <v>0</v>
      </c>
      <c r="AR518" cm="1">
        <f t="array" ref="AR518">VLOOKUP($A518,Table_ship_components[],COLUMN(AR:AR),0)</f>
        <v>0</v>
      </c>
      <c r="AS518" cm="1">
        <f t="array" ref="AS518">VLOOKUP($A518,Table_ship_components[],COLUMN(AS:AS),0)</f>
        <v>0</v>
      </c>
      <c r="AT518" cm="1">
        <f t="array" ref="AT518">VLOOKUP($A518,Table_ship_components[],COLUMN(AT:AT),0)</f>
        <v>0</v>
      </c>
      <c r="AU518" s="2" cm="1">
        <f t="array" ref="AU518">VLOOKUP($A518,Table_ship_components[],COLUMN(AU:AU),0)</f>
        <v>0</v>
      </c>
      <c r="AV518" s="2" cm="1">
        <f t="array" ref="AV518">VLOOKUP($A518,Table_ship_components[],COLUMN(AV:AV),0)</f>
        <v>0</v>
      </c>
      <c r="AW518" s="2" cm="1">
        <f t="array" ref="AW518">VLOOKUP($A518,Table_ship_components[],COLUMN(AW:AW),0)</f>
        <v>0</v>
      </c>
      <c r="AX518" s="2" cm="1">
        <f t="array" ref="AX518">VLOOKUP($A518,Table_ship_components[],COLUMN(AX:AX),0)</f>
        <v>0</v>
      </c>
      <c r="AY518" s="2" cm="1">
        <f t="array" ref="AY518">VLOOKUP($A518,Table_ship_components[],COLUMN(AY:AY),0)</f>
        <v>0</v>
      </c>
      <c r="AZ518" s="2" t="str" cm="1">
        <f t="array" ref="AZ518">VLOOKUP($A518,Table_ship_components[],COLUMN(AZ:AZ),0)</f>
        <v>C</v>
      </c>
      <c r="BA518" s="14" cm="1">
        <f t="array" ref="BA518">VLOOKUP($A518,Table_ship_components[],COLUMN(BA:BA),0)</f>
        <v>0</v>
      </c>
      <c r="BB518" s="14" cm="1">
        <f t="array" ref="BB518">(VLOOKUP($A518,Table_ship_components[],COLUMN(BA:BA),0)+(W518*C518))</f>
        <v>0</v>
      </c>
      <c r="BC518" s="2" cm="1">
        <f t="array" ref="BC518">VLOOKUP($A518,Table_ship_components[],COLUMN(BC:BC),0)</f>
        <v>0</v>
      </c>
      <c r="BD518" s="2" cm="1">
        <f t="array" ref="BD518">VLOOKUP($A518,Table_ship_components[],COLUMN(BD:BD),0)</f>
        <v>0</v>
      </c>
    </row>
    <row r="519" spans="1:56" outlineLevel="1" x14ac:dyDescent="0.35">
      <c r="A519" t="s">
        <v>288</v>
      </c>
      <c r="B519" t="str" cm="1">
        <f t="array" ref="B519">VLOOKUP($A519,Table_ship_components[],COLUMN(B:B),0)</f>
        <v>PICK A COMPONENT</v>
      </c>
      <c r="D519" cm="1">
        <f t="array" ref="D519">VLOOKUP($A519,Table_ship_components[],COLUMN(D:D),0)</f>
        <v>0</v>
      </c>
      <c r="E519" cm="1">
        <f t="array" ref="E519">ROUND(VLOOKUP($A519,Table_ship_components[],COLUMN(D:D),0)+(V519*C519),0)</f>
        <v>0</v>
      </c>
      <c r="F519" cm="1">
        <f t="array" ref="F519">VLOOKUP($A519,Table_ship_components[],COLUMN(F:F),0)</f>
        <v>0</v>
      </c>
      <c r="G519" cm="1">
        <f t="array" ref="G519">ROUND(VLOOKUP($A519,Table_ship_components[],COLUMN(G:G),0)+(X519*C519),0)</f>
        <v>0</v>
      </c>
      <c r="H519" cm="1">
        <f t="array" ref="H519">VLOOKUP($A519,Table_ship_components[],COLUMN(H:H),0)</f>
        <v>0</v>
      </c>
      <c r="I519" cm="1">
        <f t="array" ref="I519">VLOOKUP($A519,Table_ship_components[],COLUMN(I:I),0)</f>
        <v>0</v>
      </c>
      <c r="J519" cm="1">
        <f t="array" ref="J519">VLOOKUP($A519,Table_ship_components[],COLUMN(J:J),0)</f>
        <v>0</v>
      </c>
      <c r="K519" cm="1">
        <f t="array" ref="K519">VLOOKUP($A519,Table_ship_components[],COLUMN(K:K),0)</f>
        <v>0</v>
      </c>
      <c r="L519" cm="1">
        <f t="array" ref="L519">VLOOKUP($A519,Table_ship_components[],COLUMN(L:L),0)</f>
        <v>0</v>
      </c>
      <c r="M519" cm="1">
        <f t="array" ref="M519">VLOOKUP($A519,Table_ship_components[],COLUMN(M:M),0)</f>
        <v>0</v>
      </c>
      <c r="N519" cm="1">
        <f t="array" ref="N519">VLOOKUP($A519,Table_ship_components[],COLUMN(N:N),0)</f>
        <v>0</v>
      </c>
      <c r="O519" cm="1">
        <f t="array" ref="O519">VLOOKUP($A519,Table_ship_components[],COLUMN(O:O),0)</f>
        <v>0</v>
      </c>
      <c r="P519" cm="1">
        <f t="array" ref="P519">VLOOKUP($A519,Table_ship_components[],COLUMN(P:P),0)</f>
        <v>0</v>
      </c>
      <c r="Q519" cm="1">
        <f t="array" ref="Q519">VLOOKUP($A519,Table_ship_components[],COLUMN(Q:Q),0)</f>
        <v>0</v>
      </c>
      <c r="R519" cm="1">
        <f t="array" ref="R519">VLOOKUP($A519,Table_ship_components[],COLUMN(R:R),0)</f>
        <v>0</v>
      </c>
      <c r="S519" cm="1">
        <f t="array" ref="S519">VLOOKUP($A519,Table_ship_components[],COLUMN(S:S),0)</f>
        <v>0</v>
      </c>
      <c r="T519" cm="1">
        <f t="array" ref="T519">VLOOKUP($A519,Table_ship_components[],COLUMN(T:T),0)</f>
        <v>0</v>
      </c>
      <c r="U519" cm="1">
        <f t="array" ref="U519">VLOOKUP($A519,Table_ship_components[],COLUMN(U:U),0)</f>
        <v>0</v>
      </c>
      <c r="V519" cm="1">
        <f t="array" ref="V519">VLOOKUP($A519,Table_ship_components[],COLUMN(V:V),0)</f>
        <v>0</v>
      </c>
      <c r="W519" s="15" cm="1">
        <f t="array" ref="W519">VLOOKUP($A519,Table_ship_components[],COLUMN(W:W),0)</f>
        <v>0</v>
      </c>
      <c r="X519" cm="1">
        <f t="array" ref="X519">VLOOKUP($A519,Table_ship_components[],COLUMN(X:X),0)</f>
        <v>0</v>
      </c>
      <c r="Y519" cm="1">
        <f t="array" ref="Y519">VLOOKUP($A519,Table_ship_components[],COLUMN(Y:Y),0)</f>
        <v>0</v>
      </c>
      <c r="Z519" cm="1">
        <f t="array" ref="Z519">VLOOKUP($A519,Table_ship_components[],COLUMN(Z:Z),0)</f>
        <v>0</v>
      </c>
      <c r="AA519" cm="1">
        <f t="array" ref="AA519">VLOOKUP($A519,Table_ship_components[],COLUMN(AA:AA),0)*C519</f>
        <v>0</v>
      </c>
      <c r="AB519">
        <f t="shared" si="47"/>
        <v>0</v>
      </c>
      <c r="AC519" cm="1">
        <f t="array" ref="AC519">VLOOKUP($A519,Table_ship_components[],COLUMN(AC:AC),0)*C519</f>
        <v>0</v>
      </c>
      <c r="AD519" cm="1">
        <f t="array" ref="AD519">VLOOKUP($A519,Table_ship_components[],COLUMN(AD:AD),0)</f>
        <v>0</v>
      </c>
      <c r="AE519" cm="1">
        <f t="array" ref="AE519">VLOOKUP($A519,Table_ship_components[],COLUMN(AE:AE),0)</f>
        <v>0</v>
      </c>
      <c r="AF519" cm="1">
        <f t="array" ref="AF519">VLOOKUP($A519,Table_ship_components[],COLUMN(AF:AF),0)</f>
        <v>0</v>
      </c>
      <c r="AG519" cm="1">
        <f t="array" ref="AG519">VLOOKUP($A519,Table_ship_components[],COLUMN(AG:AG),0)</f>
        <v>0</v>
      </c>
      <c r="AH519" cm="1">
        <f t="array" ref="AH519">VLOOKUP($A519,Table_ship_components[],COLUMN(AH:AH),0)</f>
        <v>0</v>
      </c>
      <c r="AI519" cm="1">
        <f t="array" ref="AI519">VLOOKUP($A519,Table_ship_components[],COLUMN(AI:AI),0)</f>
        <v>0</v>
      </c>
      <c r="AJ519" cm="1">
        <f t="array" ref="AJ519">VLOOKUP($A519,Table_ship_components[],COLUMN(AJ:AJ),0)</f>
        <v>0</v>
      </c>
      <c r="AK519" cm="1">
        <f t="array" ref="AK519">VLOOKUP($A519,Table_ship_components[],COLUMN(AK:AK),0)</f>
        <v>0</v>
      </c>
      <c r="AL519" cm="1">
        <f t="array" ref="AL519">VLOOKUP($A519,Table_ship_components[],COLUMN(AL:AL),0)</f>
        <v>0</v>
      </c>
      <c r="AM519" cm="1">
        <f t="array" ref="AM519">VLOOKUP($A519,Table_ship_components[],COLUMN(AM:AM),0)</f>
        <v>0</v>
      </c>
      <c r="AN519" cm="1">
        <f t="array" ref="AN519">VLOOKUP($A519,Table_ship_components[],COLUMN(AN:AN),0)</f>
        <v>0</v>
      </c>
      <c r="AO519" cm="1">
        <f t="array" ref="AO519">VLOOKUP($A519,Table_ship_components[],COLUMN(AO:AO),0)</f>
        <v>0</v>
      </c>
      <c r="AP519" cm="1">
        <f t="array" ref="AP519">VLOOKUP($A519,Table_ship_components[],COLUMN(AP:AP),0)</f>
        <v>0</v>
      </c>
      <c r="AQ519" cm="1">
        <f t="array" ref="AQ519">VLOOKUP($A519,Table_ship_components[],COLUMN(AQ:AQ),0)</f>
        <v>0</v>
      </c>
      <c r="AR519" cm="1">
        <f t="array" ref="AR519">VLOOKUP($A519,Table_ship_components[],COLUMN(AR:AR),0)</f>
        <v>0</v>
      </c>
      <c r="AS519" cm="1">
        <f t="array" ref="AS519">VLOOKUP($A519,Table_ship_components[],COLUMN(AS:AS),0)</f>
        <v>0</v>
      </c>
      <c r="AT519" cm="1">
        <f t="array" ref="AT519">VLOOKUP($A519,Table_ship_components[],COLUMN(AT:AT),0)</f>
        <v>0</v>
      </c>
      <c r="AU519" s="2" cm="1">
        <f t="array" ref="AU519">VLOOKUP($A519,Table_ship_components[],COLUMN(AU:AU),0)</f>
        <v>0</v>
      </c>
      <c r="AV519" s="2" cm="1">
        <f t="array" ref="AV519">VLOOKUP($A519,Table_ship_components[],COLUMN(AV:AV),0)</f>
        <v>0</v>
      </c>
      <c r="AW519" s="2" cm="1">
        <f t="array" ref="AW519">VLOOKUP($A519,Table_ship_components[],COLUMN(AW:AW),0)</f>
        <v>0</v>
      </c>
      <c r="AX519" s="2" cm="1">
        <f t="array" ref="AX519">VLOOKUP($A519,Table_ship_components[],COLUMN(AX:AX),0)</f>
        <v>0</v>
      </c>
      <c r="AY519" s="2" cm="1">
        <f t="array" ref="AY519">VLOOKUP($A519,Table_ship_components[],COLUMN(AY:AY),0)</f>
        <v>0</v>
      </c>
      <c r="AZ519" s="2" t="str" cm="1">
        <f t="array" ref="AZ519">VLOOKUP($A519,Table_ship_components[],COLUMN(AZ:AZ),0)</f>
        <v>C</v>
      </c>
      <c r="BA519" s="14" cm="1">
        <f t="array" ref="BA519">VLOOKUP($A519,Table_ship_components[],COLUMN(BA:BA),0)</f>
        <v>0</v>
      </c>
      <c r="BB519" s="14" cm="1">
        <f t="array" ref="BB519">(VLOOKUP($A519,Table_ship_components[],COLUMN(BA:BA),0)+(W519*C519))</f>
        <v>0</v>
      </c>
      <c r="BC519" s="2" cm="1">
        <f t="array" ref="BC519">VLOOKUP($A519,Table_ship_components[],COLUMN(BC:BC),0)</f>
        <v>0</v>
      </c>
      <c r="BD519" s="2" cm="1">
        <f t="array" ref="BD519">VLOOKUP($A519,Table_ship_components[],COLUMN(BD:BD),0)</f>
        <v>0</v>
      </c>
    </row>
    <row r="520" spans="1:56" outlineLevel="1" x14ac:dyDescent="0.35">
      <c r="A520" t="s">
        <v>288</v>
      </c>
      <c r="B520" t="str" cm="1">
        <f t="array" ref="B520">VLOOKUP($A520,Table_ship_components[],COLUMN(B:B),0)</f>
        <v>PICK A COMPONENT</v>
      </c>
      <c r="D520" cm="1">
        <f t="array" ref="D520">VLOOKUP($A520,Table_ship_components[],COLUMN(D:D),0)</f>
        <v>0</v>
      </c>
      <c r="E520" cm="1">
        <f t="array" ref="E520">ROUND(VLOOKUP($A520,Table_ship_components[],COLUMN(D:D),0)+(V520*C520),0)</f>
        <v>0</v>
      </c>
      <c r="F520" cm="1">
        <f t="array" ref="F520">VLOOKUP($A520,Table_ship_components[],COLUMN(F:F),0)</f>
        <v>0</v>
      </c>
      <c r="G520" cm="1">
        <f t="array" ref="G520">ROUND(VLOOKUP($A520,Table_ship_components[],COLUMN(G:G),0)+(X520*C520),0)</f>
        <v>0</v>
      </c>
      <c r="H520" cm="1">
        <f t="array" ref="H520">VLOOKUP($A520,Table_ship_components[],COLUMN(H:H),0)</f>
        <v>0</v>
      </c>
      <c r="I520" cm="1">
        <f t="array" ref="I520">VLOOKUP($A520,Table_ship_components[],COLUMN(I:I),0)</f>
        <v>0</v>
      </c>
      <c r="J520" cm="1">
        <f t="array" ref="J520">VLOOKUP($A520,Table_ship_components[],COLUMN(J:J),0)</f>
        <v>0</v>
      </c>
      <c r="K520" cm="1">
        <f t="array" ref="K520">VLOOKUP($A520,Table_ship_components[],COLUMN(K:K),0)</f>
        <v>0</v>
      </c>
      <c r="L520" cm="1">
        <f t="array" ref="L520">VLOOKUP($A520,Table_ship_components[],COLUMN(L:L),0)</f>
        <v>0</v>
      </c>
      <c r="M520" cm="1">
        <f t="array" ref="M520">VLOOKUP($A520,Table_ship_components[],COLUMN(M:M),0)</f>
        <v>0</v>
      </c>
      <c r="N520" cm="1">
        <f t="array" ref="N520">VLOOKUP($A520,Table_ship_components[],COLUMN(N:N),0)</f>
        <v>0</v>
      </c>
      <c r="O520" cm="1">
        <f t="array" ref="O520">VLOOKUP($A520,Table_ship_components[],COLUMN(O:O),0)</f>
        <v>0</v>
      </c>
      <c r="P520" cm="1">
        <f t="array" ref="P520">VLOOKUP($A520,Table_ship_components[],COLUMN(P:P),0)</f>
        <v>0</v>
      </c>
      <c r="Q520" cm="1">
        <f t="array" ref="Q520">VLOOKUP($A520,Table_ship_components[],COLUMN(Q:Q),0)</f>
        <v>0</v>
      </c>
      <c r="R520" cm="1">
        <f t="array" ref="R520">VLOOKUP($A520,Table_ship_components[],COLUMN(R:R),0)</f>
        <v>0</v>
      </c>
      <c r="S520" cm="1">
        <f t="array" ref="S520">VLOOKUP($A520,Table_ship_components[],COLUMN(S:S),0)</f>
        <v>0</v>
      </c>
      <c r="T520" cm="1">
        <f t="array" ref="T520">VLOOKUP($A520,Table_ship_components[],COLUMN(T:T),0)</f>
        <v>0</v>
      </c>
      <c r="U520" cm="1">
        <f t="array" ref="U520">VLOOKUP($A520,Table_ship_components[],COLUMN(U:U),0)</f>
        <v>0</v>
      </c>
      <c r="V520" cm="1">
        <f t="array" ref="V520">VLOOKUP($A520,Table_ship_components[],COLUMN(V:V),0)</f>
        <v>0</v>
      </c>
      <c r="W520" s="15" cm="1">
        <f t="array" ref="W520">VLOOKUP($A520,Table_ship_components[],COLUMN(W:W),0)</f>
        <v>0</v>
      </c>
      <c r="X520" cm="1">
        <f t="array" ref="X520">VLOOKUP($A520,Table_ship_components[],COLUMN(X:X),0)</f>
        <v>0</v>
      </c>
      <c r="Y520" cm="1">
        <f t="array" ref="Y520">VLOOKUP($A520,Table_ship_components[],COLUMN(Y:Y),0)</f>
        <v>0</v>
      </c>
      <c r="Z520" cm="1">
        <f t="array" ref="Z520">VLOOKUP($A520,Table_ship_components[],COLUMN(Z:Z),0)</f>
        <v>0</v>
      </c>
      <c r="AA520" cm="1">
        <f t="array" ref="AA520">VLOOKUP($A520,Table_ship_components[],COLUMN(AA:AA),0)*C520</f>
        <v>0</v>
      </c>
      <c r="AB520">
        <f t="shared" si="47"/>
        <v>0</v>
      </c>
      <c r="AC520" cm="1">
        <f t="array" ref="AC520">VLOOKUP($A520,Table_ship_components[],COLUMN(AC:AC),0)*C520</f>
        <v>0</v>
      </c>
      <c r="AD520" cm="1">
        <f t="array" ref="AD520">VLOOKUP($A520,Table_ship_components[],COLUMN(AD:AD),0)</f>
        <v>0</v>
      </c>
      <c r="AE520" cm="1">
        <f t="array" ref="AE520">VLOOKUP($A520,Table_ship_components[],COLUMN(AE:AE),0)</f>
        <v>0</v>
      </c>
      <c r="AF520" cm="1">
        <f t="array" ref="AF520">VLOOKUP($A520,Table_ship_components[],COLUMN(AF:AF),0)</f>
        <v>0</v>
      </c>
      <c r="AG520" cm="1">
        <f t="array" ref="AG520">VLOOKUP($A520,Table_ship_components[],COLUMN(AG:AG),0)</f>
        <v>0</v>
      </c>
      <c r="AH520" cm="1">
        <f t="array" ref="AH520">VLOOKUP($A520,Table_ship_components[],COLUMN(AH:AH),0)</f>
        <v>0</v>
      </c>
      <c r="AI520" cm="1">
        <f t="array" ref="AI520">VLOOKUP($A520,Table_ship_components[],COLUMN(AI:AI),0)</f>
        <v>0</v>
      </c>
      <c r="AJ520" cm="1">
        <f t="array" ref="AJ520">VLOOKUP($A520,Table_ship_components[],COLUMN(AJ:AJ),0)</f>
        <v>0</v>
      </c>
      <c r="AK520" cm="1">
        <f t="array" ref="AK520">VLOOKUP($A520,Table_ship_components[],COLUMN(AK:AK),0)</f>
        <v>0</v>
      </c>
      <c r="AL520" cm="1">
        <f t="array" ref="AL520">VLOOKUP($A520,Table_ship_components[],COLUMN(AL:AL),0)</f>
        <v>0</v>
      </c>
      <c r="AM520" cm="1">
        <f t="array" ref="AM520">VLOOKUP($A520,Table_ship_components[],COLUMN(AM:AM),0)</f>
        <v>0</v>
      </c>
      <c r="AN520" cm="1">
        <f t="array" ref="AN520">VLOOKUP($A520,Table_ship_components[],COLUMN(AN:AN),0)</f>
        <v>0</v>
      </c>
      <c r="AO520" cm="1">
        <f t="array" ref="AO520">VLOOKUP($A520,Table_ship_components[],COLUMN(AO:AO),0)</f>
        <v>0</v>
      </c>
      <c r="AP520" cm="1">
        <f t="array" ref="AP520">VLOOKUP($A520,Table_ship_components[],COLUMN(AP:AP),0)</f>
        <v>0</v>
      </c>
      <c r="AQ520" cm="1">
        <f t="array" ref="AQ520">VLOOKUP($A520,Table_ship_components[],COLUMN(AQ:AQ),0)</f>
        <v>0</v>
      </c>
      <c r="AR520" cm="1">
        <f t="array" ref="AR520">VLOOKUP($A520,Table_ship_components[],COLUMN(AR:AR),0)</f>
        <v>0</v>
      </c>
      <c r="AS520" cm="1">
        <f t="array" ref="AS520">VLOOKUP($A520,Table_ship_components[],COLUMN(AS:AS),0)</f>
        <v>0</v>
      </c>
      <c r="AT520" cm="1">
        <f t="array" ref="AT520">VLOOKUP($A520,Table_ship_components[],COLUMN(AT:AT),0)</f>
        <v>0</v>
      </c>
      <c r="AU520" s="2" cm="1">
        <f t="array" ref="AU520">VLOOKUP($A520,Table_ship_components[],COLUMN(AU:AU),0)</f>
        <v>0</v>
      </c>
      <c r="AV520" s="2" cm="1">
        <f t="array" ref="AV520">VLOOKUP($A520,Table_ship_components[],COLUMN(AV:AV),0)</f>
        <v>0</v>
      </c>
      <c r="AW520" s="2" cm="1">
        <f t="array" ref="AW520">VLOOKUP($A520,Table_ship_components[],COLUMN(AW:AW),0)</f>
        <v>0</v>
      </c>
      <c r="AX520" s="2" cm="1">
        <f t="array" ref="AX520">VLOOKUP($A520,Table_ship_components[],COLUMN(AX:AX),0)</f>
        <v>0</v>
      </c>
      <c r="AY520" s="2" cm="1">
        <f t="array" ref="AY520">VLOOKUP($A520,Table_ship_components[],COLUMN(AY:AY),0)</f>
        <v>0</v>
      </c>
      <c r="AZ520" s="2" t="str" cm="1">
        <f t="array" ref="AZ520">VLOOKUP($A520,Table_ship_components[],COLUMN(AZ:AZ),0)</f>
        <v>C</v>
      </c>
      <c r="BA520" s="14" cm="1">
        <f t="array" ref="BA520">VLOOKUP($A520,Table_ship_components[],COLUMN(BA:BA),0)</f>
        <v>0</v>
      </c>
      <c r="BB520" s="14" cm="1">
        <f t="array" ref="BB520">(VLOOKUP($A520,Table_ship_components[],COLUMN(BA:BA),0)+(W520*C520))</f>
        <v>0</v>
      </c>
      <c r="BC520" s="2" cm="1">
        <f t="array" ref="BC520">VLOOKUP($A520,Table_ship_components[],COLUMN(BC:BC),0)</f>
        <v>0</v>
      </c>
      <c r="BD520" s="2" cm="1">
        <f t="array" ref="BD520">VLOOKUP($A520,Table_ship_components[],COLUMN(BD:BD),0)</f>
        <v>0</v>
      </c>
    </row>
    <row r="521" spans="1:56" outlineLevel="1" x14ac:dyDescent="0.35">
      <c r="A521" t="s">
        <v>288</v>
      </c>
      <c r="B521" t="str" cm="1">
        <f t="array" ref="B521">VLOOKUP($A521,Table_ship_components[],COLUMN(B:B),0)</f>
        <v>PICK A COMPONENT</v>
      </c>
      <c r="D521" cm="1">
        <f t="array" ref="D521">VLOOKUP($A521,Table_ship_components[],COLUMN(D:D),0)</f>
        <v>0</v>
      </c>
      <c r="E521" cm="1">
        <f t="array" ref="E521">ROUND(VLOOKUP($A521,Table_ship_components[],COLUMN(D:D),0)+(V521*C521),0)</f>
        <v>0</v>
      </c>
      <c r="F521" cm="1">
        <f t="array" ref="F521">VLOOKUP($A521,Table_ship_components[],COLUMN(F:F),0)</f>
        <v>0</v>
      </c>
      <c r="G521" cm="1">
        <f t="array" ref="G521">ROUND(VLOOKUP($A521,Table_ship_components[],COLUMN(G:G),0)+(X521*C521),0)</f>
        <v>0</v>
      </c>
      <c r="H521" cm="1">
        <f t="array" ref="H521">VLOOKUP($A521,Table_ship_components[],COLUMN(H:H),0)</f>
        <v>0</v>
      </c>
      <c r="I521" cm="1">
        <f t="array" ref="I521">VLOOKUP($A521,Table_ship_components[],COLUMN(I:I),0)</f>
        <v>0</v>
      </c>
      <c r="J521" cm="1">
        <f t="array" ref="J521">VLOOKUP($A521,Table_ship_components[],COLUMN(J:J),0)</f>
        <v>0</v>
      </c>
      <c r="K521" cm="1">
        <f t="array" ref="K521">VLOOKUP($A521,Table_ship_components[],COLUMN(K:K),0)</f>
        <v>0</v>
      </c>
      <c r="L521" cm="1">
        <f t="array" ref="L521">VLOOKUP($A521,Table_ship_components[],COLUMN(L:L),0)</f>
        <v>0</v>
      </c>
      <c r="M521" cm="1">
        <f t="array" ref="M521">VLOOKUP($A521,Table_ship_components[],COLUMN(M:M),0)</f>
        <v>0</v>
      </c>
      <c r="N521" cm="1">
        <f t="array" ref="N521">VLOOKUP($A521,Table_ship_components[],COLUMN(N:N),0)</f>
        <v>0</v>
      </c>
      <c r="O521" cm="1">
        <f t="array" ref="O521">VLOOKUP($A521,Table_ship_components[],COLUMN(O:O),0)</f>
        <v>0</v>
      </c>
      <c r="P521" cm="1">
        <f t="array" ref="P521">VLOOKUP($A521,Table_ship_components[],COLUMN(P:P),0)</f>
        <v>0</v>
      </c>
      <c r="Q521" cm="1">
        <f t="array" ref="Q521">VLOOKUP($A521,Table_ship_components[],COLUMN(Q:Q),0)</f>
        <v>0</v>
      </c>
      <c r="R521" cm="1">
        <f t="array" ref="R521">VLOOKUP($A521,Table_ship_components[],COLUMN(R:R),0)</f>
        <v>0</v>
      </c>
      <c r="S521" cm="1">
        <f t="array" ref="S521">VLOOKUP($A521,Table_ship_components[],COLUMN(S:S),0)</f>
        <v>0</v>
      </c>
      <c r="T521" cm="1">
        <f t="array" ref="T521">VLOOKUP($A521,Table_ship_components[],COLUMN(T:T),0)</f>
        <v>0</v>
      </c>
      <c r="U521" cm="1">
        <f t="array" ref="U521">VLOOKUP($A521,Table_ship_components[],COLUMN(U:U),0)</f>
        <v>0</v>
      </c>
      <c r="V521" cm="1">
        <f t="array" ref="V521">VLOOKUP($A521,Table_ship_components[],COLUMN(V:V),0)</f>
        <v>0</v>
      </c>
      <c r="W521" s="15" cm="1">
        <f t="array" ref="W521">VLOOKUP($A521,Table_ship_components[],COLUMN(W:W),0)</f>
        <v>0</v>
      </c>
      <c r="X521" cm="1">
        <f t="array" ref="X521">VLOOKUP($A521,Table_ship_components[],COLUMN(X:X),0)</f>
        <v>0</v>
      </c>
      <c r="Y521" cm="1">
        <f t="array" ref="Y521">VLOOKUP($A521,Table_ship_components[],COLUMN(Y:Y),0)</f>
        <v>0</v>
      </c>
      <c r="Z521" cm="1">
        <f t="array" ref="Z521">VLOOKUP($A521,Table_ship_components[],COLUMN(Z:Z),0)</f>
        <v>0</v>
      </c>
      <c r="AA521" cm="1">
        <f t="array" ref="AA521">VLOOKUP($A521,Table_ship_components[],COLUMN(AA:AA),0)*C521</f>
        <v>0</v>
      </c>
      <c r="AB521">
        <f t="shared" si="47"/>
        <v>0</v>
      </c>
      <c r="AC521" cm="1">
        <f t="array" ref="AC521">VLOOKUP($A521,Table_ship_components[],COLUMN(AC:AC),0)*C521</f>
        <v>0</v>
      </c>
      <c r="AD521" cm="1">
        <f t="array" ref="AD521">VLOOKUP($A521,Table_ship_components[],COLUMN(AD:AD),0)</f>
        <v>0</v>
      </c>
      <c r="AE521" cm="1">
        <f t="array" ref="AE521">VLOOKUP($A521,Table_ship_components[],COLUMN(AE:AE),0)</f>
        <v>0</v>
      </c>
      <c r="AF521" cm="1">
        <f t="array" ref="AF521">VLOOKUP($A521,Table_ship_components[],COLUMN(AF:AF),0)</f>
        <v>0</v>
      </c>
      <c r="AG521" cm="1">
        <f t="array" ref="AG521">VLOOKUP($A521,Table_ship_components[],COLUMN(AG:AG),0)</f>
        <v>0</v>
      </c>
      <c r="AH521" cm="1">
        <f t="array" ref="AH521">VLOOKUP($A521,Table_ship_components[],COLUMN(AH:AH),0)</f>
        <v>0</v>
      </c>
      <c r="AI521" cm="1">
        <f t="array" ref="AI521">VLOOKUP($A521,Table_ship_components[],COLUMN(AI:AI),0)</f>
        <v>0</v>
      </c>
      <c r="AJ521" cm="1">
        <f t="array" ref="AJ521">VLOOKUP($A521,Table_ship_components[],COLUMN(AJ:AJ),0)</f>
        <v>0</v>
      </c>
      <c r="AK521" cm="1">
        <f t="array" ref="AK521">VLOOKUP($A521,Table_ship_components[],COLUMN(AK:AK),0)</f>
        <v>0</v>
      </c>
      <c r="AL521" cm="1">
        <f t="array" ref="AL521">VLOOKUP($A521,Table_ship_components[],COLUMN(AL:AL),0)</f>
        <v>0</v>
      </c>
      <c r="AM521" cm="1">
        <f t="array" ref="AM521">VLOOKUP($A521,Table_ship_components[],COLUMN(AM:AM),0)</f>
        <v>0</v>
      </c>
      <c r="AN521" cm="1">
        <f t="array" ref="AN521">VLOOKUP($A521,Table_ship_components[],COLUMN(AN:AN),0)</f>
        <v>0</v>
      </c>
      <c r="AO521" cm="1">
        <f t="array" ref="AO521">VLOOKUP($A521,Table_ship_components[],COLUMN(AO:AO),0)</f>
        <v>0</v>
      </c>
      <c r="AP521" cm="1">
        <f t="array" ref="AP521">VLOOKUP($A521,Table_ship_components[],COLUMN(AP:AP),0)</f>
        <v>0</v>
      </c>
      <c r="AQ521" cm="1">
        <f t="array" ref="AQ521">VLOOKUP($A521,Table_ship_components[],COLUMN(AQ:AQ),0)</f>
        <v>0</v>
      </c>
      <c r="AR521" cm="1">
        <f t="array" ref="AR521">VLOOKUP($A521,Table_ship_components[],COLUMN(AR:AR),0)</f>
        <v>0</v>
      </c>
      <c r="AS521" cm="1">
        <f t="array" ref="AS521">VLOOKUP($A521,Table_ship_components[],COLUMN(AS:AS),0)</f>
        <v>0</v>
      </c>
      <c r="AT521" cm="1">
        <f t="array" ref="AT521">VLOOKUP($A521,Table_ship_components[],COLUMN(AT:AT),0)</f>
        <v>0</v>
      </c>
      <c r="AU521" s="2" cm="1">
        <f t="array" ref="AU521">VLOOKUP($A521,Table_ship_components[],COLUMN(AU:AU),0)</f>
        <v>0</v>
      </c>
      <c r="AV521" s="2" cm="1">
        <f t="array" ref="AV521">VLOOKUP($A521,Table_ship_components[],COLUMN(AV:AV),0)</f>
        <v>0</v>
      </c>
      <c r="AW521" s="2" cm="1">
        <f t="array" ref="AW521">VLOOKUP($A521,Table_ship_components[],COLUMN(AW:AW),0)</f>
        <v>0</v>
      </c>
      <c r="AX521" s="2" cm="1">
        <f t="array" ref="AX521">VLOOKUP($A521,Table_ship_components[],COLUMN(AX:AX),0)</f>
        <v>0</v>
      </c>
      <c r="AY521" s="2" cm="1">
        <f t="array" ref="AY521">VLOOKUP($A521,Table_ship_components[],COLUMN(AY:AY),0)</f>
        <v>0</v>
      </c>
      <c r="AZ521" s="2" t="str" cm="1">
        <f t="array" ref="AZ521">VLOOKUP($A521,Table_ship_components[],COLUMN(AZ:AZ),0)</f>
        <v>C</v>
      </c>
      <c r="BA521" s="14" cm="1">
        <f t="array" ref="BA521">VLOOKUP($A521,Table_ship_components[],COLUMN(BA:BA),0)</f>
        <v>0</v>
      </c>
      <c r="BB521" s="14" cm="1">
        <f t="array" ref="BB521">(VLOOKUP($A521,Table_ship_components[],COLUMN(BA:BA),0)+(W521*C521))</f>
        <v>0</v>
      </c>
      <c r="BC521" s="2" cm="1">
        <f t="array" ref="BC521">VLOOKUP($A521,Table_ship_components[],COLUMN(BC:BC),0)</f>
        <v>0</v>
      </c>
      <c r="BD521" s="2" cm="1">
        <f t="array" ref="BD521">VLOOKUP($A521,Table_ship_components[],COLUMN(BD:BD),0)</f>
        <v>0</v>
      </c>
    </row>
    <row r="522" spans="1:56" ht="15" outlineLevel="1" thickBot="1" x14ac:dyDescent="0.4">
      <c r="D522" s="32"/>
      <c r="E522" s="32">
        <f>SUM(E491:E521)</f>
        <v>49</v>
      </c>
      <c r="F522" s="32"/>
      <c r="G522" s="32">
        <f t="shared" ref="G522:L522" si="48">SUM(G491:G521)</f>
        <v>20</v>
      </c>
      <c r="H522" s="32">
        <f t="shared" si="48"/>
        <v>0</v>
      </c>
      <c r="I522" s="32">
        <f t="shared" si="48"/>
        <v>30</v>
      </c>
      <c r="J522" s="32">
        <f t="shared" si="48"/>
        <v>0</v>
      </c>
      <c r="K522" s="32">
        <f t="shared" si="48"/>
        <v>25</v>
      </c>
      <c r="L522" s="32">
        <f t="shared" si="48"/>
        <v>5</v>
      </c>
      <c r="M522" s="32"/>
      <c r="N522" s="32"/>
      <c r="O522" s="32"/>
      <c r="P522" s="32"/>
      <c r="Q522" s="32"/>
      <c r="R522" s="32"/>
      <c r="S522" s="32"/>
      <c r="T522" s="32"/>
      <c r="U522" s="32"/>
      <c r="V522" s="32"/>
      <c r="W522" s="32"/>
      <c r="X522" s="32"/>
      <c r="Y522" s="32">
        <f t="shared" ref="Y522:AY522" si="49">SUM(Y491:Y521)</f>
        <v>1</v>
      </c>
      <c r="Z522" s="32">
        <f t="shared" si="49"/>
        <v>1</v>
      </c>
      <c r="AA522" s="32">
        <f t="shared" si="49"/>
        <v>0</v>
      </c>
      <c r="AB522" s="32">
        <f t="shared" si="49"/>
        <v>1</v>
      </c>
      <c r="AC522" s="32">
        <f t="shared" si="49"/>
        <v>1</v>
      </c>
      <c r="AD522" s="32">
        <f t="shared" si="49"/>
        <v>10</v>
      </c>
      <c r="AE522" s="32">
        <f t="shared" si="49"/>
        <v>0</v>
      </c>
      <c r="AF522" s="32">
        <f t="shared" si="49"/>
        <v>0</v>
      </c>
      <c r="AG522" s="32">
        <f t="shared" si="49"/>
        <v>0</v>
      </c>
      <c r="AH522" s="32">
        <f t="shared" si="49"/>
        <v>2000</v>
      </c>
      <c r="AI522" s="32">
        <f t="shared" si="49"/>
        <v>10000</v>
      </c>
      <c r="AJ522" s="32">
        <f t="shared" si="49"/>
        <v>0</v>
      </c>
      <c r="AK522" s="32">
        <f t="shared" si="49"/>
        <v>0</v>
      </c>
      <c r="AL522" s="32">
        <f t="shared" si="49"/>
        <v>2</v>
      </c>
      <c r="AM522" s="32">
        <f t="shared" si="49"/>
        <v>2</v>
      </c>
      <c r="AN522" s="32">
        <f t="shared" si="49"/>
        <v>10</v>
      </c>
      <c r="AO522" s="32">
        <f t="shared" si="49"/>
        <v>2</v>
      </c>
      <c r="AP522" s="32">
        <f t="shared" si="49"/>
        <v>5</v>
      </c>
      <c r="AQ522" s="32">
        <f t="shared" si="49"/>
        <v>0</v>
      </c>
      <c r="AR522" s="32">
        <f t="shared" si="49"/>
        <v>3</v>
      </c>
      <c r="AS522" s="32">
        <f t="shared" si="49"/>
        <v>3</v>
      </c>
      <c r="AT522" s="32">
        <f t="shared" si="49"/>
        <v>2</v>
      </c>
      <c r="AU522" s="32">
        <f t="shared" si="49"/>
        <v>5</v>
      </c>
      <c r="AV522" s="32">
        <f t="shared" si="49"/>
        <v>50</v>
      </c>
      <c r="AW522" s="32">
        <f t="shared" si="49"/>
        <v>20</v>
      </c>
      <c r="AX522" s="32">
        <f t="shared" si="49"/>
        <v>20</v>
      </c>
      <c r="AY522" s="32">
        <f t="shared" si="49"/>
        <v>10</v>
      </c>
      <c r="AZ522" s="32"/>
      <c r="BA522" s="33">
        <f>SUM(BA491:BA521)</f>
        <v>3460000</v>
      </c>
      <c r="BB522" s="33">
        <f>SUM(BB491:BB521)</f>
        <v>3468000</v>
      </c>
      <c r="BC522" s="32"/>
      <c r="BD522" s="32"/>
    </row>
    <row r="523" spans="1:56" ht="19" outlineLevel="1" thickTop="1" x14ac:dyDescent="0.45">
      <c r="A523" s="35" t="s">
        <v>691</v>
      </c>
      <c r="B523" s="34">
        <f>BB522</f>
        <v>3468000</v>
      </c>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c r="AY523" s="36"/>
      <c r="AZ523" s="36"/>
      <c r="BA523" s="37"/>
      <c r="BB523" s="37"/>
      <c r="BC523" s="36"/>
      <c r="BD523" s="36"/>
    </row>
    <row r="524" spans="1:56" ht="21" x14ac:dyDescent="0.5">
      <c r="A524" s="38" t="s">
        <v>165</v>
      </c>
      <c r="B524" s="38" t="s">
        <v>226</v>
      </c>
    </row>
    <row r="525" spans="1:56" outlineLevel="1" x14ac:dyDescent="0.35">
      <c r="A525" t="s">
        <v>726</v>
      </c>
      <c r="B525" t="str" cm="1">
        <f t="array" ref="B525">VLOOKUP($A525,Table_ship_components[],COLUMN(B:B),0)</f>
        <v>bomber fighter template</v>
      </c>
      <c r="D525" cm="1">
        <f t="array" ref="D525">VLOOKUP($A525,Table_ship_components[],COLUMN(D:D),0)</f>
        <v>0</v>
      </c>
      <c r="E525" cm="1">
        <f t="array" ref="E525">(VLOOKUP($A525,Table_ship_components[],COLUMN(D:D),0)+(V525*C525))</f>
        <v>0</v>
      </c>
      <c r="F525" cm="1">
        <f t="array" ref="F525">VLOOKUP($A525,Table_ship_components[],COLUMN(F:F),0)</f>
        <v>0</v>
      </c>
      <c r="G525" cm="1">
        <f t="array" ref="G525">(VLOOKUP($A525,Table_ship_components[],COLUMN(G:G),0)+(X525*C525))</f>
        <v>0</v>
      </c>
      <c r="H525" cm="1">
        <f t="array" ref="H525">VLOOKUP($A525,Table_ship_components[],COLUMN(H:H),0)</f>
        <v>0</v>
      </c>
      <c r="I525" cm="1">
        <f t="array" ref="I525">VLOOKUP($A525,Table_ship_components[],COLUMN(I:I),0)</f>
        <v>0</v>
      </c>
      <c r="J525" cm="1">
        <f t="array" ref="J525">VLOOKUP($A525,Table_ship_components[],COLUMN(J:J),0)</f>
        <v>0</v>
      </c>
      <c r="K525" cm="1">
        <f t="array" ref="K525">VLOOKUP($A525,Table_ship_components[],COLUMN(K:K),0)</f>
        <v>0</v>
      </c>
      <c r="L525" cm="1">
        <f t="array" ref="L525">VLOOKUP($A525,Table_ship_components[],COLUMN(L:L),0)</f>
        <v>0</v>
      </c>
      <c r="M525" cm="1">
        <f t="array" ref="M525">VLOOKUP($A525,Table_ship_components[],COLUMN(M:M),0)</f>
        <v>0</v>
      </c>
      <c r="N525" cm="1">
        <f t="array" ref="N525">VLOOKUP($A525,Table_ship_components[],COLUMN(N:N),0)</f>
        <v>0</v>
      </c>
      <c r="O525" cm="1">
        <f t="array" ref="O525">VLOOKUP($A525,Table_ship_components[],COLUMN(O:O),0)</f>
        <v>0</v>
      </c>
      <c r="P525" cm="1">
        <f t="array" ref="P525">VLOOKUP($A525,Table_ship_components[],COLUMN(P:P),0)</f>
        <v>0</v>
      </c>
      <c r="Q525" cm="1">
        <f t="array" ref="Q525">VLOOKUP($A525,Table_ship_components[],COLUMN(Q:Q),0)</f>
        <v>0</v>
      </c>
      <c r="R525" cm="1">
        <f t="array" ref="R525">VLOOKUP($A525,Table_ship_components[],COLUMN(R:R),0)</f>
        <v>0</v>
      </c>
      <c r="S525" cm="1">
        <f t="array" ref="S525">VLOOKUP($A525,Table_ship_components[],COLUMN(S:S),0)</f>
        <v>0</v>
      </c>
      <c r="T525" cm="1">
        <f t="array" ref="T525">VLOOKUP($A525,Table_ship_components[],COLUMN(T:T),0)</f>
        <v>0</v>
      </c>
      <c r="U525" cm="1">
        <f t="array" ref="U525">VLOOKUP($A525,Table_ship_components[],COLUMN(U:U),0)</f>
        <v>0</v>
      </c>
      <c r="V525" cm="1">
        <f t="array" ref="V525">VLOOKUP($A525,Table_ship_components[],COLUMN(V:V),0)</f>
        <v>0</v>
      </c>
      <c r="W525" s="15" cm="1">
        <f t="array" ref="W525">VLOOKUP($A525,Table_ship_components[],COLUMN(W:W),0)</f>
        <v>0</v>
      </c>
      <c r="X525" cm="1">
        <f t="array" ref="X525">VLOOKUP($A525,Table_ship_components[],COLUMN(X:X),0)</f>
        <v>0</v>
      </c>
      <c r="Y525" cm="1">
        <f t="array" ref="Y525">VLOOKUP($A525,Table_ship_components[],COLUMN(Y:Y),0)</f>
        <v>0</v>
      </c>
      <c r="Z525" cm="1">
        <f t="array" ref="Z525">VLOOKUP($A525,Table_ship_components[],COLUMN(Z:Z),0)</f>
        <v>0</v>
      </c>
      <c r="AA525" cm="1">
        <f t="array" ref="AA525">VLOOKUP($A525,Table_ship_components[],COLUMN(AA:AA),0)</f>
        <v>0</v>
      </c>
      <c r="AB525" cm="1">
        <f t="array" ref="AB525">VLOOKUP($A525,Table_ship_components[],COLUMN(AB:AB),0)</f>
        <v>0</v>
      </c>
      <c r="AC525" cm="1">
        <f t="array" ref="AC525">VLOOKUP($A525,Table_ship_components[],COLUMN(AC:AC),0)</f>
        <v>0</v>
      </c>
      <c r="AD525" cm="1">
        <f t="array" ref="AD525">VLOOKUP($A525,Table_ship_components[],COLUMN(AD:AD),0)</f>
        <v>0</v>
      </c>
      <c r="AE525" cm="1">
        <f t="array" ref="AE525">VLOOKUP($A525,Table_ship_components[],COLUMN(AE:AE),0)</f>
        <v>0</v>
      </c>
      <c r="AF525" cm="1">
        <f t="array" ref="AF525">VLOOKUP($A525,Table_ship_components[],COLUMN(AF:AF),0)</f>
        <v>0</v>
      </c>
      <c r="AG525" cm="1">
        <f t="array" ref="AG525">VLOOKUP($A525,Table_ship_components[],COLUMN(AG:AG),0)</f>
        <v>0</v>
      </c>
      <c r="AH525" cm="1">
        <f t="array" ref="AH525">VLOOKUP($A525,Table_ship_components[],COLUMN(AH:AH),0)</f>
        <v>0</v>
      </c>
      <c r="AI525" cm="1">
        <f t="array" ref="AI525">VLOOKUP($A525,Table_ship_components[],COLUMN(AI:AI),0)</f>
        <v>0</v>
      </c>
      <c r="AJ525" cm="1">
        <f t="array" ref="AJ525">VLOOKUP($A525,Table_ship_components[],COLUMN(AJ:AJ),0)</f>
        <v>0</v>
      </c>
      <c r="AK525" cm="1">
        <f t="array" ref="AK525">VLOOKUP($A525,Table_ship_components[],COLUMN(AK:AK),0)</f>
        <v>0</v>
      </c>
      <c r="AL525" cm="1">
        <f t="array" ref="AL525">VLOOKUP($A525,Table_ship_components[],COLUMN(AL:AL),0)</f>
        <v>0</v>
      </c>
      <c r="AM525" cm="1">
        <f t="array" ref="AM525">VLOOKUP($A525,Table_ship_components[],COLUMN(AM:AM),0)</f>
        <v>2</v>
      </c>
      <c r="AN525" cm="1">
        <f t="array" ref="AN525">VLOOKUP($A525,Table_ship_components[],COLUMN(AN:AN),0)</f>
        <v>5</v>
      </c>
      <c r="AO525" cm="1">
        <f t="array" ref="AO525">VLOOKUP($A525,Table_ship_components[],COLUMN(AO:AO),0)</f>
        <v>2</v>
      </c>
      <c r="AP525" cm="1">
        <f t="array" ref="AP525">VLOOKUP($A525,Table_ship_components[],COLUMN(AP:AP),0)</f>
        <v>5</v>
      </c>
      <c r="AQ525" cm="1">
        <f t="array" ref="AQ525">VLOOKUP($A525,Table_ship_components[],COLUMN(AQ:AQ),0)</f>
        <v>0</v>
      </c>
      <c r="AR525" cm="1">
        <f t="array" ref="AR525">VLOOKUP($A525,Table_ship_components[],COLUMN(AR:AR),0)</f>
        <v>3</v>
      </c>
      <c r="AS525" cm="1">
        <f t="array" ref="AS525">VLOOKUP($A525,Table_ship_components[],COLUMN(AS:AS),0)</f>
        <v>2</v>
      </c>
      <c r="AT525" cm="1">
        <f t="array" ref="AT525">VLOOKUP($A525,Table_ship_components[],COLUMN(AT:AT),0)</f>
        <v>2</v>
      </c>
      <c r="AU525" s="2" cm="1">
        <f t="array" ref="AU525">VLOOKUP($A525,Table_ship_components[],COLUMN(AU:AU),0)</f>
        <v>3</v>
      </c>
      <c r="AV525" s="2" cm="1">
        <f t="array" ref="AV525">VLOOKUP($A525,Table_ship_components[],COLUMN(AV:AV),0)</f>
        <v>50</v>
      </c>
      <c r="AW525" s="2" cm="1">
        <f t="array" ref="AW525">VLOOKUP($A525,Table_ship_components[],COLUMN(AW:AW),0)</f>
        <v>10</v>
      </c>
      <c r="AX525" s="2" cm="1">
        <f t="array" ref="AX525">VLOOKUP($A525,Table_ship_components[],COLUMN(AX:AX),0)</f>
        <v>20</v>
      </c>
      <c r="AY525" s="2" cm="1">
        <f t="array" ref="AY525">VLOOKUP($A525,Table_ship_components[],COLUMN(AY:AY),0)</f>
        <v>20</v>
      </c>
      <c r="AZ525" s="2" t="str" cm="1">
        <f t="array" ref="AZ525">VLOOKUP($A525,Table_ship_components[],COLUMN(AZ:AZ),0)</f>
        <v>C</v>
      </c>
      <c r="BA525" s="14" cm="1">
        <f t="array" ref="BA525">VLOOKUP($A525,Table_ship_components[],COLUMN(BA:BA),0)</f>
        <v>610000</v>
      </c>
      <c r="BB525" s="14" cm="1">
        <f t="array" ref="BB525">(VLOOKUP($A525,Table_ship_components[],COLUMN(BA:BA),0)+(W525*C525))</f>
        <v>610000</v>
      </c>
      <c r="BC525" s="2" cm="1">
        <f t="array" ref="BC525">VLOOKUP($A525,Table_ship_components[],COLUMN(BC:BC),0)</f>
        <v>0</v>
      </c>
      <c r="BD525" s="2" cm="1">
        <f t="array" ref="BD525">VLOOKUP($A525,Table_ship_components[],COLUMN(BD:BD),0)</f>
        <v>0</v>
      </c>
    </row>
    <row r="526" spans="1:56" outlineLevel="1" x14ac:dyDescent="0.35"/>
    <row r="527" spans="1:56" outlineLevel="1" x14ac:dyDescent="0.35">
      <c r="A527" s="40" t="str">
        <f>CONCATENATE("LIFE SUPPORT VALID : ",IF((SUM(Z556:AA556)&lt;=AC556),"YES","NO"))</f>
        <v>LIFE SUPPORT VALID : YES</v>
      </c>
      <c r="B527" s="39" t="str">
        <f>CONCATENATE("TOTAL SIZE ",(SUM(E529:E555))," TOTAL POWER ",(SUM(G529:G555))," / ",(SUM(I529:I555)))</f>
        <v>TOTAL SIZE 50 TOTAL POWER 20 / 20</v>
      </c>
    </row>
    <row r="528" spans="1:56" outlineLevel="1" x14ac:dyDescent="0.35">
      <c r="A528" s="18" t="s">
        <v>423</v>
      </c>
      <c r="B528" s="19" t="str">
        <f>CONCATENATE("SIZE ",(SUM(E529:E534)),"/", AW525,"  POWER ",(SUM(G529:G534)),)</f>
        <v>SIZE 10/10  POWER 2</v>
      </c>
      <c r="C528" s="31" t="s">
        <v>521</v>
      </c>
    </row>
    <row r="529" spans="1:56" outlineLevel="1" x14ac:dyDescent="0.35">
      <c r="A529" t="s">
        <v>335</v>
      </c>
      <c r="B529" t="str" cm="1">
        <f t="array" ref="B529">VLOOKUP($A529,Table_ship_components[],COLUMN(B:B),0)</f>
        <v>low output fighter power plant</v>
      </c>
      <c r="D529" cm="1">
        <f t="array" ref="D529">VLOOKUP($A529,Table_ship_components[],COLUMN(D:D),0)</f>
        <v>6</v>
      </c>
      <c r="E529" cm="1">
        <f t="array" ref="E529">ROUND(VLOOKUP($A529,Table_ship_components[],COLUMN(D:D),0)+(V529*C529),0)</f>
        <v>6</v>
      </c>
      <c r="F529" cm="1">
        <f t="array" ref="F529">VLOOKUP($A529,Table_ship_components[],COLUMN(F:F),0)</f>
        <v>0</v>
      </c>
      <c r="G529" cm="1">
        <f t="array" ref="G529">ROUND(VLOOKUP($A529,Table_ship_components[],COLUMN(G:G),0)+(X529*C529),0)</f>
        <v>0</v>
      </c>
      <c r="H529" cm="1">
        <f t="array" ref="H529">VLOOKUP($A529,Table_ship_components[],COLUMN(H:H),0)</f>
        <v>0</v>
      </c>
      <c r="I529" cm="1">
        <f t="array" ref="I529">VLOOKUP($A529,Table_ship_components[],COLUMN(I:I),0)</f>
        <v>20</v>
      </c>
      <c r="J529" cm="1">
        <f t="array" ref="J529">VLOOKUP($A529,Table_ship_components[],COLUMN(J:J),0)</f>
        <v>0</v>
      </c>
      <c r="K529" cm="1">
        <f t="array" ref="K529">VLOOKUP($A529,Table_ship_components[],COLUMN(K:K),0)</f>
        <v>0</v>
      </c>
      <c r="L529" cm="1">
        <f t="array" ref="L529">VLOOKUP($A529,Table_ship_components[],COLUMN(L:L),0)</f>
        <v>0</v>
      </c>
      <c r="M529" cm="1">
        <f t="array" ref="M529">VLOOKUP($A529,Table_ship_components[],COLUMN(M:M),0)</f>
        <v>0</v>
      </c>
      <c r="N529" cm="1">
        <f t="array" ref="N529">VLOOKUP($A529,Table_ship_components[],COLUMN(N:N),0)</f>
        <v>1</v>
      </c>
      <c r="O529" cm="1">
        <f t="array" ref="O529">VLOOKUP($A529,Table_ship_components[],COLUMN(O:O),0)</f>
        <v>0</v>
      </c>
      <c r="P529" cm="1">
        <f t="array" ref="P529">VLOOKUP($A529,Table_ship_components[],COLUMN(P:P),0)</f>
        <v>0</v>
      </c>
      <c r="Q529" cm="1">
        <f t="array" ref="Q529">VLOOKUP($A529,Table_ship_components[],COLUMN(Q:Q),0)</f>
        <v>0</v>
      </c>
      <c r="R529" cm="1">
        <f t="array" ref="R529">VLOOKUP($A529,Table_ship_components[],COLUMN(R:R),0)</f>
        <v>0</v>
      </c>
      <c r="S529" cm="1">
        <f t="array" ref="S529">VLOOKUP($A529,Table_ship_components[],COLUMN(S:S),0)</f>
        <v>0</v>
      </c>
      <c r="T529" cm="1">
        <f t="array" ref="T529">VLOOKUP($A529,Table_ship_components[],COLUMN(T:T),0)</f>
        <v>0</v>
      </c>
      <c r="U529" cm="1">
        <f t="array" ref="U529">VLOOKUP($A529,Table_ship_components[],COLUMN(U:U),0)</f>
        <v>0</v>
      </c>
      <c r="V529" cm="1">
        <f t="array" ref="V529">VLOOKUP($A529,Table_ship_components[],COLUMN(V:V),0)</f>
        <v>0</v>
      </c>
      <c r="W529" s="15" cm="1">
        <f t="array" ref="W529">VLOOKUP($A529,Table_ship_components[],COLUMN(W:W),0)</f>
        <v>0</v>
      </c>
      <c r="X529" cm="1">
        <f t="array" ref="X529">VLOOKUP($A529,Table_ship_components[],COLUMN(X:X),0)</f>
        <v>0</v>
      </c>
      <c r="Y529" cm="1">
        <f t="array" ref="Y529">VLOOKUP($A529,Table_ship_components[],COLUMN(Y:Y),0)</f>
        <v>0</v>
      </c>
      <c r="Z529" cm="1">
        <f t="array" ref="Z529">VLOOKUP($A529,Table_ship_components[],COLUMN(Z:Z),0)</f>
        <v>0</v>
      </c>
      <c r="AA529" cm="1">
        <f t="array" ref="AA529">VLOOKUP($A529,Table_ship_components[],COLUMN(AA:AA),0)*C529</f>
        <v>0</v>
      </c>
      <c r="AB529">
        <f>IF(A529="CARGOSPACE_0-ALL_0-UNIVERSAL",C529,0)</f>
        <v>0</v>
      </c>
      <c r="AC529" cm="1">
        <f t="array" ref="AC529">VLOOKUP($A529,Table_ship_components[],COLUMN(AC:AC),0)*C529</f>
        <v>0</v>
      </c>
      <c r="AD529" cm="1">
        <f t="array" ref="AD529">VLOOKUP($A529,Table_ship_components[],COLUMN(AD:AD),0)</f>
        <v>0</v>
      </c>
      <c r="AE529" cm="1">
        <f t="array" ref="AE529">VLOOKUP($A529,Table_ship_components[],COLUMN(AE:AE),0)</f>
        <v>0</v>
      </c>
      <c r="AF529" cm="1">
        <f t="array" ref="AF529">VLOOKUP($A529,Table_ship_components[],COLUMN(AF:AF),0)</f>
        <v>0</v>
      </c>
      <c r="AG529" cm="1">
        <f t="array" ref="AG529">VLOOKUP($A529,Table_ship_components[],COLUMN(AG:AG),0)</f>
        <v>0</v>
      </c>
      <c r="AH529" cm="1">
        <f t="array" ref="AH529">VLOOKUP($A529,Table_ship_components[],COLUMN(AH:AH),0)</f>
        <v>0</v>
      </c>
      <c r="AI529" cm="1">
        <f t="array" ref="AI529">VLOOKUP($A529,Table_ship_components[],COLUMN(AI:AI),0)</f>
        <v>0</v>
      </c>
      <c r="AJ529" cm="1">
        <f t="array" ref="AJ529">VLOOKUP($A529,Table_ship_components[],COLUMN(AJ:AJ),0)</f>
        <v>0</v>
      </c>
      <c r="AK529" cm="1">
        <f t="array" ref="AK529">VLOOKUP($A529,Table_ship_components[],COLUMN(AK:AK),0)</f>
        <v>0</v>
      </c>
      <c r="AL529" cm="1">
        <f t="array" ref="AL529">VLOOKUP($A529,Table_ship_components[],COLUMN(AL:AL),0)</f>
        <v>0</v>
      </c>
      <c r="AM529" cm="1">
        <f t="array" ref="AM529">VLOOKUP($A529,Table_ship_components[],COLUMN(AM:AM),0)</f>
        <v>0</v>
      </c>
      <c r="AN529" cm="1">
        <f t="array" ref="AN529">VLOOKUP($A529,Table_ship_components[],COLUMN(AN:AN),0)</f>
        <v>0</v>
      </c>
      <c r="AO529" cm="1">
        <f t="array" ref="AO529">VLOOKUP($A529,Table_ship_components[],COLUMN(AO:AO),0)</f>
        <v>0</v>
      </c>
      <c r="AP529" cm="1">
        <f t="array" ref="AP529">VLOOKUP($A529,Table_ship_components[],COLUMN(AP:AP),0)</f>
        <v>0</v>
      </c>
      <c r="AQ529" cm="1">
        <f t="array" ref="AQ529">VLOOKUP($A529,Table_ship_components[],COLUMN(AQ:AQ),0)</f>
        <v>0</v>
      </c>
      <c r="AR529" cm="1">
        <f t="array" ref="AR529">VLOOKUP($A529,Table_ship_components[],COLUMN(AR:AR),0)</f>
        <v>0</v>
      </c>
      <c r="AS529" cm="1">
        <f t="array" ref="AS529">VLOOKUP($A529,Table_ship_components[],COLUMN(AS:AS),0)</f>
        <v>0</v>
      </c>
      <c r="AT529" cm="1">
        <f t="array" ref="AT529">VLOOKUP($A529,Table_ship_components[],COLUMN(AT:AT),0)</f>
        <v>-1</v>
      </c>
      <c r="AU529" s="2" cm="1">
        <f t="array" ref="AU529">VLOOKUP($A529,Table_ship_components[],COLUMN(AU:AU),0)</f>
        <v>0</v>
      </c>
      <c r="AV529" s="2" cm="1">
        <f t="array" ref="AV529">VLOOKUP($A529,Table_ship_components[],COLUMN(AV:AV),0)</f>
        <v>0</v>
      </c>
      <c r="AW529" s="2" cm="1">
        <f t="array" ref="AW529">VLOOKUP($A529,Table_ship_components[],COLUMN(AW:AW),0)</f>
        <v>0</v>
      </c>
      <c r="AX529" s="2" cm="1">
        <f t="array" ref="AX529">VLOOKUP($A529,Table_ship_components[],COLUMN(AX:AX),0)</f>
        <v>0</v>
      </c>
      <c r="AY529" s="2" cm="1">
        <f t="array" ref="AY529">VLOOKUP($A529,Table_ship_components[],COLUMN(AY:AY),0)</f>
        <v>0</v>
      </c>
      <c r="AZ529" s="2" t="str" cm="1">
        <f t="array" ref="AZ529">VLOOKUP($A529,Table_ship_components[],COLUMN(AZ:AZ),0)</f>
        <v>C</v>
      </c>
      <c r="BA529" s="14" cm="1">
        <f t="array" ref="BA529">VLOOKUP($A529,Table_ship_components[],COLUMN(BA:BA),0)</f>
        <v>100000</v>
      </c>
      <c r="BB529" s="14" cm="1">
        <f t="array" ref="BB529">(VLOOKUP($A529,Table_ship_components[],COLUMN(BA:BA),0)+(W529*C529))</f>
        <v>100000</v>
      </c>
      <c r="BC529" s="2" cm="1">
        <f t="array" ref="BC529">VLOOKUP($A529,Table_ship_components[],COLUMN(BC:BC),0)</f>
        <v>0</v>
      </c>
      <c r="BD529" s="2" cm="1">
        <f t="array" ref="BD529">VLOOKUP($A529,Table_ship_components[],COLUMN(BD:BD),0)</f>
        <v>0</v>
      </c>
    </row>
    <row r="530" spans="1:56" outlineLevel="1" x14ac:dyDescent="0.35">
      <c r="A530" t="s">
        <v>288</v>
      </c>
      <c r="B530" t="str" cm="1">
        <f t="array" ref="B530">VLOOKUP($A530,Table_ship_components[],COLUMN(B:B),0)</f>
        <v>PICK A COMPONENT</v>
      </c>
      <c r="D530" cm="1">
        <f t="array" ref="D530">VLOOKUP($A530,Table_ship_components[],COLUMN(D:D),0)</f>
        <v>0</v>
      </c>
      <c r="E530" cm="1">
        <f t="array" ref="E530">ROUND(VLOOKUP($A530,Table_ship_components[],COLUMN(D:D),0)+(V530*C530),0)</f>
        <v>0</v>
      </c>
      <c r="F530" cm="1">
        <f t="array" ref="F530">VLOOKUP($A530,Table_ship_components[],COLUMN(F:F),0)</f>
        <v>0</v>
      </c>
      <c r="G530" cm="1">
        <f t="array" ref="G530">ROUND(VLOOKUP($A530,Table_ship_components[],COLUMN(G:G),0)+(X530*C530),0)</f>
        <v>0</v>
      </c>
      <c r="H530" cm="1">
        <f t="array" ref="H530">VLOOKUP($A530,Table_ship_components[],COLUMN(H:H),0)</f>
        <v>0</v>
      </c>
      <c r="I530" cm="1">
        <f t="array" ref="I530">VLOOKUP($A530,Table_ship_components[],COLUMN(I:I),0)</f>
        <v>0</v>
      </c>
      <c r="J530" cm="1">
        <f t="array" ref="J530">VLOOKUP($A530,Table_ship_components[],COLUMN(J:J),0)</f>
        <v>0</v>
      </c>
      <c r="K530" cm="1">
        <f t="array" ref="K530">VLOOKUP($A530,Table_ship_components[],COLUMN(K:K),0)</f>
        <v>0</v>
      </c>
      <c r="L530" cm="1">
        <f t="array" ref="L530">VLOOKUP($A530,Table_ship_components[],COLUMN(L:L),0)</f>
        <v>0</v>
      </c>
      <c r="M530" cm="1">
        <f t="array" ref="M530">VLOOKUP($A530,Table_ship_components[],COLUMN(M:M),0)</f>
        <v>0</v>
      </c>
      <c r="N530" cm="1">
        <f t="array" ref="N530">VLOOKUP($A530,Table_ship_components[],COLUMN(N:N),0)</f>
        <v>0</v>
      </c>
      <c r="O530" cm="1">
        <f t="array" ref="O530">VLOOKUP($A530,Table_ship_components[],COLUMN(O:O),0)</f>
        <v>0</v>
      </c>
      <c r="P530" cm="1">
        <f t="array" ref="P530">VLOOKUP($A530,Table_ship_components[],COLUMN(P:P),0)</f>
        <v>0</v>
      </c>
      <c r="Q530" cm="1">
        <f t="array" ref="Q530">VLOOKUP($A530,Table_ship_components[],COLUMN(Q:Q),0)</f>
        <v>0</v>
      </c>
      <c r="R530" cm="1">
        <f t="array" ref="R530">VLOOKUP($A530,Table_ship_components[],COLUMN(R:R),0)</f>
        <v>0</v>
      </c>
      <c r="S530" cm="1">
        <f t="array" ref="S530">VLOOKUP($A530,Table_ship_components[],COLUMN(S:S),0)</f>
        <v>0</v>
      </c>
      <c r="T530" cm="1">
        <f t="array" ref="T530">VLOOKUP($A530,Table_ship_components[],COLUMN(T:T),0)</f>
        <v>0</v>
      </c>
      <c r="U530" cm="1">
        <f t="array" ref="U530">VLOOKUP($A530,Table_ship_components[],COLUMN(U:U),0)</f>
        <v>0</v>
      </c>
      <c r="V530" cm="1">
        <f t="array" ref="V530">VLOOKUP($A530,Table_ship_components[],COLUMN(V:V),0)</f>
        <v>0</v>
      </c>
      <c r="W530" s="15" cm="1">
        <f t="array" ref="W530">VLOOKUP($A530,Table_ship_components[],COLUMN(W:W),0)</f>
        <v>0</v>
      </c>
      <c r="X530" cm="1">
        <f t="array" ref="X530">VLOOKUP($A530,Table_ship_components[],COLUMN(X:X),0)</f>
        <v>0</v>
      </c>
      <c r="Y530" cm="1">
        <f t="array" ref="Y530">VLOOKUP($A530,Table_ship_components[],COLUMN(Y:Y),0)</f>
        <v>0</v>
      </c>
      <c r="Z530" cm="1">
        <f t="array" ref="Z530">VLOOKUP($A530,Table_ship_components[],COLUMN(Z:Z),0)</f>
        <v>0</v>
      </c>
      <c r="AA530" cm="1">
        <f t="array" ref="AA530">VLOOKUP($A530,Table_ship_components[],COLUMN(AA:AA),0)*C530</f>
        <v>0</v>
      </c>
      <c r="AB530">
        <f t="shared" ref="AB530:AB534" si="50">IF(A530="CARGOSPACE_0-ALL_0-UNIVERSAL",C530,0)</f>
        <v>0</v>
      </c>
      <c r="AC530" cm="1">
        <f t="array" ref="AC530">VLOOKUP($A530,Table_ship_components[],COLUMN(AC:AC),0)*C530</f>
        <v>0</v>
      </c>
      <c r="AD530" cm="1">
        <f t="array" ref="AD530">VLOOKUP($A530,Table_ship_components[],COLUMN(AD:AD),0)</f>
        <v>0</v>
      </c>
      <c r="AE530" cm="1">
        <f t="array" ref="AE530">VLOOKUP($A530,Table_ship_components[],COLUMN(AE:AE),0)</f>
        <v>0</v>
      </c>
      <c r="AF530" cm="1">
        <f t="array" ref="AF530">VLOOKUP($A530,Table_ship_components[],COLUMN(AF:AF),0)</f>
        <v>0</v>
      </c>
      <c r="AG530" cm="1">
        <f t="array" ref="AG530">VLOOKUP($A530,Table_ship_components[],COLUMN(AG:AG),0)</f>
        <v>0</v>
      </c>
      <c r="AH530" cm="1">
        <f t="array" ref="AH530">VLOOKUP($A530,Table_ship_components[],COLUMN(AH:AH),0)</f>
        <v>0</v>
      </c>
      <c r="AI530" cm="1">
        <f t="array" ref="AI530">VLOOKUP($A530,Table_ship_components[],COLUMN(AI:AI),0)</f>
        <v>0</v>
      </c>
      <c r="AJ530" cm="1">
        <f t="array" ref="AJ530">VLOOKUP($A530,Table_ship_components[],COLUMN(AJ:AJ),0)</f>
        <v>0</v>
      </c>
      <c r="AK530" cm="1">
        <f t="array" ref="AK530">VLOOKUP($A530,Table_ship_components[],COLUMN(AK:AK),0)</f>
        <v>0</v>
      </c>
      <c r="AL530" cm="1">
        <f t="array" ref="AL530">VLOOKUP($A530,Table_ship_components[],COLUMN(AL:AL),0)</f>
        <v>0</v>
      </c>
      <c r="AM530" cm="1">
        <f t="array" ref="AM530">VLOOKUP($A530,Table_ship_components[],COLUMN(AM:AM),0)</f>
        <v>0</v>
      </c>
      <c r="AN530" cm="1">
        <f t="array" ref="AN530">VLOOKUP($A530,Table_ship_components[],COLUMN(AN:AN),0)</f>
        <v>0</v>
      </c>
      <c r="AO530" cm="1">
        <f t="array" ref="AO530">VLOOKUP($A530,Table_ship_components[],COLUMN(AO:AO),0)</f>
        <v>0</v>
      </c>
      <c r="AP530" cm="1">
        <f t="array" ref="AP530">VLOOKUP($A530,Table_ship_components[],COLUMN(AP:AP),0)</f>
        <v>0</v>
      </c>
      <c r="AQ530" cm="1">
        <f t="array" ref="AQ530">VLOOKUP($A530,Table_ship_components[],COLUMN(AQ:AQ),0)</f>
        <v>0</v>
      </c>
      <c r="AR530" cm="1">
        <f t="array" ref="AR530">VLOOKUP($A530,Table_ship_components[],COLUMN(AR:AR),0)</f>
        <v>0</v>
      </c>
      <c r="AS530" cm="1">
        <f t="array" ref="AS530">VLOOKUP($A530,Table_ship_components[],COLUMN(AS:AS),0)</f>
        <v>0</v>
      </c>
      <c r="AT530" cm="1">
        <f t="array" ref="AT530">VLOOKUP($A530,Table_ship_components[],COLUMN(AT:AT),0)</f>
        <v>0</v>
      </c>
      <c r="AU530" s="2" cm="1">
        <f t="array" ref="AU530">VLOOKUP($A530,Table_ship_components[],COLUMN(AU:AU),0)</f>
        <v>0</v>
      </c>
      <c r="AV530" s="2" cm="1">
        <f t="array" ref="AV530">VLOOKUP($A530,Table_ship_components[],COLUMN(AV:AV),0)</f>
        <v>0</v>
      </c>
      <c r="AW530" s="2" cm="1">
        <f t="array" ref="AW530">VLOOKUP($A530,Table_ship_components[],COLUMN(AW:AW),0)</f>
        <v>0</v>
      </c>
      <c r="AX530" s="2" cm="1">
        <f t="array" ref="AX530">VLOOKUP($A530,Table_ship_components[],COLUMN(AX:AX),0)</f>
        <v>0</v>
      </c>
      <c r="AY530" s="2" cm="1">
        <f t="array" ref="AY530">VLOOKUP($A530,Table_ship_components[],COLUMN(AY:AY),0)</f>
        <v>0</v>
      </c>
      <c r="AZ530" s="2" t="str" cm="1">
        <f t="array" ref="AZ530">VLOOKUP($A530,Table_ship_components[],COLUMN(AZ:AZ),0)</f>
        <v>C</v>
      </c>
      <c r="BA530" s="14" cm="1">
        <f t="array" ref="BA530">VLOOKUP($A530,Table_ship_components[],COLUMN(BA:BA),0)</f>
        <v>0</v>
      </c>
      <c r="BB530" s="14" cm="1">
        <f t="array" ref="BB530">(VLOOKUP($A530,Table_ship_components[],COLUMN(BA:BA),0)+(W530*C530))</f>
        <v>0</v>
      </c>
      <c r="BC530" s="2" cm="1">
        <f t="array" ref="BC530">VLOOKUP($A530,Table_ship_components[],COLUMN(BC:BC),0)</f>
        <v>0</v>
      </c>
      <c r="BD530" s="2" cm="1">
        <f t="array" ref="BD530">VLOOKUP($A530,Table_ship_components[],COLUMN(BD:BD),0)</f>
        <v>0</v>
      </c>
    </row>
    <row r="531" spans="1:56" outlineLevel="1" x14ac:dyDescent="0.35">
      <c r="A531" t="s">
        <v>288</v>
      </c>
      <c r="B531" t="str" cm="1">
        <f t="array" ref="B531">VLOOKUP($A531,Table_ship_components[],COLUMN(B:B),0)</f>
        <v>PICK A COMPONENT</v>
      </c>
      <c r="D531" cm="1">
        <f t="array" ref="D531">VLOOKUP($A531,Table_ship_components[],COLUMN(D:D),0)</f>
        <v>0</v>
      </c>
      <c r="E531" cm="1">
        <f t="array" ref="E531">ROUND(VLOOKUP($A531,Table_ship_components[],COLUMN(D:D),0)+(V531*C531),0)</f>
        <v>0</v>
      </c>
      <c r="F531" cm="1">
        <f t="array" ref="F531">VLOOKUP($A531,Table_ship_components[],COLUMN(F:F),0)</f>
        <v>0</v>
      </c>
      <c r="G531" cm="1">
        <f t="array" ref="G531">ROUND(VLOOKUP($A531,Table_ship_components[],COLUMN(G:G),0)+(X531*C531),0)</f>
        <v>0</v>
      </c>
      <c r="H531" cm="1">
        <f t="array" ref="H531">VLOOKUP($A531,Table_ship_components[],COLUMN(H:H),0)</f>
        <v>0</v>
      </c>
      <c r="I531" cm="1">
        <f t="array" ref="I531">VLOOKUP($A531,Table_ship_components[],COLUMN(I:I),0)</f>
        <v>0</v>
      </c>
      <c r="J531" cm="1">
        <f t="array" ref="J531">VLOOKUP($A531,Table_ship_components[],COLUMN(J:J),0)</f>
        <v>0</v>
      </c>
      <c r="K531" cm="1">
        <f t="array" ref="K531">VLOOKUP($A531,Table_ship_components[],COLUMN(K:K),0)</f>
        <v>0</v>
      </c>
      <c r="L531" cm="1">
        <f t="array" ref="L531">VLOOKUP($A531,Table_ship_components[],COLUMN(L:L),0)</f>
        <v>0</v>
      </c>
      <c r="M531" cm="1">
        <f t="array" ref="M531">VLOOKUP($A531,Table_ship_components[],COLUMN(M:M),0)</f>
        <v>0</v>
      </c>
      <c r="N531" cm="1">
        <f t="array" ref="N531">VLOOKUP($A531,Table_ship_components[],COLUMN(N:N),0)</f>
        <v>0</v>
      </c>
      <c r="O531" cm="1">
        <f t="array" ref="O531">VLOOKUP($A531,Table_ship_components[],COLUMN(O:O),0)</f>
        <v>0</v>
      </c>
      <c r="P531" cm="1">
        <f t="array" ref="P531">VLOOKUP($A531,Table_ship_components[],COLUMN(P:P),0)</f>
        <v>0</v>
      </c>
      <c r="Q531" cm="1">
        <f t="array" ref="Q531">VLOOKUP($A531,Table_ship_components[],COLUMN(Q:Q),0)</f>
        <v>0</v>
      </c>
      <c r="R531" cm="1">
        <f t="array" ref="R531">VLOOKUP($A531,Table_ship_components[],COLUMN(R:R),0)</f>
        <v>0</v>
      </c>
      <c r="S531" cm="1">
        <f t="array" ref="S531">VLOOKUP($A531,Table_ship_components[],COLUMN(S:S),0)</f>
        <v>0</v>
      </c>
      <c r="T531" cm="1">
        <f t="array" ref="T531">VLOOKUP($A531,Table_ship_components[],COLUMN(T:T),0)</f>
        <v>0</v>
      </c>
      <c r="U531" cm="1">
        <f t="array" ref="U531">VLOOKUP($A531,Table_ship_components[],COLUMN(U:U),0)</f>
        <v>0</v>
      </c>
      <c r="V531" cm="1">
        <f t="array" ref="V531">VLOOKUP($A531,Table_ship_components[],COLUMN(V:V),0)</f>
        <v>0</v>
      </c>
      <c r="W531" s="15" cm="1">
        <f t="array" ref="W531">VLOOKUP($A531,Table_ship_components[],COLUMN(W:W),0)</f>
        <v>0</v>
      </c>
      <c r="X531" cm="1">
        <f t="array" ref="X531">VLOOKUP($A531,Table_ship_components[],COLUMN(X:X),0)</f>
        <v>0</v>
      </c>
      <c r="Y531" cm="1">
        <f t="array" ref="Y531">VLOOKUP($A531,Table_ship_components[],COLUMN(Y:Y),0)</f>
        <v>0</v>
      </c>
      <c r="Z531" cm="1">
        <f t="array" ref="Z531">VLOOKUP($A531,Table_ship_components[],COLUMN(Z:Z),0)</f>
        <v>0</v>
      </c>
      <c r="AA531" cm="1">
        <f t="array" ref="AA531">VLOOKUP($A531,Table_ship_components[],COLUMN(AA:AA),0)*C531</f>
        <v>0</v>
      </c>
      <c r="AB531">
        <f t="shared" si="50"/>
        <v>0</v>
      </c>
      <c r="AC531" cm="1">
        <f t="array" ref="AC531">VLOOKUP($A531,Table_ship_components[],COLUMN(AC:AC),0)*C531</f>
        <v>0</v>
      </c>
      <c r="AD531" cm="1">
        <f t="array" ref="AD531">VLOOKUP($A531,Table_ship_components[],COLUMN(AD:AD),0)</f>
        <v>0</v>
      </c>
      <c r="AE531" cm="1">
        <f t="array" ref="AE531">VLOOKUP($A531,Table_ship_components[],COLUMN(AE:AE),0)</f>
        <v>0</v>
      </c>
      <c r="AF531" cm="1">
        <f t="array" ref="AF531">VLOOKUP($A531,Table_ship_components[],COLUMN(AF:AF),0)</f>
        <v>0</v>
      </c>
      <c r="AG531" cm="1">
        <f t="array" ref="AG531">VLOOKUP($A531,Table_ship_components[],COLUMN(AG:AG),0)</f>
        <v>0</v>
      </c>
      <c r="AH531" cm="1">
        <f t="array" ref="AH531">VLOOKUP($A531,Table_ship_components[],COLUMN(AH:AH),0)</f>
        <v>0</v>
      </c>
      <c r="AI531" cm="1">
        <f t="array" ref="AI531">VLOOKUP($A531,Table_ship_components[],COLUMN(AI:AI),0)</f>
        <v>0</v>
      </c>
      <c r="AJ531" cm="1">
        <f t="array" ref="AJ531">VLOOKUP($A531,Table_ship_components[],COLUMN(AJ:AJ),0)</f>
        <v>0</v>
      </c>
      <c r="AK531" cm="1">
        <f t="array" ref="AK531">VLOOKUP($A531,Table_ship_components[],COLUMN(AK:AK),0)</f>
        <v>0</v>
      </c>
      <c r="AL531" cm="1">
        <f t="array" ref="AL531">VLOOKUP($A531,Table_ship_components[],COLUMN(AL:AL),0)</f>
        <v>0</v>
      </c>
      <c r="AM531" cm="1">
        <f t="array" ref="AM531">VLOOKUP($A531,Table_ship_components[],COLUMN(AM:AM),0)</f>
        <v>0</v>
      </c>
      <c r="AN531" cm="1">
        <f t="array" ref="AN531">VLOOKUP($A531,Table_ship_components[],COLUMN(AN:AN),0)</f>
        <v>0</v>
      </c>
      <c r="AO531" cm="1">
        <f t="array" ref="AO531">VLOOKUP($A531,Table_ship_components[],COLUMN(AO:AO),0)</f>
        <v>0</v>
      </c>
      <c r="AP531" cm="1">
        <f t="array" ref="AP531">VLOOKUP($A531,Table_ship_components[],COLUMN(AP:AP),0)</f>
        <v>0</v>
      </c>
      <c r="AQ531" cm="1">
        <f t="array" ref="AQ531">VLOOKUP($A531,Table_ship_components[],COLUMN(AQ:AQ),0)</f>
        <v>0</v>
      </c>
      <c r="AR531" cm="1">
        <f t="array" ref="AR531">VLOOKUP($A531,Table_ship_components[],COLUMN(AR:AR),0)</f>
        <v>0</v>
      </c>
      <c r="AS531" cm="1">
        <f t="array" ref="AS531">VLOOKUP($A531,Table_ship_components[],COLUMN(AS:AS),0)</f>
        <v>0</v>
      </c>
      <c r="AT531" cm="1">
        <f t="array" ref="AT531">VLOOKUP($A531,Table_ship_components[],COLUMN(AT:AT),0)</f>
        <v>0</v>
      </c>
      <c r="AU531" s="2" cm="1">
        <f t="array" ref="AU531">VLOOKUP($A531,Table_ship_components[],COLUMN(AU:AU),0)</f>
        <v>0</v>
      </c>
      <c r="AV531" s="2" cm="1">
        <f t="array" ref="AV531">VLOOKUP($A531,Table_ship_components[],COLUMN(AV:AV),0)</f>
        <v>0</v>
      </c>
      <c r="AW531" s="2" cm="1">
        <f t="array" ref="AW531">VLOOKUP($A531,Table_ship_components[],COLUMN(AW:AW),0)</f>
        <v>0</v>
      </c>
      <c r="AX531" s="2" cm="1">
        <f t="array" ref="AX531">VLOOKUP($A531,Table_ship_components[],COLUMN(AX:AX),0)</f>
        <v>0</v>
      </c>
      <c r="AY531" s="2" cm="1">
        <f t="array" ref="AY531">VLOOKUP($A531,Table_ship_components[],COLUMN(AY:AY),0)</f>
        <v>0</v>
      </c>
      <c r="AZ531" s="2" t="str" cm="1">
        <f t="array" ref="AZ531">VLOOKUP($A531,Table_ship_components[],COLUMN(AZ:AZ),0)</f>
        <v>C</v>
      </c>
      <c r="BA531" s="14" cm="1">
        <f t="array" ref="BA531">VLOOKUP($A531,Table_ship_components[],COLUMN(BA:BA),0)</f>
        <v>0</v>
      </c>
      <c r="BB531" s="14" cm="1">
        <f t="array" ref="BB531">(VLOOKUP($A531,Table_ship_components[],COLUMN(BA:BA),0)+(W531*C531))</f>
        <v>0</v>
      </c>
      <c r="BC531" s="2" cm="1">
        <f t="array" ref="BC531">VLOOKUP($A531,Table_ship_components[],COLUMN(BC:BC),0)</f>
        <v>0</v>
      </c>
      <c r="BD531" s="2" cm="1">
        <f t="array" ref="BD531">VLOOKUP($A531,Table_ship_components[],COLUMN(BD:BD),0)</f>
        <v>0</v>
      </c>
    </row>
    <row r="532" spans="1:56" outlineLevel="1" x14ac:dyDescent="0.35">
      <c r="A532" t="s">
        <v>288</v>
      </c>
      <c r="B532" t="str" cm="1">
        <f t="array" ref="B532">VLOOKUP($A532,Table_ship_components[],COLUMN(B:B),0)</f>
        <v>PICK A COMPONENT</v>
      </c>
      <c r="D532" cm="1">
        <f t="array" ref="D532">VLOOKUP($A532,Table_ship_components[],COLUMN(D:D),0)</f>
        <v>0</v>
      </c>
      <c r="E532" cm="1">
        <f t="array" ref="E532">ROUND(VLOOKUP($A532,Table_ship_components[],COLUMN(D:D),0)+(V532*C532),0)</f>
        <v>0</v>
      </c>
      <c r="F532" cm="1">
        <f t="array" ref="F532">VLOOKUP($A532,Table_ship_components[],COLUMN(F:F),0)</f>
        <v>0</v>
      </c>
      <c r="G532" cm="1">
        <f t="array" ref="G532">ROUND(VLOOKUP($A532,Table_ship_components[],COLUMN(G:G),0)+(X532*C532),0)</f>
        <v>0</v>
      </c>
      <c r="H532" cm="1">
        <f t="array" ref="H532">VLOOKUP($A532,Table_ship_components[],COLUMN(H:H),0)</f>
        <v>0</v>
      </c>
      <c r="I532" cm="1">
        <f t="array" ref="I532">VLOOKUP($A532,Table_ship_components[],COLUMN(I:I),0)</f>
        <v>0</v>
      </c>
      <c r="J532" cm="1">
        <f t="array" ref="J532">VLOOKUP($A532,Table_ship_components[],COLUMN(J:J),0)</f>
        <v>0</v>
      </c>
      <c r="K532" cm="1">
        <f t="array" ref="K532">VLOOKUP($A532,Table_ship_components[],COLUMN(K:K),0)</f>
        <v>0</v>
      </c>
      <c r="L532" cm="1">
        <f t="array" ref="L532">VLOOKUP($A532,Table_ship_components[],COLUMN(L:L),0)</f>
        <v>0</v>
      </c>
      <c r="M532" cm="1">
        <f t="array" ref="M532">VLOOKUP($A532,Table_ship_components[],COLUMN(M:M),0)</f>
        <v>0</v>
      </c>
      <c r="N532" cm="1">
        <f t="array" ref="N532">VLOOKUP($A532,Table_ship_components[],COLUMN(N:N),0)</f>
        <v>0</v>
      </c>
      <c r="O532" cm="1">
        <f t="array" ref="O532">VLOOKUP($A532,Table_ship_components[],COLUMN(O:O),0)</f>
        <v>0</v>
      </c>
      <c r="P532" cm="1">
        <f t="array" ref="P532">VLOOKUP($A532,Table_ship_components[],COLUMN(P:P),0)</f>
        <v>0</v>
      </c>
      <c r="Q532" cm="1">
        <f t="array" ref="Q532">VLOOKUP($A532,Table_ship_components[],COLUMN(Q:Q),0)</f>
        <v>0</v>
      </c>
      <c r="R532" cm="1">
        <f t="array" ref="R532">VLOOKUP($A532,Table_ship_components[],COLUMN(R:R),0)</f>
        <v>0</v>
      </c>
      <c r="S532" cm="1">
        <f t="array" ref="S532">VLOOKUP($A532,Table_ship_components[],COLUMN(S:S),0)</f>
        <v>0</v>
      </c>
      <c r="T532" cm="1">
        <f t="array" ref="T532">VLOOKUP($A532,Table_ship_components[],COLUMN(T:T),0)</f>
        <v>0</v>
      </c>
      <c r="U532" cm="1">
        <f t="array" ref="U532">VLOOKUP($A532,Table_ship_components[],COLUMN(U:U),0)</f>
        <v>0</v>
      </c>
      <c r="V532" cm="1">
        <f t="array" ref="V532">VLOOKUP($A532,Table_ship_components[],COLUMN(V:V),0)</f>
        <v>0</v>
      </c>
      <c r="W532" s="15" cm="1">
        <f t="array" ref="W532">VLOOKUP($A532,Table_ship_components[],COLUMN(W:W),0)</f>
        <v>0</v>
      </c>
      <c r="X532" cm="1">
        <f t="array" ref="X532">VLOOKUP($A532,Table_ship_components[],COLUMN(X:X),0)</f>
        <v>0</v>
      </c>
      <c r="Y532" cm="1">
        <f t="array" ref="Y532">VLOOKUP($A532,Table_ship_components[],COLUMN(Y:Y),0)</f>
        <v>0</v>
      </c>
      <c r="Z532" cm="1">
        <f t="array" ref="Z532">VLOOKUP($A532,Table_ship_components[],COLUMN(Z:Z),0)</f>
        <v>0</v>
      </c>
      <c r="AA532" cm="1">
        <f t="array" ref="AA532">VLOOKUP($A532,Table_ship_components[],COLUMN(AA:AA),0)*C532</f>
        <v>0</v>
      </c>
      <c r="AB532">
        <f t="shared" si="50"/>
        <v>0</v>
      </c>
      <c r="AC532" cm="1">
        <f t="array" ref="AC532">VLOOKUP($A532,Table_ship_components[],COLUMN(AC:AC),0)*C532</f>
        <v>0</v>
      </c>
      <c r="AD532" cm="1">
        <f t="array" ref="AD532">VLOOKUP($A532,Table_ship_components[],COLUMN(AD:AD),0)</f>
        <v>0</v>
      </c>
      <c r="AE532" cm="1">
        <f t="array" ref="AE532">VLOOKUP($A532,Table_ship_components[],COLUMN(AE:AE),0)</f>
        <v>0</v>
      </c>
      <c r="AF532" cm="1">
        <f t="array" ref="AF532">VLOOKUP($A532,Table_ship_components[],COLUMN(AF:AF),0)</f>
        <v>0</v>
      </c>
      <c r="AG532" cm="1">
        <f t="array" ref="AG532">VLOOKUP($A532,Table_ship_components[],COLUMN(AG:AG),0)</f>
        <v>0</v>
      </c>
      <c r="AH532" cm="1">
        <f t="array" ref="AH532">VLOOKUP($A532,Table_ship_components[],COLUMN(AH:AH),0)</f>
        <v>0</v>
      </c>
      <c r="AI532" cm="1">
        <f t="array" ref="AI532">VLOOKUP($A532,Table_ship_components[],COLUMN(AI:AI),0)</f>
        <v>0</v>
      </c>
      <c r="AJ532" cm="1">
        <f t="array" ref="AJ532">VLOOKUP($A532,Table_ship_components[],COLUMN(AJ:AJ),0)</f>
        <v>0</v>
      </c>
      <c r="AK532" cm="1">
        <f t="array" ref="AK532">VLOOKUP($A532,Table_ship_components[],COLUMN(AK:AK),0)</f>
        <v>0</v>
      </c>
      <c r="AL532" cm="1">
        <f t="array" ref="AL532">VLOOKUP($A532,Table_ship_components[],COLUMN(AL:AL),0)</f>
        <v>0</v>
      </c>
      <c r="AM532" cm="1">
        <f t="array" ref="AM532">VLOOKUP($A532,Table_ship_components[],COLUMN(AM:AM),0)</f>
        <v>0</v>
      </c>
      <c r="AN532" cm="1">
        <f t="array" ref="AN532">VLOOKUP($A532,Table_ship_components[],COLUMN(AN:AN),0)</f>
        <v>0</v>
      </c>
      <c r="AO532" cm="1">
        <f t="array" ref="AO532">VLOOKUP($A532,Table_ship_components[],COLUMN(AO:AO),0)</f>
        <v>0</v>
      </c>
      <c r="AP532" cm="1">
        <f t="array" ref="AP532">VLOOKUP($A532,Table_ship_components[],COLUMN(AP:AP),0)</f>
        <v>0</v>
      </c>
      <c r="AQ532" cm="1">
        <f t="array" ref="AQ532">VLOOKUP($A532,Table_ship_components[],COLUMN(AQ:AQ),0)</f>
        <v>0</v>
      </c>
      <c r="AR532" cm="1">
        <f t="array" ref="AR532">VLOOKUP($A532,Table_ship_components[],COLUMN(AR:AR),0)</f>
        <v>0</v>
      </c>
      <c r="AS532" cm="1">
        <f t="array" ref="AS532">VLOOKUP($A532,Table_ship_components[],COLUMN(AS:AS),0)</f>
        <v>0</v>
      </c>
      <c r="AT532" cm="1">
        <f t="array" ref="AT532">VLOOKUP($A532,Table_ship_components[],COLUMN(AT:AT),0)</f>
        <v>0</v>
      </c>
      <c r="AU532" s="2" cm="1">
        <f t="array" ref="AU532">VLOOKUP($A532,Table_ship_components[],COLUMN(AU:AU),0)</f>
        <v>0</v>
      </c>
      <c r="AV532" s="2" cm="1">
        <f t="array" ref="AV532">VLOOKUP($A532,Table_ship_components[],COLUMN(AV:AV),0)</f>
        <v>0</v>
      </c>
      <c r="AW532" s="2" cm="1">
        <f t="array" ref="AW532">VLOOKUP($A532,Table_ship_components[],COLUMN(AW:AW),0)</f>
        <v>0</v>
      </c>
      <c r="AX532" s="2" cm="1">
        <f t="array" ref="AX532">VLOOKUP($A532,Table_ship_components[],COLUMN(AX:AX),0)</f>
        <v>0</v>
      </c>
      <c r="AY532" s="2" cm="1">
        <f t="array" ref="AY532">VLOOKUP($A532,Table_ship_components[],COLUMN(AY:AY),0)</f>
        <v>0</v>
      </c>
      <c r="AZ532" s="2" t="str" cm="1">
        <f t="array" ref="AZ532">VLOOKUP($A532,Table_ship_components[],COLUMN(AZ:AZ),0)</f>
        <v>C</v>
      </c>
      <c r="BA532" s="14" cm="1">
        <f t="array" ref="BA532">VLOOKUP($A532,Table_ship_components[],COLUMN(BA:BA),0)</f>
        <v>0</v>
      </c>
      <c r="BB532" s="14" cm="1">
        <f t="array" ref="BB532">(VLOOKUP($A532,Table_ship_components[],COLUMN(BA:BA),0)+(W532*C532))</f>
        <v>0</v>
      </c>
      <c r="BC532" s="2" cm="1">
        <f t="array" ref="BC532">VLOOKUP($A532,Table_ship_components[],COLUMN(BC:BC),0)</f>
        <v>0</v>
      </c>
      <c r="BD532" s="2" cm="1">
        <f t="array" ref="BD532">VLOOKUP($A532,Table_ship_components[],COLUMN(BD:BD),0)</f>
        <v>0</v>
      </c>
    </row>
    <row r="533" spans="1:56" outlineLevel="1" x14ac:dyDescent="0.35">
      <c r="A533" t="s">
        <v>332</v>
      </c>
      <c r="B533" t="str" cm="1">
        <f t="array" ref="B533">VLOOKUP($A533,Table_ship_components[],COLUMN(B:B),0)</f>
        <v>fighter life support</v>
      </c>
      <c r="C533" s="2">
        <v>2</v>
      </c>
      <c r="D533" cm="1">
        <f t="array" ref="D533">VLOOKUP($A533,Table_ship_components[],COLUMN(D:D),0)</f>
        <v>3</v>
      </c>
      <c r="E533" cm="1">
        <f t="array" ref="E533">ROUND(VLOOKUP($A533,Table_ship_components[],COLUMN(D:D),0)+(V533*C533),0)</f>
        <v>3</v>
      </c>
      <c r="F533" cm="1">
        <f t="array" ref="F533">VLOOKUP($A533,Table_ship_components[],COLUMN(F:F),0)</f>
        <v>2</v>
      </c>
      <c r="G533" cm="1">
        <f t="array" ref="G533">ROUND(VLOOKUP($A533,Table_ship_components[],COLUMN(G:G),0)+(X533*C533),0)</f>
        <v>2</v>
      </c>
      <c r="H533" cm="1">
        <f t="array" ref="H533">VLOOKUP($A533,Table_ship_components[],COLUMN(H:H),0)</f>
        <v>0</v>
      </c>
      <c r="I533" cm="1">
        <f t="array" ref="I533">VLOOKUP($A533,Table_ship_components[],COLUMN(I:I),0)</f>
        <v>0</v>
      </c>
      <c r="J533" cm="1">
        <f t="array" ref="J533">VLOOKUP($A533,Table_ship_components[],COLUMN(J:J),0)</f>
        <v>0</v>
      </c>
      <c r="K533" cm="1">
        <f t="array" ref="K533">VLOOKUP($A533,Table_ship_components[],COLUMN(K:K),0)</f>
        <v>0</v>
      </c>
      <c r="L533" cm="1">
        <f t="array" ref="L533">VLOOKUP($A533,Table_ship_components[],COLUMN(L:L),0)</f>
        <v>0</v>
      </c>
      <c r="M533" cm="1">
        <f t="array" ref="M533">VLOOKUP($A533,Table_ship_components[],COLUMN(M:M),0)</f>
        <v>0</v>
      </c>
      <c r="N533" cm="1">
        <f t="array" ref="N533">VLOOKUP($A533,Table_ship_components[],COLUMN(N:N),0)</f>
        <v>1</v>
      </c>
      <c r="O533" cm="1">
        <f t="array" ref="O533">VLOOKUP($A533,Table_ship_components[],COLUMN(O:O),0)</f>
        <v>0</v>
      </c>
      <c r="P533" cm="1">
        <f t="array" ref="P533">VLOOKUP($A533,Table_ship_components[],COLUMN(P:P),0)</f>
        <v>0</v>
      </c>
      <c r="Q533" cm="1">
        <f t="array" ref="Q533">VLOOKUP($A533,Table_ship_components[],COLUMN(Q:Q),0)</f>
        <v>0</v>
      </c>
      <c r="R533" cm="1">
        <f t="array" ref="R533">VLOOKUP($A533,Table_ship_components[],COLUMN(R:R),0)</f>
        <v>0</v>
      </c>
      <c r="S533" cm="1">
        <f t="array" ref="S533">VLOOKUP($A533,Table_ship_components[],COLUMN(S:S),0)</f>
        <v>0</v>
      </c>
      <c r="T533" cm="1">
        <f t="array" ref="T533">VLOOKUP($A533,Table_ship_components[],COLUMN(T:T),0)</f>
        <v>0</v>
      </c>
      <c r="U533" cm="1">
        <f t="array" ref="U533">VLOOKUP($A533,Table_ship_components[],COLUMN(U:U),0)</f>
        <v>1</v>
      </c>
      <c r="V533" cm="1">
        <f t="array" ref="V533">VLOOKUP($A533,Table_ship_components[],COLUMN(V:V),0)</f>
        <v>0.1</v>
      </c>
      <c r="W533" s="15" cm="1">
        <f t="array" ref="W533">VLOOKUP($A533,Table_ship_components[],COLUMN(W:W),0)</f>
        <v>3000</v>
      </c>
      <c r="X533" cm="1">
        <f t="array" ref="X533">VLOOKUP($A533,Table_ship_components[],COLUMN(X:X),0)</f>
        <v>0.1</v>
      </c>
      <c r="Y533" cm="1">
        <f t="array" ref="Y533">VLOOKUP($A533,Table_ship_components[],COLUMN(Y:Y),0)</f>
        <v>0</v>
      </c>
      <c r="Z533" cm="1">
        <f t="array" ref="Z533">VLOOKUP($A533,Table_ship_components[],COLUMN(Z:Z),0)</f>
        <v>0</v>
      </c>
      <c r="AA533" cm="1">
        <f t="array" ref="AA533">VLOOKUP($A533,Table_ship_components[],COLUMN(AA:AA),0)*C533</f>
        <v>0</v>
      </c>
      <c r="AB533">
        <f t="shared" si="50"/>
        <v>0</v>
      </c>
      <c r="AC533" cm="1">
        <f t="array" ref="AC533">VLOOKUP($A533,Table_ship_components[],COLUMN(AC:AC),0)*C533</f>
        <v>2</v>
      </c>
      <c r="AD533" cm="1">
        <f t="array" ref="AD533">VLOOKUP($A533,Table_ship_components[],COLUMN(AD:AD),0)</f>
        <v>10</v>
      </c>
      <c r="AE533" cm="1">
        <f t="array" ref="AE533">VLOOKUP($A533,Table_ship_components[],COLUMN(AE:AE),0)</f>
        <v>0</v>
      </c>
      <c r="AF533" cm="1">
        <f t="array" ref="AF533">VLOOKUP($A533,Table_ship_components[],COLUMN(AF:AF),0)</f>
        <v>0</v>
      </c>
      <c r="AG533" cm="1">
        <f t="array" ref="AG533">VLOOKUP($A533,Table_ship_components[],COLUMN(AG:AG),0)</f>
        <v>0</v>
      </c>
      <c r="AH533" cm="1">
        <f t="array" ref="AH533">VLOOKUP($A533,Table_ship_components[],COLUMN(AH:AH),0)</f>
        <v>0</v>
      </c>
      <c r="AI533" cm="1">
        <f t="array" ref="AI533">VLOOKUP($A533,Table_ship_components[],COLUMN(AI:AI),0)</f>
        <v>0</v>
      </c>
      <c r="AJ533" cm="1">
        <f t="array" ref="AJ533">VLOOKUP($A533,Table_ship_components[],COLUMN(AJ:AJ),0)</f>
        <v>0</v>
      </c>
      <c r="AK533" cm="1">
        <f t="array" ref="AK533">VLOOKUP($A533,Table_ship_components[],COLUMN(AK:AK),0)</f>
        <v>0</v>
      </c>
      <c r="AL533" cm="1">
        <f t="array" ref="AL533">VLOOKUP($A533,Table_ship_components[],COLUMN(AL:AL),0)</f>
        <v>0</v>
      </c>
      <c r="AM533" cm="1">
        <f t="array" ref="AM533">VLOOKUP($A533,Table_ship_components[],COLUMN(AM:AM),0)</f>
        <v>0</v>
      </c>
      <c r="AN533" cm="1">
        <f t="array" ref="AN533">VLOOKUP($A533,Table_ship_components[],COLUMN(AN:AN),0)</f>
        <v>0</v>
      </c>
      <c r="AO533" cm="1">
        <f t="array" ref="AO533">VLOOKUP($A533,Table_ship_components[],COLUMN(AO:AO),0)</f>
        <v>0</v>
      </c>
      <c r="AP533" cm="1">
        <f t="array" ref="AP533">VLOOKUP($A533,Table_ship_components[],COLUMN(AP:AP),0)</f>
        <v>0</v>
      </c>
      <c r="AQ533" cm="1">
        <f t="array" ref="AQ533">VLOOKUP($A533,Table_ship_components[],COLUMN(AQ:AQ),0)</f>
        <v>0</v>
      </c>
      <c r="AR533" cm="1">
        <f t="array" ref="AR533">VLOOKUP($A533,Table_ship_components[],COLUMN(AR:AR),0)</f>
        <v>0</v>
      </c>
      <c r="AS533" cm="1">
        <f t="array" ref="AS533">VLOOKUP($A533,Table_ship_components[],COLUMN(AS:AS),0)</f>
        <v>0</v>
      </c>
      <c r="AT533" cm="1">
        <f t="array" ref="AT533">VLOOKUP($A533,Table_ship_components[],COLUMN(AT:AT),0)</f>
        <v>0</v>
      </c>
      <c r="AU533" s="2" cm="1">
        <f t="array" ref="AU533">VLOOKUP($A533,Table_ship_components[],COLUMN(AU:AU),0)</f>
        <v>0</v>
      </c>
      <c r="AV533" s="2" cm="1">
        <f t="array" ref="AV533">VLOOKUP($A533,Table_ship_components[],COLUMN(AV:AV),0)</f>
        <v>0</v>
      </c>
      <c r="AW533" s="2" cm="1">
        <f t="array" ref="AW533">VLOOKUP($A533,Table_ship_components[],COLUMN(AW:AW),0)</f>
        <v>0</v>
      </c>
      <c r="AX533" s="2" cm="1">
        <f t="array" ref="AX533">VLOOKUP($A533,Table_ship_components[],COLUMN(AX:AX),0)</f>
        <v>0</v>
      </c>
      <c r="AY533" s="2" cm="1">
        <f t="array" ref="AY533">VLOOKUP($A533,Table_ship_components[],COLUMN(AY:AY),0)</f>
        <v>0</v>
      </c>
      <c r="AZ533" s="2" t="str" cm="1">
        <f t="array" ref="AZ533">VLOOKUP($A533,Table_ship_components[],COLUMN(AZ:AZ),0)</f>
        <v>C</v>
      </c>
      <c r="BA533" s="14" cm="1">
        <f t="array" ref="BA533">VLOOKUP($A533,Table_ship_components[],COLUMN(BA:BA),0)</f>
        <v>30000</v>
      </c>
      <c r="BB533" s="14" cm="1">
        <f t="array" ref="BB533">(VLOOKUP($A533,Table_ship_components[],COLUMN(BA:BA),0)+(W533*C533))</f>
        <v>36000</v>
      </c>
      <c r="BC533" s="2" cm="1">
        <f t="array" ref="BC533">VLOOKUP($A533,Table_ship_components[],COLUMN(BC:BC),0)</f>
        <v>0</v>
      </c>
      <c r="BD533" s="2" cm="1">
        <f t="array" ref="BD533">VLOOKUP($A533,Table_ship_components[],COLUMN(BD:BD),0)</f>
        <v>0</v>
      </c>
    </row>
    <row r="534" spans="1:56" outlineLevel="1" x14ac:dyDescent="0.35">
      <c r="A534" t="s">
        <v>315</v>
      </c>
      <c r="B534" t="str" cm="1">
        <f t="array" ref="B534">VLOOKUP($A534,Table_ship_components[],COLUMN(B:B),0)</f>
        <v>cargo space (1 HUGE item per unit)</v>
      </c>
      <c r="C534" s="2">
        <v>1</v>
      </c>
      <c r="D534" cm="1">
        <f t="array" ref="D534">VLOOKUP($A534,Table_ship_components[],COLUMN(D:D),0)</f>
        <v>0</v>
      </c>
      <c r="E534" cm="1">
        <f t="array" ref="E534">ROUND(VLOOKUP($A534,Table_ship_components[],COLUMN(D:D),0)+(V534*C534),0)</f>
        <v>1</v>
      </c>
      <c r="F534" cm="1">
        <f t="array" ref="F534">VLOOKUP($A534,Table_ship_components[],COLUMN(F:F),0)</f>
        <v>0</v>
      </c>
      <c r="G534" cm="1">
        <f t="array" ref="G534">ROUND(VLOOKUP($A534,Table_ship_components[],COLUMN(G:G),0)+(X534*C534),0)</f>
        <v>0</v>
      </c>
      <c r="H534" cm="1">
        <f t="array" ref="H534">VLOOKUP($A534,Table_ship_components[],COLUMN(H:H),0)</f>
        <v>0</v>
      </c>
      <c r="I534" cm="1">
        <f t="array" ref="I534">VLOOKUP($A534,Table_ship_components[],COLUMN(I:I),0)</f>
        <v>0</v>
      </c>
      <c r="J534" cm="1">
        <f t="array" ref="J534">VLOOKUP($A534,Table_ship_components[],COLUMN(J:J),0)</f>
        <v>0</v>
      </c>
      <c r="K534" cm="1">
        <f t="array" ref="K534">VLOOKUP($A534,Table_ship_components[],COLUMN(K:K),0)</f>
        <v>0</v>
      </c>
      <c r="L534" cm="1">
        <f t="array" ref="L534">VLOOKUP($A534,Table_ship_components[],COLUMN(L:L),0)</f>
        <v>0</v>
      </c>
      <c r="M534" cm="1">
        <f t="array" ref="M534">VLOOKUP($A534,Table_ship_components[],COLUMN(M:M),0)</f>
        <v>0</v>
      </c>
      <c r="N534" cm="1">
        <f t="array" ref="N534">VLOOKUP($A534,Table_ship_components[],COLUMN(N:N),0)</f>
        <v>1</v>
      </c>
      <c r="O534" cm="1">
        <f t="array" ref="O534">VLOOKUP($A534,Table_ship_components[],COLUMN(O:O),0)</f>
        <v>1</v>
      </c>
      <c r="P534" cm="1">
        <f t="array" ref="P534">VLOOKUP($A534,Table_ship_components[],COLUMN(P:P),0)</f>
        <v>1</v>
      </c>
      <c r="Q534" cm="1">
        <f t="array" ref="Q534">VLOOKUP($A534,Table_ship_components[],COLUMN(Q:Q),0)</f>
        <v>1</v>
      </c>
      <c r="R534" cm="1">
        <f t="array" ref="R534">VLOOKUP($A534,Table_ship_components[],COLUMN(R:R),0)</f>
        <v>1</v>
      </c>
      <c r="S534" cm="1">
        <f t="array" ref="S534">VLOOKUP($A534,Table_ship_components[],COLUMN(S:S),0)</f>
        <v>1</v>
      </c>
      <c r="T534" cm="1">
        <f t="array" ref="T534">VLOOKUP($A534,Table_ship_components[],COLUMN(T:T),0)</f>
        <v>1</v>
      </c>
      <c r="U534" cm="1">
        <f t="array" ref="U534">VLOOKUP($A534,Table_ship_components[],COLUMN(U:U),0)</f>
        <v>1</v>
      </c>
      <c r="V534" cm="1">
        <f t="array" ref="V534">VLOOKUP($A534,Table_ship_components[],COLUMN(V:V),0)</f>
        <v>1</v>
      </c>
      <c r="W534" s="15" cm="1">
        <f t="array" ref="W534">VLOOKUP($A534,Table_ship_components[],COLUMN(W:W),0)</f>
        <v>5000</v>
      </c>
      <c r="X534" cm="1">
        <f t="array" ref="X534">VLOOKUP($A534,Table_ship_components[],COLUMN(X:X),0)</f>
        <v>0</v>
      </c>
      <c r="Y534" cm="1">
        <f t="array" ref="Y534">VLOOKUP($A534,Table_ship_components[],COLUMN(Y:Y),0)</f>
        <v>0</v>
      </c>
      <c r="Z534" cm="1">
        <f t="array" ref="Z534">VLOOKUP($A534,Table_ship_components[],COLUMN(Z:Z),0)</f>
        <v>0</v>
      </c>
      <c r="AA534" cm="1">
        <f t="array" ref="AA534">VLOOKUP($A534,Table_ship_components[],COLUMN(AA:AA),0)*C534</f>
        <v>0</v>
      </c>
      <c r="AB534">
        <f t="shared" si="50"/>
        <v>1</v>
      </c>
      <c r="AC534" cm="1">
        <f t="array" ref="AC534">VLOOKUP($A534,Table_ship_components[],COLUMN(AC:AC),0)*C534</f>
        <v>0</v>
      </c>
      <c r="AD534" cm="1">
        <f t="array" ref="AD534">VLOOKUP($A534,Table_ship_components[],COLUMN(AD:AD),0)</f>
        <v>0</v>
      </c>
      <c r="AE534" cm="1">
        <f t="array" ref="AE534">VLOOKUP($A534,Table_ship_components[],COLUMN(AE:AE),0)</f>
        <v>0</v>
      </c>
      <c r="AF534" cm="1">
        <f t="array" ref="AF534">VLOOKUP($A534,Table_ship_components[],COLUMN(AF:AF),0)</f>
        <v>0</v>
      </c>
      <c r="AG534" cm="1">
        <f t="array" ref="AG534">VLOOKUP($A534,Table_ship_components[],COLUMN(AG:AG),0)</f>
        <v>0</v>
      </c>
      <c r="AH534" cm="1">
        <f t="array" ref="AH534">VLOOKUP($A534,Table_ship_components[],COLUMN(AH:AH),0)</f>
        <v>0</v>
      </c>
      <c r="AI534" cm="1">
        <f t="array" ref="AI534">VLOOKUP($A534,Table_ship_components[],COLUMN(AI:AI),0)</f>
        <v>0</v>
      </c>
      <c r="AJ534" cm="1">
        <f t="array" ref="AJ534">VLOOKUP($A534,Table_ship_components[],COLUMN(AJ:AJ),0)</f>
        <v>0</v>
      </c>
      <c r="AK534" cm="1">
        <f t="array" ref="AK534">VLOOKUP($A534,Table_ship_components[],COLUMN(AK:AK),0)</f>
        <v>0</v>
      </c>
      <c r="AL534" cm="1">
        <f t="array" ref="AL534">VLOOKUP($A534,Table_ship_components[],COLUMN(AL:AL),0)</f>
        <v>0</v>
      </c>
      <c r="AM534" cm="1">
        <f t="array" ref="AM534">VLOOKUP($A534,Table_ship_components[],COLUMN(AM:AM),0)</f>
        <v>0</v>
      </c>
      <c r="AN534" cm="1">
        <f t="array" ref="AN534">VLOOKUP($A534,Table_ship_components[],COLUMN(AN:AN),0)</f>
        <v>0</v>
      </c>
      <c r="AO534" cm="1">
        <f t="array" ref="AO534">VLOOKUP($A534,Table_ship_components[],COLUMN(AO:AO),0)</f>
        <v>0</v>
      </c>
      <c r="AP534" cm="1">
        <f t="array" ref="AP534">VLOOKUP($A534,Table_ship_components[],COLUMN(AP:AP),0)</f>
        <v>0</v>
      </c>
      <c r="AQ534" cm="1">
        <f t="array" ref="AQ534">VLOOKUP($A534,Table_ship_components[],COLUMN(AQ:AQ),0)</f>
        <v>0</v>
      </c>
      <c r="AR534" cm="1">
        <f t="array" ref="AR534">VLOOKUP($A534,Table_ship_components[],COLUMN(AR:AR),0)</f>
        <v>0</v>
      </c>
      <c r="AS534" cm="1">
        <f t="array" ref="AS534">VLOOKUP($A534,Table_ship_components[],COLUMN(AS:AS),0)</f>
        <v>0</v>
      </c>
      <c r="AT534" cm="1">
        <f t="array" ref="AT534">VLOOKUP($A534,Table_ship_components[],COLUMN(AT:AT),0)</f>
        <v>0</v>
      </c>
      <c r="AU534" s="2" cm="1">
        <f t="array" ref="AU534">VLOOKUP($A534,Table_ship_components[],COLUMN(AU:AU),0)</f>
        <v>0</v>
      </c>
      <c r="AV534" s="2" cm="1">
        <f t="array" ref="AV534">VLOOKUP($A534,Table_ship_components[],COLUMN(AV:AV),0)</f>
        <v>0</v>
      </c>
      <c r="AW534" s="2" cm="1">
        <f t="array" ref="AW534">VLOOKUP($A534,Table_ship_components[],COLUMN(AW:AW),0)</f>
        <v>0</v>
      </c>
      <c r="AX534" s="2" cm="1">
        <f t="array" ref="AX534">VLOOKUP($A534,Table_ship_components[],COLUMN(AX:AX),0)</f>
        <v>0</v>
      </c>
      <c r="AY534" s="2" cm="1">
        <f t="array" ref="AY534">VLOOKUP($A534,Table_ship_components[],COLUMN(AY:AY),0)</f>
        <v>0</v>
      </c>
      <c r="AZ534" s="2" t="str" cm="1">
        <f t="array" ref="AZ534">VLOOKUP($A534,Table_ship_components[],COLUMN(AZ:AZ),0)</f>
        <v>C</v>
      </c>
      <c r="BA534" s="14" cm="1">
        <f t="array" ref="BA534">VLOOKUP($A534,Table_ship_components[],COLUMN(BA:BA),0)</f>
        <v>5000</v>
      </c>
      <c r="BB534" s="14" cm="1">
        <f t="array" ref="BB534">(VLOOKUP($A534,Table_ship_components[],COLUMN(BA:BA),0)+(W534*C534))</f>
        <v>10000</v>
      </c>
      <c r="BC534" s="2" cm="1">
        <f t="array" ref="BC534">VLOOKUP($A534,Table_ship_components[],COLUMN(BC:BC),0)</f>
        <v>0</v>
      </c>
      <c r="BD534" s="2" cm="1">
        <f t="array" ref="BD534">VLOOKUP($A534,Table_ship_components[],COLUMN(BD:BD),0)</f>
        <v>0</v>
      </c>
    </row>
    <row r="535" spans="1:56" outlineLevel="1" x14ac:dyDescent="0.35">
      <c r="A535" s="18" t="s">
        <v>424</v>
      </c>
      <c r="B535" s="19" t="str">
        <f>CONCATENATE("SIZE ",(SUM(E536:E546)),"/",AX525,"  POWER ",(SUM(G536:G546)))</f>
        <v>SIZE 20/20  POWER 18</v>
      </c>
      <c r="AU535" s="2"/>
      <c r="AV535" s="2"/>
      <c r="AW535" s="2"/>
      <c r="AX535" s="2"/>
      <c r="AY535" s="2"/>
      <c r="AZ535" s="2"/>
      <c r="BA535" s="14"/>
      <c r="BB535" s="14"/>
      <c r="BC535" s="2"/>
      <c r="BD535" s="2"/>
    </row>
    <row r="536" spans="1:56" outlineLevel="1" x14ac:dyDescent="0.35">
      <c r="A536" t="s">
        <v>642</v>
      </c>
      <c r="B536" t="str" cm="1">
        <f t="array" ref="B536">VLOOKUP($A536,Table_ship_components[],COLUMN(B:B),0)</f>
        <v>low speed fighter combat engine</v>
      </c>
      <c r="D536" cm="1">
        <f t="array" ref="D536">VLOOKUP($A536,Table_ship_components[],COLUMN(D:D),0)</f>
        <v>3</v>
      </c>
      <c r="E536" cm="1">
        <f t="array" ref="E536">ROUND(VLOOKUP($A536,Table_ship_components[],COLUMN(D:D),0)+(V536*C536),0)</f>
        <v>3</v>
      </c>
      <c r="F536" cm="1">
        <f t="array" ref="F536">VLOOKUP($A536,Table_ship_components[],COLUMN(F:F),0)</f>
        <v>4</v>
      </c>
      <c r="G536" cm="1">
        <f t="array" ref="G536">ROUND(VLOOKUP($A536,Table_ship_components[],COLUMN(G:G),0)+(X536*C536),0)</f>
        <v>4</v>
      </c>
      <c r="H536" cm="1">
        <f t="array" ref="H536">VLOOKUP($A536,Table_ship_components[],COLUMN(H:H),0)</f>
        <v>0</v>
      </c>
      <c r="I536" cm="1">
        <f t="array" ref="I536">VLOOKUP($A536,Table_ship_components[],COLUMN(I:I),0)</f>
        <v>0</v>
      </c>
      <c r="J536" cm="1">
        <f t="array" ref="J536">VLOOKUP($A536,Table_ship_components[],COLUMN(J:J),0)</f>
        <v>0</v>
      </c>
      <c r="K536" cm="1">
        <f t="array" ref="K536">VLOOKUP($A536,Table_ship_components[],COLUMN(K:K),0)</f>
        <v>0</v>
      </c>
      <c r="L536" cm="1">
        <f t="array" ref="L536">VLOOKUP($A536,Table_ship_components[],COLUMN(L:L),0)</f>
        <v>0</v>
      </c>
      <c r="M536" cm="1">
        <f t="array" ref="M536">VLOOKUP($A536,Table_ship_components[],COLUMN(M:M),0)</f>
        <v>0</v>
      </c>
      <c r="N536" cm="1">
        <f t="array" ref="N536">VLOOKUP($A536,Table_ship_components[],COLUMN(N:N),0)</f>
        <v>1</v>
      </c>
      <c r="O536" cm="1">
        <f t="array" ref="O536">VLOOKUP($A536,Table_ship_components[],COLUMN(O:O),0)</f>
        <v>0</v>
      </c>
      <c r="P536" cm="1">
        <f t="array" ref="P536">VLOOKUP($A536,Table_ship_components[],COLUMN(P:P),0)</f>
        <v>0</v>
      </c>
      <c r="Q536" cm="1">
        <f t="array" ref="Q536">VLOOKUP($A536,Table_ship_components[],COLUMN(Q:Q),0)</f>
        <v>0</v>
      </c>
      <c r="R536" cm="1">
        <f t="array" ref="R536">VLOOKUP($A536,Table_ship_components[],COLUMN(R:R),0)</f>
        <v>0</v>
      </c>
      <c r="S536" cm="1">
        <f t="array" ref="S536">VLOOKUP($A536,Table_ship_components[],COLUMN(S:S),0)</f>
        <v>0</v>
      </c>
      <c r="T536" cm="1">
        <f t="array" ref="T536">VLOOKUP($A536,Table_ship_components[],COLUMN(T:T),0)</f>
        <v>0</v>
      </c>
      <c r="U536" cm="1">
        <f t="array" ref="U536">VLOOKUP($A536,Table_ship_components[],COLUMN(U:U),0)</f>
        <v>0</v>
      </c>
      <c r="V536" cm="1">
        <f t="array" ref="V536">VLOOKUP($A536,Table_ship_components[],COLUMN(V:V),0)</f>
        <v>0</v>
      </c>
      <c r="W536" s="15" cm="1">
        <f t="array" ref="W536">VLOOKUP($A536,Table_ship_components[],COLUMN(W:W),0)</f>
        <v>0</v>
      </c>
      <c r="X536" cm="1">
        <f t="array" ref="X536">VLOOKUP($A536,Table_ship_components[],COLUMN(X:X),0)</f>
        <v>0</v>
      </c>
      <c r="Y536" cm="1">
        <f t="array" ref="Y536">VLOOKUP($A536,Table_ship_components[],COLUMN(Y:Y),0)</f>
        <v>0</v>
      </c>
      <c r="Z536" cm="1">
        <f t="array" ref="Z536">VLOOKUP($A536,Table_ship_components[],COLUMN(Z:Z),0)</f>
        <v>0</v>
      </c>
      <c r="AA536" cm="1">
        <f t="array" ref="AA536">VLOOKUP($A536,Table_ship_components[],COLUMN(AA:AA),0)*C536</f>
        <v>0</v>
      </c>
      <c r="AB536">
        <f t="shared" ref="AB536:AB545" si="51">IF(A536="CARGOSPACE_0-ALL_0-UNIVERSAL",C536,0)</f>
        <v>0</v>
      </c>
      <c r="AC536" cm="1">
        <f t="array" ref="AC536">VLOOKUP($A536,Table_ship_components[],COLUMN(AC:AC),0)*C536</f>
        <v>0</v>
      </c>
      <c r="AD536" cm="1">
        <f t="array" ref="AD536">VLOOKUP($A536,Table_ship_components[],COLUMN(AD:AD),0)</f>
        <v>0</v>
      </c>
      <c r="AE536" cm="1">
        <f t="array" ref="AE536">VLOOKUP($A536,Table_ship_components[],COLUMN(AE:AE),0)</f>
        <v>0</v>
      </c>
      <c r="AF536" cm="1">
        <f t="array" ref="AF536">VLOOKUP($A536,Table_ship_components[],COLUMN(AF:AF),0)</f>
        <v>0</v>
      </c>
      <c r="AG536" cm="1">
        <f t="array" ref="AG536">VLOOKUP($A536,Table_ship_components[],COLUMN(AG:AG),0)</f>
        <v>0</v>
      </c>
      <c r="AH536" cm="1">
        <f t="array" ref="AH536">VLOOKUP($A536,Table_ship_components[],COLUMN(AH:AH),0)</f>
        <v>0</v>
      </c>
      <c r="AI536" cm="1">
        <f t="array" ref="AI536">VLOOKUP($A536,Table_ship_components[],COLUMN(AI:AI),0)</f>
        <v>0</v>
      </c>
      <c r="AJ536" cm="1">
        <f t="array" ref="AJ536">VLOOKUP($A536,Table_ship_components[],COLUMN(AJ:AJ),0)</f>
        <v>0</v>
      </c>
      <c r="AK536" cm="1">
        <f t="array" ref="AK536">VLOOKUP($A536,Table_ship_components[],COLUMN(AK:AK),0)</f>
        <v>0</v>
      </c>
      <c r="AL536" cm="1">
        <f t="array" ref="AL536">VLOOKUP($A536,Table_ship_components[],COLUMN(AL:AL),0)</f>
        <v>1</v>
      </c>
      <c r="AM536" cm="1">
        <f t="array" ref="AM536">VLOOKUP($A536,Table_ship_components[],COLUMN(AM:AM),0)</f>
        <v>0</v>
      </c>
      <c r="AN536" cm="1">
        <f t="array" ref="AN536">VLOOKUP($A536,Table_ship_components[],COLUMN(AN:AN),0)</f>
        <v>0</v>
      </c>
      <c r="AO536" cm="1">
        <f t="array" ref="AO536">VLOOKUP($A536,Table_ship_components[],COLUMN(AO:AO),0)</f>
        <v>0</v>
      </c>
      <c r="AP536" cm="1">
        <f t="array" ref="AP536">VLOOKUP($A536,Table_ship_components[],COLUMN(AP:AP),0)</f>
        <v>0</v>
      </c>
      <c r="AQ536" cm="1">
        <f t="array" ref="AQ536">VLOOKUP($A536,Table_ship_components[],COLUMN(AQ:AQ),0)</f>
        <v>0</v>
      </c>
      <c r="AR536" cm="1">
        <f t="array" ref="AR536">VLOOKUP($A536,Table_ship_components[],COLUMN(AR:AR),0)</f>
        <v>0</v>
      </c>
      <c r="AS536" cm="1">
        <f t="array" ref="AS536">VLOOKUP($A536,Table_ship_components[],COLUMN(AS:AS),0)</f>
        <v>0</v>
      </c>
      <c r="AT536" cm="1">
        <f t="array" ref="AT536">VLOOKUP($A536,Table_ship_components[],COLUMN(AT:AT),0)</f>
        <v>0</v>
      </c>
      <c r="AU536" s="2" cm="1">
        <f t="array" ref="AU536">VLOOKUP($A536,Table_ship_components[],COLUMN(AU:AU),0)</f>
        <v>2</v>
      </c>
      <c r="AV536" s="2" cm="1">
        <f t="array" ref="AV536">VLOOKUP($A536,Table_ship_components[],COLUMN(AV:AV),0)</f>
        <v>0</v>
      </c>
      <c r="AW536" s="2" cm="1">
        <f t="array" ref="AW536">VLOOKUP($A536,Table_ship_components[],COLUMN(AW:AW),0)</f>
        <v>0</v>
      </c>
      <c r="AX536" s="2" cm="1">
        <f t="array" ref="AX536">VLOOKUP($A536,Table_ship_components[],COLUMN(AX:AX),0)</f>
        <v>0</v>
      </c>
      <c r="AY536" s="2" cm="1">
        <f t="array" ref="AY536">VLOOKUP($A536,Table_ship_components[],COLUMN(AY:AY),0)</f>
        <v>0</v>
      </c>
      <c r="AZ536" s="2" t="str" cm="1">
        <f t="array" ref="AZ536">VLOOKUP($A536,Table_ship_components[],COLUMN(AZ:AZ),0)</f>
        <v>C</v>
      </c>
      <c r="BA536" s="14" cm="1">
        <f t="array" ref="BA536">VLOOKUP($A536,Table_ship_components[],COLUMN(BA:BA),0)</f>
        <v>200000</v>
      </c>
      <c r="BB536" s="14" cm="1">
        <f t="array" ref="BB536">(VLOOKUP($A536,Table_ship_components[],COLUMN(BA:BA),0)+(W536*C536))</f>
        <v>200000</v>
      </c>
      <c r="BC536" s="2" cm="1">
        <f t="array" ref="BC536">VLOOKUP($A536,Table_ship_components[],COLUMN(BC:BC),0)</f>
        <v>0</v>
      </c>
      <c r="BD536" s="2" cm="1">
        <f t="array" ref="BD536">VLOOKUP($A536,Table_ship_components[],COLUMN(BD:BD),0)</f>
        <v>0</v>
      </c>
    </row>
    <row r="537" spans="1:56" outlineLevel="1" x14ac:dyDescent="0.35">
      <c r="A537" t="s">
        <v>737</v>
      </c>
      <c r="B537" t="str" cm="1">
        <f t="array" ref="B537">VLOOKUP($A537,Table_ship_components[],COLUMN(B:B),0)</f>
        <v>average cockpit for fighters</v>
      </c>
      <c r="D537" cm="1">
        <f t="array" ref="D537">VLOOKUP($A537,Table_ship_components[],COLUMN(D:D),0)</f>
        <v>3</v>
      </c>
      <c r="E537" cm="1">
        <f t="array" ref="E537">ROUND(VLOOKUP($A537,Table_ship_components[],COLUMN(D:D),0)+(V537*C537),0)</f>
        <v>3</v>
      </c>
      <c r="F537" cm="1">
        <f t="array" ref="F537">VLOOKUP($A537,Table_ship_components[],COLUMN(F:F),0)</f>
        <v>2</v>
      </c>
      <c r="G537" cm="1">
        <f t="array" ref="G537">ROUND(VLOOKUP($A537,Table_ship_components[],COLUMN(G:G),0)+(X537*C537),0)</f>
        <v>2</v>
      </c>
      <c r="H537" cm="1">
        <f t="array" ref="H537">VLOOKUP($A537,Table_ship_components[],COLUMN(H:H),0)</f>
        <v>0</v>
      </c>
      <c r="I537" cm="1">
        <f t="array" ref="I537">VLOOKUP($A537,Table_ship_components[],COLUMN(I:I),0)</f>
        <v>0</v>
      </c>
      <c r="J537" cm="1">
        <f t="array" ref="J537">VLOOKUP($A537,Table_ship_components[],COLUMN(J:J),0)</f>
        <v>0</v>
      </c>
      <c r="K537" cm="1">
        <f t="array" ref="K537">VLOOKUP($A537,Table_ship_components[],COLUMN(K:K),0)</f>
        <v>0</v>
      </c>
      <c r="L537" cm="1">
        <f t="array" ref="L537">VLOOKUP($A537,Table_ship_components[],COLUMN(L:L),0)</f>
        <v>0</v>
      </c>
      <c r="M537" cm="1">
        <f t="array" ref="M537">VLOOKUP($A537,Table_ship_components[],COLUMN(M:M),0)</f>
        <v>0</v>
      </c>
      <c r="N537" cm="1">
        <f t="array" ref="N537">VLOOKUP($A537,Table_ship_components[],COLUMN(N:N),0)</f>
        <v>1</v>
      </c>
      <c r="O537" cm="1">
        <f t="array" ref="O537">VLOOKUP($A537,Table_ship_components[],COLUMN(O:O),0)</f>
        <v>0</v>
      </c>
      <c r="P537" cm="1">
        <f t="array" ref="P537">VLOOKUP($A537,Table_ship_components[],COLUMN(P:P),0)</f>
        <v>0</v>
      </c>
      <c r="Q537" cm="1">
        <f t="array" ref="Q537">VLOOKUP($A537,Table_ship_components[],COLUMN(Q:Q),0)</f>
        <v>0</v>
      </c>
      <c r="R537" cm="1">
        <f t="array" ref="R537">VLOOKUP($A537,Table_ship_components[],COLUMN(R:R),0)</f>
        <v>0</v>
      </c>
      <c r="S537" cm="1">
        <f t="array" ref="S537">VLOOKUP($A537,Table_ship_components[],COLUMN(S:S),0)</f>
        <v>0</v>
      </c>
      <c r="T537" cm="1">
        <f t="array" ref="T537">VLOOKUP($A537,Table_ship_components[],COLUMN(T:T),0)</f>
        <v>0</v>
      </c>
      <c r="U537" cm="1">
        <f t="array" ref="U537">VLOOKUP($A537,Table_ship_components[],COLUMN(U:U),0)</f>
        <v>0</v>
      </c>
      <c r="V537" cm="1">
        <f t="array" ref="V537">VLOOKUP($A537,Table_ship_components[],COLUMN(V:V),0)</f>
        <v>0</v>
      </c>
      <c r="W537" s="15" cm="1">
        <f t="array" ref="W537">VLOOKUP($A537,Table_ship_components[],COLUMN(W:W),0)</f>
        <v>0</v>
      </c>
      <c r="X537" cm="1">
        <f t="array" ref="X537">VLOOKUP($A537,Table_ship_components[],COLUMN(X:X),0)</f>
        <v>2</v>
      </c>
      <c r="Y537" cm="1">
        <f t="array" ref="Y537">VLOOKUP($A537,Table_ship_components[],COLUMN(Y:Y),0)</f>
        <v>1</v>
      </c>
      <c r="Z537" cm="1">
        <f t="array" ref="Z537">VLOOKUP($A537,Table_ship_components[],COLUMN(Z:Z),0)</f>
        <v>2</v>
      </c>
      <c r="AA537" cm="1">
        <f t="array" ref="AA537">VLOOKUP($A537,Table_ship_components[],COLUMN(AA:AA),0)*C537</f>
        <v>0</v>
      </c>
      <c r="AB537">
        <f t="shared" si="51"/>
        <v>0</v>
      </c>
      <c r="AC537" cm="1">
        <f t="array" ref="AC537">VLOOKUP($A537,Table_ship_components[],COLUMN(AC:AC),0)*C537</f>
        <v>0</v>
      </c>
      <c r="AD537" cm="1">
        <f t="array" ref="AD537">VLOOKUP($A537,Table_ship_components[],COLUMN(AD:AD),0)</f>
        <v>0</v>
      </c>
      <c r="AE537" cm="1">
        <f t="array" ref="AE537">VLOOKUP($A537,Table_ship_components[],COLUMN(AE:AE),0)</f>
        <v>0</v>
      </c>
      <c r="AF537" cm="1">
        <f t="array" ref="AF537">VLOOKUP($A537,Table_ship_components[],COLUMN(AF:AF),0)</f>
        <v>0</v>
      </c>
      <c r="AG537" cm="1">
        <f t="array" ref="AG537">VLOOKUP($A537,Table_ship_components[],COLUMN(AG:AG),0)</f>
        <v>0</v>
      </c>
      <c r="AH537" cm="1">
        <f t="array" ref="AH537">VLOOKUP($A537,Table_ship_components[],COLUMN(AH:AH),0)</f>
        <v>0</v>
      </c>
      <c r="AI537" cm="1">
        <f t="array" ref="AI537">VLOOKUP($A537,Table_ship_components[],COLUMN(AI:AI),0)</f>
        <v>0</v>
      </c>
      <c r="AJ537" cm="1">
        <f t="array" ref="AJ537">VLOOKUP($A537,Table_ship_components[],COLUMN(AJ:AJ),0)</f>
        <v>0</v>
      </c>
      <c r="AK537" cm="1">
        <f t="array" ref="AK537">VLOOKUP($A537,Table_ship_components[],COLUMN(AK:AK),0)</f>
        <v>0</v>
      </c>
      <c r="AL537" cm="1">
        <f t="array" ref="AL537">VLOOKUP($A537,Table_ship_components[],COLUMN(AL:AL),0)</f>
        <v>0</v>
      </c>
      <c r="AM537" cm="1">
        <f t="array" ref="AM537">VLOOKUP($A537,Table_ship_components[],COLUMN(AM:AM),0)</f>
        <v>0</v>
      </c>
      <c r="AN537" cm="1">
        <f t="array" ref="AN537">VLOOKUP($A537,Table_ship_components[],COLUMN(AN:AN),0)</f>
        <v>0</v>
      </c>
      <c r="AO537" cm="1">
        <f t="array" ref="AO537">VLOOKUP($A537,Table_ship_components[],COLUMN(AO:AO),0)</f>
        <v>0</v>
      </c>
      <c r="AP537" cm="1">
        <f t="array" ref="AP537">VLOOKUP($A537,Table_ship_components[],COLUMN(AP:AP),0)</f>
        <v>0</v>
      </c>
      <c r="AQ537" cm="1">
        <f t="array" ref="AQ537">VLOOKUP($A537,Table_ship_components[],COLUMN(AQ:AQ),0)</f>
        <v>0</v>
      </c>
      <c r="AR537" cm="1">
        <f t="array" ref="AR537">VLOOKUP($A537,Table_ship_components[],COLUMN(AR:AR),0)</f>
        <v>0</v>
      </c>
      <c r="AS537" cm="1">
        <f t="array" ref="AS537">VLOOKUP($A537,Table_ship_components[],COLUMN(AS:AS),0)</f>
        <v>1</v>
      </c>
      <c r="AT537" cm="1">
        <f t="array" ref="AT537">VLOOKUP($A537,Table_ship_components[],COLUMN(AT:AT),0)</f>
        <v>1</v>
      </c>
      <c r="AU537" s="2" cm="1">
        <f t="array" ref="AU537">VLOOKUP($A537,Table_ship_components[],COLUMN(AU:AU),0)</f>
        <v>0</v>
      </c>
      <c r="AV537" s="2" cm="1">
        <f t="array" ref="AV537">VLOOKUP($A537,Table_ship_components[],COLUMN(AV:AV),0)</f>
        <v>0</v>
      </c>
      <c r="AW537" s="2" cm="1">
        <f t="array" ref="AW537">VLOOKUP($A537,Table_ship_components[],COLUMN(AW:AW),0)</f>
        <v>0</v>
      </c>
      <c r="AX537" s="2" cm="1">
        <f t="array" ref="AX537">VLOOKUP($A537,Table_ship_components[],COLUMN(AX:AX),0)</f>
        <v>0</v>
      </c>
      <c r="AY537" s="2" cm="1">
        <f t="array" ref="AY537">VLOOKUP($A537,Table_ship_components[],COLUMN(AY:AY),0)</f>
        <v>0</v>
      </c>
      <c r="AZ537" s="2" t="str" cm="1">
        <f t="array" ref="AZ537">VLOOKUP($A537,Table_ship_components[],COLUMN(AZ:AZ),0)</f>
        <v>C</v>
      </c>
      <c r="BA537" s="14" cm="1">
        <f t="array" ref="BA537">VLOOKUP($A537,Table_ship_components[],COLUMN(BA:BA),0)</f>
        <v>100000</v>
      </c>
      <c r="BB537" s="14" cm="1">
        <f t="array" ref="BB537">(VLOOKUP($A537,Table_ship_components[],COLUMN(BA:BA),0)+(W537*C537))</f>
        <v>100000</v>
      </c>
      <c r="BC537" s="2" cm="1">
        <f t="array" ref="BC537">VLOOKUP($A537,Table_ship_components[],COLUMN(BC:BC),0)</f>
        <v>0</v>
      </c>
      <c r="BD537" s="2" cm="1">
        <f t="array" ref="BD537">VLOOKUP($A537,Table_ship_components[],COLUMN(BD:BD),0)</f>
        <v>0</v>
      </c>
    </row>
    <row r="538" spans="1:56" outlineLevel="1" x14ac:dyDescent="0.35">
      <c r="A538" t="s">
        <v>400</v>
      </c>
      <c r="B538" t="str" cm="1">
        <f t="array" ref="B538">VLOOKUP($A538,Table_ship_components[],COLUMN(B:B),0)</f>
        <v>good fighter radar and scans</v>
      </c>
      <c r="D538" cm="1">
        <f t="array" ref="D538">VLOOKUP($A538,Table_ship_components[],COLUMN(D:D),0)</f>
        <v>3</v>
      </c>
      <c r="E538" cm="1">
        <f t="array" ref="E538">ROUND(VLOOKUP($A538,Table_ship_components[],COLUMN(D:D),0)+(V538*C538),0)</f>
        <v>3</v>
      </c>
      <c r="F538" cm="1">
        <f t="array" ref="F538">VLOOKUP($A538,Table_ship_components[],COLUMN(F:F),0)</f>
        <v>4</v>
      </c>
      <c r="G538" cm="1">
        <f t="array" ref="G538">ROUND(VLOOKUP($A538,Table_ship_components[],COLUMN(G:G),0)+(X538*C538),0)</f>
        <v>4</v>
      </c>
      <c r="H538" cm="1">
        <f t="array" ref="H538">VLOOKUP($A538,Table_ship_components[],COLUMN(H:H),0)</f>
        <v>0</v>
      </c>
      <c r="I538" cm="1">
        <f t="array" ref="I538">VLOOKUP($A538,Table_ship_components[],COLUMN(I:I),0)</f>
        <v>0</v>
      </c>
      <c r="J538" cm="1">
        <f t="array" ref="J538">VLOOKUP($A538,Table_ship_components[],COLUMN(J:J),0)</f>
        <v>0</v>
      </c>
      <c r="K538" cm="1">
        <f t="array" ref="K538">VLOOKUP($A538,Table_ship_components[],COLUMN(K:K),0)</f>
        <v>0</v>
      </c>
      <c r="L538" cm="1">
        <f t="array" ref="L538">VLOOKUP($A538,Table_ship_components[],COLUMN(L:L),0)</f>
        <v>0</v>
      </c>
      <c r="M538" cm="1">
        <f t="array" ref="M538">VLOOKUP($A538,Table_ship_components[],COLUMN(M:M),0)</f>
        <v>0</v>
      </c>
      <c r="N538" cm="1">
        <f t="array" ref="N538">VLOOKUP($A538,Table_ship_components[],COLUMN(N:N),0)</f>
        <v>1</v>
      </c>
      <c r="O538" cm="1">
        <f t="array" ref="O538">VLOOKUP($A538,Table_ship_components[],COLUMN(O:O),0)</f>
        <v>0</v>
      </c>
      <c r="P538" cm="1">
        <f t="array" ref="P538">VLOOKUP($A538,Table_ship_components[],COLUMN(P:P),0)</f>
        <v>0</v>
      </c>
      <c r="Q538" cm="1">
        <f t="array" ref="Q538">VLOOKUP($A538,Table_ship_components[],COLUMN(Q:Q),0)</f>
        <v>0</v>
      </c>
      <c r="R538" cm="1">
        <f t="array" ref="R538">VLOOKUP($A538,Table_ship_components[],COLUMN(R:R),0)</f>
        <v>0</v>
      </c>
      <c r="S538" cm="1">
        <f t="array" ref="S538">VLOOKUP($A538,Table_ship_components[],COLUMN(S:S),0)</f>
        <v>0</v>
      </c>
      <c r="T538" cm="1">
        <f t="array" ref="T538">VLOOKUP($A538,Table_ship_components[],COLUMN(T:T),0)</f>
        <v>0</v>
      </c>
      <c r="U538" cm="1">
        <f t="array" ref="U538">VLOOKUP($A538,Table_ship_components[],COLUMN(U:U),0)</f>
        <v>0</v>
      </c>
      <c r="V538" cm="1">
        <f t="array" ref="V538">VLOOKUP($A538,Table_ship_components[],COLUMN(V:V),0)</f>
        <v>0</v>
      </c>
      <c r="W538" s="15" cm="1">
        <f t="array" ref="W538">VLOOKUP($A538,Table_ship_components[],COLUMN(W:W),0)</f>
        <v>0</v>
      </c>
      <c r="X538" cm="1">
        <f t="array" ref="X538">VLOOKUP($A538,Table_ship_components[],COLUMN(X:X),0)</f>
        <v>0</v>
      </c>
      <c r="Y538" cm="1">
        <f t="array" ref="Y538">VLOOKUP($A538,Table_ship_components[],COLUMN(Y:Y),0)</f>
        <v>0</v>
      </c>
      <c r="Z538" cm="1">
        <f t="array" ref="Z538">VLOOKUP($A538,Table_ship_components[],COLUMN(Z:Z),0)</f>
        <v>0</v>
      </c>
      <c r="AA538" cm="1">
        <f t="array" ref="AA538">VLOOKUP($A538,Table_ship_components[],COLUMN(AA:AA),0)*C538</f>
        <v>0</v>
      </c>
      <c r="AB538">
        <f t="shared" si="51"/>
        <v>0</v>
      </c>
      <c r="AC538" cm="1">
        <f t="array" ref="AC538">VLOOKUP($A538,Table_ship_components[],COLUMN(AC:AC),0)*C538</f>
        <v>0</v>
      </c>
      <c r="AD538" cm="1">
        <f t="array" ref="AD538">VLOOKUP($A538,Table_ship_components[],COLUMN(AD:AD),0)</f>
        <v>0</v>
      </c>
      <c r="AE538" cm="1">
        <f t="array" ref="AE538">VLOOKUP($A538,Table_ship_components[],COLUMN(AE:AE),0)</f>
        <v>0</v>
      </c>
      <c r="AF538" cm="1">
        <f t="array" ref="AF538">VLOOKUP($A538,Table_ship_components[],COLUMN(AF:AF),0)</f>
        <v>0</v>
      </c>
      <c r="AG538" cm="1">
        <f t="array" ref="AG538">VLOOKUP($A538,Table_ship_components[],COLUMN(AG:AG),0)</f>
        <v>0</v>
      </c>
      <c r="AH538" cm="1">
        <f t="array" ref="AH538">VLOOKUP($A538,Table_ship_components[],COLUMN(AH:AH),0)</f>
        <v>2000</v>
      </c>
      <c r="AI538" cm="1">
        <f t="array" ref="AI538">VLOOKUP($A538,Table_ship_components[],COLUMN(AI:AI),0)</f>
        <v>10000</v>
      </c>
      <c r="AJ538" cm="1">
        <f t="array" ref="AJ538">VLOOKUP($A538,Table_ship_components[],COLUMN(AJ:AJ),0)</f>
        <v>0</v>
      </c>
      <c r="AK538" cm="1">
        <f t="array" ref="AK538">VLOOKUP($A538,Table_ship_components[],COLUMN(AK:AK),0)</f>
        <v>0</v>
      </c>
      <c r="AL538" cm="1">
        <f t="array" ref="AL538">VLOOKUP($A538,Table_ship_components[],COLUMN(AL:AL),0)</f>
        <v>0</v>
      </c>
      <c r="AM538" cm="1">
        <f t="array" ref="AM538">VLOOKUP($A538,Table_ship_components[],COLUMN(AM:AM),0)</f>
        <v>0</v>
      </c>
      <c r="AN538" cm="1">
        <f t="array" ref="AN538">VLOOKUP($A538,Table_ship_components[],COLUMN(AN:AN),0)</f>
        <v>0</v>
      </c>
      <c r="AO538" cm="1">
        <f t="array" ref="AO538">VLOOKUP($A538,Table_ship_components[],COLUMN(AO:AO),0)</f>
        <v>0</v>
      </c>
      <c r="AP538" cm="1">
        <f t="array" ref="AP538">VLOOKUP($A538,Table_ship_components[],COLUMN(AP:AP),0)</f>
        <v>0</v>
      </c>
      <c r="AQ538" cm="1">
        <f t="array" ref="AQ538">VLOOKUP($A538,Table_ship_components[],COLUMN(AQ:AQ),0)</f>
        <v>0</v>
      </c>
      <c r="AR538" cm="1">
        <f t="array" ref="AR538">VLOOKUP($A538,Table_ship_components[],COLUMN(AR:AR),0)</f>
        <v>0</v>
      </c>
      <c r="AS538" cm="1">
        <f t="array" ref="AS538">VLOOKUP($A538,Table_ship_components[],COLUMN(AS:AS),0)</f>
        <v>1</v>
      </c>
      <c r="AT538" cm="1">
        <f t="array" ref="AT538">VLOOKUP($A538,Table_ship_components[],COLUMN(AT:AT),0)</f>
        <v>0</v>
      </c>
      <c r="AU538" s="2" cm="1">
        <f t="array" ref="AU538">VLOOKUP($A538,Table_ship_components[],COLUMN(AU:AU),0)</f>
        <v>0</v>
      </c>
      <c r="AV538" s="2" cm="1">
        <f t="array" ref="AV538">VLOOKUP($A538,Table_ship_components[],COLUMN(AV:AV),0)</f>
        <v>0</v>
      </c>
      <c r="AW538" s="2" cm="1">
        <f t="array" ref="AW538">VLOOKUP($A538,Table_ship_components[],COLUMN(AW:AW),0)</f>
        <v>0</v>
      </c>
      <c r="AX538" s="2" cm="1">
        <f t="array" ref="AX538">VLOOKUP($A538,Table_ship_components[],COLUMN(AX:AX),0)</f>
        <v>0</v>
      </c>
      <c r="AY538" s="2" cm="1">
        <f t="array" ref="AY538">VLOOKUP($A538,Table_ship_components[],COLUMN(AY:AY),0)</f>
        <v>0</v>
      </c>
      <c r="AZ538" s="2" t="str" cm="1">
        <f t="array" ref="AZ538">VLOOKUP($A538,Table_ship_components[],COLUMN(AZ:AZ),0)</f>
        <v>C</v>
      </c>
      <c r="BA538" s="14" cm="1">
        <f t="array" ref="BA538">VLOOKUP($A538,Table_ship_components[],COLUMN(BA:BA),0)</f>
        <v>350000</v>
      </c>
      <c r="BB538" s="14" cm="1">
        <f t="array" ref="BB538">(VLOOKUP($A538,Table_ship_components[],COLUMN(BA:BA),0)+(W538*C538))</f>
        <v>350000</v>
      </c>
      <c r="BC538" s="2" cm="1">
        <f t="array" ref="BC538">VLOOKUP($A538,Table_ship_components[],COLUMN(BC:BC),0)</f>
        <v>0</v>
      </c>
      <c r="BD538" s="2" cm="1">
        <f t="array" ref="BD538">VLOOKUP($A538,Table_ship_components[],COLUMN(BD:BD),0)</f>
        <v>0</v>
      </c>
    </row>
    <row r="539" spans="1:56" outlineLevel="1" x14ac:dyDescent="0.35">
      <c r="A539" t="s">
        <v>340</v>
      </c>
      <c r="B539" t="str" cm="1">
        <f t="array" ref="B539">VLOOKUP($A539,Table_ship_components[],COLUMN(B:B),0)</f>
        <v>good fighter shield</v>
      </c>
      <c r="D539" cm="1">
        <f t="array" ref="D539">VLOOKUP($A539,Table_ship_components[],COLUMN(D:D),0)</f>
        <v>7</v>
      </c>
      <c r="E539" cm="1">
        <f t="array" ref="E539">ROUND(VLOOKUP($A539,Table_ship_components[],COLUMN(D:D),0)+(V539*C539),0)</f>
        <v>7</v>
      </c>
      <c r="F539" cm="1">
        <f t="array" ref="F539">VLOOKUP($A539,Table_ship_components[],COLUMN(F:F),0)</f>
        <v>7</v>
      </c>
      <c r="G539" cm="1">
        <f t="array" ref="G539">ROUND(VLOOKUP($A539,Table_ship_components[],COLUMN(G:G),0)+(X539*C539),0)</f>
        <v>7</v>
      </c>
      <c r="H539" cm="1">
        <f t="array" ref="H539">VLOOKUP($A539,Table_ship_components[],COLUMN(H:H),0)</f>
        <v>0</v>
      </c>
      <c r="I539" cm="1">
        <f t="array" ref="I539">VLOOKUP($A539,Table_ship_components[],COLUMN(I:I),0)</f>
        <v>0</v>
      </c>
      <c r="J539" cm="1">
        <f t="array" ref="J539">VLOOKUP($A539,Table_ship_components[],COLUMN(J:J),0)</f>
        <v>0</v>
      </c>
      <c r="K539" cm="1">
        <f t="array" ref="K539">VLOOKUP($A539,Table_ship_components[],COLUMN(K:K),0)</f>
        <v>30</v>
      </c>
      <c r="L539" cm="1">
        <f t="array" ref="L539">VLOOKUP($A539,Table_ship_components[],COLUMN(L:L),0)</f>
        <v>7</v>
      </c>
      <c r="M539" cm="1">
        <f t="array" ref="M539">VLOOKUP($A539,Table_ship_components[],COLUMN(M:M),0)</f>
        <v>0</v>
      </c>
      <c r="N539" cm="1">
        <f t="array" ref="N539">VLOOKUP($A539,Table_ship_components[],COLUMN(N:N),0)</f>
        <v>1</v>
      </c>
      <c r="O539" cm="1">
        <f t="array" ref="O539">VLOOKUP($A539,Table_ship_components[],COLUMN(O:O),0)</f>
        <v>0</v>
      </c>
      <c r="P539" cm="1">
        <f t="array" ref="P539">VLOOKUP($A539,Table_ship_components[],COLUMN(P:P),0)</f>
        <v>0</v>
      </c>
      <c r="Q539" cm="1">
        <f t="array" ref="Q539">VLOOKUP($A539,Table_ship_components[],COLUMN(Q:Q),0)</f>
        <v>0</v>
      </c>
      <c r="R539" cm="1">
        <f t="array" ref="R539">VLOOKUP($A539,Table_ship_components[],COLUMN(R:R),0)</f>
        <v>0</v>
      </c>
      <c r="S539" cm="1">
        <f t="array" ref="S539">VLOOKUP($A539,Table_ship_components[],COLUMN(S:S),0)</f>
        <v>0</v>
      </c>
      <c r="T539" cm="1">
        <f t="array" ref="T539">VLOOKUP($A539,Table_ship_components[],COLUMN(T:T),0)</f>
        <v>0</v>
      </c>
      <c r="U539" cm="1">
        <f t="array" ref="U539">VLOOKUP($A539,Table_ship_components[],COLUMN(U:U),0)</f>
        <v>0</v>
      </c>
      <c r="V539" cm="1">
        <f t="array" ref="V539">VLOOKUP($A539,Table_ship_components[],COLUMN(V:V),0)</f>
        <v>0</v>
      </c>
      <c r="W539" s="15" cm="1">
        <f t="array" ref="W539">VLOOKUP($A539,Table_ship_components[],COLUMN(W:W),0)</f>
        <v>0</v>
      </c>
      <c r="X539" cm="1">
        <f t="array" ref="X539">VLOOKUP($A539,Table_ship_components[],COLUMN(X:X),0)</f>
        <v>0</v>
      </c>
      <c r="Y539" cm="1">
        <f t="array" ref="Y539">VLOOKUP($A539,Table_ship_components[],COLUMN(Y:Y),0)</f>
        <v>0</v>
      </c>
      <c r="Z539" cm="1">
        <f t="array" ref="Z539">VLOOKUP($A539,Table_ship_components[],COLUMN(Z:Z),0)</f>
        <v>0</v>
      </c>
      <c r="AA539" cm="1">
        <f t="array" ref="AA539">VLOOKUP($A539,Table_ship_components[],COLUMN(AA:AA),0)*C539</f>
        <v>0</v>
      </c>
      <c r="AB539">
        <f t="shared" si="51"/>
        <v>0</v>
      </c>
      <c r="AC539" cm="1">
        <f t="array" ref="AC539">VLOOKUP($A539,Table_ship_components[],COLUMN(AC:AC),0)*C539</f>
        <v>0</v>
      </c>
      <c r="AD539" cm="1">
        <f t="array" ref="AD539">VLOOKUP($A539,Table_ship_components[],COLUMN(AD:AD),0)</f>
        <v>0</v>
      </c>
      <c r="AE539" cm="1">
        <f t="array" ref="AE539">VLOOKUP($A539,Table_ship_components[],COLUMN(AE:AE),0)</f>
        <v>0</v>
      </c>
      <c r="AF539" cm="1">
        <f t="array" ref="AF539">VLOOKUP($A539,Table_ship_components[],COLUMN(AF:AF),0)</f>
        <v>0</v>
      </c>
      <c r="AG539" cm="1">
        <f t="array" ref="AG539">VLOOKUP($A539,Table_ship_components[],COLUMN(AG:AG),0)</f>
        <v>0</v>
      </c>
      <c r="AH539" cm="1">
        <f t="array" ref="AH539">VLOOKUP($A539,Table_ship_components[],COLUMN(AH:AH),0)</f>
        <v>0</v>
      </c>
      <c r="AI539" cm="1">
        <f t="array" ref="AI539">VLOOKUP($A539,Table_ship_components[],COLUMN(AI:AI),0)</f>
        <v>0</v>
      </c>
      <c r="AJ539" cm="1">
        <f t="array" ref="AJ539">VLOOKUP($A539,Table_ship_components[],COLUMN(AJ:AJ),0)</f>
        <v>0</v>
      </c>
      <c r="AK539" cm="1">
        <f t="array" ref="AK539">VLOOKUP($A539,Table_ship_components[],COLUMN(AK:AK),0)</f>
        <v>0</v>
      </c>
      <c r="AL539" cm="1">
        <f t="array" ref="AL539">VLOOKUP($A539,Table_ship_components[],COLUMN(AL:AL),0)</f>
        <v>0</v>
      </c>
      <c r="AM539" cm="1">
        <f t="array" ref="AM539">VLOOKUP($A539,Table_ship_components[],COLUMN(AM:AM),0)</f>
        <v>0</v>
      </c>
      <c r="AN539" cm="1">
        <f t="array" ref="AN539">VLOOKUP($A539,Table_ship_components[],COLUMN(AN:AN),0)</f>
        <v>0</v>
      </c>
      <c r="AO539" cm="1">
        <f t="array" ref="AO539">VLOOKUP($A539,Table_ship_components[],COLUMN(AO:AO),0)</f>
        <v>0</v>
      </c>
      <c r="AP539" cm="1">
        <f t="array" ref="AP539">VLOOKUP($A539,Table_ship_components[],COLUMN(AP:AP),0)</f>
        <v>0</v>
      </c>
      <c r="AQ539" cm="1">
        <f t="array" ref="AQ539">VLOOKUP($A539,Table_ship_components[],COLUMN(AQ:AQ),0)</f>
        <v>0</v>
      </c>
      <c r="AR539" cm="1">
        <f t="array" ref="AR539">VLOOKUP($A539,Table_ship_components[],COLUMN(AR:AR),0)</f>
        <v>0</v>
      </c>
      <c r="AS539" cm="1">
        <f t="array" ref="AS539">VLOOKUP($A539,Table_ship_components[],COLUMN(AS:AS),0)</f>
        <v>0</v>
      </c>
      <c r="AT539" cm="1">
        <f t="array" ref="AT539">VLOOKUP($A539,Table_ship_components[],COLUMN(AT:AT),0)</f>
        <v>0</v>
      </c>
      <c r="AU539" s="2" cm="1">
        <f t="array" ref="AU539">VLOOKUP($A539,Table_ship_components[],COLUMN(AU:AU),0)</f>
        <v>0</v>
      </c>
      <c r="AV539" s="2" cm="1">
        <f t="array" ref="AV539">VLOOKUP($A539,Table_ship_components[],COLUMN(AV:AV),0)</f>
        <v>0</v>
      </c>
      <c r="AW539" s="2" cm="1">
        <f t="array" ref="AW539">VLOOKUP($A539,Table_ship_components[],COLUMN(AW:AW),0)</f>
        <v>0</v>
      </c>
      <c r="AX539" s="2" cm="1">
        <f t="array" ref="AX539">VLOOKUP($A539,Table_ship_components[],COLUMN(AX:AX),0)</f>
        <v>0</v>
      </c>
      <c r="AY539" s="2" cm="1">
        <f t="array" ref="AY539">VLOOKUP($A539,Table_ship_components[],COLUMN(AY:AY),0)</f>
        <v>0</v>
      </c>
      <c r="AZ539" s="2" t="str" cm="1">
        <f t="array" ref="AZ539">VLOOKUP($A539,Table_ship_components[],COLUMN(AZ:AZ),0)</f>
        <v>C</v>
      </c>
      <c r="BA539" s="14" cm="1">
        <f t="array" ref="BA539">VLOOKUP($A539,Table_ship_components[],COLUMN(BA:BA),0)</f>
        <v>450000</v>
      </c>
      <c r="BB539" s="14" cm="1">
        <f t="array" ref="BB539">(VLOOKUP($A539,Table_ship_components[],COLUMN(BA:BA),0)+(W539*C539))</f>
        <v>450000</v>
      </c>
      <c r="BC539" s="2" cm="1">
        <f t="array" ref="BC539">VLOOKUP($A539,Table_ship_components[],COLUMN(BC:BC),0)</f>
        <v>0</v>
      </c>
      <c r="BD539" s="2" cm="1">
        <f t="array" ref="BD539">VLOOKUP($A539,Table_ship_components[],COLUMN(BD:BD),0)</f>
        <v>0</v>
      </c>
    </row>
    <row r="540" spans="1:56" outlineLevel="1" x14ac:dyDescent="0.35">
      <c r="A540" t="s">
        <v>315</v>
      </c>
      <c r="B540" t="str" cm="1">
        <f t="array" ref="B540">VLOOKUP($A540,Table_ship_components[],COLUMN(B:B),0)</f>
        <v>cargo space (1 HUGE item per unit)</v>
      </c>
      <c r="C540" s="2">
        <v>1</v>
      </c>
      <c r="D540" cm="1">
        <f t="array" ref="D540">VLOOKUP($A540,Table_ship_components[],COLUMN(D:D),0)</f>
        <v>0</v>
      </c>
      <c r="E540" cm="1">
        <f t="array" ref="E540">ROUND(VLOOKUP($A540,Table_ship_components[],COLUMN(D:D),0)+(V540*C540),0)</f>
        <v>1</v>
      </c>
      <c r="F540" cm="1">
        <f t="array" ref="F540">VLOOKUP($A540,Table_ship_components[],COLUMN(F:F),0)</f>
        <v>0</v>
      </c>
      <c r="G540" cm="1">
        <f t="array" ref="G540">ROUND(VLOOKUP($A540,Table_ship_components[],COLUMN(G:G),0)+(X540*C540),0)</f>
        <v>0</v>
      </c>
      <c r="H540" cm="1">
        <f t="array" ref="H540">VLOOKUP($A540,Table_ship_components[],COLUMN(H:H),0)</f>
        <v>0</v>
      </c>
      <c r="I540" cm="1">
        <f t="array" ref="I540">VLOOKUP($A540,Table_ship_components[],COLUMN(I:I),0)</f>
        <v>0</v>
      </c>
      <c r="J540" cm="1">
        <f t="array" ref="J540">VLOOKUP($A540,Table_ship_components[],COLUMN(J:J),0)</f>
        <v>0</v>
      </c>
      <c r="K540" cm="1">
        <f t="array" ref="K540">VLOOKUP($A540,Table_ship_components[],COLUMN(K:K),0)</f>
        <v>0</v>
      </c>
      <c r="L540" cm="1">
        <f t="array" ref="L540">VLOOKUP($A540,Table_ship_components[],COLUMN(L:L),0)</f>
        <v>0</v>
      </c>
      <c r="M540" cm="1">
        <f t="array" ref="M540">VLOOKUP($A540,Table_ship_components[],COLUMN(M:M),0)</f>
        <v>0</v>
      </c>
      <c r="N540" cm="1">
        <f t="array" ref="N540">VLOOKUP($A540,Table_ship_components[],COLUMN(N:N),0)</f>
        <v>1</v>
      </c>
      <c r="O540" cm="1">
        <f t="array" ref="O540">VLOOKUP($A540,Table_ship_components[],COLUMN(O:O),0)</f>
        <v>1</v>
      </c>
      <c r="P540" cm="1">
        <f t="array" ref="P540">VLOOKUP($A540,Table_ship_components[],COLUMN(P:P),0)</f>
        <v>1</v>
      </c>
      <c r="Q540" cm="1">
        <f t="array" ref="Q540">VLOOKUP($A540,Table_ship_components[],COLUMN(Q:Q),0)</f>
        <v>1</v>
      </c>
      <c r="R540" cm="1">
        <f t="array" ref="R540">VLOOKUP($A540,Table_ship_components[],COLUMN(R:R),0)</f>
        <v>1</v>
      </c>
      <c r="S540" cm="1">
        <f t="array" ref="S540">VLOOKUP($A540,Table_ship_components[],COLUMN(S:S),0)</f>
        <v>1</v>
      </c>
      <c r="T540" cm="1">
        <f t="array" ref="T540">VLOOKUP($A540,Table_ship_components[],COLUMN(T:T),0)</f>
        <v>1</v>
      </c>
      <c r="U540" cm="1">
        <f t="array" ref="U540">VLOOKUP($A540,Table_ship_components[],COLUMN(U:U),0)</f>
        <v>1</v>
      </c>
      <c r="V540" cm="1">
        <f t="array" ref="V540">VLOOKUP($A540,Table_ship_components[],COLUMN(V:V),0)</f>
        <v>1</v>
      </c>
      <c r="W540" s="15" cm="1">
        <f t="array" ref="W540">VLOOKUP($A540,Table_ship_components[],COLUMN(W:W),0)</f>
        <v>5000</v>
      </c>
      <c r="X540" cm="1">
        <f t="array" ref="X540">VLOOKUP($A540,Table_ship_components[],COLUMN(X:X),0)</f>
        <v>0</v>
      </c>
      <c r="Y540" cm="1">
        <f t="array" ref="Y540">VLOOKUP($A540,Table_ship_components[],COLUMN(Y:Y),0)</f>
        <v>0</v>
      </c>
      <c r="Z540" cm="1">
        <f t="array" ref="Z540">VLOOKUP($A540,Table_ship_components[],COLUMN(Z:Z),0)</f>
        <v>0</v>
      </c>
      <c r="AA540" cm="1">
        <f t="array" ref="AA540">VLOOKUP($A540,Table_ship_components[],COLUMN(AA:AA),0)*C540</f>
        <v>0</v>
      </c>
      <c r="AB540">
        <f t="shared" si="51"/>
        <v>1</v>
      </c>
      <c r="AC540" cm="1">
        <f t="array" ref="AC540">VLOOKUP($A540,Table_ship_components[],COLUMN(AC:AC),0)*C540</f>
        <v>0</v>
      </c>
      <c r="AD540" cm="1">
        <f t="array" ref="AD540">VLOOKUP($A540,Table_ship_components[],COLUMN(AD:AD),0)</f>
        <v>0</v>
      </c>
      <c r="AE540" cm="1">
        <f t="array" ref="AE540">VLOOKUP($A540,Table_ship_components[],COLUMN(AE:AE),0)</f>
        <v>0</v>
      </c>
      <c r="AF540" cm="1">
        <f t="array" ref="AF540">VLOOKUP($A540,Table_ship_components[],COLUMN(AF:AF),0)</f>
        <v>0</v>
      </c>
      <c r="AG540" cm="1">
        <f t="array" ref="AG540">VLOOKUP($A540,Table_ship_components[],COLUMN(AG:AG),0)</f>
        <v>0</v>
      </c>
      <c r="AH540" cm="1">
        <f t="array" ref="AH540">VLOOKUP($A540,Table_ship_components[],COLUMN(AH:AH),0)</f>
        <v>0</v>
      </c>
      <c r="AI540" cm="1">
        <f t="array" ref="AI540">VLOOKUP($A540,Table_ship_components[],COLUMN(AI:AI),0)</f>
        <v>0</v>
      </c>
      <c r="AJ540" cm="1">
        <f t="array" ref="AJ540">VLOOKUP($A540,Table_ship_components[],COLUMN(AJ:AJ),0)</f>
        <v>0</v>
      </c>
      <c r="AK540" cm="1">
        <f t="array" ref="AK540">VLOOKUP($A540,Table_ship_components[],COLUMN(AK:AK),0)</f>
        <v>0</v>
      </c>
      <c r="AL540" cm="1">
        <f t="array" ref="AL540">VLOOKUP($A540,Table_ship_components[],COLUMN(AL:AL),0)</f>
        <v>0</v>
      </c>
      <c r="AM540" cm="1">
        <f t="array" ref="AM540">VLOOKUP($A540,Table_ship_components[],COLUMN(AM:AM),0)</f>
        <v>0</v>
      </c>
      <c r="AN540" cm="1">
        <f t="array" ref="AN540">VLOOKUP($A540,Table_ship_components[],COLUMN(AN:AN),0)</f>
        <v>0</v>
      </c>
      <c r="AO540" cm="1">
        <f t="array" ref="AO540">VLOOKUP($A540,Table_ship_components[],COLUMN(AO:AO),0)</f>
        <v>0</v>
      </c>
      <c r="AP540" cm="1">
        <f t="array" ref="AP540">VLOOKUP($A540,Table_ship_components[],COLUMN(AP:AP),0)</f>
        <v>0</v>
      </c>
      <c r="AQ540" cm="1">
        <f t="array" ref="AQ540">VLOOKUP($A540,Table_ship_components[],COLUMN(AQ:AQ),0)</f>
        <v>0</v>
      </c>
      <c r="AR540" cm="1">
        <f t="array" ref="AR540">VLOOKUP($A540,Table_ship_components[],COLUMN(AR:AR),0)</f>
        <v>0</v>
      </c>
      <c r="AS540" cm="1">
        <f t="array" ref="AS540">VLOOKUP($A540,Table_ship_components[],COLUMN(AS:AS),0)</f>
        <v>0</v>
      </c>
      <c r="AT540" cm="1">
        <f t="array" ref="AT540">VLOOKUP($A540,Table_ship_components[],COLUMN(AT:AT),0)</f>
        <v>0</v>
      </c>
      <c r="AU540" s="2" cm="1">
        <f t="array" ref="AU540">VLOOKUP($A540,Table_ship_components[],COLUMN(AU:AU),0)</f>
        <v>0</v>
      </c>
      <c r="AV540" s="2" cm="1">
        <f t="array" ref="AV540">VLOOKUP($A540,Table_ship_components[],COLUMN(AV:AV),0)</f>
        <v>0</v>
      </c>
      <c r="AW540" s="2" cm="1">
        <f t="array" ref="AW540">VLOOKUP($A540,Table_ship_components[],COLUMN(AW:AW),0)</f>
        <v>0</v>
      </c>
      <c r="AX540" s="2" cm="1">
        <f t="array" ref="AX540">VLOOKUP($A540,Table_ship_components[],COLUMN(AX:AX),0)</f>
        <v>0</v>
      </c>
      <c r="AY540" s="2" cm="1">
        <f t="array" ref="AY540">VLOOKUP($A540,Table_ship_components[],COLUMN(AY:AY),0)</f>
        <v>0</v>
      </c>
      <c r="AZ540" s="2" t="str" cm="1">
        <f t="array" ref="AZ540">VLOOKUP($A540,Table_ship_components[],COLUMN(AZ:AZ),0)</f>
        <v>C</v>
      </c>
      <c r="BA540" s="14" cm="1">
        <f t="array" ref="BA540">VLOOKUP($A540,Table_ship_components[],COLUMN(BA:BA),0)</f>
        <v>5000</v>
      </c>
      <c r="BB540" s="14" cm="1">
        <f t="array" ref="BB540">(VLOOKUP($A540,Table_ship_components[],COLUMN(BA:BA),0)+(W540*C540))</f>
        <v>10000</v>
      </c>
      <c r="BC540" s="2" cm="1">
        <f t="array" ref="BC540">VLOOKUP($A540,Table_ship_components[],COLUMN(BC:BC),0)</f>
        <v>0</v>
      </c>
      <c r="BD540" s="2" cm="1">
        <f t="array" ref="BD540">VLOOKUP($A540,Table_ship_components[],COLUMN(BD:BD),0)</f>
        <v>0</v>
      </c>
    </row>
    <row r="541" spans="1:56" outlineLevel="1" x14ac:dyDescent="0.35">
      <c r="A541" t="s">
        <v>387</v>
      </c>
      <c r="B541" t="str" cm="1">
        <f t="array" ref="B541">VLOOKUP($A541,Table_ship_components[],COLUMN(B:B),0)</f>
        <v>basic fighter energy bank</v>
      </c>
      <c r="D541" cm="1">
        <f t="array" ref="D541">VLOOKUP($A541,Table_ship_components[],COLUMN(D:D),0)</f>
        <v>2</v>
      </c>
      <c r="E541" cm="1">
        <f t="array" ref="E541">ROUND(VLOOKUP($A541,Table_ship_components[],COLUMN(D:D),0)+(V541*C541),0)</f>
        <v>2</v>
      </c>
      <c r="F541" cm="1">
        <f t="array" ref="F541">VLOOKUP($A541,Table_ship_components[],COLUMN(F:F),0)</f>
        <v>0</v>
      </c>
      <c r="G541" cm="1">
        <f t="array" ref="G541">ROUND(VLOOKUP($A541,Table_ship_components[],COLUMN(G:G),0)+(X541*C541),0)</f>
        <v>0</v>
      </c>
      <c r="H541" cm="1">
        <f t="array" ref="H541">VLOOKUP($A541,Table_ship_components[],COLUMN(H:H),0)</f>
        <v>0</v>
      </c>
      <c r="I541" cm="1">
        <f t="array" ref="I541">VLOOKUP($A541,Table_ship_components[],COLUMN(I:I),0)</f>
        <v>0</v>
      </c>
      <c r="J541" cm="1">
        <f t="array" ref="J541">VLOOKUP($A541,Table_ship_components[],COLUMN(J:J),0)</f>
        <v>3</v>
      </c>
      <c r="K541" cm="1">
        <f t="array" ref="K541">VLOOKUP($A541,Table_ship_components[],COLUMN(K:K),0)</f>
        <v>0</v>
      </c>
      <c r="L541" cm="1">
        <f t="array" ref="L541">VLOOKUP($A541,Table_ship_components[],COLUMN(L:L),0)</f>
        <v>0</v>
      </c>
      <c r="M541" cm="1">
        <f t="array" ref="M541">VLOOKUP($A541,Table_ship_components[],COLUMN(M:M),0)</f>
        <v>0</v>
      </c>
      <c r="N541" cm="1">
        <f t="array" ref="N541">VLOOKUP($A541,Table_ship_components[],COLUMN(N:N),0)</f>
        <v>1</v>
      </c>
      <c r="O541" cm="1">
        <f t="array" ref="O541">VLOOKUP($A541,Table_ship_components[],COLUMN(O:O),0)</f>
        <v>0</v>
      </c>
      <c r="P541" cm="1">
        <f t="array" ref="P541">VLOOKUP($A541,Table_ship_components[],COLUMN(P:P),0)</f>
        <v>0</v>
      </c>
      <c r="Q541" cm="1">
        <f t="array" ref="Q541">VLOOKUP($A541,Table_ship_components[],COLUMN(Q:Q),0)</f>
        <v>0</v>
      </c>
      <c r="R541" cm="1">
        <f t="array" ref="R541">VLOOKUP($A541,Table_ship_components[],COLUMN(R:R),0)</f>
        <v>0</v>
      </c>
      <c r="S541" cm="1">
        <f t="array" ref="S541">VLOOKUP($A541,Table_ship_components[],COLUMN(S:S),0)</f>
        <v>0</v>
      </c>
      <c r="T541" cm="1">
        <f t="array" ref="T541">VLOOKUP($A541,Table_ship_components[],COLUMN(T:T),0)</f>
        <v>0</v>
      </c>
      <c r="U541" cm="1">
        <f t="array" ref="U541">VLOOKUP($A541,Table_ship_components[],COLUMN(U:U),0)</f>
        <v>0</v>
      </c>
      <c r="V541" cm="1">
        <f t="array" ref="V541">VLOOKUP($A541,Table_ship_components[],COLUMN(V:V),0)</f>
        <v>0</v>
      </c>
      <c r="W541" s="15" cm="1">
        <f t="array" ref="W541">VLOOKUP($A541,Table_ship_components[],COLUMN(W:W),0)</f>
        <v>0</v>
      </c>
      <c r="X541" cm="1">
        <f t="array" ref="X541">VLOOKUP($A541,Table_ship_components[],COLUMN(X:X),0)</f>
        <v>0</v>
      </c>
      <c r="Y541" cm="1">
        <f t="array" ref="Y541">VLOOKUP($A541,Table_ship_components[],COLUMN(Y:Y),0)</f>
        <v>0</v>
      </c>
      <c r="Z541" cm="1">
        <f t="array" ref="Z541">VLOOKUP($A541,Table_ship_components[],COLUMN(Z:Z),0)</f>
        <v>0</v>
      </c>
      <c r="AA541" cm="1">
        <f t="array" ref="AA541">VLOOKUP($A541,Table_ship_components[],COLUMN(AA:AA),0)*C541</f>
        <v>0</v>
      </c>
      <c r="AB541">
        <f t="shared" si="51"/>
        <v>0</v>
      </c>
      <c r="AC541" cm="1">
        <f t="array" ref="AC541">VLOOKUP($A541,Table_ship_components[],COLUMN(AC:AC),0)*C541</f>
        <v>0</v>
      </c>
      <c r="AD541" cm="1">
        <f t="array" ref="AD541">VLOOKUP($A541,Table_ship_components[],COLUMN(AD:AD),0)</f>
        <v>0</v>
      </c>
      <c r="AE541" cm="1">
        <f t="array" ref="AE541">VLOOKUP($A541,Table_ship_components[],COLUMN(AE:AE),0)</f>
        <v>0</v>
      </c>
      <c r="AF541" cm="1">
        <f t="array" ref="AF541">VLOOKUP($A541,Table_ship_components[],COLUMN(AF:AF),0)</f>
        <v>0</v>
      </c>
      <c r="AG541" cm="1">
        <f t="array" ref="AG541">VLOOKUP($A541,Table_ship_components[],COLUMN(AG:AG),0)</f>
        <v>0</v>
      </c>
      <c r="AH541" cm="1">
        <f t="array" ref="AH541">VLOOKUP($A541,Table_ship_components[],COLUMN(AH:AH),0)</f>
        <v>0</v>
      </c>
      <c r="AI541" cm="1">
        <f t="array" ref="AI541">VLOOKUP($A541,Table_ship_components[],COLUMN(AI:AI),0)</f>
        <v>0</v>
      </c>
      <c r="AJ541" cm="1">
        <f t="array" ref="AJ541">VLOOKUP($A541,Table_ship_components[],COLUMN(AJ:AJ),0)</f>
        <v>0</v>
      </c>
      <c r="AK541" cm="1">
        <f t="array" ref="AK541">VLOOKUP($A541,Table_ship_components[],COLUMN(AK:AK),0)</f>
        <v>0</v>
      </c>
      <c r="AL541" cm="1">
        <f t="array" ref="AL541">VLOOKUP($A541,Table_ship_components[],COLUMN(AL:AL),0)</f>
        <v>0</v>
      </c>
      <c r="AM541" cm="1">
        <f t="array" ref="AM541">VLOOKUP($A541,Table_ship_components[],COLUMN(AM:AM),0)</f>
        <v>0</v>
      </c>
      <c r="AN541" cm="1">
        <f t="array" ref="AN541">VLOOKUP($A541,Table_ship_components[],COLUMN(AN:AN),0)</f>
        <v>0</v>
      </c>
      <c r="AO541" cm="1">
        <f t="array" ref="AO541">VLOOKUP($A541,Table_ship_components[],COLUMN(AO:AO),0)</f>
        <v>0</v>
      </c>
      <c r="AP541" cm="1">
        <f t="array" ref="AP541">VLOOKUP($A541,Table_ship_components[],COLUMN(AP:AP),0)</f>
        <v>0</v>
      </c>
      <c r="AQ541" cm="1">
        <f t="array" ref="AQ541">VLOOKUP($A541,Table_ship_components[],COLUMN(AQ:AQ),0)</f>
        <v>0</v>
      </c>
      <c r="AR541" cm="1">
        <f t="array" ref="AR541">VLOOKUP($A541,Table_ship_components[],COLUMN(AR:AR),0)</f>
        <v>0</v>
      </c>
      <c r="AS541" cm="1">
        <f t="array" ref="AS541">VLOOKUP($A541,Table_ship_components[],COLUMN(AS:AS),0)</f>
        <v>0</v>
      </c>
      <c r="AT541" cm="1">
        <f t="array" ref="AT541">VLOOKUP($A541,Table_ship_components[],COLUMN(AT:AT),0)</f>
        <v>0</v>
      </c>
      <c r="AU541" s="2" cm="1">
        <f t="array" ref="AU541">VLOOKUP($A541,Table_ship_components[],COLUMN(AU:AU),0)</f>
        <v>0</v>
      </c>
      <c r="AV541" s="2" cm="1">
        <f t="array" ref="AV541">VLOOKUP($A541,Table_ship_components[],COLUMN(AV:AV),0)</f>
        <v>0</v>
      </c>
      <c r="AW541" s="2" cm="1">
        <f t="array" ref="AW541">VLOOKUP($A541,Table_ship_components[],COLUMN(AW:AW),0)</f>
        <v>0</v>
      </c>
      <c r="AX541" s="2" cm="1">
        <f t="array" ref="AX541">VLOOKUP($A541,Table_ship_components[],COLUMN(AX:AX),0)</f>
        <v>0</v>
      </c>
      <c r="AY541" s="2" cm="1">
        <f t="array" ref="AY541">VLOOKUP($A541,Table_ship_components[],COLUMN(AY:AY),0)</f>
        <v>0</v>
      </c>
      <c r="AZ541" s="2" t="str" cm="1">
        <f t="array" ref="AZ541">VLOOKUP($A541,Table_ship_components[],COLUMN(AZ:AZ),0)</f>
        <v>C</v>
      </c>
      <c r="BA541" s="14" cm="1">
        <f t="array" ref="BA541">VLOOKUP($A541,Table_ship_components[],COLUMN(BA:BA),0)</f>
        <v>40000</v>
      </c>
      <c r="BB541" s="14" cm="1">
        <f t="array" ref="BB541">(VLOOKUP($A541,Table_ship_components[],COLUMN(BA:BA),0)+(W541*C541))</f>
        <v>40000</v>
      </c>
      <c r="BC541" s="2" cm="1">
        <f t="array" ref="BC541">VLOOKUP($A541,Table_ship_components[],COLUMN(BC:BC),0)</f>
        <v>0</v>
      </c>
      <c r="BD541" s="2" cm="1">
        <f t="array" ref="BD541">VLOOKUP($A541,Table_ship_components[],COLUMN(BD:BD),0)</f>
        <v>0</v>
      </c>
    </row>
    <row r="542" spans="1:56" outlineLevel="1" x14ac:dyDescent="0.35">
      <c r="A542" t="s">
        <v>437</v>
      </c>
      <c r="B542" t="str" cm="1">
        <f t="array" ref="B542">VLOOKUP($A542,Table_ship_components[],COLUMN(B:B),0)</f>
        <v>basic fighter warfare computer</v>
      </c>
      <c r="D542" cm="1">
        <f t="array" ref="D542">VLOOKUP($A542,Table_ship_components[],COLUMN(D:D),0)</f>
        <v>1</v>
      </c>
      <c r="E542" cm="1">
        <f t="array" ref="E542">ROUND(VLOOKUP($A542,Table_ship_components[],COLUMN(D:D),0)+(V542*C542),0)</f>
        <v>1</v>
      </c>
      <c r="F542" cm="1">
        <f t="array" ref="F542">VLOOKUP($A542,Table_ship_components[],COLUMN(F:F),0)</f>
        <v>1</v>
      </c>
      <c r="G542" cm="1">
        <f t="array" ref="G542">ROUND(VLOOKUP($A542,Table_ship_components[],COLUMN(G:G),0)+(X542*C542),0)</f>
        <v>1</v>
      </c>
      <c r="H542" cm="1">
        <f t="array" ref="H542">VLOOKUP($A542,Table_ship_components[],COLUMN(H:H),0)</f>
        <v>0</v>
      </c>
      <c r="I542" cm="1">
        <f t="array" ref="I542">VLOOKUP($A542,Table_ship_components[],COLUMN(I:I),0)</f>
        <v>0</v>
      </c>
      <c r="J542" cm="1">
        <f t="array" ref="J542">VLOOKUP($A542,Table_ship_components[],COLUMN(J:J),0)</f>
        <v>0</v>
      </c>
      <c r="K542" cm="1">
        <f t="array" ref="K542">VLOOKUP($A542,Table_ship_components[],COLUMN(K:K),0)</f>
        <v>0</v>
      </c>
      <c r="L542" cm="1">
        <f t="array" ref="L542">VLOOKUP($A542,Table_ship_components[],COLUMN(L:L),0)</f>
        <v>0</v>
      </c>
      <c r="M542" cm="1">
        <f t="array" ref="M542">VLOOKUP($A542,Table_ship_components[],COLUMN(M:M),0)</f>
        <v>0</v>
      </c>
      <c r="N542" cm="1">
        <f t="array" ref="N542">VLOOKUP($A542,Table_ship_components[],COLUMN(N:N),0)</f>
        <v>1</v>
      </c>
      <c r="O542" cm="1">
        <f t="array" ref="O542">VLOOKUP($A542,Table_ship_components[],COLUMN(O:O),0)</f>
        <v>0</v>
      </c>
      <c r="P542" cm="1">
        <f t="array" ref="P542">VLOOKUP($A542,Table_ship_components[],COLUMN(P:P),0)</f>
        <v>0</v>
      </c>
      <c r="Q542" cm="1">
        <f t="array" ref="Q542">VLOOKUP($A542,Table_ship_components[],COLUMN(Q:Q),0)</f>
        <v>0</v>
      </c>
      <c r="R542" cm="1">
        <f t="array" ref="R542">VLOOKUP($A542,Table_ship_components[],COLUMN(R:R),0)</f>
        <v>0</v>
      </c>
      <c r="S542" cm="1">
        <f t="array" ref="S542">VLOOKUP($A542,Table_ship_components[],COLUMN(S:S),0)</f>
        <v>0</v>
      </c>
      <c r="T542" cm="1">
        <f t="array" ref="T542">VLOOKUP($A542,Table_ship_components[],COLUMN(T:T),0)</f>
        <v>0</v>
      </c>
      <c r="U542" cm="1">
        <f t="array" ref="U542">VLOOKUP($A542,Table_ship_components[],COLUMN(U:U),0)</f>
        <v>0</v>
      </c>
      <c r="V542" cm="1">
        <f t="array" ref="V542">VLOOKUP($A542,Table_ship_components[],COLUMN(V:V),0)</f>
        <v>0</v>
      </c>
      <c r="W542" s="15" cm="1">
        <f t="array" ref="W542">VLOOKUP($A542,Table_ship_components[],COLUMN(W:W),0)</f>
        <v>0</v>
      </c>
      <c r="X542" cm="1">
        <f t="array" ref="X542">VLOOKUP($A542,Table_ship_components[],COLUMN(X:X),0)</f>
        <v>0</v>
      </c>
      <c r="Y542" cm="1">
        <f t="array" ref="Y542">VLOOKUP($A542,Table_ship_components[],COLUMN(Y:Y),0)</f>
        <v>0</v>
      </c>
      <c r="Z542" cm="1">
        <f t="array" ref="Z542">VLOOKUP($A542,Table_ship_components[],COLUMN(Z:Z),0)</f>
        <v>0</v>
      </c>
      <c r="AA542" cm="1">
        <f t="array" ref="AA542">VLOOKUP($A542,Table_ship_components[],COLUMN(AA:AA),0)*C542</f>
        <v>0</v>
      </c>
      <c r="AB542">
        <f t="shared" si="51"/>
        <v>0</v>
      </c>
      <c r="AC542" cm="1">
        <f t="array" ref="AC542">VLOOKUP($A542,Table_ship_components[],COLUMN(AC:AC),0)*C542</f>
        <v>0</v>
      </c>
      <c r="AD542" cm="1">
        <f t="array" ref="AD542">VLOOKUP($A542,Table_ship_components[],COLUMN(AD:AD),0)</f>
        <v>0</v>
      </c>
      <c r="AE542" cm="1">
        <f t="array" ref="AE542">VLOOKUP($A542,Table_ship_components[],COLUMN(AE:AE),0)</f>
        <v>0</v>
      </c>
      <c r="AF542" cm="1">
        <f t="array" ref="AF542">VLOOKUP($A542,Table_ship_components[],COLUMN(AF:AF),0)</f>
        <v>0</v>
      </c>
      <c r="AG542" cm="1">
        <f t="array" ref="AG542">VLOOKUP($A542,Table_ship_components[],COLUMN(AG:AG),0)</f>
        <v>0</v>
      </c>
      <c r="AH542" cm="1">
        <f t="array" ref="AH542">VLOOKUP($A542,Table_ship_components[],COLUMN(AH:AH),0)</f>
        <v>0</v>
      </c>
      <c r="AI542" cm="1">
        <f t="array" ref="AI542">VLOOKUP($A542,Table_ship_components[],COLUMN(AI:AI),0)</f>
        <v>0</v>
      </c>
      <c r="AJ542" cm="1">
        <f t="array" ref="AJ542">VLOOKUP($A542,Table_ship_components[],COLUMN(AJ:AJ),0)</f>
        <v>0</v>
      </c>
      <c r="AK542" cm="1">
        <f t="array" ref="AK542">VLOOKUP($A542,Table_ship_components[],COLUMN(AK:AK),0)</f>
        <v>0</v>
      </c>
      <c r="AL542" cm="1">
        <f t="array" ref="AL542">VLOOKUP($A542,Table_ship_components[],COLUMN(AL:AL),0)</f>
        <v>0</v>
      </c>
      <c r="AM542" cm="1">
        <f t="array" ref="AM542">VLOOKUP($A542,Table_ship_components[],COLUMN(AM:AM),0)</f>
        <v>0</v>
      </c>
      <c r="AN542" cm="1">
        <f t="array" ref="AN542">VLOOKUP($A542,Table_ship_components[],COLUMN(AN:AN),0)</f>
        <v>0</v>
      </c>
      <c r="AO542" cm="1">
        <f t="array" ref="AO542">VLOOKUP($A542,Table_ship_components[],COLUMN(AO:AO),0)</f>
        <v>0</v>
      </c>
      <c r="AP542" cm="1">
        <f t="array" ref="AP542">VLOOKUP($A542,Table_ship_components[],COLUMN(AP:AP),0)</f>
        <v>0</v>
      </c>
      <c r="AQ542" cm="1">
        <f t="array" ref="AQ542">VLOOKUP($A542,Table_ship_components[],COLUMN(AQ:AQ),0)</f>
        <v>0</v>
      </c>
      <c r="AR542" cm="1">
        <f t="array" ref="AR542">VLOOKUP($A542,Table_ship_components[],COLUMN(AR:AR),0)</f>
        <v>0</v>
      </c>
      <c r="AS542" cm="1">
        <f t="array" ref="AS542">VLOOKUP($A542,Table_ship_components[],COLUMN(AS:AS),0)</f>
        <v>0</v>
      </c>
      <c r="AT542" cm="1">
        <f t="array" ref="AT542">VLOOKUP($A542,Table_ship_components[],COLUMN(AT:AT),0)</f>
        <v>0</v>
      </c>
      <c r="AU542" s="2" cm="1">
        <f t="array" ref="AU542">VLOOKUP($A542,Table_ship_components[],COLUMN(AU:AU),0)</f>
        <v>-1</v>
      </c>
      <c r="AV542" s="2" cm="1">
        <f t="array" ref="AV542">VLOOKUP($A542,Table_ship_components[],COLUMN(AV:AV),0)</f>
        <v>0</v>
      </c>
      <c r="AW542" s="2" cm="1">
        <f t="array" ref="AW542">VLOOKUP($A542,Table_ship_components[],COLUMN(AW:AW),0)</f>
        <v>0</v>
      </c>
      <c r="AX542" s="2" cm="1">
        <f t="array" ref="AX542">VLOOKUP($A542,Table_ship_components[],COLUMN(AX:AX),0)</f>
        <v>0</v>
      </c>
      <c r="AY542" s="2" cm="1">
        <f t="array" ref="AY542">VLOOKUP($A542,Table_ship_components[],COLUMN(AY:AY),0)</f>
        <v>0</v>
      </c>
      <c r="AZ542" s="2" t="str" cm="1">
        <f t="array" ref="AZ542">VLOOKUP($A542,Table_ship_components[],COLUMN(AZ:AZ),0)</f>
        <v>C</v>
      </c>
      <c r="BA542" s="14" cm="1">
        <f t="array" ref="BA542">VLOOKUP($A542,Table_ship_components[],COLUMN(BA:BA),0)</f>
        <v>80000</v>
      </c>
      <c r="BB542" s="14" cm="1">
        <f t="array" ref="BB542">(VLOOKUP($A542,Table_ship_components[],COLUMN(BA:BA),0)+(W542*C542))</f>
        <v>80000</v>
      </c>
      <c r="BC542" s="2" cm="1">
        <f t="array" ref="BC542">VLOOKUP($A542,Table_ship_components[],COLUMN(BC:BC),0)</f>
        <v>0</v>
      </c>
      <c r="BD542" s="2" cm="1">
        <f t="array" ref="BD542">VLOOKUP($A542,Table_ship_components[],COLUMN(BD:BD),0)</f>
        <v>0</v>
      </c>
    </row>
    <row r="543" spans="1:56" outlineLevel="1" x14ac:dyDescent="0.35">
      <c r="A543" t="s">
        <v>288</v>
      </c>
      <c r="B543" t="str" cm="1">
        <f t="array" ref="B543">VLOOKUP($A543,Table_ship_components[],COLUMN(B:B),0)</f>
        <v>PICK A COMPONENT</v>
      </c>
      <c r="D543" cm="1">
        <f t="array" ref="D543">VLOOKUP($A543,Table_ship_components[],COLUMN(D:D),0)</f>
        <v>0</v>
      </c>
      <c r="E543" cm="1">
        <f t="array" ref="E543">ROUND(VLOOKUP($A543,Table_ship_components[],COLUMN(D:D),0)+(V543*C543),0)</f>
        <v>0</v>
      </c>
      <c r="F543" cm="1">
        <f t="array" ref="F543">VLOOKUP($A543,Table_ship_components[],COLUMN(F:F),0)</f>
        <v>0</v>
      </c>
      <c r="G543" cm="1">
        <f t="array" ref="G543">ROUND(VLOOKUP($A543,Table_ship_components[],COLUMN(G:G),0)+(X543*C543),0)</f>
        <v>0</v>
      </c>
      <c r="H543" cm="1">
        <f t="array" ref="H543">VLOOKUP($A543,Table_ship_components[],COLUMN(H:H),0)</f>
        <v>0</v>
      </c>
      <c r="I543" cm="1">
        <f t="array" ref="I543">VLOOKUP($A543,Table_ship_components[],COLUMN(I:I),0)</f>
        <v>0</v>
      </c>
      <c r="J543" cm="1">
        <f t="array" ref="J543">VLOOKUP($A543,Table_ship_components[],COLUMN(J:J),0)</f>
        <v>0</v>
      </c>
      <c r="K543" cm="1">
        <f t="array" ref="K543">VLOOKUP($A543,Table_ship_components[],COLUMN(K:K),0)</f>
        <v>0</v>
      </c>
      <c r="L543" cm="1">
        <f t="array" ref="L543">VLOOKUP($A543,Table_ship_components[],COLUMN(L:L),0)</f>
        <v>0</v>
      </c>
      <c r="M543" cm="1">
        <f t="array" ref="M543">VLOOKUP($A543,Table_ship_components[],COLUMN(M:M),0)</f>
        <v>0</v>
      </c>
      <c r="N543" cm="1">
        <f t="array" ref="N543">VLOOKUP($A543,Table_ship_components[],COLUMN(N:N),0)</f>
        <v>0</v>
      </c>
      <c r="O543" cm="1">
        <f t="array" ref="O543">VLOOKUP($A543,Table_ship_components[],COLUMN(O:O),0)</f>
        <v>0</v>
      </c>
      <c r="P543" cm="1">
        <f t="array" ref="P543">VLOOKUP($A543,Table_ship_components[],COLUMN(P:P),0)</f>
        <v>0</v>
      </c>
      <c r="Q543" cm="1">
        <f t="array" ref="Q543">VLOOKUP($A543,Table_ship_components[],COLUMN(Q:Q),0)</f>
        <v>0</v>
      </c>
      <c r="R543" cm="1">
        <f t="array" ref="R543">VLOOKUP($A543,Table_ship_components[],COLUMN(R:R),0)</f>
        <v>0</v>
      </c>
      <c r="S543" cm="1">
        <f t="array" ref="S543">VLOOKUP($A543,Table_ship_components[],COLUMN(S:S),0)</f>
        <v>0</v>
      </c>
      <c r="T543" cm="1">
        <f t="array" ref="T543">VLOOKUP($A543,Table_ship_components[],COLUMN(T:T),0)</f>
        <v>0</v>
      </c>
      <c r="U543" cm="1">
        <f t="array" ref="U543">VLOOKUP($A543,Table_ship_components[],COLUMN(U:U),0)</f>
        <v>0</v>
      </c>
      <c r="V543" cm="1">
        <f t="array" ref="V543">VLOOKUP($A543,Table_ship_components[],COLUMN(V:V),0)</f>
        <v>0</v>
      </c>
      <c r="W543" s="15" cm="1">
        <f t="array" ref="W543">VLOOKUP($A543,Table_ship_components[],COLUMN(W:W),0)</f>
        <v>0</v>
      </c>
      <c r="X543" cm="1">
        <f t="array" ref="X543">VLOOKUP($A543,Table_ship_components[],COLUMN(X:X),0)</f>
        <v>0</v>
      </c>
      <c r="Y543" cm="1">
        <f t="array" ref="Y543">VLOOKUP($A543,Table_ship_components[],COLUMN(Y:Y),0)</f>
        <v>0</v>
      </c>
      <c r="Z543" cm="1">
        <f t="array" ref="Z543">VLOOKUP($A543,Table_ship_components[],COLUMN(Z:Z),0)</f>
        <v>0</v>
      </c>
      <c r="AA543" cm="1">
        <f t="array" ref="AA543">VLOOKUP($A543,Table_ship_components[],COLUMN(AA:AA),0)*C543</f>
        <v>0</v>
      </c>
      <c r="AB543">
        <f t="shared" si="51"/>
        <v>0</v>
      </c>
      <c r="AC543" cm="1">
        <f t="array" ref="AC543">VLOOKUP($A543,Table_ship_components[],COLUMN(AC:AC),0)*C543</f>
        <v>0</v>
      </c>
      <c r="AD543" cm="1">
        <f t="array" ref="AD543">VLOOKUP($A543,Table_ship_components[],COLUMN(AD:AD),0)</f>
        <v>0</v>
      </c>
      <c r="AE543" cm="1">
        <f t="array" ref="AE543">VLOOKUP($A543,Table_ship_components[],COLUMN(AE:AE),0)</f>
        <v>0</v>
      </c>
      <c r="AF543" cm="1">
        <f t="array" ref="AF543">VLOOKUP($A543,Table_ship_components[],COLUMN(AF:AF),0)</f>
        <v>0</v>
      </c>
      <c r="AG543" cm="1">
        <f t="array" ref="AG543">VLOOKUP($A543,Table_ship_components[],COLUMN(AG:AG),0)</f>
        <v>0</v>
      </c>
      <c r="AH543" cm="1">
        <f t="array" ref="AH543">VLOOKUP($A543,Table_ship_components[],COLUMN(AH:AH),0)</f>
        <v>0</v>
      </c>
      <c r="AI543" cm="1">
        <f t="array" ref="AI543">VLOOKUP($A543,Table_ship_components[],COLUMN(AI:AI),0)</f>
        <v>0</v>
      </c>
      <c r="AJ543" cm="1">
        <f t="array" ref="AJ543">VLOOKUP($A543,Table_ship_components[],COLUMN(AJ:AJ),0)</f>
        <v>0</v>
      </c>
      <c r="AK543" cm="1">
        <f t="array" ref="AK543">VLOOKUP($A543,Table_ship_components[],COLUMN(AK:AK),0)</f>
        <v>0</v>
      </c>
      <c r="AL543" cm="1">
        <f t="array" ref="AL543">VLOOKUP($A543,Table_ship_components[],COLUMN(AL:AL),0)</f>
        <v>0</v>
      </c>
      <c r="AM543" cm="1">
        <f t="array" ref="AM543">VLOOKUP($A543,Table_ship_components[],COLUMN(AM:AM),0)</f>
        <v>0</v>
      </c>
      <c r="AN543" cm="1">
        <f t="array" ref="AN543">VLOOKUP($A543,Table_ship_components[],COLUMN(AN:AN),0)</f>
        <v>0</v>
      </c>
      <c r="AO543" cm="1">
        <f t="array" ref="AO543">VLOOKUP($A543,Table_ship_components[],COLUMN(AO:AO),0)</f>
        <v>0</v>
      </c>
      <c r="AP543" cm="1">
        <f t="array" ref="AP543">VLOOKUP($A543,Table_ship_components[],COLUMN(AP:AP),0)</f>
        <v>0</v>
      </c>
      <c r="AQ543" cm="1">
        <f t="array" ref="AQ543">VLOOKUP($A543,Table_ship_components[],COLUMN(AQ:AQ),0)</f>
        <v>0</v>
      </c>
      <c r="AR543" cm="1">
        <f t="array" ref="AR543">VLOOKUP($A543,Table_ship_components[],COLUMN(AR:AR),0)</f>
        <v>0</v>
      </c>
      <c r="AS543" cm="1">
        <f t="array" ref="AS543">VLOOKUP($A543,Table_ship_components[],COLUMN(AS:AS),0)</f>
        <v>0</v>
      </c>
      <c r="AT543" cm="1">
        <f t="array" ref="AT543">VLOOKUP($A543,Table_ship_components[],COLUMN(AT:AT),0)</f>
        <v>0</v>
      </c>
      <c r="AU543" s="2" cm="1">
        <f t="array" ref="AU543">VLOOKUP($A543,Table_ship_components[],COLUMN(AU:AU),0)</f>
        <v>0</v>
      </c>
      <c r="AV543" s="2" cm="1">
        <f t="array" ref="AV543">VLOOKUP($A543,Table_ship_components[],COLUMN(AV:AV),0)</f>
        <v>0</v>
      </c>
      <c r="AW543" s="2" cm="1">
        <f t="array" ref="AW543">VLOOKUP($A543,Table_ship_components[],COLUMN(AW:AW),0)</f>
        <v>0</v>
      </c>
      <c r="AX543" s="2" cm="1">
        <f t="array" ref="AX543">VLOOKUP($A543,Table_ship_components[],COLUMN(AX:AX),0)</f>
        <v>0</v>
      </c>
      <c r="AY543" s="2" cm="1">
        <f t="array" ref="AY543">VLOOKUP($A543,Table_ship_components[],COLUMN(AY:AY),0)</f>
        <v>0</v>
      </c>
      <c r="AZ543" s="2" t="str" cm="1">
        <f t="array" ref="AZ543">VLOOKUP($A543,Table_ship_components[],COLUMN(AZ:AZ),0)</f>
        <v>C</v>
      </c>
      <c r="BA543" s="14" cm="1">
        <f t="array" ref="BA543">VLOOKUP($A543,Table_ship_components[],COLUMN(BA:BA),0)</f>
        <v>0</v>
      </c>
      <c r="BB543" s="14" cm="1">
        <f t="array" ref="BB543">(VLOOKUP($A543,Table_ship_components[],COLUMN(BA:BA),0)+(W543*C543))</f>
        <v>0</v>
      </c>
      <c r="BC543" s="2" cm="1">
        <f t="array" ref="BC543">VLOOKUP($A543,Table_ship_components[],COLUMN(BC:BC),0)</f>
        <v>0</v>
      </c>
      <c r="BD543" s="2" cm="1">
        <f t="array" ref="BD543">VLOOKUP($A543,Table_ship_components[],COLUMN(BD:BD),0)</f>
        <v>0</v>
      </c>
    </row>
    <row r="544" spans="1:56" outlineLevel="1" x14ac:dyDescent="0.35">
      <c r="A544" t="s">
        <v>288</v>
      </c>
      <c r="B544" t="str" cm="1">
        <f t="array" ref="B544">VLOOKUP($A544,Table_ship_components[],COLUMN(B:B),0)</f>
        <v>PICK A COMPONENT</v>
      </c>
      <c r="D544" cm="1">
        <f t="array" ref="D544">VLOOKUP($A544,Table_ship_components[],COLUMN(D:D),0)</f>
        <v>0</v>
      </c>
      <c r="E544" cm="1">
        <f t="array" ref="E544">ROUND(VLOOKUP($A544,Table_ship_components[],COLUMN(D:D),0)+(V544*C544),0)</f>
        <v>0</v>
      </c>
      <c r="F544" cm="1">
        <f t="array" ref="F544">VLOOKUP($A544,Table_ship_components[],COLUMN(F:F),0)</f>
        <v>0</v>
      </c>
      <c r="G544" cm="1">
        <f t="array" ref="G544">ROUND(VLOOKUP($A544,Table_ship_components[],COLUMN(G:G),0)+(X544*C544),0)</f>
        <v>0</v>
      </c>
      <c r="H544" cm="1">
        <f t="array" ref="H544">VLOOKUP($A544,Table_ship_components[],COLUMN(H:H),0)</f>
        <v>0</v>
      </c>
      <c r="I544" cm="1">
        <f t="array" ref="I544">VLOOKUP($A544,Table_ship_components[],COLUMN(I:I),0)</f>
        <v>0</v>
      </c>
      <c r="J544" cm="1">
        <f t="array" ref="J544">VLOOKUP($A544,Table_ship_components[],COLUMN(J:J),0)</f>
        <v>0</v>
      </c>
      <c r="K544" cm="1">
        <f t="array" ref="K544">VLOOKUP($A544,Table_ship_components[],COLUMN(K:K),0)</f>
        <v>0</v>
      </c>
      <c r="L544" cm="1">
        <f t="array" ref="L544">VLOOKUP($A544,Table_ship_components[],COLUMN(L:L),0)</f>
        <v>0</v>
      </c>
      <c r="M544" cm="1">
        <f t="array" ref="M544">VLOOKUP($A544,Table_ship_components[],COLUMN(M:M),0)</f>
        <v>0</v>
      </c>
      <c r="N544" cm="1">
        <f t="array" ref="N544">VLOOKUP($A544,Table_ship_components[],COLUMN(N:N),0)</f>
        <v>0</v>
      </c>
      <c r="O544" cm="1">
        <f t="array" ref="O544">VLOOKUP($A544,Table_ship_components[],COLUMN(O:O),0)</f>
        <v>0</v>
      </c>
      <c r="P544" cm="1">
        <f t="array" ref="P544">VLOOKUP($A544,Table_ship_components[],COLUMN(P:P),0)</f>
        <v>0</v>
      </c>
      <c r="Q544" cm="1">
        <f t="array" ref="Q544">VLOOKUP($A544,Table_ship_components[],COLUMN(Q:Q),0)</f>
        <v>0</v>
      </c>
      <c r="R544" cm="1">
        <f t="array" ref="R544">VLOOKUP($A544,Table_ship_components[],COLUMN(R:R),0)</f>
        <v>0</v>
      </c>
      <c r="S544" cm="1">
        <f t="array" ref="S544">VLOOKUP($A544,Table_ship_components[],COLUMN(S:S),0)</f>
        <v>0</v>
      </c>
      <c r="T544" cm="1">
        <f t="array" ref="T544">VLOOKUP($A544,Table_ship_components[],COLUMN(T:T),0)</f>
        <v>0</v>
      </c>
      <c r="U544" cm="1">
        <f t="array" ref="U544">VLOOKUP($A544,Table_ship_components[],COLUMN(U:U),0)</f>
        <v>0</v>
      </c>
      <c r="V544" cm="1">
        <f t="array" ref="V544">VLOOKUP($A544,Table_ship_components[],COLUMN(V:V),0)</f>
        <v>0</v>
      </c>
      <c r="W544" s="15" cm="1">
        <f t="array" ref="W544">VLOOKUP($A544,Table_ship_components[],COLUMN(W:W),0)</f>
        <v>0</v>
      </c>
      <c r="X544" cm="1">
        <f t="array" ref="X544">VLOOKUP($A544,Table_ship_components[],COLUMN(X:X),0)</f>
        <v>0</v>
      </c>
      <c r="Y544" cm="1">
        <f t="array" ref="Y544">VLOOKUP($A544,Table_ship_components[],COLUMN(Y:Y),0)</f>
        <v>0</v>
      </c>
      <c r="Z544" cm="1">
        <f t="array" ref="Z544">VLOOKUP($A544,Table_ship_components[],COLUMN(Z:Z),0)</f>
        <v>0</v>
      </c>
      <c r="AA544" cm="1">
        <f t="array" ref="AA544">VLOOKUP($A544,Table_ship_components[],COLUMN(AA:AA),0)*C544</f>
        <v>0</v>
      </c>
      <c r="AB544">
        <f t="shared" si="51"/>
        <v>0</v>
      </c>
      <c r="AC544" cm="1">
        <f t="array" ref="AC544">VLOOKUP($A544,Table_ship_components[],COLUMN(AC:AC),0)*C544</f>
        <v>0</v>
      </c>
      <c r="AD544" cm="1">
        <f t="array" ref="AD544">VLOOKUP($A544,Table_ship_components[],COLUMN(AD:AD),0)</f>
        <v>0</v>
      </c>
      <c r="AE544" cm="1">
        <f t="array" ref="AE544">VLOOKUP($A544,Table_ship_components[],COLUMN(AE:AE),0)</f>
        <v>0</v>
      </c>
      <c r="AF544" cm="1">
        <f t="array" ref="AF544">VLOOKUP($A544,Table_ship_components[],COLUMN(AF:AF),0)</f>
        <v>0</v>
      </c>
      <c r="AG544" cm="1">
        <f t="array" ref="AG544">VLOOKUP($A544,Table_ship_components[],COLUMN(AG:AG),0)</f>
        <v>0</v>
      </c>
      <c r="AH544" cm="1">
        <f t="array" ref="AH544">VLOOKUP($A544,Table_ship_components[],COLUMN(AH:AH),0)</f>
        <v>0</v>
      </c>
      <c r="AI544" cm="1">
        <f t="array" ref="AI544">VLOOKUP($A544,Table_ship_components[],COLUMN(AI:AI),0)</f>
        <v>0</v>
      </c>
      <c r="AJ544" cm="1">
        <f t="array" ref="AJ544">VLOOKUP($A544,Table_ship_components[],COLUMN(AJ:AJ),0)</f>
        <v>0</v>
      </c>
      <c r="AK544" cm="1">
        <f t="array" ref="AK544">VLOOKUP($A544,Table_ship_components[],COLUMN(AK:AK),0)</f>
        <v>0</v>
      </c>
      <c r="AL544" cm="1">
        <f t="array" ref="AL544">VLOOKUP($A544,Table_ship_components[],COLUMN(AL:AL),0)</f>
        <v>0</v>
      </c>
      <c r="AM544" cm="1">
        <f t="array" ref="AM544">VLOOKUP($A544,Table_ship_components[],COLUMN(AM:AM),0)</f>
        <v>0</v>
      </c>
      <c r="AN544" cm="1">
        <f t="array" ref="AN544">VLOOKUP($A544,Table_ship_components[],COLUMN(AN:AN),0)</f>
        <v>0</v>
      </c>
      <c r="AO544" cm="1">
        <f t="array" ref="AO544">VLOOKUP($A544,Table_ship_components[],COLUMN(AO:AO),0)</f>
        <v>0</v>
      </c>
      <c r="AP544" cm="1">
        <f t="array" ref="AP544">VLOOKUP($A544,Table_ship_components[],COLUMN(AP:AP),0)</f>
        <v>0</v>
      </c>
      <c r="AQ544" cm="1">
        <f t="array" ref="AQ544">VLOOKUP($A544,Table_ship_components[],COLUMN(AQ:AQ),0)</f>
        <v>0</v>
      </c>
      <c r="AR544" cm="1">
        <f t="array" ref="AR544">VLOOKUP($A544,Table_ship_components[],COLUMN(AR:AR),0)</f>
        <v>0</v>
      </c>
      <c r="AS544" cm="1">
        <f t="array" ref="AS544">VLOOKUP($A544,Table_ship_components[],COLUMN(AS:AS),0)</f>
        <v>0</v>
      </c>
      <c r="AT544" cm="1">
        <f t="array" ref="AT544">VLOOKUP($A544,Table_ship_components[],COLUMN(AT:AT),0)</f>
        <v>0</v>
      </c>
      <c r="AU544" s="2" cm="1">
        <f t="array" ref="AU544">VLOOKUP($A544,Table_ship_components[],COLUMN(AU:AU),0)</f>
        <v>0</v>
      </c>
      <c r="AV544" s="2" cm="1">
        <f t="array" ref="AV544">VLOOKUP($A544,Table_ship_components[],COLUMN(AV:AV),0)</f>
        <v>0</v>
      </c>
      <c r="AW544" s="2" cm="1">
        <f t="array" ref="AW544">VLOOKUP($A544,Table_ship_components[],COLUMN(AW:AW),0)</f>
        <v>0</v>
      </c>
      <c r="AX544" s="2" cm="1">
        <f t="array" ref="AX544">VLOOKUP($A544,Table_ship_components[],COLUMN(AX:AX),0)</f>
        <v>0</v>
      </c>
      <c r="AY544" s="2" cm="1">
        <f t="array" ref="AY544">VLOOKUP($A544,Table_ship_components[],COLUMN(AY:AY),0)</f>
        <v>0</v>
      </c>
      <c r="AZ544" s="2" t="str" cm="1">
        <f t="array" ref="AZ544">VLOOKUP($A544,Table_ship_components[],COLUMN(AZ:AZ),0)</f>
        <v>C</v>
      </c>
      <c r="BA544" s="14" cm="1">
        <f t="array" ref="BA544">VLOOKUP($A544,Table_ship_components[],COLUMN(BA:BA),0)</f>
        <v>0</v>
      </c>
      <c r="BB544" s="14" cm="1">
        <f t="array" ref="BB544">(VLOOKUP($A544,Table_ship_components[],COLUMN(BA:BA),0)+(W544*C544))</f>
        <v>0</v>
      </c>
      <c r="BC544" s="2" cm="1">
        <f t="array" ref="BC544">VLOOKUP($A544,Table_ship_components[],COLUMN(BC:BC),0)</f>
        <v>0</v>
      </c>
      <c r="BD544" s="2" cm="1">
        <f t="array" ref="BD544">VLOOKUP($A544,Table_ship_components[],COLUMN(BD:BD),0)</f>
        <v>0</v>
      </c>
    </row>
    <row r="545" spans="1:56" outlineLevel="1" x14ac:dyDescent="0.35">
      <c r="A545" t="s">
        <v>288</v>
      </c>
      <c r="B545" t="str" cm="1">
        <f t="array" ref="B545">VLOOKUP($A545,Table_ship_components[],COLUMN(B:B),0)</f>
        <v>PICK A COMPONENT</v>
      </c>
      <c r="D545" cm="1">
        <f t="array" ref="D545">VLOOKUP($A545,Table_ship_components[],COLUMN(D:D),0)</f>
        <v>0</v>
      </c>
      <c r="E545" cm="1">
        <f t="array" ref="E545">ROUND(VLOOKUP($A545,Table_ship_components[],COLUMN(D:D),0)+(V545*C545),0)</f>
        <v>0</v>
      </c>
      <c r="F545" cm="1">
        <f t="array" ref="F545">VLOOKUP($A545,Table_ship_components[],COLUMN(F:F),0)</f>
        <v>0</v>
      </c>
      <c r="G545" cm="1">
        <f t="array" ref="G545">ROUND(VLOOKUP($A545,Table_ship_components[],COLUMN(G:G),0)+(X545*C545),0)</f>
        <v>0</v>
      </c>
      <c r="H545" cm="1">
        <f t="array" ref="H545">VLOOKUP($A545,Table_ship_components[],COLUMN(H:H),0)</f>
        <v>0</v>
      </c>
      <c r="I545" cm="1">
        <f t="array" ref="I545">VLOOKUP($A545,Table_ship_components[],COLUMN(I:I),0)</f>
        <v>0</v>
      </c>
      <c r="J545" cm="1">
        <f t="array" ref="J545">VLOOKUP($A545,Table_ship_components[],COLUMN(J:J),0)</f>
        <v>0</v>
      </c>
      <c r="K545" cm="1">
        <f t="array" ref="K545">VLOOKUP($A545,Table_ship_components[],COLUMN(K:K),0)</f>
        <v>0</v>
      </c>
      <c r="L545" cm="1">
        <f t="array" ref="L545">VLOOKUP($A545,Table_ship_components[],COLUMN(L:L),0)</f>
        <v>0</v>
      </c>
      <c r="M545" cm="1">
        <f t="array" ref="M545">VLOOKUP($A545,Table_ship_components[],COLUMN(M:M),0)</f>
        <v>0</v>
      </c>
      <c r="N545" cm="1">
        <f t="array" ref="N545">VLOOKUP($A545,Table_ship_components[],COLUMN(N:N),0)</f>
        <v>0</v>
      </c>
      <c r="O545" cm="1">
        <f t="array" ref="O545">VLOOKUP($A545,Table_ship_components[],COLUMN(O:O),0)</f>
        <v>0</v>
      </c>
      <c r="P545" cm="1">
        <f t="array" ref="P545">VLOOKUP($A545,Table_ship_components[],COLUMN(P:P),0)</f>
        <v>0</v>
      </c>
      <c r="Q545" cm="1">
        <f t="array" ref="Q545">VLOOKUP($A545,Table_ship_components[],COLUMN(Q:Q),0)</f>
        <v>0</v>
      </c>
      <c r="R545" cm="1">
        <f t="array" ref="R545">VLOOKUP($A545,Table_ship_components[],COLUMN(R:R),0)</f>
        <v>0</v>
      </c>
      <c r="S545" cm="1">
        <f t="array" ref="S545">VLOOKUP($A545,Table_ship_components[],COLUMN(S:S),0)</f>
        <v>0</v>
      </c>
      <c r="T545" cm="1">
        <f t="array" ref="T545">VLOOKUP($A545,Table_ship_components[],COLUMN(T:T),0)</f>
        <v>0</v>
      </c>
      <c r="U545" cm="1">
        <f t="array" ref="U545">VLOOKUP($A545,Table_ship_components[],COLUMN(U:U),0)</f>
        <v>0</v>
      </c>
      <c r="V545" cm="1">
        <f t="array" ref="V545">VLOOKUP($A545,Table_ship_components[],COLUMN(V:V),0)</f>
        <v>0</v>
      </c>
      <c r="W545" s="15" cm="1">
        <f t="array" ref="W545">VLOOKUP($A545,Table_ship_components[],COLUMN(W:W),0)</f>
        <v>0</v>
      </c>
      <c r="X545" cm="1">
        <f t="array" ref="X545">VLOOKUP($A545,Table_ship_components[],COLUMN(X:X),0)</f>
        <v>0</v>
      </c>
      <c r="Y545" cm="1">
        <f t="array" ref="Y545">VLOOKUP($A545,Table_ship_components[],COLUMN(Y:Y),0)</f>
        <v>0</v>
      </c>
      <c r="Z545" cm="1">
        <f t="array" ref="Z545">VLOOKUP($A545,Table_ship_components[],COLUMN(Z:Z),0)</f>
        <v>0</v>
      </c>
      <c r="AA545" cm="1">
        <f t="array" ref="AA545">VLOOKUP($A545,Table_ship_components[],COLUMN(AA:AA),0)*C545</f>
        <v>0</v>
      </c>
      <c r="AB545">
        <f t="shared" si="51"/>
        <v>0</v>
      </c>
      <c r="AC545" cm="1">
        <f t="array" ref="AC545">VLOOKUP($A545,Table_ship_components[],COLUMN(AC:AC),0)*C545</f>
        <v>0</v>
      </c>
      <c r="AD545" cm="1">
        <f t="array" ref="AD545">VLOOKUP($A545,Table_ship_components[],COLUMN(AD:AD),0)</f>
        <v>0</v>
      </c>
      <c r="AE545" cm="1">
        <f t="array" ref="AE545">VLOOKUP($A545,Table_ship_components[],COLUMN(AE:AE),0)</f>
        <v>0</v>
      </c>
      <c r="AF545" cm="1">
        <f t="array" ref="AF545">VLOOKUP($A545,Table_ship_components[],COLUMN(AF:AF),0)</f>
        <v>0</v>
      </c>
      <c r="AG545" cm="1">
        <f t="array" ref="AG545">VLOOKUP($A545,Table_ship_components[],COLUMN(AG:AG),0)</f>
        <v>0</v>
      </c>
      <c r="AH545" cm="1">
        <f t="array" ref="AH545">VLOOKUP($A545,Table_ship_components[],COLUMN(AH:AH),0)</f>
        <v>0</v>
      </c>
      <c r="AI545" cm="1">
        <f t="array" ref="AI545">VLOOKUP($A545,Table_ship_components[],COLUMN(AI:AI),0)</f>
        <v>0</v>
      </c>
      <c r="AJ545" cm="1">
        <f t="array" ref="AJ545">VLOOKUP($A545,Table_ship_components[],COLUMN(AJ:AJ),0)</f>
        <v>0</v>
      </c>
      <c r="AK545" cm="1">
        <f t="array" ref="AK545">VLOOKUP($A545,Table_ship_components[],COLUMN(AK:AK),0)</f>
        <v>0</v>
      </c>
      <c r="AL545" cm="1">
        <f t="array" ref="AL545">VLOOKUP($A545,Table_ship_components[],COLUMN(AL:AL),0)</f>
        <v>0</v>
      </c>
      <c r="AM545" cm="1">
        <f t="array" ref="AM545">VLOOKUP($A545,Table_ship_components[],COLUMN(AM:AM),0)</f>
        <v>0</v>
      </c>
      <c r="AN545" cm="1">
        <f t="array" ref="AN545">VLOOKUP($A545,Table_ship_components[],COLUMN(AN:AN),0)</f>
        <v>0</v>
      </c>
      <c r="AO545" cm="1">
        <f t="array" ref="AO545">VLOOKUP($A545,Table_ship_components[],COLUMN(AO:AO),0)</f>
        <v>0</v>
      </c>
      <c r="AP545" cm="1">
        <f t="array" ref="AP545">VLOOKUP($A545,Table_ship_components[],COLUMN(AP:AP),0)</f>
        <v>0</v>
      </c>
      <c r="AQ545" cm="1">
        <f t="array" ref="AQ545">VLOOKUP($A545,Table_ship_components[],COLUMN(AQ:AQ),0)</f>
        <v>0</v>
      </c>
      <c r="AR545" cm="1">
        <f t="array" ref="AR545">VLOOKUP($A545,Table_ship_components[],COLUMN(AR:AR),0)</f>
        <v>0</v>
      </c>
      <c r="AS545" cm="1">
        <f t="array" ref="AS545">VLOOKUP($A545,Table_ship_components[],COLUMN(AS:AS),0)</f>
        <v>0</v>
      </c>
      <c r="AT545" cm="1">
        <f t="array" ref="AT545">VLOOKUP($A545,Table_ship_components[],COLUMN(AT:AT),0)</f>
        <v>0</v>
      </c>
      <c r="AU545" s="2" cm="1">
        <f t="array" ref="AU545">VLOOKUP($A545,Table_ship_components[],COLUMN(AU:AU),0)</f>
        <v>0</v>
      </c>
      <c r="AV545" s="2" cm="1">
        <f t="array" ref="AV545">VLOOKUP($A545,Table_ship_components[],COLUMN(AV:AV),0)</f>
        <v>0</v>
      </c>
      <c r="AW545" s="2" cm="1">
        <f t="array" ref="AW545">VLOOKUP($A545,Table_ship_components[],COLUMN(AW:AW),0)</f>
        <v>0</v>
      </c>
      <c r="AX545" s="2" cm="1">
        <f t="array" ref="AX545">VLOOKUP($A545,Table_ship_components[],COLUMN(AX:AX),0)</f>
        <v>0</v>
      </c>
      <c r="AY545" s="2" cm="1">
        <f t="array" ref="AY545">VLOOKUP($A545,Table_ship_components[],COLUMN(AY:AY),0)</f>
        <v>0</v>
      </c>
      <c r="AZ545" s="2" t="str" cm="1">
        <f t="array" ref="AZ545">VLOOKUP($A545,Table_ship_components[],COLUMN(AZ:AZ),0)</f>
        <v>C</v>
      </c>
      <c r="BA545" s="14" cm="1">
        <f t="array" ref="BA545">VLOOKUP($A545,Table_ship_components[],COLUMN(BA:BA),0)</f>
        <v>0</v>
      </c>
      <c r="BB545" s="14" cm="1">
        <f t="array" ref="BB545">(VLOOKUP($A545,Table_ship_components[],COLUMN(BA:BA),0)+(W545*C545))</f>
        <v>0</v>
      </c>
      <c r="BC545" s="2" cm="1">
        <f t="array" ref="BC545">VLOOKUP($A545,Table_ship_components[],COLUMN(BC:BC),0)</f>
        <v>0</v>
      </c>
      <c r="BD545" s="2" cm="1">
        <f t="array" ref="BD545">VLOOKUP($A545,Table_ship_components[],COLUMN(BD:BD),0)</f>
        <v>0</v>
      </c>
    </row>
    <row r="546" spans="1:56" outlineLevel="1" x14ac:dyDescent="0.35">
      <c r="A546" t="s">
        <v>288</v>
      </c>
      <c r="B546" t="str" cm="1">
        <f t="array" ref="B546">VLOOKUP($A546,Table_ship_components[],COLUMN(B:B),0)</f>
        <v>PICK A COMPONENT</v>
      </c>
      <c r="D546" cm="1">
        <f t="array" ref="D546">VLOOKUP($A546,Table_ship_components[],COLUMN(D:D),0)</f>
        <v>0</v>
      </c>
      <c r="E546" cm="1">
        <f t="array" ref="E546">ROUND(VLOOKUP($A546,Table_ship_components[],COLUMN(D:D),0)+(V546*C546),0)</f>
        <v>0</v>
      </c>
      <c r="F546" cm="1">
        <f t="array" ref="F546">VLOOKUP($A546,Table_ship_components[],COLUMN(F:F),0)</f>
        <v>0</v>
      </c>
      <c r="G546" cm="1">
        <f t="array" ref="G546">ROUND(VLOOKUP($A546,Table_ship_components[],COLUMN(G:G),0)+(X546*C546),0)</f>
        <v>0</v>
      </c>
      <c r="H546" cm="1">
        <f t="array" ref="H546">VLOOKUP($A546,Table_ship_components[],COLUMN(H:H),0)</f>
        <v>0</v>
      </c>
      <c r="I546" cm="1">
        <f t="array" ref="I546">VLOOKUP($A546,Table_ship_components[],COLUMN(I:I),0)</f>
        <v>0</v>
      </c>
      <c r="J546" cm="1">
        <f t="array" ref="J546">VLOOKUP($A546,Table_ship_components[],COLUMN(J:J),0)</f>
        <v>0</v>
      </c>
      <c r="K546" cm="1">
        <f t="array" ref="K546">VLOOKUP($A546,Table_ship_components[],COLUMN(K:K),0)</f>
        <v>0</v>
      </c>
      <c r="L546" cm="1">
        <f t="array" ref="L546">VLOOKUP($A546,Table_ship_components[],COLUMN(L:L),0)</f>
        <v>0</v>
      </c>
      <c r="M546" cm="1">
        <f t="array" ref="M546">VLOOKUP($A546,Table_ship_components[],COLUMN(M:M),0)</f>
        <v>0</v>
      </c>
      <c r="N546" cm="1">
        <f t="array" ref="N546">VLOOKUP($A546,Table_ship_components[],COLUMN(N:N),0)</f>
        <v>0</v>
      </c>
      <c r="O546" cm="1">
        <f t="array" ref="O546">VLOOKUP($A546,Table_ship_components[],COLUMN(O:O),0)</f>
        <v>0</v>
      </c>
      <c r="P546" cm="1">
        <f t="array" ref="P546">VLOOKUP($A546,Table_ship_components[],COLUMN(P:P),0)</f>
        <v>0</v>
      </c>
      <c r="Q546" cm="1">
        <f t="array" ref="Q546">VLOOKUP($A546,Table_ship_components[],COLUMN(Q:Q),0)</f>
        <v>0</v>
      </c>
      <c r="R546" cm="1">
        <f t="array" ref="R546">VLOOKUP($A546,Table_ship_components[],COLUMN(R:R),0)</f>
        <v>0</v>
      </c>
      <c r="S546" cm="1">
        <f t="array" ref="S546">VLOOKUP($A546,Table_ship_components[],COLUMN(S:S),0)</f>
        <v>0</v>
      </c>
      <c r="T546" cm="1">
        <f t="array" ref="T546">VLOOKUP($A546,Table_ship_components[],COLUMN(T:T),0)</f>
        <v>0</v>
      </c>
      <c r="U546" cm="1">
        <f t="array" ref="U546">VLOOKUP($A546,Table_ship_components[],COLUMN(U:U),0)</f>
        <v>0</v>
      </c>
      <c r="V546" cm="1">
        <f t="array" ref="V546">VLOOKUP($A546,Table_ship_components[],COLUMN(V:V),0)</f>
        <v>0</v>
      </c>
      <c r="W546" s="15" cm="1">
        <f t="array" ref="W546">VLOOKUP($A546,Table_ship_components[],COLUMN(W:W),0)</f>
        <v>0</v>
      </c>
      <c r="X546" cm="1">
        <f t="array" ref="X546">VLOOKUP($A546,Table_ship_components[],COLUMN(X:X),0)</f>
        <v>0</v>
      </c>
      <c r="Y546" cm="1">
        <f t="array" ref="Y546">VLOOKUP($A546,Table_ship_components[],COLUMN(Y:Y),0)</f>
        <v>0</v>
      </c>
      <c r="Z546" cm="1">
        <f t="array" ref="Z546">VLOOKUP($A546,Table_ship_components[],COLUMN(Z:Z),0)</f>
        <v>0</v>
      </c>
      <c r="AA546" cm="1">
        <f t="array" ref="AA546">VLOOKUP($A546,Table_ship_components[],COLUMN(AA:AA),0)*C546</f>
        <v>0</v>
      </c>
      <c r="AB546">
        <f>IF(A546="CARGOSPACE_0-ALL_0-UNIVERSAL",C546,0)</f>
        <v>0</v>
      </c>
      <c r="AC546" cm="1">
        <f t="array" ref="AC546">VLOOKUP($A546,Table_ship_components[],COLUMN(AC:AC),0)*C546</f>
        <v>0</v>
      </c>
      <c r="AD546" cm="1">
        <f t="array" ref="AD546">VLOOKUP($A546,Table_ship_components[],COLUMN(AD:AD),0)</f>
        <v>0</v>
      </c>
      <c r="AE546" cm="1">
        <f t="array" ref="AE546">VLOOKUP($A546,Table_ship_components[],COLUMN(AE:AE),0)</f>
        <v>0</v>
      </c>
      <c r="AF546" cm="1">
        <f t="array" ref="AF546">VLOOKUP($A546,Table_ship_components[],COLUMN(AF:AF),0)</f>
        <v>0</v>
      </c>
      <c r="AG546" cm="1">
        <f t="array" ref="AG546">VLOOKUP($A546,Table_ship_components[],COLUMN(AG:AG),0)</f>
        <v>0</v>
      </c>
      <c r="AH546" cm="1">
        <f t="array" ref="AH546">VLOOKUP($A546,Table_ship_components[],COLUMN(AH:AH),0)</f>
        <v>0</v>
      </c>
      <c r="AI546" cm="1">
        <f t="array" ref="AI546">VLOOKUP($A546,Table_ship_components[],COLUMN(AI:AI),0)</f>
        <v>0</v>
      </c>
      <c r="AJ546" cm="1">
        <f t="array" ref="AJ546">VLOOKUP($A546,Table_ship_components[],COLUMN(AJ:AJ),0)</f>
        <v>0</v>
      </c>
      <c r="AK546" cm="1">
        <f t="array" ref="AK546">VLOOKUP($A546,Table_ship_components[],COLUMN(AK:AK),0)</f>
        <v>0</v>
      </c>
      <c r="AL546" cm="1">
        <f t="array" ref="AL546">VLOOKUP($A546,Table_ship_components[],COLUMN(AL:AL),0)</f>
        <v>0</v>
      </c>
      <c r="AM546" cm="1">
        <f t="array" ref="AM546">VLOOKUP($A546,Table_ship_components[],COLUMN(AM:AM),0)</f>
        <v>0</v>
      </c>
      <c r="AN546" cm="1">
        <f t="array" ref="AN546">VLOOKUP($A546,Table_ship_components[],COLUMN(AN:AN),0)</f>
        <v>0</v>
      </c>
      <c r="AO546" cm="1">
        <f t="array" ref="AO546">VLOOKUP($A546,Table_ship_components[],COLUMN(AO:AO),0)</f>
        <v>0</v>
      </c>
      <c r="AP546" cm="1">
        <f t="array" ref="AP546">VLOOKUP($A546,Table_ship_components[],COLUMN(AP:AP),0)</f>
        <v>0</v>
      </c>
      <c r="AQ546" cm="1">
        <f t="array" ref="AQ546">VLOOKUP($A546,Table_ship_components[],COLUMN(AQ:AQ),0)</f>
        <v>0</v>
      </c>
      <c r="AR546" cm="1">
        <f t="array" ref="AR546">VLOOKUP($A546,Table_ship_components[],COLUMN(AR:AR),0)</f>
        <v>0</v>
      </c>
      <c r="AS546" cm="1">
        <f t="array" ref="AS546">VLOOKUP($A546,Table_ship_components[],COLUMN(AS:AS),0)</f>
        <v>0</v>
      </c>
      <c r="AT546" cm="1">
        <f t="array" ref="AT546">VLOOKUP($A546,Table_ship_components[],COLUMN(AT:AT),0)</f>
        <v>0</v>
      </c>
      <c r="AU546" s="2" cm="1">
        <f t="array" ref="AU546">VLOOKUP($A546,Table_ship_components[],COLUMN(AU:AU),0)</f>
        <v>0</v>
      </c>
      <c r="AV546" s="2" cm="1">
        <f t="array" ref="AV546">VLOOKUP($A546,Table_ship_components[],COLUMN(AV:AV),0)</f>
        <v>0</v>
      </c>
      <c r="AW546" s="2" cm="1">
        <f t="array" ref="AW546">VLOOKUP($A546,Table_ship_components[],COLUMN(AW:AW),0)</f>
        <v>0</v>
      </c>
      <c r="AX546" s="2" cm="1">
        <f t="array" ref="AX546">VLOOKUP($A546,Table_ship_components[],COLUMN(AX:AX),0)</f>
        <v>0</v>
      </c>
      <c r="AY546" s="2" cm="1">
        <f t="array" ref="AY546">VLOOKUP($A546,Table_ship_components[],COLUMN(AY:AY),0)</f>
        <v>0</v>
      </c>
      <c r="AZ546" s="2" t="str" cm="1">
        <f t="array" ref="AZ546">VLOOKUP($A546,Table_ship_components[],COLUMN(AZ:AZ),0)</f>
        <v>C</v>
      </c>
      <c r="BA546" s="14" cm="1">
        <f t="array" ref="BA546">VLOOKUP($A546,Table_ship_components[],COLUMN(BA:BA),0)</f>
        <v>0</v>
      </c>
      <c r="BB546" s="14" cm="1">
        <f t="array" ref="BB546">(VLOOKUP($A546,Table_ship_components[],COLUMN(BA:BA),0)+(W546*C546))</f>
        <v>0</v>
      </c>
      <c r="BC546" s="2" cm="1">
        <f t="array" ref="BC546">VLOOKUP($A546,Table_ship_components[],COLUMN(BC:BC),0)</f>
        <v>0</v>
      </c>
      <c r="BD546" s="2" cm="1">
        <f t="array" ref="BD546">VLOOKUP($A546,Table_ship_components[],COLUMN(BD:BD),0)</f>
        <v>0</v>
      </c>
    </row>
    <row r="547" spans="1:56" outlineLevel="1" x14ac:dyDescent="0.35">
      <c r="A547" s="18" t="s">
        <v>425</v>
      </c>
      <c r="B547" s="19" t="str">
        <f>CONCATENATE("SIZE ",(SUM(E548:E555)),"/",AY525,"  POWER ",(SUM(G548:G555)))</f>
        <v>SIZE 20/20  POWER 0</v>
      </c>
      <c r="AU547" s="2"/>
      <c r="AV547" s="2"/>
      <c r="AW547" s="2"/>
      <c r="AX547" s="2"/>
      <c r="AY547" s="2"/>
      <c r="AZ547" s="2"/>
      <c r="BA547" s="14"/>
      <c r="BB547" s="14"/>
      <c r="BC547" s="2"/>
      <c r="BD547" s="2"/>
    </row>
    <row r="548" spans="1:56" outlineLevel="1" x14ac:dyDescent="0.35">
      <c r="A548" t="s">
        <v>331</v>
      </c>
      <c r="B548" t="str" cm="1">
        <f t="array" ref="B548">VLOOKUP($A548,Table_ship_components[],COLUMN(B:B),0)</f>
        <v>good reinforced fighter hull</v>
      </c>
      <c r="D548" cm="1">
        <f t="array" ref="D548">VLOOKUP($A548,Table_ship_components[],COLUMN(D:D),0)</f>
        <v>5</v>
      </c>
      <c r="E548" cm="1">
        <f t="array" ref="E548">ROUND(VLOOKUP($A548,Table_ship_components[],COLUMN(D:D),0)+(V548*C548),0)</f>
        <v>5</v>
      </c>
      <c r="F548" cm="1">
        <f t="array" ref="F548">VLOOKUP($A548,Table_ship_components[],COLUMN(F:F),0)</f>
        <v>0</v>
      </c>
      <c r="G548" cm="1">
        <f t="array" ref="G548">ROUND(VLOOKUP($A548,Table_ship_components[],COLUMN(G:G),0)+(X548*C548),0)</f>
        <v>0</v>
      </c>
      <c r="H548" cm="1">
        <f t="array" ref="H548">VLOOKUP($A548,Table_ship_components[],COLUMN(H:H),0)</f>
        <v>0</v>
      </c>
      <c r="I548" cm="1">
        <f t="array" ref="I548">VLOOKUP($A548,Table_ship_components[],COLUMN(I:I),0)</f>
        <v>0</v>
      </c>
      <c r="J548" cm="1">
        <f t="array" ref="J548">VLOOKUP($A548,Table_ship_components[],COLUMN(J:J),0)</f>
        <v>0</v>
      </c>
      <c r="K548" cm="1">
        <f t="array" ref="K548">VLOOKUP($A548,Table_ship_components[],COLUMN(K:K),0)</f>
        <v>0</v>
      </c>
      <c r="L548" cm="1">
        <f t="array" ref="L548">VLOOKUP($A548,Table_ship_components[],COLUMN(L:L),0)</f>
        <v>0</v>
      </c>
      <c r="M548" cm="1">
        <f t="array" ref="M548">VLOOKUP($A548,Table_ship_components[],COLUMN(M:M),0)</f>
        <v>0</v>
      </c>
      <c r="N548" cm="1">
        <f t="array" ref="N548">VLOOKUP($A548,Table_ship_components[],COLUMN(N:N),0)</f>
        <v>1</v>
      </c>
      <c r="O548" cm="1">
        <f t="array" ref="O548">VLOOKUP($A548,Table_ship_components[],COLUMN(O:O),0)</f>
        <v>0</v>
      </c>
      <c r="P548" cm="1">
        <f t="array" ref="P548">VLOOKUP($A548,Table_ship_components[],COLUMN(P:P),0)</f>
        <v>0</v>
      </c>
      <c r="Q548" cm="1">
        <f t="array" ref="Q548">VLOOKUP($A548,Table_ship_components[],COLUMN(Q:Q),0)</f>
        <v>0</v>
      </c>
      <c r="R548" cm="1">
        <f t="array" ref="R548">VLOOKUP($A548,Table_ship_components[],COLUMN(R:R),0)</f>
        <v>0</v>
      </c>
      <c r="S548" cm="1">
        <f t="array" ref="S548">VLOOKUP($A548,Table_ship_components[],COLUMN(S:S),0)</f>
        <v>0</v>
      </c>
      <c r="T548" cm="1">
        <f t="array" ref="T548">VLOOKUP($A548,Table_ship_components[],COLUMN(T:T),0)</f>
        <v>0</v>
      </c>
      <c r="U548" cm="1">
        <f t="array" ref="U548">VLOOKUP($A548,Table_ship_components[],COLUMN(U:U),0)</f>
        <v>0</v>
      </c>
      <c r="V548" cm="1">
        <f t="array" ref="V548">VLOOKUP($A548,Table_ship_components[],COLUMN(V:V),0)</f>
        <v>0</v>
      </c>
      <c r="W548" s="15" cm="1">
        <f t="array" ref="W548">VLOOKUP($A548,Table_ship_components[],COLUMN(W:W),0)</f>
        <v>0</v>
      </c>
      <c r="X548" cm="1">
        <f t="array" ref="X548">VLOOKUP($A548,Table_ship_components[],COLUMN(X:X),0)</f>
        <v>0</v>
      </c>
      <c r="Y548" cm="1">
        <f t="array" ref="Y548">VLOOKUP($A548,Table_ship_components[],COLUMN(Y:Y),0)</f>
        <v>0</v>
      </c>
      <c r="Z548" cm="1">
        <f t="array" ref="Z548">VLOOKUP($A548,Table_ship_components[],COLUMN(Z:Z),0)</f>
        <v>0</v>
      </c>
      <c r="AA548" cm="1">
        <f t="array" ref="AA548">VLOOKUP($A548,Table_ship_components[],COLUMN(AA:AA),0)*C548</f>
        <v>0</v>
      </c>
      <c r="AB548">
        <f t="shared" ref="AB548:AB555" si="52">IF(A548="CARGOSPACE_0-ALL_0-UNIVERSAL",C548,0)</f>
        <v>0</v>
      </c>
      <c r="AC548" cm="1">
        <f t="array" ref="AC548">VLOOKUP($A548,Table_ship_components[],COLUMN(AC:AC),0)*C548</f>
        <v>0</v>
      </c>
      <c r="AD548" cm="1">
        <f t="array" ref="AD548">VLOOKUP($A548,Table_ship_components[],COLUMN(AD:AD),0)</f>
        <v>0</v>
      </c>
      <c r="AE548" cm="1">
        <f t="array" ref="AE548">VLOOKUP($A548,Table_ship_components[],COLUMN(AE:AE),0)</f>
        <v>0</v>
      </c>
      <c r="AF548" cm="1">
        <f t="array" ref="AF548">VLOOKUP($A548,Table_ship_components[],COLUMN(AF:AF),0)</f>
        <v>0</v>
      </c>
      <c r="AG548" cm="1">
        <f t="array" ref="AG548">VLOOKUP($A548,Table_ship_components[],COLUMN(AG:AG),0)</f>
        <v>0</v>
      </c>
      <c r="AH548" cm="1">
        <f t="array" ref="AH548">VLOOKUP($A548,Table_ship_components[],COLUMN(AH:AH),0)</f>
        <v>0</v>
      </c>
      <c r="AI548" cm="1">
        <f t="array" ref="AI548">VLOOKUP($A548,Table_ship_components[],COLUMN(AI:AI),0)</f>
        <v>0</v>
      </c>
      <c r="AJ548" cm="1">
        <f t="array" ref="AJ548">VLOOKUP($A548,Table_ship_components[],COLUMN(AJ:AJ),0)</f>
        <v>0</v>
      </c>
      <c r="AK548" cm="1">
        <f t="array" ref="AK548">VLOOKUP($A548,Table_ship_components[],COLUMN(AK:AK),0)</f>
        <v>0</v>
      </c>
      <c r="AL548" cm="1">
        <f t="array" ref="AL548">VLOOKUP($A548,Table_ship_components[],COLUMN(AL:AL),0)</f>
        <v>0</v>
      </c>
      <c r="AM548" cm="1">
        <f t="array" ref="AM548">VLOOKUP($A548,Table_ship_components[],COLUMN(AM:AM),0)</f>
        <v>0</v>
      </c>
      <c r="AN548" cm="1">
        <f t="array" ref="AN548">VLOOKUP($A548,Table_ship_components[],COLUMN(AN:AN),0)</f>
        <v>5</v>
      </c>
      <c r="AO548" cm="1">
        <f t="array" ref="AO548">VLOOKUP($A548,Table_ship_components[],COLUMN(AO:AO),0)</f>
        <v>0</v>
      </c>
      <c r="AP548" cm="1">
        <f t="array" ref="AP548">VLOOKUP($A548,Table_ship_components[],COLUMN(AP:AP),0)</f>
        <v>0</v>
      </c>
      <c r="AQ548" cm="1">
        <f t="array" ref="AQ548">VLOOKUP($A548,Table_ship_components[],COLUMN(AQ:AQ),0)</f>
        <v>0</v>
      </c>
      <c r="AR548" cm="1">
        <f t="array" ref="AR548">VLOOKUP($A548,Table_ship_components[],COLUMN(AR:AR),0)</f>
        <v>-1</v>
      </c>
      <c r="AS548" cm="1">
        <f t="array" ref="AS548">VLOOKUP($A548,Table_ship_components[],COLUMN(AS:AS),0)</f>
        <v>0</v>
      </c>
      <c r="AT548" cm="1">
        <f t="array" ref="AT548">VLOOKUP($A548,Table_ship_components[],COLUMN(AT:AT),0)</f>
        <v>0</v>
      </c>
      <c r="AU548" s="2" cm="1">
        <f t="array" ref="AU548">VLOOKUP($A548,Table_ship_components[],COLUMN(AU:AU),0)</f>
        <v>0</v>
      </c>
      <c r="AV548" s="2" cm="1">
        <f t="array" ref="AV548">VLOOKUP($A548,Table_ship_components[],COLUMN(AV:AV),0)</f>
        <v>0</v>
      </c>
      <c r="AW548" s="2" cm="1">
        <f t="array" ref="AW548">VLOOKUP($A548,Table_ship_components[],COLUMN(AW:AW),0)</f>
        <v>0</v>
      </c>
      <c r="AX548" s="2" cm="1">
        <f t="array" ref="AX548">VLOOKUP($A548,Table_ship_components[],COLUMN(AX:AX),0)</f>
        <v>0</v>
      </c>
      <c r="AY548" s="2" cm="1">
        <f t="array" ref="AY548">VLOOKUP($A548,Table_ship_components[],COLUMN(AY:AY),0)</f>
        <v>0</v>
      </c>
      <c r="AZ548" s="2" t="str" cm="1">
        <f t="array" ref="AZ548">VLOOKUP($A548,Table_ship_components[],COLUMN(AZ:AZ),0)</f>
        <v>C</v>
      </c>
      <c r="BA548" s="14" cm="1">
        <f t="array" ref="BA548">VLOOKUP($A548,Table_ship_components[],COLUMN(BA:BA),0)</f>
        <v>250000</v>
      </c>
      <c r="BB548" s="14" cm="1">
        <f t="array" ref="BB548">(VLOOKUP($A548,Table_ship_components[],COLUMN(BA:BA),0)+(W548*C548))</f>
        <v>250000</v>
      </c>
      <c r="BC548" s="2" cm="1">
        <f t="array" ref="BC548">VLOOKUP($A548,Table_ship_components[],COLUMN(BC:BC),0)</f>
        <v>0</v>
      </c>
      <c r="BD548" s="2" cm="1">
        <f t="array" ref="BD548">VLOOKUP($A548,Table_ship_components[],COLUMN(BD:BD),0)</f>
        <v>0</v>
      </c>
    </row>
    <row r="549" spans="1:56" outlineLevel="1" x14ac:dyDescent="0.35">
      <c r="A549" t="s">
        <v>324</v>
      </c>
      <c r="B549" t="str" cm="1">
        <f t="array" ref="B549">VLOOKUP($A549,Table_ship_components[],COLUMN(B:B),0)</f>
        <v>huge fixed weapon mount</v>
      </c>
      <c r="D549" cm="1">
        <f t="array" ref="D549">VLOOKUP($A549,Table_ship_components[],COLUMN(D:D),0)</f>
        <v>5</v>
      </c>
      <c r="E549" cm="1">
        <f t="array" ref="E549">ROUND(VLOOKUP($A549,Table_ship_components[],COLUMN(D:D),0)+(V549*C549),0)</f>
        <v>5</v>
      </c>
      <c r="F549" cm="1">
        <f t="array" ref="F549">VLOOKUP($A549,Table_ship_components[],COLUMN(F:F),0)</f>
        <v>0</v>
      </c>
      <c r="G549" cm="1">
        <f t="array" ref="G549">ROUND(VLOOKUP($A549,Table_ship_components[],COLUMN(G:G),0)+(X549*C549),0)</f>
        <v>0</v>
      </c>
      <c r="H549" cm="1">
        <f t="array" ref="H549">VLOOKUP($A549,Table_ship_components[],COLUMN(H:H),0)</f>
        <v>0</v>
      </c>
      <c r="I549" cm="1">
        <f t="array" ref="I549">VLOOKUP($A549,Table_ship_components[],COLUMN(I:I),0)</f>
        <v>0</v>
      </c>
      <c r="J549" cm="1">
        <f t="array" ref="J549">VLOOKUP($A549,Table_ship_components[],COLUMN(J:J),0)</f>
        <v>0</v>
      </c>
      <c r="K549" cm="1">
        <f t="array" ref="K549">VLOOKUP($A549,Table_ship_components[],COLUMN(K:K),0)</f>
        <v>0</v>
      </c>
      <c r="L549" cm="1">
        <f t="array" ref="L549">VLOOKUP($A549,Table_ship_components[],COLUMN(L:L),0)</f>
        <v>0</v>
      </c>
      <c r="M549" cm="1">
        <f t="array" ref="M549">VLOOKUP($A549,Table_ship_components[],COLUMN(M:M),0)</f>
        <v>0</v>
      </c>
      <c r="N549" cm="1">
        <f t="array" ref="N549">VLOOKUP($A549,Table_ship_components[],COLUMN(N:N),0)</f>
        <v>1</v>
      </c>
      <c r="O549" cm="1">
        <f t="array" ref="O549">VLOOKUP($A549,Table_ship_components[],COLUMN(O:O),0)</f>
        <v>1</v>
      </c>
      <c r="P549" cm="1">
        <f t="array" ref="P549">VLOOKUP($A549,Table_ship_components[],COLUMN(P:P),0)</f>
        <v>1</v>
      </c>
      <c r="Q549" cm="1">
        <f t="array" ref="Q549">VLOOKUP($A549,Table_ship_components[],COLUMN(Q:Q),0)</f>
        <v>1</v>
      </c>
      <c r="R549" cm="1">
        <f t="array" ref="R549">VLOOKUP($A549,Table_ship_components[],COLUMN(R:R),0)</f>
        <v>1</v>
      </c>
      <c r="S549" cm="1">
        <f t="array" ref="S549">VLOOKUP($A549,Table_ship_components[],COLUMN(S:S),0)</f>
        <v>1</v>
      </c>
      <c r="T549" cm="1">
        <f t="array" ref="T549">VLOOKUP($A549,Table_ship_components[],COLUMN(T:T),0)</f>
        <v>1</v>
      </c>
      <c r="U549" cm="1">
        <f t="array" ref="U549">VLOOKUP($A549,Table_ship_components[],COLUMN(U:U),0)</f>
        <v>0</v>
      </c>
      <c r="V549" cm="1">
        <f t="array" ref="V549">VLOOKUP($A549,Table_ship_components[],COLUMN(V:V),0)</f>
        <v>0</v>
      </c>
      <c r="W549" s="15" cm="1">
        <f t="array" ref="W549">VLOOKUP($A549,Table_ship_components[],COLUMN(W:W),0)</f>
        <v>0</v>
      </c>
      <c r="X549" cm="1">
        <f t="array" ref="X549">VLOOKUP($A549,Table_ship_components[],COLUMN(X:X),0)</f>
        <v>0</v>
      </c>
      <c r="Y549" cm="1">
        <f t="array" ref="Y549">VLOOKUP($A549,Table_ship_components[],COLUMN(Y:Y),0)</f>
        <v>0</v>
      </c>
      <c r="Z549" cm="1">
        <f t="array" ref="Z549">VLOOKUP($A549,Table_ship_components[],COLUMN(Z:Z),0)</f>
        <v>0</v>
      </c>
      <c r="AA549" cm="1">
        <f t="array" ref="AA549">VLOOKUP($A549,Table_ship_components[],COLUMN(AA:AA),0)*C549</f>
        <v>0</v>
      </c>
      <c r="AB549">
        <f t="shared" si="52"/>
        <v>0</v>
      </c>
      <c r="AC549" cm="1">
        <f t="array" ref="AC549">VLOOKUP($A549,Table_ship_components[],COLUMN(AC:AC),0)*C549</f>
        <v>0</v>
      </c>
      <c r="AD549" cm="1">
        <f t="array" ref="AD549">VLOOKUP($A549,Table_ship_components[],COLUMN(AD:AD),0)</f>
        <v>0</v>
      </c>
      <c r="AE549" cm="1">
        <f t="array" ref="AE549">VLOOKUP($A549,Table_ship_components[],COLUMN(AE:AE),0)</f>
        <v>0</v>
      </c>
      <c r="AF549" cm="1">
        <f t="array" ref="AF549">VLOOKUP($A549,Table_ship_components[],COLUMN(AF:AF),0)</f>
        <v>0</v>
      </c>
      <c r="AG549" cm="1">
        <f t="array" ref="AG549">VLOOKUP($A549,Table_ship_components[],COLUMN(AG:AG),0)</f>
        <v>0</v>
      </c>
      <c r="AH549" cm="1">
        <f t="array" ref="AH549">VLOOKUP($A549,Table_ship_components[],COLUMN(AH:AH),0)</f>
        <v>0</v>
      </c>
      <c r="AI549" cm="1">
        <f t="array" ref="AI549">VLOOKUP($A549,Table_ship_components[],COLUMN(AI:AI),0)</f>
        <v>0</v>
      </c>
      <c r="AJ549" cm="1">
        <f t="array" ref="AJ549">VLOOKUP($A549,Table_ship_components[],COLUMN(AJ:AJ),0)</f>
        <v>0</v>
      </c>
      <c r="AK549" cm="1">
        <f t="array" ref="AK549">VLOOKUP($A549,Table_ship_components[],COLUMN(AK:AK),0)</f>
        <v>0</v>
      </c>
      <c r="AL549" cm="1">
        <f t="array" ref="AL549">VLOOKUP($A549,Table_ship_components[],COLUMN(AL:AL),0)</f>
        <v>0</v>
      </c>
      <c r="AM549" cm="1">
        <f t="array" ref="AM549">VLOOKUP($A549,Table_ship_components[],COLUMN(AM:AM),0)</f>
        <v>0</v>
      </c>
      <c r="AN549" cm="1">
        <f t="array" ref="AN549">VLOOKUP($A549,Table_ship_components[],COLUMN(AN:AN),0)</f>
        <v>0</v>
      </c>
      <c r="AO549" cm="1">
        <f t="array" ref="AO549">VLOOKUP($A549,Table_ship_components[],COLUMN(AO:AO),0)</f>
        <v>0</v>
      </c>
      <c r="AP549" cm="1">
        <f t="array" ref="AP549">VLOOKUP($A549,Table_ship_components[],COLUMN(AP:AP),0)</f>
        <v>0</v>
      </c>
      <c r="AQ549" cm="1">
        <f t="array" ref="AQ549">VLOOKUP($A549,Table_ship_components[],COLUMN(AQ:AQ),0)</f>
        <v>0</v>
      </c>
      <c r="AR549" cm="1">
        <f t="array" ref="AR549">VLOOKUP($A549,Table_ship_components[],COLUMN(AR:AR),0)</f>
        <v>0</v>
      </c>
      <c r="AS549" cm="1">
        <f t="array" ref="AS549">VLOOKUP($A549,Table_ship_components[],COLUMN(AS:AS),0)</f>
        <v>0</v>
      </c>
      <c r="AT549" cm="1">
        <f t="array" ref="AT549">VLOOKUP($A549,Table_ship_components[],COLUMN(AT:AT),0)</f>
        <v>0</v>
      </c>
      <c r="AU549" s="2" cm="1">
        <f t="array" ref="AU549">VLOOKUP($A549,Table_ship_components[],COLUMN(AU:AU),0)</f>
        <v>0</v>
      </c>
      <c r="AV549" s="2" cm="1">
        <f t="array" ref="AV549">VLOOKUP($A549,Table_ship_components[],COLUMN(AV:AV),0)</f>
        <v>0</v>
      </c>
      <c r="AW549" s="2" cm="1">
        <f t="array" ref="AW549">VLOOKUP($A549,Table_ship_components[],COLUMN(AW:AW),0)</f>
        <v>0</v>
      </c>
      <c r="AX549" s="2" cm="1">
        <f t="array" ref="AX549">VLOOKUP($A549,Table_ship_components[],COLUMN(AX:AX),0)</f>
        <v>0</v>
      </c>
      <c r="AY549" s="2" cm="1">
        <f t="array" ref="AY549">VLOOKUP($A549,Table_ship_components[],COLUMN(AY:AY),0)</f>
        <v>0</v>
      </c>
      <c r="AZ549" s="2" t="str" cm="1">
        <f t="array" ref="AZ549">VLOOKUP($A549,Table_ship_components[],COLUMN(AZ:AZ),0)</f>
        <v>C</v>
      </c>
      <c r="BA549" s="14" cm="1">
        <f t="array" ref="BA549">VLOOKUP($A549,Table_ship_components[],COLUMN(BA:BA),0)</f>
        <v>200000</v>
      </c>
      <c r="BB549" s="14" cm="1">
        <f t="array" ref="BB549">(VLOOKUP($A549,Table_ship_components[],COLUMN(BA:BA),0)+(W549*C549))</f>
        <v>200000</v>
      </c>
      <c r="BC549" s="2" cm="1">
        <f t="array" ref="BC549">VLOOKUP($A549,Table_ship_components[],COLUMN(BC:BC),0)</f>
        <v>0</v>
      </c>
      <c r="BD549" s="2" cm="1">
        <f t="array" ref="BD549">VLOOKUP($A549,Table_ship_components[],COLUMN(BD:BD),0)</f>
        <v>0</v>
      </c>
    </row>
    <row r="550" spans="1:56" outlineLevel="1" x14ac:dyDescent="0.35">
      <c r="A550" t="s">
        <v>317</v>
      </c>
      <c r="B550" t="str" cm="1">
        <f t="array" ref="B550">VLOOKUP($A550,Table_ship_components[],COLUMN(B:B),0)</f>
        <v>huge ordonnance bay</v>
      </c>
      <c r="D550" cm="1">
        <f t="array" ref="D550">VLOOKUP($A550,Table_ship_components[],COLUMN(D:D),0)</f>
        <v>5</v>
      </c>
      <c r="E550" cm="1">
        <f t="array" ref="E550">ROUND(VLOOKUP($A550,Table_ship_components[],COLUMN(D:D),0)+(V550*C550),0)</f>
        <v>5</v>
      </c>
      <c r="F550" cm="1">
        <f t="array" ref="F550">VLOOKUP($A550,Table_ship_components[],COLUMN(F:F),0)</f>
        <v>0</v>
      </c>
      <c r="G550" cm="1">
        <f t="array" ref="G550">ROUND(VLOOKUP($A550,Table_ship_components[],COLUMN(G:G),0)+(X550*C550),0)</f>
        <v>0</v>
      </c>
      <c r="H550" cm="1">
        <f t="array" ref="H550">VLOOKUP($A550,Table_ship_components[],COLUMN(H:H),0)</f>
        <v>0</v>
      </c>
      <c r="I550" cm="1">
        <f t="array" ref="I550">VLOOKUP($A550,Table_ship_components[],COLUMN(I:I),0)</f>
        <v>0</v>
      </c>
      <c r="J550" cm="1">
        <f t="array" ref="J550">VLOOKUP($A550,Table_ship_components[],COLUMN(J:J),0)</f>
        <v>0</v>
      </c>
      <c r="K550" cm="1">
        <f t="array" ref="K550">VLOOKUP($A550,Table_ship_components[],COLUMN(K:K),0)</f>
        <v>0</v>
      </c>
      <c r="L550" cm="1">
        <f t="array" ref="L550">VLOOKUP($A550,Table_ship_components[],COLUMN(L:L),0)</f>
        <v>0</v>
      </c>
      <c r="M550" cm="1">
        <f t="array" ref="M550">VLOOKUP($A550,Table_ship_components[],COLUMN(M:M),0)</f>
        <v>0</v>
      </c>
      <c r="N550" cm="1">
        <f t="array" ref="N550">VLOOKUP($A550,Table_ship_components[],COLUMN(N:N),0)</f>
        <v>1</v>
      </c>
      <c r="O550" cm="1">
        <f t="array" ref="O550">VLOOKUP($A550,Table_ship_components[],COLUMN(O:O),0)</f>
        <v>1</v>
      </c>
      <c r="P550" cm="1">
        <f t="array" ref="P550">VLOOKUP($A550,Table_ship_components[],COLUMN(P:P),0)</f>
        <v>1</v>
      </c>
      <c r="Q550" cm="1">
        <f t="array" ref="Q550">VLOOKUP($A550,Table_ship_components[],COLUMN(Q:Q),0)</f>
        <v>1</v>
      </c>
      <c r="R550" cm="1">
        <f t="array" ref="R550">VLOOKUP($A550,Table_ship_components[],COLUMN(R:R),0)</f>
        <v>1</v>
      </c>
      <c r="S550" cm="1">
        <f t="array" ref="S550">VLOOKUP($A550,Table_ship_components[],COLUMN(S:S),0)</f>
        <v>1</v>
      </c>
      <c r="T550" cm="1">
        <f t="array" ref="T550">VLOOKUP($A550,Table_ship_components[],COLUMN(T:T),0)</f>
        <v>1</v>
      </c>
      <c r="U550" cm="1">
        <f t="array" ref="U550">VLOOKUP($A550,Table_ship_components[],COLUMN(U:U),0)</f>
        <v>0</v>
      </c>
      <c r="V550" cm="1">
        <f t="array" ref="V550">VLOOKUP($A550,Table_ship_components[],COLUMN(V:V),0)</f>
        <v>0</v>
      </c>
      <c r="W550" s="15" cm="1">
        <f t="array" ref="W550">VLOOKUP($A550,Table_ship_components[],COLUMN(W:W),0)</f>
        <v>0</v>
      </c>
      <c r="X550" cm="1">
        <f t="array" ref="X550">VLOOKUP($A550,Table_ship_components[],COLUMN(X:X),0)</f>
        <v>0</v>
      </c>
      <c r="Y550" cm="1">
        <f t="array" ref="Y550">VLOOKUP($A550,Table_ship_components[],COLUMN(Y:Y),0)</f>
        <v>0</v>
      </c>
      <c r="Z550" cm="1">
        <f t="array" ref="Z550">VLOOKUP($A550,Table_ship_components[],COLUMN(Z:Z),0)</f>
        <v>0</v>
      </c>
      <c r="AA550" cm="1">
        <f t="array" ref="AA550">VLOOKUP($A550,Table_ship_components[],COLUMN(AA:AA),0)*C550</f>
        <v>0</v>
      </c>
      <c r="AB550">
        <f t="shared" si="52"/>
        <v>0</v>
      </c>
      <c r="AC550" cm="1">
        <f t="array" ref="AC550">VLOOKUP($A550,Table_ship_components[],COLUMN(AC:AC),0)*C550</f>
        <v>0</v>
      </c>
      <c r="AD550" cm="1">
        <f t="array" ref="AD550">VLOOKUP($A550,Table_ship_components[],COLUMN(AD:AD),0)</f>
        <v>0</v>
      </c>
      <c r="AE550" cm="1">
        <f t="array" ref="AE550">VLOOKUP($A550,Table_ship_components[],COLUMN(AE:AE),0)</f>
        <v>0</v>
      </c>
      <c r="AF550" cm="1">
        <f t="array" ref="AF550">VLOOKUP($A550,Table_ship_components[],COLUMN(AF:AF),0)</f>
        <v>0</v>
      </c>
      <c r="AG550" cm="1">
        <f t="array" ref="AG550">VLOOKUP($A550,Table_ship_components[],COLUMN(AG:AG),0)</f>
        <v>0</v>
      </c>
      <c r="AH550" cm="1">
        <f t="array" ref="AH550">VLOOKUP($A550,Table_ship_components[],COLUMN(AH:AH),0)</f>
        <v>0</v>
      </c>
      <c r="AI550" cm="1">
        <f t="array" ref="AI550">VLOOKUP($A550,Table_ship_components[],COLUMN(AI:AI),0)</f>
        <v>0</v>
      </c>
      <c r="AJ550" cm="1">
        <f t="array" ref="AJ550">VLOOKUP($A550,Table_ship_components[],COLUMN(AJ:AJ),0)</f>
        <v>0</v>
      </c>
      <c r="AK550" cm="1">
        <f t="array" ref="AK550">VLOOKUP($A550,Table_ship_components[],COLUMN(AK:AK),0)</f>
        <v>0</v>
      </c>
      <c r="AL550" cm="1">
        <f t="array" ref="AL550">VLOOKUP($A550,Table_ship_components[],COLUMN(AL:AL),0)</f>
        <v>0</v>
      </c>
      <c r="AM550" cm="1">
        <f t="array" ref="AM550">VLOOKUP($A550,Table_ship_components[],COLUMN(AM:AM),0)</f>
        <v>0</v>
      </c>
      <c r="AN550" cm="1">
        <f t="array" ref="AN550">VLOOKUP($A550,Table_ship_components[],COLUMN(AN:AN),0)</f>
        <v>0</v>
      </c>
      <c r="AO550" cm="1">
        <f t="array" ref="AO550">VLOOKUP($A550,Table_ship_components[],COLUMN(AO:AO),0)</f>
        <v>0</v>
      </c>
      <c r="AP550" cm="1">
        <f t="array" ref="AP550">VLOOKUP($A550,Table_ship_components[],COLUMN(AP:AP),0)</f>
        <v>0</v>
      </c>
      <c r="AQ550" cm="1">
        <f t="array" ref="AQ550">VLOOKUP($A550,Table_ship_components[],COLUMN(AQ:AQ),0)</f>
        <v>0</v>
      </c>
      <c r="AR550" cm="1">
        <f t="array" ref="AR550">VLOOKUP($A550,Table_ship_components[],COLUMN(AR:AR),0)</f>
        <v>0</v>
      </c>
      <c r="AS550" cm="1">
        <f t="array" ref="AS550">VLOOKUP($A550,Table_ship_components[],COLUMN(AS:AS),0)</f>
        <v>0</v>
      </c>
      <c r="AT550" cm="1">
        <f t="array" ref="AT550">VLOOKUP($A550,Table_ship_components[],COLUMN(AT:AT),0)</f>
        <v>0</v>
      </c>
      <c r="AU550" s="2" cm="1">
        <f t="array" ref="AU550">VLOOKUP($A550,Table_ship_components[],COLUMN(AU:AU),0)</f>
        <v>0</v>
      </c>
      <c r="AV550" s="2" cm="1">
        <f t="array" ref="AV550">VLOOKUP($A550,Table_ship_components[],COLUMN(AV:AV),0)</f>
        <v>0</v>
      </c>
      <c r="AW550" s="2" cm="1">
        <f t="array" ref="AW550">VLOOKUP($A550,Table_ship_components[],COLUMN(AW:AW),0)</f>
        <v>0</v>
      </c>
      <c r="AX550" s="2" cm="1">
        <f t="array" ref="AX550">VLOOKUP($A550,Table_ship_components[],COLUMN(AX:AX),0)</f>
        <v>0</v>
      </c>
      <c r="AY550" s="2" cm="1">
        <f t="array" ref="AY550">VLOOKUP($A550,Table_ship_components[],COLUMN(AY:AY),0)</f>
        <v>0</v>
      </c>
      <c r="AZ550" s="2" t="str" cm="1">
        <f t="array" ref="AZ550">VLOOKUP($A550,Table_ship_components[],COLUMN(AZ:AZ),0)</f>
        <v>C</v>
      </c>
      <c r="BA550" s="14" cm="1">
        <f t="array" ref="BA550">VLOOKUP($A550,Table_ship_components[],COLUMN(BA:BA),0)</f>
        <v>100000</v>
      </c>
      <c r="BB550" s="14" cm="1">
        <f t="array" ref="BB550">(VLOOKUP($A550,Table_ship_components[],COLUMN(BA:BA),0)+(W550*C550))</f>
        <v>100000</v>
      </c>
      <c r="BC550" s="2" cm="1">
        <f t="array" ref="BC550">VLOOKUP($A550,Table_ship_components[],COLUMN(BC:BC),0)</f>
        <v>0</v>
      </c>
      <c r="BD550" s="2" cm="1">
        <f t="array" ref="BD550">VLOOKUP($A550,Table_ship_components[],COLUMN(BD:BD),0)</f>
        <v>0</v>
      </c>
    </row>
    <row r="551" spans="1:56" outlineLevel="1" x14ac:dyDescent="0.35">
      <c r="A551" t="s">
        <v>317</v>
      </c>
      <c r="B551" t="str" cm="1">
        <f t="array" ref="B551">VLOOKUP($A551,Table_ship_components[],COLUMN(B:B),0)</f>
        <v>huge ordonnance bay</v>
      </c>
      <c r="D551" cm="1">
        <f t="array" ref="D551">VLOOKUP($A551,Table_ship_components[],COLUMN(D:D),0)</f>
        <v>5</v>
      </c>
      <c r="E551" cm="1">
        <f t="array" ref="E551">ROUND(VLOOKUP($A551,Table_ship_components[],COLUMN(D:D),0)+(V551*C551),0)</f>
        <v>5</v>
      </c>
      <c r="F551" cm="1">
        <f t="array" ref="F551">VLOOKUP($A551,Table_ship_components[],COLUMN(F:F),0)</f>
        <v>0</v>
      </c>
      <c r="G551" cm="1">
        <f t="array" ref="G551">ROUND(VLOOKUP($A551,Table_ship_components[],COLUMN(G:G),0)+(X551*C551),0)</f>
        <v>0</v>
      </c>
      <c r="H551" cm="1">
        <f t="array" ref="H551">VLOOKUP($A551,Table_ship_components[],COLUMN(H:H),0)</f>
        <v>0</v>
      </c>
      <c r="I551" cm="1">
        <f t="array" ref="I551">VLOOKUP($A551,Table_ship_components[],COLUMN(I:I),0)</f>
        <v>0</v>
      </c>
      <c r="J551" cm="1">
        <f t="array" ref="J551">VLOOKUP($A551,Table_ship_components[],COLUMN(J:J),0)</f>
        <v>0</v>
      </c>
      <c r="K551" cm="1">
        <f t="array" ref="K551">VLOOKUP($A551,Table_ship_components[],COLUMN(K:K),0)</f>
        <v>0</v>
      </c>
      <c r="L551" cm="1">
        <f t="array" ref="L551">VLOOKUP($A551,Table_ship_components[],COLUMN(L:L),0)</f>
        <v>0</v>
      </c>
      <c r="M551" cm="1">
        <f t="array" ref="M551">VLOOKUP($A551,Table_ship_components[],COLUMN(M:M),0)</f>
        <v>0</v>
      </c>
      <c r="N551" cm="1">
        <f t="array" ref="N551">VLOOKUP($A551,Table_ship_components[],COLUMN(N:N),0)</f>
        <v>1</v>
      </c>
      <c r="O551" cm="1">
        <f t="array" ref="O551">VLOOKUP($A551,Table_ship_components[],COLUMN(O:O),0)</f>
        <v>1</v>
      </c>
      <c r="P551" cm="1">
        <f t="array" ref="P551">VLOOKUP($A551,Table_ship_components[],COLUMN(P:P),0)</f>
        <v>1</v>
      </c>
      <c r="Q551" cm="1">
        <f t="array" ref="Q551">VLOOKUP($A551,Table_ship_components[],COLUMN(Q:Q),0)</f>
        <v>1</v>
      </c>
      <c r="R551" cm="1">
        <f t="array" ref="R551">VLOOKUP($A551,Table_ship_components[],COLUMN(R:R),0)</f>
        <v>1</v>
      </c>
      <c r="S551" cm="1">
        <f t="array" ref="S551">VLOOKUP($A551,Table_ship_components[],COLUMN(S:S),0)</f>
        <v>1</v>
      </c>
      <c r="T551" cm="1">
        <f t="array" ref="T551">VLOOKUP($A551,Table_ship_components[],COLUMN(T:T),0)</f>
        <v>1</v>
      </c>
      <c r="U551" cm="1">
        <f t="array" ref="U551">VLOOKUP($A551,Table_ship_components[],COLUMN(U:U),0)</f>
        <v>0</v>
      </c>
      <c r="V551" cm="1">
        <f t="array" ref="V551">VLOOKUP($A551,Table_ship_components[],COLUMN(V:V),0)</f>
        <v>0</v>
      </c>
      <c r="W551" s="15" cm="1">
        <f t="array" ref="W551">VLOOKUP($A551,Table_ship_components[],COLUMN(W:W),0)</f>
        <v>0</v>
      </c>
      <c r="X551" cm="1">
        <f t="array" ref="X551">VLOOKUP($A551,Table_ship_components[],COLUMN(X:X),0)</f>
        <v>0</v>
      </c>
      <c r="Y551" cm="1">
        <f t="array" ref="Y551">VLOOKUP($A551,Table_ship_components[],COLUMN(Y:Y),0)</f>
        <v>0</v>
      </c>
      <c r="Z551" cm="1">
        <f t="array" ref="Z551">VLOOKUP($A551,Table_ship_components[],COLUMN(Z:Z),0)</f>
        <v>0</v>
      </c>
      <c r="AA551" cm="1">
        <f t="array" ref="AA551">VLOOKUP($A551,Table_ship_components[],COLUMN(AA:AA),0)*C551</f>
        <v>0</v>
      </c>
      <c r="AB551">
        <f t="shared" si="52"/>
        <v>0</v>
      </c>
      <c r="AC551" cm="1">
        <f t="array" ref="AC551">VLOOKUP($A551,Table_ship_components[],COLUMN(AC:AC),0)*C551</f>
        <v>0</v>
      </c>
      <c r="AD551" cm="1">
        <f t="array" ref="AD551">VLOOKUP($A551,Table_ship_components[],COLUMN(AD:AD),0)</f>
        <v>0</v>
      </c>
      <c r="AE551" cm="1">
        <f t="array" ref="AE551">VLOOKUP($A551,Table_ship_components[],COLUMN(AE:AE),0)</f>
        <v>0</v>
      </c>
      <c r="AF551" cm="1">
        <f t="array" ref="AF551">VLOOKUP($A551,Table_ship_components[],COLUMN(AF:AF),0)</f>
        <v>0</v>
      </c>
      <c r="AG551" cm="1">
        <f t="array" ref="AG551">VLOOKUP($A551,Table_ship_components[],COLUMN(AG:AG),0)</f>
        <v>0</v>
      </c>
      <c r="AH551" cm="1">
        <f t="array" ref="AH551">VLOOKUP($A551,Table_ship_components[],COLUMN(AH:AH),0)</f>
        <v>0</v>
      </c>
      <c r="AI551" cm="1">
        <f t="array" ref="AI551">VLOOKUP($A551,Table_ship_components[],COLUMN(AI:AI),0)</f>
        <v>0</v>
      </c>
      <c r="AJ551" cm="1">
        <f t="array" ref="AJ551">VLOOKUP($A551,Table_ship_components[],COLUMN(AJ:AJ),0)</f>
        <v>0</v>
      </c>
      <c r="AK551" cm="1">
        <f t="array" ref="AK551">VLOOKUP($A551,Table_ship_components[],COLUMN(AK:AK),0)</f>
        <v>0</v>
      </c>
      <c r="AL551" cm="1">
        <f t="array" ref="AL551">VLOOKUP($A551,Table_ship_components[],COLUMN(AL:AL),0)</f>
        <v>0</v>
      </c>
      <c r="AM551" cm="1">
        <f t="array" ref="AM551">VLOOKUP($A551,Table_ship_components[],COLUMN(AM:AM),0)</f>
        <v>0</v>
      </c>
      <c r="AN551" cm="1">
        <f t="array" ref="AN551">VLOOKUP($A551,Table_ship_components[],COLUMN(AN:AN),0)</f>
        <v>0</v>
      </c>
      <c r="AO551" cm="1">
        <f t="array" ref="AO551">VLOOKUP($A551,Table_ship_components[],COLUMN(AO:AO),0)</f>
        <v>0</v>
      </c>
      <c r="AP551" cm="1">
        <f t="array" ref="AP551">VLOOKUP($A551,Table_ship_components[],COLUMN(AP:AP),0)</f>
        <v>0</v>
      </c>
      <c r="AQ551" cm="1">
        <f t="array" ref="AQ551">VLOOKUP($A551,Table_ship_components[],COLUMN(AQ:AQ),0)</f>
        <v>0</v>
      </c>
      <c r="AR551" cm="1">
        <f t="array" ref="AR551">VLOOKUP($A551,Table_ship_components[],COLUMN(AR:AR),0)</f>
        <v>0</v>
      </c>
      <c r="AS551" cm="1">
        <f t="array" ref="AS551">VLOOKUP($A551,Table_ship_components[],COLUMN(AS:AS),0)</f>
        <v>0</v>
      </c>
      <c r="AT551" cm="1">
        <f t="array" ref="AT551">VLOOKUP($A551,Table_ship_components[],COLUMN(AT:AT),0)</f>
        <v>0</v>
      </c>
      <c r="AU551" s="2" cm="1">
        <f t="array" ref="AU551">VLOOKUP($A551,Table_ship_components[],COLUMN(AU:AU),0)</f>
        <v>0</v>
      </c>
      <c r="AV551" s="2" cm="1">
        <f t="array" ref="AV551">VLOOKUP($A551,Table_ship_components[],COLUMN(AV:AV),0)</f>
        <v>0</v>
      </c>
      <c r="AW551" s="2" cm="1">
        <f t="array" ref="AW551">VLOOKUP($A551,Table_ship_components[],COLUMN(AW:AW),0)</f>
        <v>0</v>
      </c>
      <c r="AX551" s="2" cm="1">
        <f t="array" ref="AX551">VLOOKUP($A551,Table_ship_components[],COLUMN(AX:AX),0)</f>
        <v>0</v>
      </c>
      <c r="AY551" s="2" cm="1">
        <f t="array" ref="AY551">VLOOKUP($A551,Table_ship_components[],COLUMN(AY:AY),0)</f>
        <v>0</v>
      </c>
      <c r="AZ551" s="2" t="str" cm="1">
        <f t="array" ref="AZ551">VLOOKUP($A551,Table_ship_components[],COLUMN(AZ:AZ),0)</f>
        <v>C</v>
      </c>
      <c r="BA551" s="14" cm="1">
        <f t="array" ref="BA551">VLOOKUP($A551,Table_ship_components[],COLUMN(BA:BA),0)</f>
        <v>100000</v>
      </c>
      <c r="BB551" s="14" cm="1">
        <f t="array" ref="BB551">(VLOOKUP($A551,Table_ship_components[],COLUMN(BA:BA),0)+(W551*C551))</f>
        <v>100000</v>
      </c>
      <c r="BC551" s="2" cm="1">
        <f t="array" ref="BC551">VLOOKUP($A551,Table_ship_components[],COLUMN(BC:BC),0)</f>
        <v>0</v>
      </c>
      <c r="BD551" s="2" cm="1">
        <f t="array" ref="BD551">VLOOKUP($A551,Table_ship_components[],COLUMN(BD:BD),0)</f>
        <v>0</v>
      </c>
    </row>
    <row r="552" spans="1:56" outlineLevel="1" x14ac:dyDescent="0.35">
      <c r="A552" t="s">
        <v>288</v>
      </c>
      <c r="B552" t="str" cm="1">
        <f t="array" ref="B552">VLOOKUP($A552,Table_ship_components[],COLUMN(B:B),0)</f>
        <v>PICK A COMPONENT</v>
      </c>
      <c r="D552" cm="1">
        <f t="array" ref="D552">VLOOKUP($A552,Table_ship_components[],COLUMN(D:D),0)</f>
        <v>0</v>
      </c>
      <c r="E552" cm="1">
        <f t="array" ref="E552">ROUND(VLOOKUP($A552,Table_ship_components[],COLUMN(D:D),0)+(V552*C552),0)</f>
        <v>0</v>
      </c>
      <c r="F552" cm="1">
        <f t="array" ref="F552">VLOOKUP($A552,Table_ship_components[],COLUMN(F:F),0)</f>
        <v>0</v>
      </c>
      <c r="G552" cm="1">
        <f t="array" ref="G552">ROUND(VLOOKUP($A552,Table_ship_components[],COLUMN(G:G),0)+(X552*C552),0)</f>
        <v>0</v>
      </c>
      <c r="H552" cm="1">
        <f t="array" ref="H552">VLOOKUP($A552,Table_ship_components[],COLUMN(H:H),0)</f>
        <v>0</v>
      </c>
      <c r="I552" cm="1">
        <f t="array" ref="I552">VLOOKUP($A552,Table_ship_components[],COLUMN(I:I),0)</f>
        <v>0</v>
      </c>
      <c r="J552" cm="1">
        <f t="array" ref="J552">VLOOKUP($A552,Table_ship_components[],COLUMN(J:J),0)</f>
        <v>0</v>
      </c>
      <c r="K552" cm="1">
        <f t="array" ref="K552">VLOOKUP($A552,Table_ship_components[],COLUMN(K:K),0)</f>
        <v>0</v>
      </c>
      <c r="L552" cm="1">
        <f t="array" ref="L552">VLOOKUP($A552,Table_ship_components[],COLUMN(L:L),0)</f>
        <v>0</v>
      </c>
      <c r="M552" cm="1">
        <f t="array" ref="M552">VLOOKUP($A552,Table_ship_components[],COLUMN(M:M),0)</f>
        <v>0</v>
      </c>
      <c r="N552" cm="1">
        <f t="array" ref="N552">VLOOKUP($A552,Table_ship_components[],COLUMN(N:N),0)</f>
        <v>0</v>
      </c>
      <c r="O552" cm="1">
        <f t="array" ref="O552">VLOOKUP($A552,Table_ship_components[],COLUMN(O:O),0)</f>
        <v>0</v>
      </c>
      <c r="P552" cm="1">
        <f t="array" ref="P552">VLOOKUP($A552,Table_ship_components[],COLUMN(P:P),0)</f>
        <v>0</v>
      </c>
      <c r="Q552" cm="1">
        <f t="array" ref="Q552">VLOOKUP($A552,Table_ship_components[],COLUMN(Q:Q),0)</f>
        <v>0</v>
      </c>
      <c r="R552" cm="1">
        <f t="array" ref="R552">VLOOKUP($A552,Table_ship_components[],COLUMN(R:R),0)</f>
        <v>0</v>
      </c>
      <c r="S552" cm="1">
        <f t="array" ref="S552">VLOOKUP($A552,Table_ship_components[],COLUMN(S:S),0)</f>
        <v>0</v>
      </c>
      <c r="T552" cm="1">
        <f t="array" ref="T552">VLOOKUP($A552,Table_ship_components[],COLUMN(T:T),0)</f>
        <v>0</v>
      </c>
      <c r="U552" cm="1">
        <f t="array" ref="U552">VLOOKUP($A552,Table_ship_components[],COLUMN(U:U),0)</f>
        <v>0</v>
      </c>
      <c r="V552" cm="1">
        <f t="array" ref="V552">VLOOKUP($A552,Table_ship_components[],COLUMN(V:V),0)</f>
        <v>0</v>
      </c>
      <c r="W552" s="15" cm="1">
        <f t="array" ref="W552">VLOOKUP($A552,Table_ship_components[],COLUMN(W:W),0)</f>
        <v>0</v>
      </c>
      <c r="X552" cm="1">
        <f t="array" ref="X552">VLOOKUP($A552,Table_ship_components[],COLUMN(X:X),0)</f>
        <v>0</v>
      </c>
      <c r="Y552" cm="1">
        <f t="array" ref="Y552">VLOOKUP($A552,Table_ship_components[],COLUMN(Y:Y),0)</f>
        <v>0</v>
      </c>
      <c r="Z552" cm="1">
        <f t="array" ref="Z552">VLOOKUP($A552,Table_ship_components[],COLUMN(Z:Z),0)</f>
        <v>0</v>
      </c>
      <c r="AA552" cm="1">
        <f t="array" ref="AA552">VLOOKUP($A552,Table_ship_components[],COLUMN(AA:AA),0)*C552</f>
        <v>0</v>
      </c>
      <c r="AB552">
        <f t="shared" si="52"/>
        <v>0</v>
      </c>
      <c r="AC552" cm="1">
        <f t="array" ref="AC552">VLOOKUP($A552,Table_ship_components[],COLUMN(AC:AC),0)*C552</f>
        <v>0</v>
      </c>
      <c r="AD552" cm="1">
        <f t="array" ref="AD552">VLOOKUP($A552,Table_ship_components[],COLUMN(AD:AD),0)</f>
        <v>0</v>
      </c>
      <c r="AE552" cm="1">
        <f t="array" ref="AE552">VLOOKUP($A552,Table_ship_components[],COLUMN(AE:AE),0)</f>
        <v>0</v>
      </c>
      <c r="AF552" cm="1">
        <f t="array" ref="AF552">VLOOKUP($A552,Table_ship_components[],COLUMN(AF:AF),0)</f>
        <v>0</v>
      </c>
      <c r="AG552" cm="1">
        <f t="array" ref="AG552">VLOOKUP($A552,Table_ship_components[],COLUMN(AG:AG),0)</f>
        <v>0</v>
      </c>
      <c r="AH552" cm="1">
        <f t="array" ref="AH552">VLOOKUP($A552,Table_ship_components[],COLUMN(AH:AH),0)</f>
        <v>0</v>
      </c>
      <c r="AI552" cm="1">
        <f t="array" ref="AI552">VLOOKUP($A552,Table_ship_components[],COLUMN(AI:AI),0)</f>
        <v>0</v>
      </c>
      <c r="AJ552" cm="1">
        <f t="array" ref="AJ552">VLOOKUP($A552,Table_ship_components[],COLUMN(AJ:AJ),0)</f>
        <v>0</v>
      </c>
      <c r="AK552" cm="1">
        <f t="array" ref="AK552">VLOOKUP($A552,Table_ship_components[],COLUMN(AK:AK),0)</f>
        <v>0</v>
      </c>
      <c r="AL552" cm="1">
        <f t="array" ref="AL552">VLOOKUP($A552,Table_ship_components[],COLUMN(AL:AL),0)</f>
        <v>0</v>
      </c>
      <c r="AM552" cm="1">
        <f t="array" ref="AM552">VLOOKUP($A552,Table_ship_components[],COLUMN(AM:AM),0)</f>
        <v>0</v>
      </c>
      <c r="AN552" cm="1">
        <f t="array" ref="AN552">VLOOKUP($A552,Table_ship_components[],COLUMN(AN:AN),0)</f>
        <v>0</v>
      </c>
      <c r="AO552" cm="1">
        <f t="array" ref="AO552">VLOOKUP($A552,Table_ship_components[],COLUMN(AO:AO),0)</f>
        <v>0</v>
      </c>
      <c r="AP552" cm="1">
        <f t="array" ref="AP552">VLOOKUP($A552,Table_ship_components[],COLUMN(AP:AP),0)</f>
        <v>0</v>
      </c>
      <c r="AQ552" cm="1">
        <f t="array" ref="AQ552">VLOOKUP($A552,Table_ship_components[],COLUMN(AQ:AQ),0)</f>
        <v>0</v>
      </c>
      <c r="AR552" cm="1">
        <f t="array" ref="AR552">VLOOKUP($A552,Table_ship_components[],COLUMN(AR:AR),0)</f>
        <v>0</v>
      </c>
      <c r="AS552" cm="1">
        <f t="array" ref="AS552">VLOOKUP($A552,Table_ship_components[],COLUMN(AS:AS),0)</f>
        <v>0</v>
      </c>
      <c r="AT552" cm="1">
        <f t="array" ref="AT552">VLOOKUP($A552,Table_ship_components[],COLUMN(AT:AT),0)</f>
        <v>0</v>
      </c>
      <c r="AU552" s="2" cm="1">
        <f t="array" ref="AU552">VLOOKUP($A552,Table_ship_components[],COLUMN(AU:AU),0)</f>
        <v>0</v>
      </c>
      <c r="AV552" s="2" cm="1">
        <f t="array" ref="AV552">VLOOKUP($A552,Table_ship_components[],COLUMN(AV:AV),0)</f>
        <v>0</v>
      </c>
      <c r="AW552" s="2" cm="1">
        <f t="array" ref="AW552">VLOOKUP($A552,Table_ship_components[],COLUMN(AW:AW),0)</f>
        <v>0</v>
      </c>
      <c r="AX552" s="2" cm="1">
        <f t="array" ref="AX552">VLOOKUP($A552,Table_ship_components[],COLUMN(AX:AX),0)</f>
        <v>0</v>
      </c>
      <c r="AY552" s="2" cm="1">
        <f t="array" ref="AY552">VLOOKUP($A552,Table_ship_components[],COLUMN(AY:AY),0)</f>
        <v>0</v>
      </c>
      <c r="AZ552" s="2" t="str" cm="1">
        <f t="array" ref="AZ552">VLOOKUP($A552,Table_ship_components[],COLUMN(AZ:AZ),0)</f>
        <v>C</v>
      </c>
      <c r="BA552" s="14" cm="1">
        <f t="array" ref="BA552">VLOOKUP($A552,Table_ship_components[],COLUMN(BA:BA),0)</f>
        <v>0</v>
      </c>
      <c r="BB552" s="14" cm="1">
        <f t="array" ref="BB552">(VLOOKUP($A552,Table_ship_components[],COLUMN(BA:BA),0)+(W552*C552))</f>
        <v>0</v>
      </c>
      <c r="BC552" s="2" cm="1">
        <f t="array" ref="BC552">VLOOKUP($A552,Table_ship_components[],COLUMN(BC:BC),0)</f>
        <v>0</v>
      </c>
      <c r="BD552" s="2" cm="1">
        <f t="array" ref="BD552">VLOOKUP($A552,Table_ship_components[],COLUMN(BD:BD),0)</f>
        <v>0</v>
      </c>
    </row>
    <row r="553" spans="1:56" outlineLevel="1" x14ac:dyDescent="0.35">
      <c r="A553" t="s">
        <v>288</v>
      </c>
      <c r="B553" t="str" cm="1">
        <f t="array" ref="B553">VLOOKUP($A553,Table_ship_components[],COLUMN(B:B),0)</f>
        <v>PICK A COMPONENT</v>
      </c>
      <c r="D553" cm="1">
        <f t="array" ref="D553">VLOOKUP($A553,Table_ship_components[],COLUMN(D:D),0)</f>
        <v>0</v>
      </c>
      <c r="E553" cm="1">
        <f t="array" ref="E553">ROUND(VLOOKUP($A553,Table_ship_components[],COLUMN(D:D),0)+(V553*C553),0)</f>
        <v>0</v>
      </c>
      <c r="F553" cm="1">
        <f t="array" ref="F553">VLOOKUP($A553,Table_ship_components[],COLUMN(F:F),0)</f>
        <v>0</v>
      </c>
      <c r="G553" cm="1">
        <f t="array" ref="G553">ROUND(VLOOKUP($A553,Table_ship_components[],COLUMN(G:G),0)+(X553*C553),0)</f>
        <v>0</v>
      </c>
      <c r="H553" cm="1">
        <f t="array" ref="H553">VLOOKUP($A553,Table_ship_components[],COLUMN(H:H),0)</f>
        <v>0</v>
      </c>
      <c r="I553" cm="1">
        <f t="array" ref="I553">VLOOKUP($A553,Table_ship_components[],COLUMN(I:I),0)</f>
        <v>0</v>
      </c>
      <c r="J553" cm="1">
        <f t="array" ref="J553">VLOOKUP($A553,Table_ship_components[],COLUMN(J:J),0)</f>
        <v>0</v>
      </c>
      <c r="K553" cm="1">
        <f t="array" ref="K553">VLOOKUP($A553,Table_ship_components[],COLUMN(K:K),0)</f>
        <v>0</v>
      </c>
      <c r="L553" cm="1">
        <f t="array" ref="L553">VLOOKUP($A553,Table_ship_components[],COLUMN(L:L),0)</f>
        <v>0</v>
      </c>
      <c r="M553" cm="1">
        <f t="array" ref="M553">VLOOKUP($A553,Table_ship_components[],COLUMN(M:M),0)</f>
        <v>0</v>
      </c>
      <c r="N553" cm="1">
        <f t="array" ref="N553">VLOOKUP($A553,Table_ship_components[],COLUMN(N:N),0)</f>
        <v>0</v>
      </c>
      <c r="O553" cm="1">
        <f t="array" ref="O553">VLOOKUP($A553,Table_ship_components[],COLUMN(O:O),0)</f>
        <v>0</v>
      </c>
      <c r="P553" cm="1">
        <f t="array" ref="P553">VLOOKUP($A553,Table_ship_components[],COLUMN(P:P),0)</f>
        <v>0</v>
      </c>
      <c r="Q553" cm="1">
        <f t="array" ref="Q553">VLOOKUP($A553,Table_ship_components[],COLUMN(Q:Q),0)</f>
        <v>0</v>
      </c>
      <c r="R553" cm="1">
        <f t="array" ref="R553">VLOOKUP($A553,Table_ship_components[],COLUMN(R:R),0)</f>
        <v>0</v>
      </c>
      <c r="S553" cm="1">
        <f t="array" ref="S553">VLOOKUP($A553,Table_ship_components[],COLUMN(S:S),0)</f>
        <v>0</v>
      </c>
      <c r="T553" cm="1">
        <f t="array" ref="T553">VLOOKUP($A553,Table_ship_components[],COLUMN(T:T),0)</f>
        <v>0</v>
      </c>
      <c r="U553" cm="1">
        <f t="array" ref="U553">VLOOKUP($A553,Table_ship_components[],COLUMN(U:U),0)</f>
        <v>0</v>
      </c>
      <c r="V553" cm="1">
        <f t="array" ref="V553">VLOOKUP($A553,Table_ship_components[],COLUMN(V:V),0)</f>
        <v>0</v>
      </c>
      <c r="W553" s="15" cm="1">
        <f t="array" ref="W553">VLOOKUP($A553,Table_ship_components[],COLUMN(W:W),0)</f>
        <v>0</v>
      </c>
      <c r="X553" cm="1">
        <f t="array" ref="X553">VLOOKUP($A553,Table_ship_components[],COLUMN(X:X),0)</f>
        <v>0</v>
      </c>
      <c r="Y553" cm="1">
        <f t="array" ref="Y553">VLOOKUP($A553,Table_ship_components[],COLUMN(Y:Y),0)</f>
        <v>0</v>
      </c>
      <c r="Z553" cm="1">
        <f t="array" ref="Z553">VLOOKUP($A553,Table_ship_components[],COLUMN(Z:Z),0)</f>
        <v>0</v>
      </c>
      <c r="AA553" cm="1">
        <f t="array" ref="AA553">VLOOKUP($A553,Table_ship_components[],COLUMN(AA:AA),0)*C553</f>
        <v>0</v>
      </c>
      <c r="AB553">
        <f t="shared" si="52"/>
        <v>0</v>
      </c>
      <c r="AC553" cm="1">
        <f t="array" ref="AC553">VLOOKUP($A553,Table_ship_components[],COLUMN(AC:AC),0)*C553</f>
        <v>0</v>
      </c>
      <c r="AD553" cm="1">
        <f t="array" ref="AD553">VLOOKUP($A553,Table_ship_components[],COLUMN(AD:AD),0)</f>
        <v>0</v>
      </c>
      <c r="AE553" cm="1">
        <f t="array" ref="AE553">VLOOKUP($A553,Table_ship_components[],COLUMN(AE:AE),0)</f>
        <v>0</v>
      </c>
      <c r="AF553" cm="1">
        <f t="array" ref="AF553">VLOOKUP($A553,Table_ship_components[],COLUMN(AF:AF),0)</f>
        <v>0</v>
      </c>
      <c r="AG553" cm="1">
        <f t="array" ref="AG553">VLOOKUP($A553,Table_ship_components[],COLUMN(AG:AG),0)</f>
        <v>0</v>
      </c>
      <c r="AH553" cm="1">
        <f t="array" ref="AH553">VLOOKUP($A553,Table_ship_components[],COLUMN(AH:AH),0)</f>
        <v>0</v>
      </c>
      <c r="AI553" cm="1">
        <f t="array" ref="AI553">VLOOKUP($A553,Table_ship_components[],COLUMN(AI:AI),0)</f>
        <v>0</v>
      </c>
      <c r="AJ553" cm="1">
        <f t="array" ref="AJ553">VLOOKUP($A553,Table_ship_components[],COLUMN(AJ:AJ),0)</f>
        <v>0</v>
      </c>
      <c r="AK553" cm="1">
        <f t="array" ref="AK553">VLOOKUP($A553,Table_ship_components[],COLUMN(AK:AK),0)</f>
        <v>0</v>
      </c>
      <c r="AL553" cm="1">
        <f t="array" ref="AL553">VLOOKUP($A553,Table_ship_components[],COLUMN(AL:AL),0)</f>
        <v>0</v>
      </c>
      <c r="AM553" cm="1">
        <f t="array" ref="AM553">VLOOKUP($A553,Table_ship_components[],COLUMN(AM:AM),0)</f>
        <v>0</v>
      </c>
      <c r="AN553" cm="1">
        <f t="array" ref="AN553">VLOOKUP($A553,Table_ship_components[],COLUMN(AN:AN),0)</f>
        <v>0</v>
      </c>
      <c r="AO553" cm="1">
        <f t="array" ref="AO553">VLOOKUP($A553,Table_ship_components[],COLUMN(AO:AO),0)</f>
        <v>0</v>
      </c>
      <c r="AP553" cm="1">
        <f t="array" ref="AP553">VLOOKUP($A553,Table_ship_components[],COLUMN(AP:AP),0)</f>
        <v>0</v>
      </c>
      <c r="AQ553" cm="1">
        <f t="array" ref="AQ553">VLOOKUP($A553,Table_ship_components[],COLUMN(AQ:AQ),0)</f>
        <v>0</v>
      </c>
      <c r="AR553" cm="1">
        <f t="array" ref="AR553">VLOOKUP($A553,Table_ship_components[],COLUMN(AR:AR),0)</f>
        <v>0</v>
      </c>
      <c r="AS553" cm="1">
        <f t="array" ref="AS553">VLOOKUP($A553,Table_ship_components[],COLUMN(AS:AS),0)</f>
        <v>0</v>
      </c>
      <c r="AT553" cm="1">
        <f t="array" ref="AT553">VLOOKUP($A553,Table_ship_components[],COLUMN(AT:AT),0)</f>
        <v>0</v>
      </c>
      <c r="AU553" s="2" cm="1">
        <f t="array" ref="AU553">VLOOKUP($A553,Table_ship_components[],COLUMN(AU:AU),0)</f>
        <v>0</v>
      </c>
      <c r="AV553" s="2" cm="1">
        <f t="array" ref="AV553">VLOOKUP($A553,Table_ship_components[],COLUMN(AV:AV),0)</f>
        <v>0</v>
      </c>
      <c r="AW553" s="2" cm="1">
        <f t="array" ref="AW553">VLOOKUP($A553,Table_ship_components[],COLUMN(AW:AW),0)</f>
        <v>0</v>
      </c>
      <c r="AX553" s="2" cm="1">
        <f t="array" ref="AX553">VLOOKUP($A553,Table_ship_components[],COLUMN(AX:AX),0)</f>
        <v>0</v>
      </c>
      <c r="AY553" s="2" cm="1">
        <f t="array" ref="AY553">VLOOKUP($A553,Table_ship_components[],COLUMN(AY:AY),0)</f>
        <v>0</v>
      </c>
      <c r="AZ553" s="2" t="str" cm="1">
        <f t="array" ref="AZ553">VLOOKUP($A553,Table_ship_components[],COLUMN(AZ:AZ),0)</f>
        <v>C</v>
      </c>
      <c r="BA553" s="14" cm="1">
        <f t="array" ref="BA553">VLOOKUP($A553,Table_ship_components[],COLUMN(BA:BA),0)</f>
        <v>0</v>
      </c>
      <c r="BB553" s="14" cm="1">
        <f t="array" ref="BB553">(VLOOKUP($A553,Table_ship_components[],COLUMN(BA:BA),0)+(W553*C553))</f>
        <v>0</v>
      </c>
      <c r="BC553" s="2" cm="1">
        <f t="array" ref="BC553">VLOOKUP($A553,Table_ship_components[],COLUMN(BC:BC),0)</f>
        <v>0</v>
      </c>
      <c r="BD553" s="2" cm="1">
        <f t="array" ref="BD553">VLOOKUP($A553,Table_ship_components[],COLUMN(BD:BD),0)</f>
        <v>0</v>
      </c>
    </row>
    <row r="554" spans="1:56" outlineLevel="1" x14ac:dyDescent="0.35">
      <c r="A554" t="s">
        <v>288</v>
      </c>
      <c r="B554" t="str" cm="1">
        <f t="array" ref="B554">VLOOKUP($A554,Table_ship_components[],COLUMN(B:B),0)</f>
        <v>PICK A COMPONENT</v>
      </c>
      <c r="D554" cm="1">
        <f t="array" ref="D554">VLOOKUP($A554,Table_ship_components[],COLUMN(D:D),0)</f>
        <v>0</v>
      </c>
      <c r="E554" cm="1">
        <f t="array" ref="E554">ROUND(VLOOKUP($A554,Table_ship_components[],COLUMN(D:D),0)+(V554*C554),0)</f>
        <v>0</v>
      </c>
      <c r="F554" cm="1">
        <f t="array" ref="F554">VLOOKUP($A554,Table_ship_components[],COLUMN(F:F),0)</f>
        <v>0</v>
      </c>
      <c r="G554" cm="1">
        <f t="array" ref="G554">ROUND(VLOOKUP($A554,Table_ship_components[],COLUMN(G:G),0)+(X554*C554),0)</f>
        <v>0</v>
      </c>
      <c r="H554" cm="1">
        <f t="array" ref="H554">VLOOKUP($A554,Table_ship_components[],COLUMN(H:H),0)</f>
        <v>0</v>
      </c>
      <c r="I554" cm="1">
        <f t="array" ref="I554">VLOOKUP($A554,Table_ship_components[],COLUMN(I:I),0)</f>
        <v>0</v>
      </c>
      <c r="J554" cm="1">
        <f t="array" ref="J554">VLOOKUP($A554,Table_ship_components[],COLUMN(J:J),0)</f>
        <v>0</v>
      </c>
      <c r="K554" cm="1">
        <f t="array" ref="K554">VLOOKUP($A554,Table_ship_components[],COLUMN(K:K),0)</f>
        <v>0</v>
      </c>
      <c r="L554" cm="1">
        <f t="array" ref="L554">VLOOKUP($A554,Table_ship_components[],COLUMN(L:L),0)</f>
        <v>0</v>
      </c>
      <c r="M554" cm="1">
        <f t="array" ref="M554">VLOOKUP($A554,Table_ship_components[],COLUMN(M:M),0)</f>
        <v>0</v>
      </c>
      <c r="N554" cm="1">
        <f t="array" ref="N554">VLOOKUP($A554,Table_ship_components[],COLUMN(N:N),0)</f>
        <v>0</v>
      </c>
      <c r="O554" cm="1">
        <f t="array" ref="O554">VLOOKUP($A554,Table_ship_components[],COLUMN(O:O),0)</f>
        <v>0</v>
      </c>
      <c r="P554" cm="1">
        <f t="array" ref="P554">VLOOKUP($A554,Table_ship_components[],COLUMN(P:P),0)</f>
        <v>0</v>
      </c>
      <c r="Q554" cm="1">
        <f t="array" ref="Q554">VLOOKUP($A554,Table_ship_components[],COLUMN(Q:Q),0)</f>
        <v>0</v>
      </c>
      <c r="R554" cm="1">
        <f t="array" ref="R554">VLOOKUP($A554,Table_ship_components[],COLUMN(R:R),0)</f>
        <v>0</v>
      </c>
      <c r="S554" cm="1">
        <f t="array" ref="S554">VLOOKUP($A554,Table_ship_components[],COLUMN(S:S),0)</f>
        <v>0</v>
      </c>
      <c r="T554" cm="1">
        <f t="array" ref="T554">VLOOKUP($A554,Table_ship_components[],COLUMN(T:T),0)</f>
        <v>0</v>
      </c>
      <c r="U554" cm="1">
        <f t="array" ref="U554">VLOOKUP($A554,Table_ship_components[],COLUMN(U:U),0)</f>
        <v>0</v>
      </c>
      <c r="V554" cm="1">
        <f t="array" ref="V554">VLOOKUP($A554,Table_ship_components[],COLUMN(V:V),0)</f>
        <v>0</v>
      </c>
      <c r="W554" s="15" cm="1">
        <f t="array" ref="W554">VLOOKUP($A554,Table_ship_components[],COLUMN(W:W),0)</f>
        <v>0</v>
      </c>
      <c r="X554" cm="1">
        <f t="array" ref="X554">VLOOKUP($A554,Table_ship_components[],COLUMN(X:X),0)</f>
        <v>0</v>
      </c>
      <c r="Y554" cm="1">
        <f t="array" ref="Y554">VLOOKUP($A554,Table_ship_components[],COLUMN(Y:Y),0)</f>
        <v>0</v>
      </c>
      <c r="Z554" cm="1">
        <f t="array" ref="Z554">VLOOKUP($A554,Table_ship_components[],COLUMN(Z:Z),0)</f>
        <v>0</v>
      </c>
      <c r="AA554" cm="1">
        <f t="array" ref="AA554">VLOOKUP($A554,Table_ship_components[],COLUMN(AA:AA),0)*C554</f>
        <v>0</v>
      </c>
      <c r="AB554">
        <f t="shared" si="52"/>
        <v>0</v>
      </c>
      <c r="AC554" cm="1">
        <f t="array" ref="AC554">VLOOKUP($A554,Table_ship_components[],COLUMN(AC:AC),0)*C554</f>
        <v>0</v>
      </c>
      <c r="AD554" cm="1">
        <f t="array" ref="AD554">VLOOKUP($A554,Table_ship_components[],COLUMN(AD:AD),0)</f>
        <v>0</v>
      </c>
      <c r="AE554" cm="1">
        <f t="array" ref="AE554">VLOOKUP($A554,Table_ship_components[],COLUMN(AE:AE),0)</f>
        <v>0</v>
      </c>
      <c r="AF554" cm="1">
        <f t="array" ref="AF554">VLOOKUP($A554,Table_ship_components[],COLUMN(AF:AF),0)</f>
        <v>0</v>
      </c>
      <c r="AG554" cm="1">
        <f t="array" ref="AG554">VLOOKUP($A554,Table_ship_components[],COLUMN(AG:AG),0)</f>
        <v>0</v>
      </c>
      <c r="AH554" cm="1">
        <f t="array" ref="AH554">VLOOKUP($A554,Table_ship_components[],COLUMN(AH:AH),0)</f>
        <v>0</v>
      </c>
      <c r="AI554" cm="1">
        <f t="array" ref="AI554">VLOOKUP($A554,Table_ship_components[],COLUMN(AI:AI),0)</f>
        <v>0</v>
      </c>
      <c r="AJ554" cm="1">
        <f t="array" ref="AJ554">VLOOKUP($A554,Table_ship_components[],COLUMN(AJ:AJ),0)</f>
        <v>0</v>
      </c>
      <c r="AK554" cm="1">
        <f t="array" ref="AK554">VLOOKUP($A554,Table_ship_components[],COLUMN(AK:AK),0)</f>
        <v>0</v>
      </c>
      <c r="AL554" cm="1">
        <f t="array" ref="AL554">VLOOKUP($A554,Table_ship_components[],COLUMN(AL:AL),0)</f>
        <v>0</v>
      </c>
      <c r="AM554" cm="1">
        <f t="array" ref="AM554">VLOOKUP($A554,Table_ship_components[],COLUMN(AM:AM),0)</f>
        <v>0</v>
      </c>
      <c r="AN554" cm="1">
        <f t="array" ref="AN554">VLOOKUP($A554,Table_ship_components[],COLUMN(AN:AN),0)</f>
        <v>0</v>
      </c>
      <c r="AO554" cm="1">
        <f t="array" ref="AO554">VLOOKUP($A554,Table_ship_components[],COLUMN(AO:AO),0)</f>
        <v>0</v>
      </c>
      <c r="AP554" cm="1">
        <f t="array" ref="AP554">VLOOKUP($A554,Table_ship_components[],COLUMN(AP:AP),0)</f>
        <v>0</v>
      </c>
      <c r="AQ554" cm="1">
        <f t="array" ref="AQ554">VLOOKUP($A554,Table_ship_components[],COLUMN(AQ:AQ),0)</f>
        <v>0</v>
      </c>
      <c r="AR554" cm="1">
        <f t="array" ref="AR554">VLOOKUP($A554,Table_ship_components[],COLUMN(AR:AR),0)</f>
        <v>0</v>
      </c>
      <c r="AS554" cm="1">
        <f t="array" ref="AS554">VLOOKUP($A554,Table_ship_components[],COLUMN(AS:AS),0)</f>
        <v>0</v>
      </c>
      <c r="AT554" cm="1">
        <f t="array" ref="AT554">VLOOKUP($A554,Table_ship_components[],COLUMN(AT:AT),0)</f>
        <v>0</v>
      </c>
      <c r="AU554" s="2" cm="1">
        <f t="array" ref="AU554">VLOOKUP($A554,Table_ship_components[],COLUMN(AU:AU),0)</f>
        <v>0</v>
      </c>
      <c r="AV554" s="2" cm="1">
        <f t="array" ref="AV554">VLOOKUP($A554,Table_ship_components[],COLUMN(AV:AV),0)</f>
        <v>0</v>
      </c>
      <c r="AW554" s="2" cm="1">
        <f t="array" ref="AW554">VLOOKUP($A554,Table_ship_components[],COLUMN(AW:AW),0)</f>
        <v>0</v>
      </c>
      <c r="AX554" s="2" cm="1">
        <f t="array" ref="AX554">VLOOKUP($A554,Table_ship_components[],COLUMN(AX:AX),0)</f>
        <v>0</v>
      </c>
      <c r="AY554" s="2" cm="1">
        <f t="array" ref="AY554">VLOOKUP($A554,Table_ship_components[],COLUMN(AY:AY),0)</f>
        <v>0</v>
      </c>
      <c r="AZ554" s="2" t="str" cm="1">
        <f t="array" ref="AZ554">VLOOKUP($A554,Table_ship_components[],COLUMN(AZ:AZ),0)</f>
        <v>C</v>
      </c>
      <c r="BA554" s="14" cm="1">
        <f t="array" ref="BA554">VLOOKUP($A554,Table_ship_components[],COLUMN(BA:BA),0)</f>
        <v>0</v>
      </c>
      <c r="BB554" s="14" cm="1">
        <f t="array" ref="BB554">(VLOOKUP($A554,Table_ship_components[],COLUMN(BA:BA),0)+(W554*C554))</f>
        <v>0</v>
      </c>
      <c r="BC554" s="2" cm="1">
        <f t="array" ref="BC554">VLOOKUP($A554,Table_ship_components[],COLUMN(BC:BC),0)</f>
        <v>0</v>
      </c>
      <c r="BD554" s="2" cm="1">
        <f t="array" ref="BD554">VLOOKUP($A554,Table_ship_components[],COLUMN(BD:BD),0)</f>
        <v>0</v>
      </c>
    </row>
    <row r="555" spans="1:56" outlineLevel="1" x14ac:dyDescent="0.35">
      <c r="A555" t="s">
        <v>288</v>
      </c>
      <c r="B555" t="str" cm="1">
        <f t="array" ref="B555">VLOOKUP($A555,Table_ship_components[],COLUMN(B:B),0)</f>
        <v>PICK A COMPONENT</v>
      </c>
      <c r="D555" cm="1">
        <f t="array" ref="D555">VLOOKUP($A555,Table_ship_components[],COLUMN(D:D),0)</f>
        <v>0</v>
      </c>
      <c r="E555" cm="1">
        <f t="array" ref="E555">ROUND(VLOOKUP($A555,Table_ship_components[],COLUMN(D:D),0)+(V555*C555),0)</f>
        <v>0</v>
      </c>
      <c r="F555" cm="1">
        <f t="array" ref="F555">VLOOKUP($A555,Table_ship_components[],COLUMN(F:F),0)</f>
        <v>0</v>
      </c>
      <c r="G555" cm="1">
        <f t="array" ref="G555">ROUND(VLOOKUP($A555,Table_ship_components[],COLUMN(G:G),0)+(X555*C555),0)</f>
        <v>0</v>
      </c>
      <c r="H555" cm="1">
        <f t="array" ref="H555">VLOOKUP($A555,Table_ship_components[],COLUMN(H:H),0)</f>
        <v>0</v>
      </c>
      <c r="I555" cm="1">
        <f t="array" ref="I555">VLOOKUP($A555,Table_ship_components[],COLUMN(I:I),0)</f>
        <v>0</v>
      </c>
      <c r="J555" cm="1">
        <f t="array" ref="J555">VLOOKUP($A555,Table_ship_components[],COLUMN(J:J),0)</f>
        <v>0</v>
      </c>
      <c r="K555" cm="1">
        <f t="array" ref="K555">VLOOKUP($A555,Table_ship_components[],COLUMN(K:K),0)</f>
        <v>0</v>
      </c>
      <c r="L555" cm="1">
        <f t="array" ref="L555">VLOOKUP($A555,Table_ship_components[],COLUMN(L:L),0)</f>
        <v>0</v>
      </c>
      <c r="M555" cm="1">
        <f t="array" ref="M555">VLOOKUP($A555,Table_ship_components[],COLUMN(M:M),0)</f>
        <v>0</v>
      </c>
      <c r="N555" cm="1">
        <f t="array" ref="N555">VLOOKUP($A555,Table_ship_components[],COLUMN(N:N),0)</f>
        <v>0</v>
      </c>
      <c r="O555" cm="1">
        <f t="array" ref="O555">VLOOKUP($A555,Table_ship_components[],COLUMN(O:O),0)</f>
        <v>0</v>
      </c>
      <c r="P555" cm="1">
        <f t="array" ref="P555">VLOOKUP($A555,Table_ship_components[],COLUMN(P:P),0)</f>
        <v>0</v>
      </c>
      <c r="Q555" cm="1">
        <f t="array" ref="Q555">VLOOKUP($A555,Table_ship_components[],COLUMN(Q:Q),0)</f>
        <v>0</v>
      </c>
      <c r="R555" cm="1">
        <f t="array" ref="R555">VLOOKUP($A555,Table_ship_components[],COLUMN(R:R),0)</f>
        <v>0</v>
      </c>
      <c r="S555" cm="1">
        <f t="array" ref="S555">VLOOKUP($A555,Table_ship_components[],COLUMN(S:S),0)</f>
        <v>0</v>
      </c>
      <c r="T555" cm="1">
        <f t="array" ref="T555">VLOOKUP($A555,Table_ship_components[],COLUMN(T:T),0)</f>
        <v>0</v>
      </c>
      <c r="U555" cm="1">
        <f t="array" ref="U555">VLOOKUP($A555,Table_ship_components[],COLUMN(U:U),0)</f>
        <v>0</v>
      </c>
      <c r="V555" cm="1">
        <f t="array" ref="V555">VLOOKUP($A555,Table_ship_components[],COLUMN(V:V),0)</f>
        <v>0</v>
      </c>
      <c r="W555" s="15" cm="1">
        <f t="array" ref="W555">VLOOKUP($A555,Table_ship_components[],COLUMN(W:W),0)</f>
        <v>0</v>
      </c>
      <c r="X555" cm="1">
        <f t="array" ref="X555">VLOOKUP($A555,Table_ship_components[],COLUMN(X:X),0)</f>
        <v>0</v>
      </c>
      <c r="Y555" cm="1">
        <f t="array" ref="Y555">VLOOKUP($A555,Table_ship_components[],COLUMN(Y:Y),0)</f>
        <v>0</v>
      </c>
      <c r="Z555" cm="1">
        <f t="array" ref="Z555">VLOOKUP($A555,Table_ship_components[],COLUMN(Z:Z),0)</f>
        <v>0</v>
      </c>
      <c r="AA555" cm="1">
        <f t="array" ref="AA555">VLOOKUP($A555,Table_ship_components[],COLUMN(AA:AA),0)*C555</f>
        <v>0</v>
      </c>
      <c r="AB555">
        <f t="shared" si="52"/>
        <v>0</v>
      </c>
      <c r="AC555" cm="1">
        <f t="array" ref="AC555">VLOOKUP($A555,Table_ship_components[],COLUMN(AC:AC),0)*C555</f>
        <v>0</v>
      </c>
      <c r="AD555" cm="1">
        <f t="array" ref="AD555">VLOOKUP($A555,Table_ship_components[],COLUMN(AD:AD),0)</f>
        <v>0</v>
      </c>
      <c r="AE555" cm="1">
        <f t="array" ref="AE555">VLOOKUP($A555,Table_ship_components[],COLUMN(AE:AE),0)</f>
        <v>0</v>
      </c>
      <c r="AF555" cm="1">
        <f t="array" ref="AF555">VLOOKUP($A555,Table_ship_components[],COLUMN(AF:AF),0)</f>
        <v>0</v>
      </c>
      <c r="AG555" cm="1">
        <f t="array" ref="AG555">VLOOKUP($A555,Table_ship_components[],COLUMN(AG:AG),0)</f>
        <v>0</v>
      </c>
      <c r="AH555" cm="1">
        <f t="array" ref="AH555">VLOOKUP($A555,Table_ship_components[],COLUMN(AH:AH),0)</f>
        <v>0</v>
      </c>
      <c r="AI555" cm="1">
        <f t="array" ref="AI555">VLOOKUP($A555,Table_ship_components[],COLUMN(AI:AI),0)</f>
        <v>0</v>
      </c>
      <c r="AJ555" cm="1">
        <f t="array" ref="AJ555">VLOOKUP($A555,Table_ship_components[],COLUMN(AJ:AJ),0)</f>
        <v>0</v>
      </c>
      <c r="AK555" cm="1">
        <f t="array" ref="AK555">VLOOKUP($A555,Table_ship_components[],COLUMN(AK:AK),0)</f>
        <v>0</v>
      </c>
      <c r="AL555" cm="1">
        <f t="array" ref="AL555">VLOOKUP($A555,Table_ship_components[],COLUMN(AL:AL),0)</f>
        <v>0</v>
      </c>
      <c r="AM555" cm="1">
        <f t="array" ref="AM555">VLOOKUP($A555,Table_ship_components[],COLUMN(AM:AM),0)</f>
        <v>0</v>
      </c>
      <c r="AN555" cm="1">
        <f t="array" ref="AN555">VLOOKUP($A555,Table_ship_components[],COLUMN(AN:AN),0)</f>
        <v>0</v>
      </c>
      <c r="AO555" cm="1">
        <f t="array" ref="AO555">VLOOKUP($A555,Table_ship_components[],COLUMN(AO:AO),0)</f>
        <v>0</v>
      </c>
      <c r="AP555" cm="1">
        <f t="array" ref="AP555">VLOOKUP($A555,Table_ship_components[],COLUMN(AP:AP),0)</f>
        <v>0</v>
      </c>
      <c r="AQ555" cm="1">
        <f t="array" ref="AQ555">VLOOKUP($A555,Table_ship_components[],COLUMN(AQ:AQ),0)</f>
        <v>0</v>
      </c>
      <c r="AR555" cm="1">
        <f t="array" ref="AR555">VLOOKUP($A555,Table_ship_components[],COLUMN(AR:AR),0)</f>
        <v>0</v>
      </c>
      <c r="AS555" cm="1">
        <f t="array" ref="AS555">VLOOKUP($A555,Table_ship_components[],COLUMN(AS:AS),0)</f>
        <v>0</v>
      </c>
      <c r="AT555" cm="1">
        <f t="array" ref="AT555">VLOOKUP($A555,Table_ship_components[],COLUMN(AT:AT),0)</f>
        <v>0</v>
      </c>
      <c r="AU555" s="2" cm="1">
        <f t="array" ref="AU555">VLOOKUP($A555,Table_ship_components[],COLUMN(AU:AU),0)</f>
        <v>0</v>
      </c>
      <c r="AV555" s="2" cm="1">
        <f t="array" ref="AV555">VLOOKUP($A555,Table_ship_components[],COLUMN(AV:AV),0)</f>
        <v>0</v>
      </c>
      <c r="AW555" s="2" cm="1">
        <f t="array" ref="AW555">VLOOKUP($A555,Table_ship_components[],COLUMN(AW:AW),0)</f>
        <v>0</v>
      </c>
      <c r="AX555" s="2" cm="1">
        <f t="array" ref="AX555">VLOOKUP($A555,Table_ship_components[],COLUMN(AX:AX),0)</f>
        <v>0</v>
      </c>
      <c r="AY555" s="2" cm="1">
        <f t="array" ref="AY555">VLOOKUP($A555,Table_ship_components[],COLUMN(AY:AY),0)</f>
        <v>0</v>
      </c>
      <c r="AZ555" s="2" t="str" cm="1">
        <f t="array" ref="AZ555">VLOOKUP($A555,Table_ship_components[],COLUMN(AZ:AZ),0)</f>
        <v>C</v>
      </c>
      <c r="BA555" s="14" cm="1">
        <f t="array" ref="BA555">VLOOKUP($A555,Table_ship_components[],COLUMN(BA:BA),0)</f>
        <v>0</v>
      </c>
      <c r="BB555" s="14" cm="1">
        <f t="array" ref="BB555">(VLOOKUP($A555,Table_ship_components[],COLUMN(BA:BA),0)+(W555*C555))</f>
        <v>0</v>
      </c>
      <c r="BC555" s="2" cm="1">
        <f t="array" ref="BC555">VLOOKUP($A555,Table_ship_components[],COLUMN(BC:BC),0)</f>
        <v>0</v>
      </c>
      <c r="BD555" s="2" cm="1">
        <f t="array" ref="BD555">VLOOKUP($A555,Table_ship_components[],COLUMN(BD:BD),0)</f>
        <v>0</v>
      </c>
    </row>
    <row r="556" spans="1:56" ht="15" outlineLevel="1" thickBot="1" x14ac:dyDescent="0.4">
      <c r="D556" s="32"/>
      <c r="E556" s="32">
        <f>SUM(E525:E555)</f>
        <v>50</v>
      </c>
      <c r="F556" s="32"/>
      <c r="G556" s="32">
        <f t="shared" ref="G556:L556" si="53">SUM(G525:G555)</f>
        <v>20</v>
      </c>
      <c r="H556" s="32">
        <f t="shared" si="53"/>
        <v>0</v>
      </c>
      <c r="I556" s="32">
        <f t="shared" si="53"/>
        <v>20</v>
      </c>
      <c r="J556" s="32">
        <f t="shared" si="53"/>
        <v>3</v>
      </c>
      <c r="K556" s="32">
        <f t="shared" si="53"/>
        <v>30</v>
      </c>
      <c r="L556" s="32">
        <f t="shared" si="53"/>
        <v>7</v>
      </c>
      <c r="M556" s="32"/>
      <c r="N556" s="32"/>
      <c r="O556" s="32"/>
      <c r="P556" s="32"/>
      <c r="Q556" s="32"/>
      <c r="R556" s="32"/>
      <c r="S556" s="32"/>
      <c r="T556" s="32"/>
      <c r="U556" s="32"/>
      <c r="V556" s="32"/>
      <c r="W556" s="32"/>
      <c r="X556" s="32"/>
      <c r="Y556" s="32">
        <f t="shared" ref="Y556:AY556" si="54">SUM(Y525:Y555)</f>
        <v>1</v>
      </c>
      <c r="Z556" s="32">
        <f t="shared" si="54"/>
        <v>2</v>
      </c>
      <c r="AA556" s="32">
        <f t="shared" si="54"/>
        <v>0</v>
      </c>
      <c r="AB556" s="32">
        <f t="shared" si="54"/>
        <v>2</v>
      </c>
      <c r="AC556" s="32">
        <f t="shared" si="54"/>
        <v>2</v>
      </c>
      <c r="AD556" s="32">
        <f t="shared" si="54"/>
        <v>10</v>
      </c>
      <c r="AE556" s="32">
        <f t="shared" si="54"/>
        <v>0</v>
      </c>
      <c r="AF556" s="32">
        <f t="shared" si="54"/>
        <v>0</v>
      </c>
      <c r="AG556" s="32">
        <f t="shared" si="54"/>
        <v>0</v>
      </c>
      <c r="AH556" s="32">
        <f t="shared" si="54"/>
        <v>2000</v>
      </c>
      <c r="AI556" s="32">
        <f t="shared" si="54"/>
        <v>10000</v>
      </c>
      <c r="AJ556" s="32">
        <f t="shared" si="54"/>
        <v>0</v>
      </c>
      <c r="AK556" s="32">
        <f t="shared" si="54"/>
        <v>0</v>
      </c>
      <c r="AL556" s="32">
        <f t="shared" si="54"/>
        <v>1</v>
      </c>
      <c r="AM556" s="32">
        <f t="shared" si="54"/>
        <v>2</v>
      </c>
      <c r="AN556" s="32">
        <f t="shared" si="54"/>
        <v>10</v>
      </c>
      <c r="AO556" s="32">
        <f t="shared" si="54"/>
        <v>2</v>
      </c>
      <c r="AP556" s="32">
        <f t="shared" si="54"/>
        <v>5</v>
      </c>
      <c r="AQ556" s="32">
        <f t="shared" si="54"/>
        <v>0</v>
      </c>
      <c r="AR556" s="32">
        <f t="shared" si="54"/>
        <v>2</v>
      </c>
      <c r="AS556" s="32">
        <f t="shared" si="54"/>
        <v>4</v>
      </c>
      <c r="AT556" s="32">
        <f t="shared" si="54"/>
        <v>2</v>
      </c>
      <c r="AU556" s="32">
        <f t="shared" si="54"/>
        <v>4</v>
      </c>
      <c r="AV556" s="32">
        <f t="shared" si="54"/>
        <v>50</v>
      </c>
      <c r="AW556" s="32">
        <f t="shared" si="54"/>
        <v>10</v>
      </c>
      <c r="AX556" s="32">
        <f t="shared" si="54"/>
        <v>20</v>
      </c>
      <c r="AY556" s="32">
        <f t="shared" si="54"/>
        <v>20</v>
      </c>
      <c r="AZ556" s="32"/>
      <c r="BA556" s="33">
        <f>SUM(BA525:BA555)</f>
        <v>2620000</v>
      </c>
      <c r="BB556" s="33">
        <f>SUM(BB525:BB555)</f>
        <v>2636000</v>
      </c>
      <c r="BC556" s="32"/>
      <c r="BD556" s="32"/>
    </row>
    <row r="557" spans="1:56" ht="19" outlineLevel="1" thickTop="1" x14ac:dyDescent="0.45">
      <c r="A557" s="35" t="s">
        <v>691</v>
      </c>
      <c r="B557" s="34">
        <f>BB556</f>
        <v>2636000</v>
      </c>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c r="AX557" s="36"/>
      <c r="AY557" s="36"/>
      <c r="AZ557" s="36"/>
      <c r="BA557" s="37"/>
      <c r="BB557" s="37"/>
      <c r="BC557" s="36"/>
      <c r="BD557" s="36"/>
    </row>
    <row r="558" spans="1:56" ht="21" x14ac:dyDescent="0.5">
      <c r="A558" s="38" t="s">
        <v>165</v>
      </c>
      <c r="B558" s="38" t="s">
        <v>217</v>
      </c>
    </row>
    <row r="559" spans="1:56" outlineLevel="1" x14ac:dyDescent="0.35">
      <c r="A559" t="s">
        <v>727</v>
      </c>
      <c r="B559" t="str" cm="1">
        <f t="array" ref="B559">VLOOKUP($A559,Table_ship_components[],COLUMN(B:B),0)</f>
        <v>raider fighter template</v>
      </c>
      <c r="D559" cm="1">
        <f t="array" ref="D559">VLOOKUP($A559,Table_ship_components[],COLUMN(D:D),0)</f>
        <v>0</v>
      </c>
      <c r="E559" cm="1">
        <f t="array" ref="E559">(VLOOKUP($A559,Table_ship_components[],COLUMN(D:D),0)+(V559*C559))</f>
        <v>0</v>
      </c>
      <c r="F559" cm="1">
        <f t="array" ref="F559">VLOOKUP($A559,Table_ship_components[],COLUMN(F:F),0)</f>
        <v>0</v>
      </c>
      <c r="G559" cm="1">
        <f t="array" ref="G559">(VLOOKUP($A559,Table_ship_components[],COLUMN(G:G),0)+(X559*C559))</f>
        <v>0</v>
      </c>
      <c r="H559" cm="1">
        <f t="array" ref="H559">VLOOKUP($A559,Table_ship_components[],COLUMN(H:H),0)</f>
        <v>0</v>
      </c>
      <c r="I559" cm="1">
        <f t="array" ref="I559">VLOOKUP($A559,Table_ship_components[],COLUMN(I:I),0)</f>
        <v>0</v>
      </c>
      <c r="J559" cm="1">
        <f t="array" ref="J559">VLOOKUP($A559,Table_ship_components[],COLUMN(J:J),0)</f>
        <v>0</v>
      </c>
      <c r="K559" cm="1">
        <f t="array" ref="K559">VLOOKUP($A559,Table_ship_components[],COLUMN(K:K),0)</f>
        <v>0</v>
      </c>
      <c r="L559" cm="1">
        <f t="array" ref="L559">VLOOKUP($A559,Table_ship_components[],COLUMN(L:L),0)</f>
        <v>0</v>
      </c>
      <c r="M559" cm="1">
        <f t="array" ref="M559">VLOOKUP($A559,Table_ship_components[],COLUMN(M:M),0)</f>
        <v>0</v>
      </c>
      <c r="N559" cm="1">
        <f t="array" ref="N559">VLOOKUP($A559,Table_ship_components[],COLUMN(N:N),0)</f>
        <v>0</v>
      </c>
      <c r="O559" cm="1">
        <f t="array" ref="O559">VLOOKUP($A559,Table_ship_components[],COLUMN(O:O),0)</f>
        <v>0</v>
      </c>
      <c r="P559" cm="1">
        <f t="array" ref="P559">VLOOKUP($A559,Table_ship_components[],COLUMN(P:P),0)</f>
        <v>0</v>
      </c>
      <c r="Q559" cm="1">
        <f t="array" ref="Q559">VLOOKUP($A559,Table_ship_components[],COLUMN(Q:Q),0)</f>
        <v>0</v>
      </c>
      <c r="R559" cm="1">
        <f t="array" ref="R559">VLOOKUP($A559,Table_ship_components[],COLUMN(R:R),0)</f>
        <v>0</v>
      </c>
      <c r="S559" cm="1">
        <f t="array" ref="S559">VLOOKUP($A559,Table_ship_components[],COLUMN(S:S),0)</f>
        <v>0</v>
      </c>
      <c r="T559" cm="1">
        <f t="array" ref="T559">VLOOKUP($A559,Table_ship_components[],COLUMN(T:T),0)</f>
        <v>0</v>
      </c>
      <c r="U559" cm="1">
        <f t="array" ref="U559">VLOOKUP($A559,Table_ship_components[],COLUMN(U:U),0)</f>
        <v>0</v>
      </c>
      <c r="V559" cm="1">
        <f t="array" ref="V559">VLOOKUP($A559,Table_ship_components[],COLUMN(V:V),0)</f>
        <v>0</v>
      </c>
      <c r="W559" s="15" cm="1">
        <f t="array" ref="W559">VLOOKUP($A559,Table_ship_components[],COLUMN(W:W),0)</f>
        <v>0</v>
      </c>
      <c r="X559" cm="1">
        <f t="array" ref="X559">VLOOKUP($A559,Table_ship_components[],COLUMN(X:X),0)</f>
        <v>0</v>
      </c>
      <c r="Y559" cm="1">
        <f t="array" ref="Y559">VLOOKUP($A559,Table_ship_components[],COLUMN(Y:Y),0)</f>
        <v>0</v>
      </c>
      <c r="Z559" cm="1">
        <f t="array" ref="Z559">VLOOKUP($A559,Table_ship_components[],COLUMN(Z:Z),0)</f>
        <v>0</v>
      </c>
      <c r="AA559" cm="1">
        <f t="array" ref="AA559">VLOOKUP($A559,Table_ship_components[],COLUMN(AA:AA),0)</f>
        <v>0</v>
      </c>
      <c r="AB559" cm="1">
        <f t="array" ref="AB559">VLOOKUP($A559,Table_ship_components[],COLUMN(AB:AB),0)</f>
        <v>0</v>
      </c>
      <c r="AC559" cm="1">
        <f t="array" ref="AC559">VLOOKUP($A559,Table_ship_components[],COLUMN(AC:AC),0)</f>
        <v>0</v>
      </c>
      <c r="AD559" cm="1">
        <f t="array" ref="AD559">VLOOKUP($A559,Table_ship_components[],COLUMN(AD:AD),0)</f>
        <v>0</v>
      </c>
      <c r="AE559" cm="1">
        <f t="array" ref="AE559">VLOOKUP($A559,Table_ship_components[],COLUMN(AE:AE),0)</f>
        <v>0</v>
      </c>
      <c r="AF559" cm="1">
        <f t="array" ref="AF559">VLOOKUP($A559,Table_ship_components[],COLUMN(AF:AF),0)</f>
        <v>0</v>
      </c>
      <c r="AG559" cm="1">
        <f t="array" ref="AG559">VLOOKUP($A559,Table_ship_components[],COLUMN(AG:AG),0)</f>
        <v>0</v>
      </c>
      <c r="AH559" cm="1">
        <f t="array" ref="AH559">VLOOKUP($A559,Table_ship_components[],COLUMN(AH:AH),0)</f>
        <v>0</v>
      </c>
      <c r="AI559" cm="1">
        <f t="array" ref="AI559">VLOOKUP($A559,Table_ship_components[],COLUMN(AI:AI),0)</f>
        <v>0</v>
      </c>
      <c r="AJ559" cm="1">
        <f t="array" ref="AJ559">VLOOKUP($A559,Table_ship_components[],COLUMN(AJ:AJ),0)</f>
        <v>0</v>
      </c>
      <c r="AK559" cm="1">
        <f t="array" ref="AK559">VLOOKUP($A559,Table_ship_components[],COLUMN(AK:AK),0)</f>
        <v>0</v>
      </c>
      <c r="AL559" cm="1">
        <f t="array" ref="AL559">VLOOKUP($A559,Table_ship_components[],COLUMN(AL:AL),0)</f>
        <v>0</v>
      </c>
      <c r="AM559" cm="1">
        <f t="array" ref="AM559">VLOOKUP($A559,Table_ship_components[],COLUMN(AM:AM),0)</f>
        <v>2</v>
      </c>
      <c r="AN559" cm="1">
        <f t="array" ref="AN559">VLOOKUP($A559,Table_ship_components[],COLUMN(AN:AN),0)</f>
        <v>5</v>
      </c>
      <c r="AO559" cm="1">
        <f t="array" ref="AO559">VLOOKUP($A559,Table_ship_components[],COLUMN(AO:AO),0)</f>
        <v>2</v>
      </c>
      <c r="AP559" cm="1">
        <f t="array" ref="AP559">VLOOKUP($A559,Table_ship_components[],COLUMN(AP:AP),0)</f>
        <v>5</v>
      </c>
      <c r="AQ559" cm="1">
        <f t="array" ref="AQ559">VLOOKUP($A559,Table_ship_components[],COLUMN(AQ:AQ),0)</f>
        <v>0</v>
      </c>
      <c r="AR559" cm="1">
        <f t="array" ref="AR559">VLOOKUP($A559,Table_ship_components[],COLUMN(AR:AR),0)</f>
        <v>3</v>
      </c>
      <c r="AS559" cm="1">
        <f t="array" ref="AS559">VLOOKUP($A559,Table_ship_components[],COLUMN(AS:AS),0)</f>
        <v>2</v>
      </c>
      <c r="AT559" cm="1">
        <f t="array" ref="AT559">VLOOKUP($A559,Table_ship_components[],COLUMN(AT:AT),0)</f>
        <v>2</v>
      </c>
      <c r="AU559" s="2" cm="1">
        <f t="array" ref="AU559">VLOOKUP($A559,Table_ship_components[],COLUMN(AU:AU),0)</f>
        <v>3</v>
      </c>
      <c r="AV559" s="2" cm="1">
        <f t="array" ref="AV559">VLOOKUP($A559,Table_ship_components[],COLUMN(AV:AV),0)</f>
        <v>50</v>
      </c>
      <c r="AW559" s="2" cm="1">
        <f t="array" ref="AW559">VLOOKUP($A559,Table_ship_components[],COLUMN(AW:AW),0)</f>
        <v>10</v>
      </c>
      <c r="AX559" s="2" cm="1">
        <f t="array" ref="AX559">VLOOKUP($A559,Table_ship_components[],COLUMN(AX:AX),0)</f>
        <v>30</v>
      </c>
      <c r="AY559" s="2" cm="1">
        <f t="array" ref="AY559">VLOOKUP($A559,Table_ship_components[],COLUMN(AY:AY),0)</f>
        <v>10</v>
      </c>
      <c r="AZ559" s="2" t="str" cm="1">
        <f t="array" ref="AZ559">VLOOKUP($A559,Table_ship_components[],COLUMN(AZ:AZ),0)</f>
        <v>C</v>
      </c>
      <c r="BA559" s="14" cm="1">
        <f t="array" ref="BA559">VLOOKUP($A559,Table_ship_components[],COLUMN(BA:BA),0)</f>
        <v>655000</v>
      </c>
      <c r="BB559" s="14" cm="1">
        <f t="array" ref="BB559">(VLOOKUP($A559,Table_ship_components[],COLUMN(BA:BA),0)+(W559*C559))</f>
        <v>655000</v>
      </c>
      <c r="BC559" s="2" cm="1">
        <f t="array" ref="BC559">VLOOKUP($A559,Table_ship_components[],COLUMN(BC:BC),0)</f>
        <v>0</v>
      </c>
      <c r="BD559" s="2" cm="1">
        <f t="array" ref="BD559">VLOOKUP($A559,Table_ship_components[],COLUMN(BD:BD),0)</f>
        <v>0</v>
      </c>
    </row>
    <row r="560" spans="1:56" outlineLevel="1" x14ac:dyDescent="0.35"/>
    <row r="561" spans="1:56" outlineLevel="1" x14ac:dyDescent="0.35">
      <c r="A561" s="40" t="str">
        <f>CONCATENATE("LIFE SUPPORT VALID : ",IF((SUM(Z590:AA590)&lt;=AC590),"YES","NO"))</f>
        <v>LIFE SUPPORT VALID : NO</v>
      </c>
      <c r="B561" s="39" t="str">
        <f>CONCATENATE("TOTAL SIZE ",(SUM(E563:E589))," TOTAL POWER ",(SUM(G563:G589))," / ",(SUM(I563:I589)))</f>
        <v>TOTAL SIZE 50 TOTAL POWER 22 / 30</v>
      </c>
    </row>
    <row r="562" spans="1:56" outlineLevel="1" x14ac:dyDescent="0.35">
      <c r="A562" s="18" t="s">
        <v>423</v>
      </c>
      <c r="B562" s="19" t="str">
        <f>CONCATENATE("SIZE ",(SUM(E563:E568)),"/", AW559,"  POWER ",(SUM(G563:G568)),)</f>
        <v>SIZE 10/10  POWER 2</v>
      </c>
      <c r="C562" s="31" t="s">
        <v>521</v>
      </c>
    </row>
    <row r="563" spans="1:56" outlineLevel="1" x14ac:dyDescent="0.35">
      <c r="A563" t="s">
        <v>336</v>
      </c>
      <c r="B563" t="str" cm="1">
        <f t="array" ref="B563">VLOOKUP($A563,Table_ship_components[],COLUMN(B:B),0)</f>
        <v>avg fighter power plant</v>
      </c>
      <c r="D563" cm="1">
        <f t="array" ref="D563">VLOOKUP($A563,Table_ship_components[],COLUMN(D:D),0)</f>
        <v>8</v>
      </c>
      <c r="E563" cm="1">
        <f t="array" ref="E563">ROUND(VLOOKUP($A563,Table_ship_components[],COLUMN(D:D),0)+(V563*C563),0)</f>
        <v>8</v>
      </c>
      <c r="F563" cm="1">
        <f t="array" ref="F563">VLOOKUP($A563,Table_ship_components[],COLUMN(F:F),0)</f>
        <v>0</v>
      </c>
      <c r="G563" cm="1">
        <f t="array" ref="G563">ROUND(VLOOKUP($A563,Table_ship_components[],COLUMN(G:G),0)+(X563*C563),0)</f>
        <v>0</v>
      </c>
      <c r="H563" cm="1">
        <f t="array" ref="H563">VLOOKUP($A563,Table_ship_components[],COLUMN(H:H),0)</f>
        <v>0</v>
      </c>
      <c r="I563" cm="1">
        <f t="array" ref="I563">VLOOKUP($A563,Table_ship_components[],COLUMN(I:I),0)</f>
        <v>30</v>
      </c>
      <c r="J563" cm="1">
        <f t="array" ref="J563">VLOOKUP($A563,Table_ship_components[],COLUMN(J:J),0)</f>
        <v>0</v>
      </c>
      <c r="K563" cm="1">
        <f t="array" ref="K563">VLOOKUP($A563,Table_ship_components[],COLUMN(K:K),0)</f>
        <v>0</v>
      </c>
      <c r="L563" cm="1">
        <f t="array" ref="L563">VLOOKUP($A563,Table_ship_components[],COLUMN(L:L),0)</f>
        <v>0</v>
      </c>
      <c r="M563" cm="1">
        <f t="array" ref="M563">VLOOKUP($A563,Table_ship_components[],COLUMN(M:M),0)</f>
        <v>0</v>
      </c>
      <c r="N563" cm="1">
        <f t="array" ref="N563">VLOOKUP($A563,Table_ship_components[],COLUMN(N:N),0)</f>
        <v>1</v>
      </c>
      <c r="O563" cm="1">
        <f t="array" ref="O563">VLOOKUP($A563,Table_ship_components[],COLUMN(O:O),0)</f>
        <v>0</v>
      </c>
      <c r="P563" cm="1">
        <f t="array" ref="P563">VLOOKUP($A563,Table_ship_components[],COLUMN(P:P),0)</f>
        <v>0</v>
      </c>
      <c r="Q563" cm="1">
        <f t="array" ref="Q563">VLOOKUP($A563,Table_ship_components[],COLUMN(Q:Q),0)</f>
        <v>0</v>
      </c>
      <c r="R563" cm="1">
        <f t="array" ref="R563">VLOOKUP($A563,Table_ship_components[],COLUMN(R:R),0)</f>
        <v>0</v>
      </c>
      <c r="S563" cm="1">
        <f t="array" ref="S563">VLOOKUP($A563,Table_ship_components[],COLUMN(S:S),0)</f>
        <v>0</v>
      </c>
      <c r="T563" cm="1">
        <f t="array" ref="T563">VLOOKUP($A563,Table_ship_components[],COLUMN(T:T),0)</f>
        <v>0</v>
      </c>
      <c r="U563" cm="1">
        <f t="array" ref="U563">VLOOKUP($A563,Table_ship_components[],COLUMN(U:U),0)</f>
        <v>0</v>
      </c>
      <c r="V563" cm="1">
        <f t="array" ref="V563">VLOOKUP($A563,Table_ship_components[],COLUMN(V:V),0)</f>
        <v>0</v>
      </c>
      <c r="W563" s="15" cm="1">
        <f t="array" ref="W563">VLOOKUP($A563,Table_ship_components[],COLUMN(W:W),0)</f>
        <v>0</v>
      </c>
      <c r="X563" cm="1">
        <f t="array" ref="X563">VLOOKUP($A563,Table_ship_components[],COLUMN(X:X),0)</f>
        <v>0</v>
      </c>
      <c r="Y563" cm="1">
        <f t="array" ref="Y563">VLOOKUP($A563,Table_ship_components[],COLUMN(Y:Y),0)</f>
        <v>0</v>
      </c>
      <c r="Z563" cm="1">
        <f t="array" ref="Z563">VLOOKUP($A563,Table_ship_components[],COLUMN(Z:Z),0)</f>
        <v>0</v>
      </c>
      <c r="AA563" cm="1">
        <f t="array" ref="AA563">VLOOKUP($A563,Table_ship_components[],COLUMN(AA:AA),0)*C563</f>
        <v>0</v>
      </c>
      <c r="AB563">
        <f>IF(A563="CARGOSPACE_0-ALL_0-UNIVERSAL",C563,0)</f>
        <v>0</v>
      </c>
      <c r="AC563" cm="1">
        <f t="array" ref="AC563">VLOOKUP($A563,Table_ship_components[],COLUMN(AC:AC),0)*C563</f>
        <v>0</v>
      </c>
      <c r="AD563" cm="1">
        <f t="array" ref="AD563">VLOOKUP($A563,Table_ship_components[],COLUMN(AD:AD),0)</f>
        <v>0</v>
      </c>
      <c r="AE563" cm="1">
        <f t="array" ref="AE563">VLOOKUP($A563,Table_ship_components[],COLUMN(AE:AE),0)</f>
        <v>0</v>
      </c>
      <c r="AF563" cm="1">
        <f t="array" ref="AF563">VLOOKUP($A563,Table_ship_components[],COLUMN(AF:AF),0)</f>
        <v>0</v>
      </c>
      <c r="AG563" cm="1">
        <f t="array" ref="AG563">VLOOKUP($A563,Table_ship_components[],COLUMN(AG:AG),0)</f>
        <v>0</v>
      </c>
      <c r="AH563" cm="1">
        <f t="array" ref="AH563">VLOOKUP($A563,Table_ship_components[],COLUMN(AH:AH),0)</f>
        <v>0</v>
      </c>
      <c r="AI563" cm="1">
        <f t="array" ref="AI563">VLOOKUP($A563,Table_ship_components[],COLUMN(AI:AI),0)</f>
        <v>0</v>
      </c>
      <c r="AJ563" cm="1">
        <f t="array" ref="AJ563">VLOOKUP($A563,Table_ship_components[],COLUMN(AJ:AJ),0)</f>
        <v>0</v>
      </c>
      <c r="AK563" cm="1">
        <f t="array" ref="AK563">VLOOKUP($A563,Table_ship_components[],COLUMN(AK:AK),0)</f>
        <v>0</v>
      </c>
      <c r="AL563" cm="1">
        <f t="array" ref="AL563">VLOOKUP($A563,Table_ship_components[],COLUMN(AL:AL),0)</f>
        <v>0</v>
      </c>
      <c r="AM563" cm="1">
        <f t="array" ref="AM563">VLOOKUP($A563,Table_ship_components[],COLUMN(AM:AM),0)</f>
        <v>0</v>
      </c>
      <c r="AN563" cm="1">
        <f t="array" ref="AN563">VLOOKUP($A563,Table_ship_components[],COLUMN(AN:AN),0)</f>
        <v>0</v>
      </c>
      <c r="AO563" cm="1">
        <f t="array" ref="AO563">VLOOKUP($A563,Table_ship_components[],COLUMN(AO:AO),0)</f>
        <v>0</v>
      </c>
      <c r="AP563" cm="1">
        <f t="array" ref="AP563">VLOOKUP($A563,Table_ship_components[],COLUMN(AP:AP),0)</f>
        <v>0</v>
      </c>
      <c r="AQ563" cm="1">
        <f t="array" ref="AQ563">VLOOKUP($A563,Table_ship_components[],COLUMN(AQ:AQ),0)</f>
        <v>0</v>
      </c>
      <c r="AR563" cm="1">
        <f t="array" ref="AR563">VLOOKUP($A563,Table_ship_components[],COLUMN(AR:AR),0)</f>
        <v>0</v>
      </c>
      <c r="AS563" cm="1">
        <f t="array" ref="AS563">VLOOKUP($A563,Table_ship_components[],COLUMN(AS:AS),0)</f>
        <v>0</v>
      </c>
      <c r="AT563" cm="1">
        <f t="array" ref="AT563">VLOOKUP($A563,Table_ship_components[],COLUMN(AT:AT),0)</f>
        <v>0</v>
      </c>
      <c r="AU563" s="2" cm="1">
        <f t="array" ref="AU563">VLOOKUP($A563,Table_ship_components[],COLUMN(AU:AU),0)</f>
        <v>0</v>
      </c>
      <c r="AV563" s="2" cm="1">
        <f t="array" ref="AV563">VLOOKUP($A563,Table_ship_components[],COLUMN(AV:AV),0)</f>
        <v>0</v>
      </c>
      <c r="AW563" s="2" cm="1">
        <f t="array" ref="AW563">VLOOKUP($A563,Table_ship_components[],COLUMN(AW:AW),0)</f>
        <v>0</v>
      </c>
      <c r="AX563" s="2" cm="1">
        <f t="array" ref="AX563">VLOOKUP($A563,Table_ship_components[],COLUMN(AX:AX),0)</f>
        <v>0</v>
      </c>
      <c r="AY563" s="2" cm="1">
        <f t="array" ref="AY563">VLOOKUP($A563,Table_ship_components[],COLUMN(AY:AY),0)</f>
        <v>0</v>
      </c>
      <c r="AZ563" s="2" t="str" cm="1">
        <f t="array" ref="AZ563">VLOOKUP($A563,Table_ship_components[],COLUMN(AZ:AZ),0)</f>
        <v>C</v>
      </c>
      <c r="BA563" s="14" cm="1">
        <f t="array" ref="BA563">VLOOKUP($A563,Table_ship_components[],COLUMN(BA:BA),0)</f>
        <v>200000</v>
      </c>
      <c r="BB563" s="14" cm="1">
        <f t="array" ref="BB563">(VLOOKUP($A563,Table_ship_components[],COLUMN(BA:BA),0)+(W563*C563))</f>
        <v>200000</v>
      </c>
      <c r="BC563" s="2" cm="1">
        <f t="array" ref="BC563">VLOOKUP($A563,Table_ship_components[],COLUMN(BC:BC),0)</f>
        <v>0</v>
      </c>
      <c r="BD563" s="2" cm="1">
        <f t="array" ref="BD563">VLOOKUP($A563,Table_ship_components[],COLUMN(BD:BD),0)</f>
        <v>0</v>
      </c>
    </row>
    <row r="564" spans="1:56" outlineLevel="1" x14ac:dyDescent="0.35">
      <c r="A564" t="s">
        <v>342</v>
      </c>
      <c r="B564" t="str" cm="1">
        <f t="array" ref="B564">VLOOKUP($A564,Table_ship_components[],COLUMN(B:B),0)</f>
        <v>average fighter warfare computer</v>
      </c>
      <c r="D564" cm="1">
        <f t="array" ref="D564">VLOOKUP($A564,Table_ship_components[],COLUMN(D:D),0)</f>
        <v>2</v>
      </c>
      <c r="E564" cm="1">
        <f t="array" ref="E564">ROUND(VLOOKUP($A564,Table_ship_components[],COLUMN(D:D),0)+(V564*C564),0)</f>
        <v>2</v>
      </c>
      <c r="F564" cm="1">
        <f t="array" ref="F564">VLOOKUP($A564,Table_ship_components[],COLUMN(F:F),0)</f>
        <v>2</v>
      </c>
      <c r="G564" cm="1">
        <f t="array" ref="G564">ROUND(VLOOKUP($A564,Table_ship_components[],COLUMN(G:G),0)+(X564*C564),0)</f>
        <v>2</v>
      </c>
      <c r="H564" cm="1">
        <f t="array" ref="H564">VLOOKUP($A564,Table_ship_components[],COLUMN(H:H),0)</f>
        <v>0</v>
      </c>
      <c r="I564" cm="1">
        <f t="array" ref="I564">VLOOKUP($A564,Table_ship_components[],COLUMN(I:I),0)</f>
        <v>0</v>
      </c>
      <c r="J564" cm="1">
        <f t="array" ref="J564">VLOOKUP($A564,Table_ship_components[],COLUMN(J:J),0)</f>
        <v>0</v>
      </c>
      <c r="K564" cm="1">
        <f t="array" ref="K564">VLOOKUP($A564,Table_ship_components[],COLUMN(K:K),0)</f>
        <v>0</v>
      </c>
      <c r="L564" cm="1">
        <f t="array" ref="L564">VLOOKUP($A564,Table_ship_components[],COLUMN(L:L),0)</f>
        <v>0</v>
      </c>
      <c r="M564" cm="1">
        <f t="array" ref="M564">VLOOKUP($A564,Table_ship_components[],COLUMN(M:M),0)</f>
        <v>0</v>
      </c>
      <c r="N564" cm="1">
        <f t="array" ref="N564">VLOOKUP($A564,Table_ship_components[],COLUMN(N:N),0)</f>
        <v>1</v>
      </c>
      <c r="O564" cm="1">
        <f t="array" ref="O564">VLOOKUP($A564,Table_ship_components[],COLUMN(O:O),0)</f>
        <v>0</v>
      </c>
      <c r="P564" cm="1">
        <f t="array" ref="P564">VLOOKUP($A564,Table_ship_components[],COLUMN(P:P),0)</f>
        <v>0</v>
      </c>
      <c r="Q564" cm="1">
        <f t="array" ref="Q564">VLOOKUP($A564,Table_ship_components[],COLUMN(Q:Q),0)</f>
        <v>0</v>
      </c>
      <c r="R564" cm="1">
        <f t="array" ref="R564">VLOOKUP($A564,Table_ship_components[],COLUMN(R:R),0)</f>
        <v>0</v>
      </c>
      <c r="S564" cm="1">
        <f t="array" ref="S564">VLOOKUP($A564,Table_ship_components[],COLUMN(S:S),0)</f>
        <v>0</v>
      </c>
      <c r="T564" cm="1">
        <f t="array" ref="T564">VLOOKUP($A564,Table_ship_components[],COLUMN(T:T),0)</f>
        <v>0</v>
      </c>
      <c r="U564" cm="1">
        <f t="array" ref="U564">VLOOKUP($A564,Table_ship_components[],COLUMN(U:U),0)</f>
        <v>0</v>
      </c>
      <c r="V564" cm="1">
        <f t="array" ref="V564">VLOOKUP($A564,Table_ship_components[],COLUMN(V:V),0)</f>
        <v>0</v>
      </c>
      <c r="W564" s="15" cm="1">
        <f t="array" ref="W564">VLOOKUP($A564,Table_ship_components[],COLUMN(W:W),0)</f>
        <v>0</v>
      </c>
      <c r="X564" cm="1">
        <f t="array" ref="X564">VLOOKUP($A564,Table_ship_components[],COLUMN(X:X),0)</f>
        <v>0</v>
      </c>
      <c r="Y564" cm="1">
        <f t="array" ref="Y564">VLOOKUP($A564,Table_ship_components[],COLUMN(Y:Y),0)</f>
        <v>0</v>
      </c>
      <c r="Z564" cm="1">
        <f t="array" ref="Z564">VLOOKUP($A564,Table_ship_components[],COLUMN(Z:Z),0)</f>
        <v>0</v>
      </c>
      <c r="AA564" cm="1">
        <f t="array" ref="AA564">VLOOKUP($A564,Table_ship_components[],COLUMN(AA:AA),0)*C564</f>
        <v>0</v>
      </c>
      <c r="AB564">
        <f t="shared" ref="AB564:AB568" si="55">IF(A564="CARGOSPACE_0-ALL_0-UNIVERSAL",C564,0)</f>
        <v>0</v>
      </c>
      <c r="AC564" cm="1">
        <f t="array" ref="AC564">VLOOKUP($A564,Table_ship_components[],COLUMN(AC:AC),0)*C564</f>
        <v>0</v>
      </c>
      <c r="AD564" cm="1">
        <f t="array" ref="AD564">VLOOKUP($A564,Table_ship_components[],COLUMN(AD:AD),0)</f>
        <v>0</v>
      </c>
      <c r="AE564" cm="1">
        <f t="array" ref="AE564">VLOOKUP($A564,Table_ship_components[],COLUMN(AE:AE),0)</f>
        <v>0</v>
      </c>
      <c r="AF564" cm="1">
        <f t="array" ref="AF564">VLOOKUP($A564,Table_ship_components[],COLUMN(AF:AF),0)</f>
        <v>0</v>
      </c>
      <c r="AG564" cm="1">
        <f t="array" ref="AG564">VLOOKUP($A564,Table_ship_components[],COLUMN(AG:AG),0)</f>
        <v>0</v>
      </c>
      <c r="AH564" cm="1">
        <f t="array" ref="AH564">VLOOKUP($A564,Table_ship_components[],COLUMN(AH:AH),0)</f>
        <v>0</v>
      </c>
      <c r="AI564" cm="1">
        <f t="array" ref="AI564">VLOOKUP($A564,Table_ship_components[],COLUMN(AI:AI),0)</f>
        <v>0</v>
      </c>
      <c r="AJ564" cm="1">
        <f t="array" ref="AJ564">VLOOKUP($A564,Table_ship_components[],COLUMN(AJ:AJ),0)</f>
        <v>0</v>
      </c>
      <c r="AK564" cm="1">
        <f t="array" ref="AK564">VLOOKUP($A564,Table_ship_components[],COLUMN(AK:AK),0)</f>
        <v>0</v>
      </c>
      <c r="AL564" cm="1">
        <f t="array" ref="AL564">VLOOKUP($A564,Table_ship_components[],COLUMN(AL:AL),0)</f>
        <v>0</v>
      </c>
      <c r="AM564" cm="1">
        <f t="array" ref="AM564">VLOOKUP($A564,Table_ship_components[],COLUMN(AM:AM),0)</f>
        <v>0</v>
      </c>
      <c r="AN564" cm="1">
        <f t="array" ref="AN564">VLOOKUP($A564,Table_ship_components[],COLUMN(AN:AN),0)</f>
        <v>0</v>
      </c>
      <c r="AO564" cm="1">
        <f t="array" ref="AO564">VLOOKUP($A564,Table_ship_components[],COLUMN(AO:AO),0)</f>
        <v>0</v>
      </c>
      <c r="AP564" cm="1">
        <f t="array" ref="AP564">VLOOKUP($A564,Table_ship_components[],COLUMN(AP:AP),0)</f>
        <v>0</v>
      </c>
      <c r="AQ564" cm="1">
        <f t="array" ref="AQ564">VLOOKUP($A564,Table_ship_components[],COLUMN(AQ:AQ),0)</f>
        <v>0</v>
      </c>
      <c r="AR564" cm="1">
        <f t="array" ref="AR564">VLOOKUP($A564,Table_ship_components[],COLUMN(AR:AR),0)</f>
        <v>0</v>
      </c>
      <c r="AS564" cm="1">
        <f t="array" ref="AS564">VLOOKUP($A564,Table_ship_components[],COLUMN(AS:AS),0)</f>
        <v>0</v>
      </c>
      <c r="AT564" cm="1">
        <f t="array" ref="AT564">VLOOKUP($A564,Table_ship_components[],COLUMN(AT:AT),0)</f>
        <v>0</v>
      </c>
      <c r="AU564" s="2" cm="1">
        <f t="array" ref="AU564">VLOOKUP($A564,Table_ship_components[],COLUMN(AU:AU),0)</f>
        <v>0</v>
      </c>
      <c r="AV564" s="2" cm="1">
        <f t="array" ref="AV564">VLOOKUP($A564,Table_ship_components[],COLUMN(AV:AV),0)</f>
        <v>0</v>
      </c>
      <c r="AW564" s="2" cm="1">
        <f t="array" ref="AW564">VLOOKUP($A564,Table_ship_components[],COLUMN(AW:AW),0)</f>
        <v>0</v>
      </c>
      <c r="AX564" s="2" cm="1">
        <f t="array" ref="AX564">VLOOKUP($A564,Table_ship_components[],COLUMN(AX:AX),0)</f>
        <v>0</v>
      </c>
      <c r="AY564" s="2" cm="1">
        <f t="array" ref="AY564">VLOOKUP($A564,Table_ship_components[],COLUMN(AY:AY),0)</f>
        <v>0</v>
      </c>
      <c r="AZ564" s="2" t="str" cm="1">
        <f t="array" ref="AZ564">VLOOKUP($A564,Table_ship_components[],COLUMN(AZ:AZ),0)</f>
        <v>C</v>
      </c>
      <c r="BA564" s="14" cm="1">
        <f t="array" ref="BA564">VLOOKUP($A564,Table_ship_components[],COLUMN(BA:BA),0)</f>
        <v>160000</v>
      </c>
      <c r="BB564" s="14" cm="1">
        <f t="array" ref="BB564">(VLOOKUP($A564,Table_ship_components[],COLUMN(BA:BA),0)+(W564*C564))</f>
        <v>160000</v>
      </c>
      <c r="BC564" s="2" cm="1">
        <f t="array" ref="BC564">VLOOKUP($A564,Table_ship_components[],COLUMN(BC:BC),0)</f>
        <v>0</v>
      </c>
      <c r="BD564" s="2" cm="1">
        <f t="array" ref="BD564">VLOOKUP($A564,Table_ship_components[],COLUMN(BD:BD),0)</f>
        <v>0</v>
      </c>
    </row>
    <row r="565" spans="1:56" outlineLevel="1" x14ac:dyDescent="0.35">
      <c r="A565" t="s">
        <v>288</v>
      </c>
      <c r="B565" t="str" cm="1">
        <f t="array" ref="B565">VLOOKUP($A565,Table_ship_components[],COLUMN(B:B),0)</f>
        <v>PICK A COMPONENT</v>
      </c>
      <c r="D565" cm="1">
        <f t="array" ref="D565">VLOOKUP($A565,Table_ship_components[],COLUMN(D:D),0)</f>
        <v>0</v>
      </c>
      <c r="E565" cm="1">
        <f t="array" ref="E565">ROUND(VLOOKUP($A565,Table_ship_components[],COLUMN(D:D),0)+(V565*C565),0)</f>
        <v>0</v>
      </c>
      <c r="F565" cm="1">
        <f t="array" ref="F565">VLOOKUP($A565,Table_ship_components[],COLUMN(F:F),0)</f>
        <v>0</v>
      </c>
      <c r="G565" cm="1">
        <f t="array" ref="G565">ROUND(VLOOKUP($A565,Table_ship_components[],COLUMN(G:G),0)+(X565*C565),0)</f>
        <v>0</v>
      </c>
      <c r="H565" cm="1">
        <f t="array" ref="H565">VLOOKUP($A565,Table_ship_components[],COLUMN(H:H),0)</f>
        <v>0</v>
      </c>
      <c r="I565" cm="1">
        <f t="array" ref="I565">VLOOKUP($A565,Table_ship_components[],COLUMN(I:I),0)</f>
        <v>0</v>
      </c>
      <c r="J565" cm="1">
        <f t="array" ref="J565">VLOOKUP($A565,Table_ship_components[],COLUMN(J:J),0)</f>
        <v>0</v>
      </c>
      <c r="K565" cm="1">
        <f t="array" ref="K565">VLOOKUP($A565,Table_ship_components[],COLUMN(K:K),0)</f>
        <v>0</v>
      </c>
      <c r="L565" cm="1">
        <f t="array" ref="L565">VLOOKUP($A565,Table_ship_components[],COLUMN(L:L),0)</f>
        <v>0</v>
      </c>
      <c r="M565" cm="1">
        <f t="array" ref="M565">VLOOKUP($A565,Table_ship_components[],COLUMN(M:M),0)</f>
        <v>0</v>
      </c>
      <c r="N565" cm="1">
        <f t="array" ref="N565">VLOOKUP($A565,Table_ship_components[],COLUMN(N:N),0)</f>
        <v>0</v>
      </c>
      <c r="O565" cm="1">
        <f t="array" ref="O565">VLOOKUP($A565,Table_ship_components[],COLUMN(O:O),0)</f>
        <v>0</v>
      </c>
      <c r="P565" cm="1">
        <f t="array" ref="P565">VLOOKUP($A565,Table_ship_components[],COLUMN(P:P),0)</f>
        <v>0</v>
      </c>
      <c r="Q565" cm="1">
        <f t="array" ref="Q565">VLOOKUP($A565,Table_ship_components[],COLUMN(Q:Q),0)</f>
        <v>0</v>
      </c>
      <c r="R565" cm="1">
        <f t="array" ref="R565">VLOOKUP($A565,Table_ship_components[],COLUMN(R:R),0)</f>
        <v>0</v>
      </c>
      <c r="S565" cm="1">
        <f t="array" ref="S565">VLOOKUP($A565,Table_ship_components[],COLUMN(S:S),0)</f>
        <v>0</v>
      </c>
      <c r="T565" cm="1">
        <f t="array" ref="T565">VLOOKUP($A565,Table_ship_components[],COLUMN(T:T),0)</f>
        <v>0</v>
      </c>
      <c r="U565" cm="1">
        <f t="array" ref="U565">VLOOKUP($A565,Table_ship_components[],COLUMN(U:U),0)</f>
        <v>0</v>
      </c>
      <c r="V565" cm="1">
        <f t="array" ref="V565">VLOOKUP($A565,Table_ship_components[],COLUMN(V:V),0)</f>
        <v>0</v>
      </c>
      <c r="W565" s="15" cm="1">
        <f t="array" ref="W565">VLOOKUP($A565,Table_ship_components[],COLUMN(W:W),0)</f>
        <v>0</v>
      </c>
      <c r="X565" cm="1">
        <f t="array" ref="X565">VLOOKUP($A565,Table_ship_components[],COLUMN(X:X),0)</f>
        <v>0</v>
      </c>
      <c r="Y565" cm="1">
        <f t="array" ref="Y565">VLOOKUP($A565,Table_ship_components[],COLUMN(Y:Y),0)</f>
        <v>0</v>
      </c>
      <c r="Z565" cm="1">
        <f t="array" ref="Z565">VLOOKUP($A565,Table_ship_components[],COLUMN(Z:Z),0)</f>
        <v>0</v>
      </c>
      <c r="AA565" cm="1">
        <f t="array" ref="AA565">VLOOKUP($A565,Table_ship_components[],COLUMN(AA:AA),0)*C565</f>
        <v>0</v>
      </c>
      <c r="AB565">
        <f t="shared" si="55"/>
        <v>0</v>
      </c>
      <c r="AC565" cm="1">
        <f t="array" ref="AC565">VLOOKUP($A565,Table_ship_components[],COLUMN(AC:AC),0)*C565</f>
        <v>0</v>
      </c>
      <c r="AD565" cm="1">
        <f t="array" ref="AD565">VLOOKUP($A565,Table_ship_components[],COLUMN(AD:AD),0)</f>
        <v>0</v>
      </c>
      <c r="AE565" cm="1">
        <f t="array" ref="AE565">VLOOKUP($A565,Table_ship_components[],COLUMN(AE:AE),0)</f>
        <v>0</v>
      </c>
      <c r="AF565" cm="1">
        <f t="array" ref="AF565">VLOOKUP($A565,Table_ship_components[],COLUMN(AF:AF),0)</f>
        <v>0</v>
      </c>
      <c r="AG565" cm="1">
        <f t="array" ref="AG565">VLOOKUP($A565,Table_ship_components[],COLUMN(AG:AG),0)</f>
        <v>0</v>
      </c>
      <c r="AH565" cm="1">
        <f t="array" ref="AH565">VLOOKUP($A565,Table_ship_components[],COLUMN(AH:AH),0)</f>
        <v>0</v>
      </c>
      <c r="AI565" cm="1">
        <f t="array" ref="AI565">VLOOKUP($A565,Table_ship_components[],COLUMN(AI:AI),0)</f>
        <v>0</v>
      </c>
      <c r="AJ565" cm="1">
        <f t="array" ref="AJ565">VLOOKUP($A565,Table_ship_components[],COLUMN(AJ:AJ),0)</f>
        <v>0</v>
      </c>
      <c r="AK565" cm="1">
        <f t="array" ref="AK565">VLOOKUP($A565,Table_ship_components[],COLUMN(AK:AK),0)</f>
        <v>0</v>
      </c>
      <c r="AL565" cm="1">
        <f t="array" ref="AL565">VLOOKUP($A565,Table_ship_components[],COLUMN(AL:AL),0)</f>
        <v>0</v>
      </c>
      <c r="AM565" cm="1">
        <f t="array" ref="AM565">VLOOKUP($A565,Table_ship_components[],COLUMN(AM:AM),0)</f>
        <v>0</v>
      </c>
      <c r="AN565" cm="1">
        <f t="array" ref="AN565">VLOOKUP($A565,Table_ship_components[],COLUMN(AN:AN),0)</f>
        <v>0</v>
      </c>
      <c r="AO565" cm="1">
        <f t="array" ref="AO565">VLOOKUP($A565,Table_ship_components[],COLUMN(AO:AO),0)</f>
        <v>0</v>
      </c>
      <c r="AP565" cm="1">
        <f t="array" ref="AP565">VLOOKUP($A565,Table_ship_components[],COLUMN(AP:AP),0)</f>
        <v>0</v>
      </c>
      <c r="AQ565" cm="1">
        <f t="array" ref="AQ565">VLOOKUP($A565,Table_ship_components[],COLUMN(AQ:AQ),0)</f>
        <v>0</v>
      </c>
      <c r="AR565" cm="1">
        <f t="array" ref="AR565">VLOOKUP($A565,Table_ship_components[],COLUMN(AR:AR),0)</f>
        <v>0</v>
      </c>
      <c r="AS565" cm="1">
        <f t="array" ref="AS565">VLOOKUP($A565,Table_ship_components[],COLUMN(AS:AS),0)</f>
        <v>0</v>
      </c>
      <c r="AT565" cm="1">
        <f t="array" ref="AT565">VLOOKUP($A565,Table_ship_components[],COLUMN(AT:AT),0)</f>
        <v>0</v>
      </c>
      <c r="AU565" s="2" cm="1">
        <f t="array" ref="AU565">VLOOKUP($A565,Table_ship_components[],COLUMN(AU:AU),0)</f>
        <v>0</v>
      </c>
      <c r="AV565" s="2" cm="1">
        <f t="array" ref="AV565">VLOOKUP($A565,Table_ship_components[],COLUMN(AV:AV),0)</f>
        <v>0</v>
      </c>
      <c r="AW565" s="2" cm="1">
        <f t="array" ref="AW565">VLOOKUP($A565,Table_ship_components[],COLUMN(AW:AW),0)</f>
        <v>0</v>
      </c>
      <c r="AX565" s="2" cm="1">
        <f t="array" ref="AX565">VLOOKUP($A565,Table_ship_components[],COLUMN(AX:AX),0)</f>
        <v>0</v>
      </c>
      <c r="AY565" s="2" cm="1">
        <f t="array" ref="AY565">VLOOKUP($A565,Table_ship_components[],COLUMN(AY:AY),0)</f>
        <v>0</v>
      </c>
      <c r="AZ565" s="2" t="str" cm="1">
        <f t="array" ref="AZ565">VLOOKUP($A565,Table_ship_components[],COLUMN(AZ:AZ),0)</f>
        <v>C</v>
      </c>
      <c r="BA565" s="14" cm="1">
        <f t="array" ref="BA565">VLOOKUP($A565,Table_ship_components[],COLUMN(BA:BA),0)</f>
        <v>0</v>
      </c>
      <c r="BB565" s="14" cm="1">
        <f t="array" ref="BB565">(VLOOKUP($A565,Table_ship_components[],COLUMN(BA:BA),0)+(W565*C565))</f>
        <v>0</v>
      </c>
      <c r="BC565" s="2" cm="1">
        <f t="array" ref="BC565">VLOOKUP($A565,Table_ship_components[],COLUMN(BC:BC),0)</f>
        <v>0</v>
      </c>
      <c r="BD565" s="2" cm="1">
        <f t="array" ref="BD565">VLOOKUP($A565,Table_ship_components[],COLUMN(BD:BD),0)</f>
        <v>0</v>
      </c>
    </row>
    <row r="566" spans="1:56" outlineLevel="1" x14ac:dyDescent="0.35">
      <c r="A566" t="s">
        <v>288</v>
      </c>
      <c r="B566" t="str" cm="1">
        <f t="array" ref="B566">VLOOKUP($A566,Table_ship_components[],COLUMN(B:B),0)</f>
        <v>PICK A COMPONENT</v>
      </c>
      <c r="D566" cm="1">
        <f t="array" ref="D566">VLOOKUP($A566,Table_ship_components[],COLUMN(D:D),0)</f>
        <v>0</v>
      </c>
      <c r="E566" cm="1">
        <f t="array" ref="E566">ROUND(VLOOKUP($A566,Table_ship_components[],COLUMN(D:D),0)+(V566*C566),0)</f>
        <v>0</v>
      </c>
      <c r="F566" cm="1">
        <f t="array" ref="F566">VLOOKUP($A566,Table_ship_components[],COLUMN(F:F),0)</f>
        <v>0</v>
      </c>
      <c r="G566" cm="1">
        <f t="array" ref="G566">ROUND(VLOOKUP($A566,Table_ship_components[],COLUMN(G:G),0)+(X566*C566),0)</f>
        <v>0</v>
      </c>
      <c r="H566" cm="1">
        <f t="array" ref="H566">VLOOKUP($A566,Table_ship_components[],COLUMN(H:H),0)</f>
        <v>0</v>
      </c>
      <c r="I566" cm="1">
        <f t="array" ref="I566">VLOOKUP($A566,Table_ship_components[],COLUMN(I:I),0)</f>
        <v>0</v>
      </c>
      <c r="J566" cm="1">
        <f t="array" ref="J566">VLOOKUP($A566,Table_ship_components[],COLUMN(J:J),0)</f>
        <v>0</v>
      </c>
      <c r="K566" cm="1">
        <f t="array" ref="K566">VLOOKUP($A566,Table_ship_components[],COLUMN(K:K),0)</f>
        <v>0</v>
      </c>
      <c r="L566" cm="1">
        <f t="array" ref="L566">VLOOKUP($A566,Table_ship_components[],COLUMN(L:L),0)</f>
        <v>0</v>
      </c>
      <c r="M566" cm="1">
        <f t="array" ref="M566">VLOOKUP($A566,Table_ship_components[],COLUMN(M:M),0)</f>
        <v>0</v>
      </c>
      <c r="N566" cm="1">
        <f t="array" ref="N566">VLOOKUP($A566,Table_ship_components[],COLUMN(N:N),0)</f>
        <v>0</v>
      </c>
      <c r="O566" cm="1">
        <f t="array" ref="O566">VLOOKUP($A566,Table_ship_components[],COLUMN(O:O),0)</f>
        <v>0</v>
      </c>
      <c r="P566" cm="1">
        <f t="array" ref="P566">VLOOKUP($A566,Table_ship_components[],COLUMN(P:P),0)</f>
        <v>0</v>
      </c>
      <c r="Q566" cm="1">
        <f t="array" ref="Q566">VLOOKUP($A566,Table_ship_components[],COLUMN(Q:Q),0)</f>
        <v>0</v>
      </c>
      <c r="R566" cm="1">
        <f t="array" ref="R566">VLOOKUP($A566,Table_ship_components[],COLUMN(R:R),0)</f>
        <v>0</v>
      </c>
      <c r="S566" cm="1">
        <f t="array" ref="S566">VLOOKUP($A566,Table_ship_components[],COLUMN(S:S),0)</f>
        <v>0</v>
      </c>
      <c r="T566" cm="1">
        <f t="array" ref="T566">VLOOKUP($A566,Table_ship_components[],COLUMN(T:T),0)</f>
        <v>0</v>
      </c>
      <c r="U566" cm="1">
        <f t="array" ref="U566">VLOOKUP($A566,Table_ship_components[],COLUMN(U:U),0)</f>
        <v>0</v>
      </c>
      <c r="V566" cm="1">
        <f t="array" ref="V566">VLOOKUP($A566,Table_ship_components[],COLUMN(V:V),0)</f>
        <v>0</v>
      </c>
      <c r="W566" s="15" cm="1">
        <f t="array" ref="W566">VLOOKUP($A566,Table_ship_components[],COLUMN(W:W),0)</f>
        <v>0</v>
      </c>
      <c r="X566" cm="1">
        <f t="array" ref="X566">VLOOKUP($A566,Table_ship_components[],COLUMN(X:X),0)</f>
        <v>0</v>
      </c>
      <c r="Y566" cm="1">
        <f t="array" ref="Y566">VLOOKUP($A566,Table_ship_components[],COLUMN(Y:Y),0)</f>
        <v>0</v>
      </c>
      <c r="Z566" cm="1">
        <f t="array" ref="Z566">VLOOKUP($A566,Table_ship_components[],COLUMN(Z:Z),0)</f>
        <v>0</v>
      </c>
      <c r="AA566" cm="1">
        <f t="array" ref="AA566">VLOOKUP($A566,Table_ship_components[],COLUMN(AA:AA),0)*C566</f>
        <v>0</v>
      </c>
      <c r="AB566">
        <f t="shared" si="55"/>
        <v>0</v>
      </c>
      <c r="AC566" cm="1">
        <f t="array" ref="AC566">VLOOKUP($A566,Table_ship_components[],COLUMN(AC:AC),0)*C566</f>
        <v>0</v>
      </c>
      <c r="AD566" cm="1">
        <f t="array" ref="AD566">VLOOKUP($A566,Table_ship_components[],COLUMN(AD:AD),0)</f>
        <v>0</v>
      </c>
      <c r="AE566" cm="1">
        <f t="array" ref="AE566">VLOOKUP($A566,Table_ship_components[],COLUMN(AE:AE),0)</f>
        <v>0</v>
      </c>
      <c r="AF566" cm="1">
        <f t="array" ref="AF566">VLOOKUP($A566,Table_ship_components[],COLUMN(AF:AF),0)</f>
        <v>0</v>
      </c>
      <c r="AG566" cm="1">
        <f t="array" ref="AG566">VLOOKUP($A566,Table_ship_components[],COLUMN(AG:AG),0)</f>
        <v>0</v>
      </c>
      <c r="AH566" cm="1">
        <f t="array" ref="AH566">VLOOKUP($A566,Table_ship_components[],COLUMN(AH:AH),0)</f>
        <v>0</v>
      </c>
      <c r="AI566" cm="1">
        <f t="array" ref="AI566">VLOOKUP($A566,Table_ship_components[],COLUMN(AI:AI),0)</f>
        <v>0</v>
      </c>
      <c r="AJ566" cm="1">
        <f t="array" ref="AJ566">VLOOKUP($A566,Table_ship_components[],COLUMN(AJ:AJ),0)</f>
        <v>0</v>
      </c>
      <c r="AK566" cm="1">
        <f t="array" ref="AK566">VLOOKUP($A566,Table_ship_components[],COLUMN(AK:AK),0)</f>
        <v>0</v>
      </c>
      <c r="AL566" cm="1">
        <f t="array" ref="AL566">VLOOKUP($A566,Table_ship_components[],COLUMN(AL:AL),0)</f>
        <v>0</v>
      </c>
      <c r="AM566" cm="1">
        <f t="array" ref="AM566">VLOOKUP($A566,Table_ship_components[],COLUMN(AM:AM),0)</f>
        <v>0</v>
      </c>
      <c r="AN566" cm="1">
        <f t="array" ref="AN566">VLOOKUP($A566,Table_ship_components[],COLUMN(AN:AN),0)</f>
        <v>0</v>
      </c>
      <c r="AO566" cm="1">
        <f t="array" ref="AO566">VLOOKUP($A566,Table_ship_components[],COLUMN(AO:AO),0)</f>
        <v>0</v>
      </c>
      <c r="AP566" cm="1">
        <f t="array" ref="AP566">VLOOKUP($A566,Table_ship_components[],COLUMN(AP:AP),0)</f>
        <v>0</v>
      </c>
      <c r="AQ566" cm="1">
        <f t="array" ref="AQ566">VLOOKUP($A566,Table_ship_components[],COLUMN(AQ:AQ),0)</f>
        <v>0</v>
      </c>
      <c r="AR566" cm="1">
        <f t="array" ref="AR566">VLOOKUP($A566,Table_ship_components[],COLUMN(AR:AR),0)</f>
        <v>0</v>
      </c>
      <c r="AS566" cm="1">
        <f t="array" ref="AS566">VLOOKUP($A566,Table_ship_components[],COLUMN(AS:AS),0)</f>
        <v>0</v>
      </c>
      <c r="AT566" cm="1">
        <f t="array" ref="AT566">VLOOKUP($A566,Table_ship_components[],COLUMN(AT:AT),0)</f>
        <v>0</v>
      </c>
      <c r="AU566" s="2" cm="1">
        <f t="array" ref="AU566">VLOOKUP($A566,Table_ship_components[],COLUMN(AU:AU),0)</f>
        <v>0</v>
      </c>
      <c r="AV566" s="2" cm="1">
        <f t="array" ref="AV566">VLOOKUP($A566,Table_ship_components[],COLUMN(AV:AV),0)</f>
        <v>0</v>
      </c>
      <c r="AW566" s="2" cm="1">
        <f t="array" ref="AW566">VLOOKUP($A566,Table_ship_components[],COLUMN(AW:AW),0)</f>
        <v>0</v>
      </c>
      <c r="AX566" s="2" cm="1">
        <f t="array" ref="AX566">VLOOKUP($A566,Table_ship_components[],COLUMN(AX:AX),0)</f>
        <v>0</v>
      </c>
      <c r="AY566" s="2" cm="1">
        <f t="array" ref="AY566">VLOOKUP($A566,Table_ship_components[],COLUMN(AY:AY),0)</f>
        <v>0</v>
      </c>
      <c r="AZ566" s="2" t="str" cm="1">
        <f t="array" ref="AZ566">VLOOKUP($A566,Table_ship_components[],COLUMN(AZ:AZ),0)</f>
        <v>C</v>
      </c>
      <c r="BA566" s="14" cm="1">
        <f t="array" ref="BA566">VLOOKUP($A566,Table_ship_components[],COLUMN(BA:BA),0)</f>
        <v>0</v>
      </c>
      <c r="BB566" s="14" cm="1">
        <f t="array" ref="BB566">(VLOOKUP($A566,Table_ship_components[],COLUMN(BA:BA),0)+(W566*C566))</f>
        <v>0</v>
      </c>
      <c r="BC566" s="2" cm="1">
        <f t="array" ref="BC566">VLOOKUP($A566,Table_ship_components[],COLUMN(BC:BC),0)</f>
        <v>0</v>
      </c>
      <c r="BD566" s="2" cm="1">
        <f t="array" ref="BD566">VLOOKUP($A566,Table_ship_components[],COLUMN(BD:BD),0)</f>
        <v>0</v>
      </c>
    </row>
    <row r="567" spans="1:56" outlineLevel="1" x14ac:dyDescent="0.35">
      <c r="A567" t="s">
        <v>288</v>
      </c>
      <c r="B567" t="str" cm="1">
        <f t="array" ref="B567">VLOOKUP($A567,Table_ship_components[],COLUMN(B:B),0)</f>
        <v>PICK A COMPONENT</v>
      </c>
      <c r="C567" s="2">
        <v>1</v>
      </c>
      <c r="D567" cm="1">
        <f t="array" ref="D567">VLOOKUP($A567,Table_ship_components[],COLUMN(D:D),0)</f>
        <v>0</v>
      </c>
      <c r="E567" cm="1">
        <f t="array" ref="E567">ROUND(VLOOKUP($A567,Table_ship_components[],COLUMN(D:D),0)+(V567*C567),0)</f>
        <v>0</v>
      </c>
      <c r="F567" cm="1">
        <f t="array" ref="F567">VLOOKUP($A567,Table_ship_components[],COLUMN(F:F),0)</f>
        <v>0</v>
      </c>
      <c r="G567" cm="1">
        <f t="array" ref="G567">ROUND(VLOOKUP($A567,Table_ship_components[],COLUMN(G:G),0)+(X567*C567),0)</f>
        <v>0</v>
      </c>
      <c r="H567" cm="1">
        <f t="array" ref="H567">VLOOKUP($A567,Table_ship_components[],COLUMN(H:H),0)</f>
        <v>0</v>
      </c>
      <c r="I567" cm="1">
        <f t="array" ref="I567">VLOOKUP($A567,Table_ship_components[],COLUMN(I:I),0)</f>
        <v>0</v>
      </c>
      <c r="J567" cm="1">
        <f t="array" ref="J567">VLOOKUP($A567,Table_ship_components[],COLUMN(J:J),0)</f>
        <v>0</v>
      </c>
      <c r="K567" cm="1">
        <f t="array" ref="K567">VLOOKUP($A567,Table_ship_components[],COLUMN(K:K),0)</f>
        <v>0</v>
      </c>
      <c r="L567" cm="1">
        <f t="array" ref="L567">VLOOKUP($A567,Table_ship_components[],COLUMN(L:L),0)</f>
        <v>0</v>
      </c>
      <c r="M567" cm="1">
        <f t="array" ref="M567">VLOOKUP($A567,Table_ship_components[],COLUMN(M:M),0)</f>
        <v>0</v>
      </c>
      <c r="N567" cm="1">
        <f t="array" ref="N567">VLOOKUP($A567,Table_ship_components[],COLUMN(N:N),0)</f>
        <v>0</v>
      </c>
      <c r="O567" cm="1">
        <f t="array" ref="O567">VLOOKUP($A567,Table_ship_components[],COLUMN(O:O),0)</f>
        <v>0</v>
      </c>
      <c r="P567" cm="1">
        <f t="array" ref="P567">VLOOKUP($A567,Table_ship_components[],COLUMN(P:P),0)</f>
        <v>0</v>
      </c>
      <c r="Q567" cm="1">
        <f t="array" ref="Q567">VLOOKUP($A567,Table_ship_components[],COLUMN(Q:Q),0)</f>
        <v>0</v>
      </c>
      <c r="R567" cm="1">
        <f t="array" ref="R567">VLOOKUP($A567,Table_ship_components[],COLUMN(R:R),0)</f>
        <v>0</v>
      </c>
      <c r="S567" cm="1">
        <f t="array" ref="S567">VLOOKUP($A567,Table_ship_components[],COLUMN(S:S),0)</f>
        <v>0</v>
      </c>
      <c r="T567" cm="1">
        <f t="array" ref="T567">VLOOKUP($A567,Table_ship_components[],COLUMN(T:T),0)</f>
        <v>0</v>
      </c>
      <c r="U567" cm="1">
        <f t="array" ref="U567">VLOOKUP($A567,Table_ship_components[],COLUMN(U:U),0)</f>
        <v>0</v>
      </c>
      <c r="V567" cm="1">
        <f t="array" ref="V567">VLOOKUP($A567,Table_ship_components[],COLUMN(V:V),0)</f>
        <v>0</v>
      </c>
      <c r="W567" s="15" cm="1">
        <f t="array" ref="W567">VLOOKUP($A567,Table_ship_components[],COLUMN(W:W),0)</f>
        <v>0</v>
      </c>
      <c r="X567" cm="1">
        <f t="array" ref="X567">VLOOKUP($A567,Table_ship_components[],COLUMN(X:X),0)</f>
        <v>0</v>
      </c>
      <c r="Y567" cm="1">
        <f t="array" ref="Y567">VLOOKUP($A567,Table_ship_components[],COLUMN(Y:Y),0)</f>
        <v>0</v>
      </c>
      <c r="Z567" cm="1">
        <f t="array" ref="Z567">VLOOKUP($A567,Table_ship_components[],COLUMN(Z:Z),0)</f>
        <v>0</v>
      </c>
      <c r="AA567" cm="1">
        <f t="array" ref="AA567">VLOOKUP($A567,Table_ship_components[],COLUMN(AA:AA),0)*C567</f>
        <v>0</v>
      </c>
      <c r="AB567">
        <f t="shared" si="55"/>
        <v>0</v>
      </c>
      <c r="AC567" cm="1">
        <f t="array" ref="AC567">VLOOKUP($A567,Table_ship_components[],COLUMN(AC:AC),0)*C567</f>
        <v>0</v>
      </c>
      <c r="AD567" cm="1">
        <f t="array" ref="AD567">VLOOKUP($A567,Table_ship_components[],COLUMN(AD:AD),0)</f>
        <v>0</v>
      </c>
      <c r="AE567" cm="1">
        <f t="array" ref="AE567">VLOOKUP($A567,Table_ship_components[],COLUMN(AE:AE),0)</f>
        <v>0</v>
      </c>
      <c r="AF567" cm="1">
        <f t="array" ref="AF567">VLOOKUP($A567,Table_ship_components[],COLUMN(AF:AF),0)</f>
        <v>0</v>
      </c>
      <c r="AG567" cm="1">
        <f t="array" ref="AG567">VLOOKUP($A567,Table_ship_components[],COLUMN(AG:AG),0)</f>
        <v>0</v>
      </c>
      <c r="AH567" cm="1">
        <f t="array" ref="AH567">VLOOKUP($A567,Table_ship_components[],COLUMN(AH:AH),0)</f>
        <v>0</v>
      </c>
      <c r="AI567" cm="1">
        <f t="array" ref="AI567">VLOOKUP($A567,Table_ship_components[],COLUMN(AI:AI),0)</f>
        <v>0</v>
      </c>
      <c r="AJ567" cm="1">
        <f t="array" ref="AJ567">VLOOKUP($A567,Table_ship_components[],COLUMN(AJ:AJ),0)</f>
        <v>0</v>
      </c>
      <c r="AK567" cm="1">
        <f t="array" ref="AK567">VLOOKUP($A567,Table_ship_components[],COLUMN(AK:AK),0)</f>
        <v>0</v>
      </c>
      <c r="AL567" cm="1">
        <f t="array" ref="AL567">VLOOKUP($A567,Table_ship_components[],COLUMN(AL:AL),0)</f>
        <v>0</v>
      </c>
      <c r="AM567" cm="1">
        <f t="array" ref="AM567">VLOOKUP($A567,Table_ship_components[],COLUMN(AM:AM),0)</f>
        <v>0</v>
      </c>
      <c r="AN567" cm="1">
        <f t="array" ref="AN567">VLOOKUP($A567,Table_ship_components[],COLUMN(AN:AN),0)</f>
        <v>0</v>
      </c>
      <c r="AO567" cm="1">
        <f t="array" ref="AO567">VLOOKUP($A567,Table_ship_components[],COLUMN(AO:AO),0)</f>
        <v>0</v>
      </c>
      <c r="AP567" cm="1">
        <f t="array" ref="AP567">VLOOKUP($A567,Table_ship_components[],COLUMN(AP:AP),0)</f>
        <v>0</v>
      </c>
      <c r="AQ567" cm="1">
        <f t="array" ref="AQ567">VLOOKUP($A567,Table_ship_components[],COLUMN(AQ:AQ),0)</f>
        <v>0</v>
      </c>
      <c r="AR567" cm="1">
        <f t="array" ref="AR567">VLOOKUP($A567,Table_ship_components[],COLUMN(AR:AR),0)</f>
        <v>0</v>
      </c>
      <c r="AS567" cm="1">
        <f t="array" ref="AS567">VLOOKUP($A567,Table_ship_components[],COLUMN(AS:AS),0)</f>
        <v>0</v>
      </c>
      <c r="AT567" cm="1">
        <f t="array" ref="AT567">VLOOKUP($A567,Table_ship_components[],COLUMN(AT:AT),0)</f>
        <v>0</v>
      </c>
      <c r="AU567" s="2" cm="1">
        <f t="array" ref="AU567">VLOOKUP($A567,Table_ship_components[],COLUMN(AU:AU),0)</f>
        <v>0</v>
      </c>
      <c r="AV567" s="2" cm="1">
        <f t="array" ref="AV567">VLOOKUP($A567,Table_ship_components[],COLUMN(AV:AV),0)</f>
        <v>0</v>
      </c>
      <c r="AW567" s="2" cm="1">
        <f t="array" ref="AW567">VLOOKUP($A567,Table_ship_components[],COLUMN(AW:AW),0)</f>
        <v>0</v>
      </c>
      <c r="AX567" s="2" cm="1">
        <f t="array" ref="AX567">VLOOKUP($A567,Table_ship_components[],COLUMN(AX:AX),0)</f>
        <v>0</v>
      </c>
      <c r="AY567" s="2" cm="1">
        <f t="array" ref="AY567">VLOOKUP($A567,Table_ship_components[],COLUMN(AY:AY),0)</f>
        <v>0</v>
      </c>
      <c r="AZ567" s="2" t="str" cm="1">
        <f t="array" ref="AZ567">VLOOKUP($A567,Table_ship_components[],COLUMN(AZ:AZ),0)</f>
        <v>C</v>
      </c>
      <c r="BA567" s="14" cm="1">
        <f t="array" ref="BA567">VLOOKUP($A567,Table_ship_components[],COLUMN(BA:BA),0)</f>
        <v>0</v>
      </c>
      <c r="BB567" s="14" cm="1">
        <f t="array" ref="BB567">(VLOOKUP($A567,Table_ship_components[],COLUMN(BA:BA),0)+(W567*C567))</f>
        <v>0</v>
      </c>
      <c r="BC567" s="2" cm="1">
        <f t="array" ref="BC567">VLOOKUP($A567,Table_ship_components[],COLUMN(BC:BC),0)</f>
        <v>0</v>
      </c>
      <c r="BD567" s="2" cm="1">
        <f t="array" ref="BD567">VLOOKUP($A567,Table_ship_components[],COLUMN(BD:BD),0)</f>
        <v>0</v>
      </c>
    </row>
    <row r="568" spans="1:56" outlineLevel="1" x14ac:dyDescent="0.35">
      <c r="A568" t="s">
        <v>288</v>
      </c>
      <c r="B568" t="str" cm="1">
        <f t="array" ref="B568">VLOOKUP($A568,Table_ship_components[],COLUMN(B:B),0)</f>
        <v>PICK A COMPONENT</v>
      </c>
      <c r="C568" s="2">
        <v>1</v>
      </c>
      <c r="D568" cm="1">
        <f t="array" ref="D568">VLOOKUP($A568,Table_ship_components[],COLUMN(D:D),0)</f>
        <v>0</v>
      </c>
      <c r="E568" cm="1">
        <f t="array" ref="E568">ROUND(VLOOKUP($A568,Table_ship_components[],COLUMN(D:D),0)+(V568*C568),0)</f>
        <v>0</v>
      </c>
      <c r="F568" cm="1">
        <f t="array" ref="F568">VLOOKUP($A568,Table_ship_components[],COLUMN(F:F),0)</f>
        <v>0</v>
      </c>
      <c r="G568" cm="1">
        <f t="array" ref="G568">ROUND(VLOOKUP($A568,Table_ship_components[],COLUMN(G:G),0)+(X568*C568),0)</f>
        <v>0</v>
      </c>
      <c r="H568" cm="1">
        <f t="array" ref="H568">VLOOKUP($A568,Table_ship_components[],COLUMN(H:H),0)</f>
        <v>0</v>
      </c>
      <c r="I568" cm="1">
        <f t="array" ref="I568">VLOOKUP($A568,Table_ship_components[],COLUMN(I:I),0)</f>
        <v>0</v>
      </c>
      <c r="J568" cm="1">
        <f t="array" ref="J568">VLOOKUP($A568,Table_ship_components[],COLUMN(J:J),0)</f>
        <v>0</v>
      </c>
      <c r="K568" cm="1">
        <f t="array" ref="K568">VLOOKUP($A568,Table_ship_components[],COLUMN(K:K),0)</f>
        <v>0</v>
      </c>
      <c r="L568" cm="1">
        <f t="array" ref="L568">VLOOKUP($A568,Table_ship_components[],COLUMN(L:L),0)</f>
        <v>0</v>
      </c>
      <c r="M568" cm="1">
        <f t="array" ref="M568">VLOOKUP($A568,Table_ship_components[],COLUMN(M:M),0)</f>
        <v>0</v>
      </c>
      <c r="N568" cm="1">
        <f t="array" ref="N568">VLOOKUP($A568,Table_ship_components[],COLUMN(N:N),0)</f>
        <v>0</v>
      </c>
      <c r="O568" cm="1">
        <f t="array" ref="O568">VLOOKUP($A568,Table_ship_components[],COLUMN(O:O),0)</f>
        <v>0</v>
      </c>
      <c r="P568" cm="1">
        <f t="array" ref="P568">VLOOKUP($A568,Table_ship_components[],COLUMN(P:P),0)</f>
        <v>0</v>
      </c>
      <c r="Q568" cm="1">
        <f t="array" ref="Q568">VLOOKUP($A568,Table_ship_components[],COLUMN(Q:Q),0)</f>
        <v>0</v>
      </c>
      <c r="R568" cm="1">
        <f t="array" ref="R568">VLOOKUP($A568,Table_ship_components[],COLUMN(R:R),0)</f>
        <v>0</v>
      </c>
      <c r="S568" cm="1">
        <f t="array" ref="S568">VLOOKUP($A568,Table_ship_components[],COLUMN(S:S),0)</f>
        <v>0</v>
      </c>
      <c r="T568" cm="1">
        <f t="array" ref="T568">VLOOKUP($A568,Table_ship_components[],COLUMN(T:T),0)</f>
        <v>0</v>
      </c>
      <c r="U568" cm="1">
        <f t="array" ref="U568">VLOOKUP($A568,Table_ship_components[],COLUMN(U:U),0)</f>
        <v>0</v>
      </c>
      <c r="V568" cm="1">
        <f t="array" ref="V568">VLOOKUP($A568,Table_ship_components[],COLUMN(V:V),0)</f>
        <v>0</v>
      </c>
      <c r="W568" s="15" cm="1">
        <f t="array" ref="W568">VLOOKUP($A568,Table_ship_components[],COLUMN(W:W),0)</f>
        <v>0</v>
      </c>
      <c r="X568" cm="1">
        <f t="array" ref="X568">VLOOKUP($A568,Table_ship_components[],COLUMN(X:X),0)</f>
        <v>0</v>
      </c>
      <c r="Y568" cm="1">
        <f t="array" ref="Y568">VLOOKUP($A568,Table_ship_components[],COLUMN(Y:Y),0)</f>
        <v>0</v>
      </c>
      <c r="Z568" cm="1">
        <f t="array" ref="Z568">VLOOKUP($A568,Table_ship_components[],COLUMN(Z:Z),0)</f>
        <v>0</v>
      </c>
      <c r="AA568" cm="1">
        <f t="array" ref="AA568">VLOOKUP($A568,Table_ship_components[],COLUMN(AA:AA),0)*C568</f>
        <v>0</v>
      </c>
      <c r="AB568">
        <f t="shared" si="55"/>
        <v>0</v>
      </c>
      <c r="AC568" cm="1">
        <f t="array" ref="AC568">VLOOKUP($A568,Table_ship_components[],COLUMN(AC:AC),0)*C568</f>
        <v>0</v>
      </c>
      <c r="AD568" cm="1">
        <f t="array" ref="AD568">VLOOKUP($A568,Table_ship_components[],COLUMN(AD:AD),0)</f>
        <v>0</v>
      </c>
      <c r="AE568" cm="1">
        <f t="array" ref="AE568">VLOOKUP($A568,Table_ship_components[],COLUMN(AE:AE),0)</f>
        <v>0</v>
      </c>
      <c r="AF568" cm="1">
        <f t="array" ref="AF568">VLOOKUP($A568,Table_ship_components[],COLUMN(AF:AF),0)</f>
        <v>0</v>
      </c>
      <c r="AG568" cm="1">
        <f t="array" ref="AG568">VLOOKUP($A568,Table_ship_components[],COLUMN(AG:AG),0)</f>
        <v>0</v>
      </c>
      <c r="AH568" cm="1">
        <f t="array" ref="AH568">VLOOKUP($A568,Table_ship_components[],COLUMN(AH:AH),0)</f>
        <v>0</v>
      </c>
      <c r="AI568" cm="1">
        <f t="array" ref="AI568">VLOOKUP($A568,Table_ship_components[],COLUMN(AI:AI),0)</f>
        <v>0</v>
      </c>
      <c r="AJ568" cm="1">
        <f t="array" ref="AJ568">VLOOKUP($A568,Table_ship_components[],COLUMN(AJ:AJ),0)</f>
        <v>0</v>
      </c>
      <c r="AK568" cm="1">
        <f t="array" ref="AK568">VLOOKUP($A568,Table_ship_components[],COLUMN(AK:AK),0)</f>
        <v>0</v>
      </c>
      <c r="AL568" cm="1">
        <f t="array" ref="AL568">VLOOKUP($A568,Table_ship_components[],COLUMN(AL:AL),0)</f>
        <v>0</v>
      </c>
      <c r="AM568" cm="1">
        <f t="array" ref="AM568">VLOOKUP($A568,Table_ship_components[],COLUMN(AM:AM),0)</f>
        <v>0</v>
      </c>
      <c r="AN568" cm="1">
        <f t="array" ref="AN568">VLOOKUP($A568,Table_ship_components[],COLUMN(AN:AN),0)</f>
        <v>0</v>
      </c>
      <c r="AO568" cm="1">
        <f t="array" ref="AO568">VLOOKUP($A568,Table_ship_components[],COLUMN(AO:AO),0)</f>
        <v>0</v>
      </c>
      <c r="AP568" cm="1">
        <f t="array" ref="AP568">VLOOKUP($A568,Table_ship_components[],COLUMN(AP:AP),0)</f>
        <v>0</v>
      </c>
      <c r="AQ568" cm="1">
        <f t="array" ref="AQ568">VLOOKUP($A568,Table_ship_components[],COLUMN(AQ:AQ),0)</f>
        <v>0</v>
      </c>
      <c r="AR568" cm="1">
        <f t="array" ref="AR568">VLOOKUP($A568,Table_ship_components[],COLUMN(AR:AR),0)</f>
        <v>0</v>
      </c>
      <c r="AS568" cm="1">
        <f t="array" ref="AS568">VLOOKUP($A568,Table_ship_components[],COLUMN(AS:AS),0)</f>
        <v>0</v>
      </c>
      <c r="AT568" cm="1">
        <f t="array" ref="AT568">VLOOKUP($A568,Table_ship_components[],COLUMN(AT:AT),0)</f>
        <v>0</v>
      </c>
      <c r="AU568" s="2" cm="1">
        <f t="array" ref="AU568">VLOOKUP($A568,Table_ship_components[],COLUMN(AU:AU),0)</f>
        <v>0</v>
      </c>
      <c r="AV568" s="2" cm="1">
        <f t="array" ref="AV568">VLOOKUP($A568,Table_ship_components[],COLUMN(AV:AV),0)</f>
        <v>0</v>
      </c>
      <c r="AW568" s="2" cm="1">
        <f t="array" ref="AW568">VLOOKUP($A568,Table_ship_components[],COLUMN(AW:AW),0)</f>
        <v>0</v>
      </c>
      <c r="AX568" s="2" cm="1">
        <f t="array" ref="AX568">VLOOKUP($A568,Table_ship_components[],COLUMN(AX:AX),0)</f>
        <v>0</v>
      </c>
      <c r="AY568" s="2" cm="1">
        <f t="array" ref="AY568">VLOOKUP($A568,Table_ship_components[],COLUMN(AY:AY),0)</f>
        <v>0</v>
      </c>
      <c r="AZ568" s="2" t="str" cm="1">
        <f t="array" ref="AZ568">VLOOKUP($A568,Table_ship_components[],COLUMN(AZ:AZ),0)</f>
        <v>C</v>
      </c>
      <c r="BA568" s="14" cm="1">
        <f t="array" ref="BA568">VLOOKUP($A568,Table_ship_components[],COLUMN(BA:BA),0)</f>
        <v>0</v>
      </c>
      <c r="BB568" s="14" cm="1">
        <f t="array" ref="BB568">(VLOOKUP($A568,Table_ship_components[],COLUMN(BA:BA),0)+(W568*C568))</f>
        <v>0</v>
      </c>
      <c r="BC568" s="2" cm="1">
        <f t="array" ref="BC568">VLOOKUP($A568,Table_ship_components[],COLUMN(BC:BC),0)</f>
        <v>0</v>
      </c>
      <c r="BD568" s="2" cm="1">
        <f t="array" ref="BD568">VLOOKUP($A568,Table_ship_components[],COLUMN(BD:BD),0)</f>
        <v>0</v>
      </c>
    </row>
    <row r="569" spans="1:56" outlineLevel="1" x14ac:dyDescent="0.35">
      <c r="A569" s="18" t="s">
        <v>424</v>
      </c>
      <c r="B569" s="19" t="str">
        <f>CONCATENATE("SIZE ",(SUM(E570:E580)),"/",AX559,"  POWER ",(SUM(G570:G580)))</f>
        <v>SIZE 30/30  POWER 20</v>
      </c>
      <c r="AU569" s="2"/>
      <c r="AV569" s="2"/>
      <c r="AW569" s="2"/>
      <c r="AX569" s="2"/>
      <c r="AY569" s="2"/>
      <c r="AZ569" s="2"/>
      <c r="BA569" s="14"/>
      <c r="BB569" s="14"/>
      <c r="BC569" s="2"/>
      <c r="BD569" s="2"/>
    </row>
    <row r="570" spans="1:56" outlineLevel="1" x14ac:dyDescent="0.35">
      <c r="A570" t="s">
        <v>634</v>
      </c>
      <c r="B570" t="str" cm="1">
        <f t="array" ref="B570">VLOOKUP($A570,Table_ship_components[],COLUMN(B:B),0)</f>
        <v>med speed fighter balanced engine</v>
      </c>
      <c r="D570" cm="1">
        <f t="array" ref="D570">VLOOKUP($A570,Table_ship_components[],COLUMN(D:D),0)</f>
        <v>4</v>
      </c>
      <c r="E570" cm="1">
        <f t="array" ref="E570">ROUND(VLOOKUP($A570,Table_ship_components[],COLUMN(D:D),0)+(V570*C570),0)</f>
        <v>4</v>
      </c>
      <c r="F570" cm="1">
        <f t="array" ref="F570">VLOOKUP($A570,Table_ship_components[],COLUMN(F:F),0)</f>
        <v>5</v>
      </c>
      <c r="G570" cm="1">
        <f t="array" ref="G570">ROUND(VLOOKUP($A570,Table_ship_components[],COLUMN(G:G),0)+(X570*C570),0)</f>
        <v>5</v>
      </c>
      <c r="H570" cm="1">
        <f t="array" ref="H570">VLOOKUP($A570,Table_ship_components[],COLUMN(H:H),0)</f>
        <v>0</v>
      </c>
      <c r="I570" cm="1">
        <f t="array" ref="I570">VLOOKUP($A570,Table_ship_components[],COLUMN(I:I),0)</f>
        <v>0</v>
      </c>
      <c r="J570" cm="1">
        <f t="array" ref="J570">VLOOKUP($A570,Table_ship_components[],COLUMN(J:J),0)</f>
        <v>0</v>
      </c>
      <c r="K570" cm="1">
        <f t="array" ref="K570">VLOOKUP($A570,Table_ship_components[],COLUMN(K:K),0)</f>
        <v>0</v>
      </c>
      <c r="L570" cm="1">
        <f t="array" ref="L570">VLOOKUP($A570,Table_ship_components[],COLUMN(L:L),0)</f>
        <v>0</v>
      </c>
      <c r="M570" cm="1">
        <f t="array" ref="M570">VLOOKUP($A570,Table_ship_components[],COLUMN(M:M),0)</f>
        <v>0</v>
      </c>
      <c r="N570" cm="1">
        <f t="array" ref="N570">VLOOKUP($A570,Table_ship_components[],COLUMN(N:N),0)</f>
        <v>1</v>
      </c>
      <c r="O570" cm="1">
        <f t="array" ref="O570">VLOOKUP($A570,Table_ship_components[],COLUMN(O:O),0)</f>
        <v>0</v>
      </c>
      <c r="P570" cm="1">
        <f t="array" ref="P570">VLOOKUP($A570,Table_ship_components[],COLUMN(P:P),0)</f>
        <v>0</v>
      </c>
      <c r="Q570" cm="1">
        <f t="array" ref="Q570">VLOOKUP($A570,Table_ship_components[],COLUMN(Q:Q),0)</f>
        <v>0</v>
      </c>
      <c r="R570" cm="1">
        <f t="array" ref="R570">VLOOKUP($A570,Table_ship_components[],COLUMN(R:R),0)</f>
        <v>0</v>
      </c>
      <c r="S570" cm="1">
        <f t="array" ref="S570">VLOOKUP($A570,Table_ship_components[],COLUMN(S:S),0)</f>
        <v>0</v>
      </c>
      <c r="T570" cm="1">
        <f t="array" ref="T570">VLOOKUP($A570,Table_ship_components[],COLUMN(T:T),0)</f>
        <v>0</v>
      </c>
      <c r="U570" cm="1">
        <f t="array" ref="U570">VLOOKUP($A570,Table_ship_components[],COLUMN(U:U),0)</f>
        <v>0</v>
      </c>
      <c r="V570" cm="1">
        <f t="array" ref="V570">VLOOKUP($A570,Table_ship_components[],COLUMN(V:V),0)</f>
        <v>0</v>
      </c>
      <c r="W570" s="15" cm="1">
        <f t="array" ref="W570">VLOOKUP($A570,Table_ship_components[],COLUMN(W:W),0)</f>
        <v>0</v>
      </c>
      <c r="X570" cm="1">
        <f t="array" ref="X570">VLOOKUP($A570,Table_ship_components[],COLUMN(X:X),0)</f>
        <v>0</v>
      </c>
      <c r="Y570" cm="1">
        <f t="array" ref="Y570">VLOOKUP($A570,Table_ship_components[],COLUMN(Y:Y),0)</f>
        <v>0</v>
      </c>
      <c r="Z570" cm="1">
        <f t="array" ref="Z570">VLOOKUP($A570,Table_ship_components[],COLUMN(Z:Z),0)</f>
        <v>0</v>
      </c>
      <c r="AA570" cm="1">
        <f t="array" ref="AA570">VLOOKUP($A570,Table_ship_components[],COLUMN(AA:AA),0)*C570</f>
        <v>0</v>
      </c>
      <c r="AB570">
        <f t="shared" ref="AB570:AB579" si="56">IF(A570="CARGOSPACE_0-ALL_0-UNIVERSAL",C570,0)</f>
        <v>0</v>
      </c>
      <c r="AC570" cm="1">
        <f t="array" ref="AC570">VLOOKUP($A570,Table_ship_components[],COLUMN(AC:AC),0)*C570</f>
        <v>0</v>
      </c>
      <c r="AD570" cm="1">
        <f t="array" ref="AD570">VLOOKUP($A570,Table_ship_components[],COLUMN(AD:AD),0)</f>
        <v>0</v>
      </c>
      <c r="AE570" cm="1">
        <f t="array" ref="AE570">VLOOKUP($A570,Table_ship_components[],COLUMN(AE:AE),0)</f>
        <v>0</v>
      </c>
      <c r="AF570" cm="1">
        <f t="array" ref="AF570">VLOOKUP($A570,Table_ship_components[],COLUMN(AF:AF),0)</f>
        <v>0</v>
      </c>
      <c r="AG570" cm="1">
        <f t="array" ref="AG570">VLOOKUP($A570,Table_ship_components[],COLUMN(AG:AG),0)</f>
        <v>0</v>
      </c>
      <c r="AH570" cm="1">
        <f t="array" ref="AH570">VLOOKUP($A570,Table_ship_components[],COLUMN(AH:AH),0)</f>
        <v>0</v>
      </c>
      <c r="AI570" cm="1">
        <f t="array" ref="AI570">VLOOKUP($A570,Table_ship_components[],COLUMN(AI:AI),0)</f>
        <v>0</v>
      </c>
      <c r="AJ570" cm="1">
        <f t="array" ref="AJ570">VLOOKUP($A570,Table_ship_components[],COLUMN(AJ:AJ),0)</f>
        <v>0</v>
      </c>
      <c r="AK570" cm="1">
        <f t="array" ref="AK570">VLOOKUP($A570,Table_ship_components[],COLUMN(AK:AK),0)</f>
        <v>0</v>
      </c>
      <c r="AL570" cm="1">
        <f t="array" ref="AL570">VLOOKUP($A570,Table_ship_components[],COLUMN(AL:AL),0)</f>
        <v>2</v>
      </c>
      <c r="AM570" cm="1">
        <f t="array" ref="AM570">VLOOKUP($A570,Table_ship_components[],COLUMN(AM:AM),0)</f>
        <v>0</v>
      </c>
      <c r="AN570" cm="1">
        <f t="array" ref="AN570">VLOOKUP($A570,Table_ship_components[],COLUMN(AN:AN),0)</f>
        <v>0</v>
      </c>
      <c r="AO570" cm="1">
        <f t="array" ref="AO570">VLOOKUP($A570,Table_ship_components[],COLUMN(AO:AO),0)</f>
        <v>0</v>
      </c>
      <c r="AP570" cm="1">
        <f t="array" ref="AP570">VLOOKUP($A570,Table_ship_components[],COLUMN(AP:AP),0)</f>
        <v>0</v>
      </c>
      <c r="AQ570" cm="1">
        <f t="array" ref="AQ570">VLOOKUP($A570,Table_ship_components[],COLUMN(AQ:AQ),0)</f>
        <v>0</v>
      </c>
      <c r="AR570" cm="1">
        <f t="array" ref="AR570">VLOOKUP($A570,Table_ship_components[],COLUMN(AR:AR),0)</f>
        <v>1</v>
      </c>
      <c r="AS570" cm="1">
        <f t="array" ref="AS570">VLOOKUP($A570,Table_ship_components[],COLUMN(AS:AS),0)</f>
        <v>0</v>
      </c>
      <c r="AT570" cm="1">
        <f t="array" ref="AT570">VLOOKUP($A570,Table_ship_components[],COLUMN(AT:AT),0)</f>
        <v>0</v>
      </c>
      <c r="AU570" s="2" cm="1">
        <f t="array" ref="AU570">VLOOKUP($A570,Table_ship_components[],COLUMN(AU:AU),0)</f>
        <v>1</v>
      </c>
      <c r="AV570" s="2" cm="1">
        <f t="array" ref="AV570">VLOOKUP($A570,Table_ship_components[],COLUMN(AV:AV),0)</f>
        <v>0</v>
      </c>
      <c r="AW570" s="2" cm="1">
        <f t="array" ref="AW570">VLOOKUP($A570,Table_ship_components[],COLUMN(AW:AW),0)</f>
        <v>0</v>
      </c>
      <c r="AX570" s="2" cm="1">
        <f t="array" ref="AX570">VLOOKUP($A570,Table_ship_components[],COLUMN(AX:AX),0)</f>
        <v>0</v>
      </c>
      <c r="AY570" s="2" cm="1">
        <f t="array" ref="AY570">VLOOKUP($A570,Table_ship_components[],COLUMN(AY:AY),0)</f>
        <v>0</v>
      </c>
      <c r="AZ570" s="2" t="str" cm="1">
        <f t="array" ref="AZ570">VLOOKUP($A570,Table_ship_components[],COLUMN(AZ:AZ),0)</f>
        <v>C</v>
      </c>
      <c r="BA570" s="14" cm="1">
        <f t="array" ref="BA570">VLOOKUP($A570,Table_ship_components[],COLUMN(BA:BA),0)</f>
        <v>300000</v>
      </c>
      <c r="BB570" s="14" cm="1">
        <f t="array" ref="BB570">(VLOOKUP($A570,Table_ship_components[],COLUMN(BA:BA),0)+(W570*C570))</f>
        <v>300000</v>
      </c>
      <c r="BC570" s="2" cm="1">
        <f t="array" ref="BC570">VLOOKUP($A570,Table_ship_components[],COLUMN(BC:BC),0)</f>
        <v>0</v>
      </c>
      <c r="BD570" s="2" cm="1">
        <f t="array" ref="BD570">VLOOKUP($A570,Table_ship_components[],COLUMN(BD:BD),0)</f>
        <v>0</v>
      </c>
    </row>
    <row r="571" spans="1:56" outlineLevel="1" x14ac:dyDescent="0.35">
      <c r="A571" t="s">
        <v>324</v>
      </c>
      <c r="B571" t="str" cm="1">
        <f t="array" ref="B571">VLOOKUP($A571,Table_ship_components[],COLUMN(B:B),0)</f>
        <v>huge fixed weapon mount</v>
      </c>
      <c r="D571" cm="1">
        <f t="array" ref="D571">VLOOKUP($A571,Table_ship_components[],COLUMN(D:D),0)</f>
        <v>5</v>
      </c>
      <c r="E571" cm="1">
        <f t="array" ref="E571">ROUND(VLOOKUP($A571,Table_ship_components[],COLUMN(D:D),0)+(V571*C571),0)</f>
        <v>5</v>
      </c>
      <c r="F571" cm="1">
        <f t="array" ref="F571">VLOOKUP($A571,Table_ship_components[],COLUMN(F:F),0)</f>
        <v>0</v>
      </c>
      <c r="G571" cm="1">
        <f t="array" ref="G571">ROUND(VLOOKUP($A571,Table_ship_components[],COLUMN(G:G),0)+(X571*C571),0)</f>
        <v>0</v>
      </c>
      <c r="H571" cm="1">
        <f t="array" ref="H571">VLOOKUP($A571,Table_ship_components[],COLUMN(H:H),0)</f>
        <v>0</v>
      </c>
      <c r="I571" cm="1">
        <f t="array" ref="I571">VLOOKUP($A571,Table_ship_components[],COLUMN(I:I),0)</f>
        <v>0</v>
      </c>
      <c r="J571" cm="1">
        <f t="array" ref="J571">VLOOKUP($A571,Table_ship_components[],COLUMN(J:J),0)</f>
        <v>0</v>
      </c>
      <c r="K571" cm="1">
        <f t="array" ref="K571">VLOOKUP($A571,Table_ship_components[],COLUMN(K:K),0)</f>
        <v>0</v>
      </c>
      <c r="L571" cm="1">
        <f t="array" ref="L571">VLOOKUP($A571,Table_ship_components[],COLUMN(L:L),0)</f>
        <v>0</v>
      </c>
      <c r="M571" cm="1">
        <f t="array" ref="M571">VLOOKUP($A571,Table_ship_components[],COLUMN(M:M),0)</f>
        <v>0</v>
      </c>
      <c r="N571" cm="1">
        <f t="array" ref="N571">VLOOKUP($A571,Table_ship_components[],COLUMN(N:N),0)</f>
        <v>1</v>
      </c>
      <c r="O571" cm="1">
        <f t="array" ref="O571">VLOOKUP($A571,Table_ship_components[],COLUMN(O:O),0)</f>
        <v>1</v>
      </c>
      <c r="P571" cm="1">
        <f t="array" ref="P571">VLOOKUP($A571,Table_ship_components[],COLUMN(P:P),0)</f>
        <v>1</v>
      </c>
      <c r="Q571" cm="1">
        <f t="array" ref="Q571">VLOOKUP($A571,Table_ship_components[],COLUMN(Q:Q),0)</f>
        <v>1</v>
      </c>
      <c r="R571" cm="1">
        <f t="array" ref="R571">VLOOKUP($A571,Table_ship_components[],COLUMN(R:R),0)</f>
        <v>1</v>
      </c>
      <c r="S571" cm="1">
        <f t="array" ref="S571">VLOOKUP($A571,Table_ship_components[],COLUMN(S:S),0)</f>
        <v>1</v>
      </c>
      <c r="T571" cm="1">
        <f t="array" ref="T571">VLOOKUP($A571,Table_ship_components[],COLUMN(T:T),0)</f>
        <v>1</v>
      </c>
      <c r="U571" cm="1">
        <f t="array" ref="U571">VLOOKUP($A571,Table_ship_components[],COLUMN(U:U),0)</f>
        <v>0</v>
      </c>
      <c r="V571" cm="1">
        <f t="array" ref="V571">VLOOKUP($A571,Table_ship_components[],COLUMN(V:V),0)</f>
        <v>0</v>
      </c>
      <c r="W571" s="15" cm="1">
        <f t="array" ref="W571">VLOOKUP($A571,Table_ship_components[],COLUMN(W:W),0)</f>
        <v>0</v>
      </c>
      <c r="X571" cm="1">
        <f t="array" ref="X571">VLOOKUP($A571,Table_ship_components[],COLUMN(X:X),0)</f>
        <v>0</v>
      </c>
      <c r="Y571" cm="1">
        <f t="array" ref="Y571">VLOOKUP($A571,Table_ship_components[],COLUMN(Y:Y),0)</f>
        <v>0</v>
      </c>
      <c r="Z571" cm="1">
        <f t="array" ref="Z571">VLOOKUP($A571,Table_ship_components[],COLUMN(Z:Z),0)</f>
        <v>0</v>
      </c>
      <c r="AA571" cm="1">
        <f t="array" ref="AA571">VLOOKUP($A571,Table_ship_components[],COLUMN(AA:AA),0)*C571</f>
        <v>0</v>
      </c>
      <c r="AB571">
        <f t="shared" si="56"/>
        <v>0</v>
      </c>
      <c r="AC571" cm="1">
        <f t="array" ref="AC571">VLOOKUP($A571,Table_ship_components[],COLUMN(AC:AC),0)*C571</f>
        <v>0</v>
      </c>
      <c r="AD571" cm="1">
        <f t="array" ref="AD571">VLOOKUP($A571,Table_ship_components[],COLUMN(AD:AD),0)</f>
        <v>0</v>
      </c>
      <c r="AE571" cm="1">
        <f t="array" ref="AE571">VLOOKUP($A571,Table_ship_components[],COLUMN(AE:AE),0)</f>
        <v>0</v>
      </c>
      <c r="AF571" cm="1">
        <f t="array" ref="AF571">VLOOKUP($A571,Table_ship_components[],COLUMN(AF:AF),0)</f>
        <v>0</v>
      </c>
      <c r="AG571" cm="1">
        <f t="array" ref="AG571">VLOOKUP($A571,Table_ship_components[],COLUMN(AG:AG),0)</f>
        <v>0</v>
      </c>
      <c r="AH571" cm="1">
        <f t="array" ref="AH571">VLOOKUP($A571,Table_ship_components[],COLUMN(AH:AH),0)</f>
        <v>0</v>
      </c>
      <c r="AI571" cm="1">
        <f t="array" ref="AI571">VLOOKUP($A571,Table_ship_components[],COLUMN(AI:AI),0)</f>
        <v>0</v>
      </c>
      <c r="AJ571" cm="1">
        <f t="array" ref="AJ571">VLOOKUP($A571,Table_ship_components[],COLUMN(AJ:AJ),0)</f>
        <v>0</v>
      </c>
      <c r="AK571" cm="1">
        <f t="array" ref="AK571">VLOOKUP($A571,Table_ship_components[],COLUMN(AK:AK),0)</f>
        <v>0</v>
      </c>
      <c r="AL571" cm="1">
        <f t="array" ref="AL571">VLOOKUP($A571,Table_ship_components[],COLUMN(AL:AL),0)</f>
        <v>0</v>
      </c>
      <c r="AM571" cm="1">
        <f t="array" ref="AM571">VLOOKUP($A571,Table_ship_components[],COLUMN(AM:AM),0)</f>
        <v>0</v>
      </c>
      <c r="AN571" cm="1">
        <f t="array" ref="AN571">VLOOKUP($A571,Table_ship_components[],COLUMN(AN:AN),0)</f>
        <v>0</v>
      </c>
      <c r="AO571" cm="1">
        <f t="array" ref="AO571">VLOOKUP($A571,Table_ship_components[],COLUMN(AO:AO),0)</f>
        <v>0</v>
      </c>
      <c r="AP571" cm="1">
        <f t="array" ref="AP571">VLOOKUP($A571,Table_ship_components[],COLUMN(AP:AP),0)</f>
        <v>0</v>
      </c>
      <c r="AQ571" cm="1">
        <f t="array" ref="AQ571">VLOOKUP($A571,Table_ship_components[],COLUMN(AQ:AQ),0)</f>
        <v>0</v>
      </c>
      <c r="AR571" cm="1">
        <f t="array" ref="AR571">VLOOKUP($A571,Table_ship_components[],COLUMN(AR:AR),0)</f>
        <v>0</v>
      </c>
      <c r="AS571" cm="1">
        <f t="array" ref="AS571">VLOOKUP($A571,Table_ship_components[],COLUMN(AS:AS),0)</f>
        <v>0</v>
      </c>
      <c r="AT571" cm="1">
        <f t="array" ref="AT571">VLOOKUP($A571,Table_ship_components[],COLUMN(AT:AT),0)</f>
        <v>0</v>
      </c>
      <c r="AU571" s="2" cm="1">
        <f t="array" ref="AU571">VLOOKUP($A571,Table_ship_components[],COLUMN(AU:AU),0)</f>
        <v>0</v>
      </c>
      <c r="AV571" s="2" cm="1">
        <f t="array" ref="AV571">VLOOKUP($A571,Table_ship_components[],COLUMN(AV:AV),0)</f>
        <v>0</v>
      </c>
      <c r="AW571" s="2" cm="1">
        <f t="array" ref="AW571">VLOOKUP($A571,Table_ship_components[],COLUMN(AW:AW),0)</f>
        <v>0</v>
      </c>
      <c r="AX571" s="2" cm="1">
        <f t="array" ref="AX571">VLOOKUP($A571,Table_ship_components[],COLUMN(AX:AX),0)</f>
        <v>0</v>
      </c>
      <c r="AY571" s="2" cm="1">
        <f t="array" ref="AY571">VLOOKUP($A571,Table_ship_components[],COLUMN(AY:AY),0)</f>
        <v>0</v>
      </c>
      <c r="AZ571" s="2" t="str" cm="1">
        <f t="array" ref="AZ571">VLOOKUP($A571,Table_ship_components[],COLUMN(AZ:AZ),0)</f>
        <v>C</v>
      </c>
      <c r="BA571" s="14" cm="1">
        <f t="array" ref="BA571">VLOOKUP($A571,Table_ship_components[],COLUMN(BA:BA),0)</f>
        <v>200000</v>
      </c>
      <c r="BB571" s="14" cm="1">
        <f t="array" ref="BB571">(VLOOKUP($A571,Table_ship_components[],COLUMN(BA:BA),0)+(W571*C571))</f>
        <v>200000</v>
      </c>
      <c r="BC571" s="2" cm="1">
        <f t="array" ref="BC571">VLOOKUP($A571,Table_ship_components[],COLUMN(BC:BC),0)</f>
        <v>0</v>
      </c>
      <c r="BD571" s="2" cm="1">
        <f t="array" ref="BD571">VLOOKUP($A571,Table_ship_components[],COLUMN(BD:BD),0)</f>
        <v>0</v>
      </c>
    </row>
    <row r="572" spans="1:56" outlineLevel="1" x14ac:dyDescent="0.35">
      <c r="A572" t="s">
        <v>400</v>
      </c>
      <c r="B572" t="str" cm="1">
        <f t="array" ref="B572">VLOOKUP($A572,Table_ship_components[],COLUMN(B:B),0)</f>
        <v>good fighter radar and scans</v>
      </c>
      <c r="D572" cm="1">
        <f t="array" ref="D572">VLOOKUP($A572,Table_ship_components[],COLUMN(D:D),0)</f>
        <v>3</v>
      </c>
      <c r="E572" cm="1">
        <f t="array" ref="E572">ROUND(VLOOKUP($A572,Table_ship_components[],COLUMN(D:D),0)+(V572*C572),0)</f>
        <v>3</v>
      </c>
      <c r="F572" cm="1">
        <f t="array" ref="F572">VLOOKUP($A572,Table_ship_components[],COLUMN(F:F),0)</f>
        <v>4</v>
      </c>
      <c r="G572" cm="1">
        <f t="array" ref="G572">ROUND(VLOOKUP($A572,Table_ship_components[],COLUMN(G:G),0)+(X572*C572),0)</f>
        <v>4</v>
      </c>
      <c r="H572" cm="1">
        <f t="array" ref="H572">VLOOKUP($A572,Table_ship_components[],COLUMN(H:H),0)</f>
        <v>0</v>
      </c>
      <c r="I572" cm="1">
        <f t="array" ref="I572">VLOOKUP($A572,Table_ship_components[],COLUMN(I:I),0)</f>
        <v>0</v>
      </c>
      <c r="J572" cm="1">
        <f t="array" ref="J572">VLOOKUP($A572,Table_ship_components[],COLUMN(J:J),0)</f>
        <v>0</v>
      </c>
      <c r="K572" cm="1">
        <f t="array" ref="K572">VLOOKUP($A572,Table_ship_components[],COLUMN(K:K),0)</f>
        <v>0</v>
      </c>
      <c r="L572" cm="1">
        <f t="array" ref="L572">VLOOKUP($A572,Table_ship_components[],COLUMN(L:L),0)</f>
        <v>0</v>
      </c>
      <c r="M572" cm="1">
        <f t="array" ref="M572">VLOOKUP($A572,Table_ship_components[],COLUMN(M:M),0)</f>
        <v>0</v>
      </c>
      <c r="N572" cm="1">
        <f t="array" ref="N572">VLOOKUP($A572,Table_ship_components[],COLUMN(N:N),0)</f>
        <v>1</v>
      </c>
      <c r="O572" cm="1">
        <f t="array" ref="O572">VLOOKUP($A572,Table_ship_components[],COLUMN(O:O),0)</f>
        <v>0</v>
      </c>
      <c r="P572" cm="1">
        <f t="array" ref="P572">VLOOKUP($A572,Table_ship_components[],COLUMN(P:P),0)</f>
        <v>0</v>
      </c>
      <c r="Q572" cm="1">
        <f t="array" ref="Q572">VLOOKUP($A572,Table_ship_components[],COLUMN(Q:Q),0)</f>
        <v>0</v>
      </c>
      <c r="R572" cm="1">
        <f t="array" ref="R572">VLOOKUP($A572,Table_ship_components[],COLUMN(R:R),0)</f>
        <v>0</v>
      </c>
      <c r="S572" cm="1">
        <f t="array" ref="S572">VLOOKUP($A572,Table_ship_components[],COLUMN(S:S),0)</f>
        <v>0</v>
      </c>
      <c r="T572" cm="1">
        <f t="array" ref="T572">VLOOKUP($A572,Table_ship_components[],COLUMN(T:T),0)</f>
        <v>0</v>
      </c>
      <c r="U572" cm="1">
        <f t="array" ref="U572">VLOOKUP($A572,Table_ship_components[],COLUMN(U:U),0)</f>
        <v>0</v>
      </c>
      <c r="V572" cm="1">
        <f t="array" ref="V572">VLOOKUP($A572,Table_ship_components[],COLUMN(V:V),0)</f>
        <v>0</v>
      </c>
      <c r="W572" s="15" cm="1">
        <f t="array" ref="W572">VLOOKUP($A572,Table_ship_components[],COLUMN(W:W),0)</f>
        <v>0</v>
      </c>
      <c r="X572" cm="1">
        <f t="array" ref="X572">VLOOKUP($A572,Table_ship_components[],COLUMN(X:X),0)</f>
        <v>0</v>
      </c>
      <c r="Y572" cm="1">
        <f t="array" ref="Y572">VLOOKUP($A572,Table_ship_components[],COLUMN(Y:Y),0)</f>
        <v>0</v>
      </c>
      <c r="Z572" cm="1">
        <f t="array" ref="Z572">VLOOKUP($A572,Table_ship_components[],COLUMN(Z:Z),0)</f>
        <v>0</v>
      </c>
      <c r="AA572" cm="1">
        <f t="array" ref="AA572">VLOOKUP($A572,Table_ship_components[],COLUMN(AA:AA),0)*C572</f>
        <v>0</v>
      </c>
      <c r="AB572">
        <f t="shared" si="56"/>
        <v>0</v>
      </c>
      <c r="AC572" cm="1">
        <f t="array" ref="AC572">VLOOKUP($A572,Table_ship_components[],COLUMN(AC:AC),0)*C572</f>
        <v>0</v>
      </c>
      <c r="AD572" cm="1">
        <f t="array" ref="AD572">VLOOKUP($A572,Table_ship_components[],COLUMN(AD:AD),0)</f>
        <v>0</v>
      </c>
      <c r="AE572" cm="1">
        <f t="array" ref="AE572">VLOOKUP($A572,Table_ship_components[],COLUMN(AE:AE),0)</f>
        <v>0</v>
      </c>
      <c r="AF572" cm="1">
        <f t="array" ref="AF572">VLOOKUP($A572,Table_ship_components[],COLUMN(AF:AF),0)</f>
        <v>0</v>
      </c>
      <c r="AG572" cm="1">
        <f t="array" ref="AG572">VLOOKUP($A572,Table_ship_components[],COLUMN(AG:AG),0)</f>
        <v>0</v>
      </c>
      <c r="AH572" cm="1">
        <f t="array" ref="AH572">VLOOKUP($A572,Table_ship_components[],COLUMN(AH:AH),0)</f>
        <v>2000</v>
      </c>
      <c r="AI572" cm="1">
        <f t="array" ref="AI572">VLOOKUP($A572,Table_ship_components[],COLUMN(AI:AI),0)</f>
        <v>10000</v>
      </c>
      <c r="AJ572" cm="1">
        <f t="array" ref="AJ572">VLOOKUP($A572,Table_ship_components[],COLUMN(AJ:AJ),0)</f>
        <v>0</v>
      </c>
      <c r="AK572" cm="1">
        <f t="array" ref="AK572">VLOOKUP($A572,Table_ship_components[],COLUMN(AK:AK),0)</f>
        <v>0</v>
      </c>
      <c r="AL572" cm="1">
        <f t="array" ref="AL572">VLOOKUP($A572,Table_ship_components[],COLUMN(AL:AL),0)</f>
        <v>0</v>
      </c>
      <c r="AM572" cm="1">
        <f t="array" ref="AM572">VLOOKUP($A572,Table_ship_components[],COLUMN(AM:AM),0)</f>
        <v>0</v>
      </c>
      <c r="AN572" cm="1">
        <f t="array" ref="AN572">VLOOKUP($A572,Table_ship_components[],COLUMN(AN:AN),0)</f>
        <v>0</v>
      </c>
      <c r="AO572" cm="1">
        <f t="array" ref="AO572">VLOOKUP($A572,Table_ship_components[],COLUMN(AO:AO),0)</f>
        <v>0</v>
      </c>
      <c r="AP572" cm="1">
        <f t="array" ref="AP572">VLOOKUP($A572,Table_ship_components[],COLUMN(AP:AP),0)</f>
        <v>0</v>
      </c>
      <c r="AQ572" cm="1">
        <f t="array" ref="AQ572">VLOOKUP($A572,Table_ship_components[],COLUMN(AQ:AQ),0)</f>
        <v>0</v>
      </c>
      <c r="AR572" cm="1">
        <f t="array" ref="AR572">VLOOKUP($A572,Table_ship_components[],COLUMN(AR:AR),0)</f>
        <v>0</v>
      </c>
      <c r="AS572" cm="1">
        <f t="array" ref="AS572">VLOOKUP($A572,Table_ship_components[],COLUMN(AS:AS),0)</f>
        <v>1</v>
      </c>
      <c r="AT572" cm="1">
        <f t="array" ref="AT572">VLOOKUP($A572,Table_ship_components[],COLUMN(AT:AT),0)</f>
        <v>0</v>
      </c>
      <c r="AU572" s="2" cm="1">
        <f t="array" ref="AU572">VLOOKUP($A572,Table_ship_components[],COLUMN(AU:AU),0)</f>
        <v>0</v>
      </c>
      <c r="AV572" s="2" cm="1">
        <f t="array" ref="AV572">VLOOKUP($A572,Table_ship_components[],COLUMN(AV:AV),0)</f>
        <v>0</v>
      </c>
      <c r="AW572" s="2" cm="1">
        <f t="array" ref="AW572">VLOOKUP($A572,Table_ship_components[],COLUMN(AW:AW),0)</f>
        <v>0</v>
      </c>
      <c r="AX572" s="2" cm="1">
        <f t="array" ref="AX572">VLOOKUP($A572,Table_ship_components[],COLUMN(AX:AX),0)</f>
        <v>0</v>
      </c>
      <c r="AY572" s="2" cm="1">
        <f t="array" ref="AY572">VLOOKUP($A572,Table_ship_components[],COLUMN(AY:AY),0)</f>
        <v>0</v>
      </c>
      <c r="AZ572" s="2" t="str" cm="1">
        <f t="array" ref="AZ572">VLOOKUP($A572,Table_ship_components[],COLUMN(AZ:AZ),0)</f>
        <v>C</v>
      </c>
      <c r="BA572" s="14" cm="1">
        <f t="array" ref="BA572">VLOOKUP($A572,Table_ship_components[],COLUMN(BA:BA),0)</f>
        <v>350000</v>
      </c>
      <c r="BB572" s="14" cm="1">
        <f t="array" ref="BB572">(VLOOKUP($A572,Table_ship_components[],COLUMN(BA:BA),0)+(W572*C572))</f>
        <v>350000</v>
      </c>
      <c r="BC572" s="2" cm="1">
        <f t="array" ref="BC572">VLOOKUP($A572,Table_ship_components[],COLUMN(BC:BC),0)</f>
        <v>0</v>
      </c>
      <c r="BD572" s="2" cm="1">
        <f t="array" ref="BD572">VLOOKUP($A572,Table_ship_components[],COLUMN(BD:BD),0)</f>
        <v>0</v>
      </c>
    </row>
    <row r="573" spans="1:56" outlineLevel="1" x14ac:dyDescent="0.35">
      <c r="A573" t="s">
        <v>339</v>
      </c>
      <c r="B573" t="str" cm="1">
        <f t="array" ref="B573">VLOOKUP($A573,Table_ship_components[],COLUMN(B:B),0)</f>
        <v>average fighter shield</v>
      </c>
      <c r="D573" cm="1">
        <f t="array" ref="D573">VLOOKUP($A573,Table_ship_components[],COLUMN(D:D),0)</f>
        <v>5</v>
      </c>
      <c r="E573" cm="1">
        <f t="array" ref="E573">ROUND(VLOOKUP($A573,Table_ship_components[],COLUMN(D:D),0)+(V573*C573),0)</f>
        <v>5</v>
      </c>
      <c r="F573" cm="1">
        <f t="array" ref="F573">VLOOKUP($A573,Table_ship_components[],COLUMN(F:F),0)</f>
        <v>5</v>
      </c>
      <c r="G573" cm="1">
        <f t="array" ref="G573">ROUND(VLOOKUP($A573,Table_ship_components[],COLUMN(G:G),0)+(X573*C573),0)</f>
        <v>5</v>
      </c>
      <c r="H573" cm="1">
        <f t="array" ref="H573">VLOOKUP($A573,Table_ship_components[],COLUMN(H:H),0)</f>
        <v>0</v>
      </c>
      <c r="I573" cm="1">
        <f t="array" ref="I573">VLOOKUP($A573,Table_ship_components[],COLUMN(I:I),0)</f>
        <v>0</v>
      </c>
      <c r="J573" cm="1">
        <f t="array" ref="J573">VLOOKUP($A573,Table_ship_components[],COLUMN(J:J),0)</f>
        <v>0</v>
      </c>
      <c r="K573" cm="1">
        <f t="array" ref="K573">VLOOKUP($A573,Table_ship_components[],COLUMN(K:K),0)</f>
        <v>25</v>
      </c>
      <c r="L573" cm="1">
        <f t="array" ref="L573">VLOOKUP($A573,Table_ship_components[],COLUMN(L:L),0)</f>
        <v>5</v>
      </c>
      <c r="M573" cm="1">
        <f t="array" ref="M573">VLOOKUP($A573,Table_ship_components[],COLUMN(M:M),0)</f>
        <v>0</v>
      </c>
      <c r="N573" cm="1">
        <f t="array" ref="N573">VLOOKUP($A573,Table_ship_components[],COLUMN(N:N),0)</f>
        <v>1</v>
      </c>
      <c r="O573" cm="1">
        <f t="array" ref="O573">VLOOKUP($A573,Table_ship_components[],COLUMN(O:O),0)</f>
        <v>0</v>
      </c>
      <c r="P573" cm="1">
        <f t="array" ref="P573">VLOOKUP($A573,Table_ship_components[],COLUMN(P:P),0)</f>
        <v>0</v>
      </c>
      <c r="Q573" cm="1">
        <f t="array" ref="Q573">VLOOKUP($A573,Table_ship_components[],COLUMN(Q:Q),0)</f>
        <v>0</v>
      </c>
      <c r="R573" cm="1">
        <f t="array" ref="R573">VLOOKUP($A573,Table_ship_components[],COLUMN(R:R),0)</f>
        <v>0</v>
      </c>
      <c r="S573" cm="1">
        <f t="array" ref="S573">VLOOKUP($A573,Table_ship_components[],COLUMN(S:S),0)</f>
        <v>0</v>
      </c>
      <c r="T573" cm="1">
        <f t="array" ref="T573">VLOOKUP($A573,Table_ship_components[],COLUMN(T:T),0)</f>
        <v>0</v>
      </c>
      <c r="U573" cm="1">
        <f t="array" ref="U573">VLOOKUP($A573,Table_ship_components[],COLUMN(U:U),0)</f>
        <v>0</v>
      </c>
      <c r="V573" cm="1">
        <f t="array" ref="V573">VLOOKUP($A573,Table_ship_components[],COLUMN(V:V),0)</f>
        <v>0</v>
      </c>
      <c r="W573" s="15" cm="1">
        <f t="array" ref="W573">VLOOKUP($A573,Table_ship_components[],COLUMN(W:W),0)</f>
        <v>0</v>
      </c>
      <c r="X573" cm="1">
        <f t="array" ref="X573">VLOOKUP($A573,Table_ship_components[],COLUMN(X:X),0)</f>
        <v>0</v>
      </c>
      <c r="Y573" cm="1">
        <f t="array" ref="Y573">VLOOKUP($A573,Table_ship_components[],COLUMN(Y:Y),0)</f>
        <v>0</v>
      </c>
      <c r="Z573" cm="1">
        <f t="array" ref="Z573">VLOOKUP($A573,Table_ship_components[],COLUMN(Z:Z),0)</f>
        <v>0</v>
      </c>
      <c r="AA573" cm="1">
        <f t="array" ref="AA573">VLOOKUP($A573,Table_ship_components[],COLUMN(AA:AA),0)*C573</f>
        <v>0</v>
      </c>
      <c r="AB573">
        <f t="shared" si="56"/>
        <v>0</v>
      </c>
      <c r="AC573" cm="1">
        <f t="array" ref="AC573">VLOOKUP($A573,Table_ship_components[],COLUMN(AC:AC),0)*C573</f>
        <v>0</v>
      </c>
      <c r="AD573" cm="1">
        <f t="array" ref="AD573">VLOOKUP($A573,Table_ship_components[],COLUMN(AD:AD),0)</f>
        <v>0</v>
      </c>
      <c r="AE573" cm="1">
        <f t="array" ref="AE573">VLOOKUP($A573,Table_ship_components[],COLUMN(AE:AE),0)</f>
        <v>0</v>
      </c>
      <c r="AF573" cm="1">
        <f t="array" ref="AF573">VLOOKUP($A573,Table_ship_components[],COLUMN(AF:AF),0)</f>
        <v>0</v>
      </c>
      <c r="AG573" cm="1">
        <f t="array" ref="AG573">VLOOKUP($A573,Table_ship_components[],COLUMN(AG:AG),0)</f>
        <v>0</v>
      </c>
      <c r="AH573" cm="1">
        <f t="array" ref="AH573">VLOOKUP($A573,Table_ship_components[],COLUMN(AH:AH),0)</f>
        <v>0</v>
      </c>
      <c r="AI573" cm="1">
        <f t="array" ref="AI573">VLOOKUP($A573,Table_ship_components[],COLUMN(AI:AI),0)</f>
        <v>0</v>
      </c>
      <c r="AJ573" cm="1">
        <f t="array" ref="AJ573">VLOOKUP($A573,Table_ship_components[],COLUMN(AJ:AJ),0)</f>
        <v>0</v>
      </c>
      <c r="AK573" cm="1">
        <f t="array" ref="AK573">VLOOKUP($A573,Table_ship_components[],COLUMN(AK:AK),0)</f>
        <v>0</v>
      </c>
      <c r="AL573" cm="1">
        <f t="array" ref="AL573">VLOOKUP($A573,Table_ship_components[],COLUMN(AL:AL),0)</f>
        <v>0</v>
      </c>
      <c r="AM573" cm="1">
        <f t="array" ref="AM573">VLOOKUP($A573,Table_ship_components[],COLUMN(AM:AM),0)</f>
        <v>0</v>
      </c>
      <c r="AN573" cm="1">
        <f t="array" ref="AN573">VLOOKUP($A573,Table_ship_components[],COLUMN(AN:AN),0)</f>
        <v>0</v>
      </c>
      <c r="AO573" cm="1">
        <f t="array" ref="AO573">VLOOKUP($A573,Table_ship_components[],COLUMN(AO:AO),0)</f>
        <v>0</v>
      </c>
      <c r="AP573" cm="1">
        <f t="array" ref="AP573">VLOOKUP($A573,Table_ship_components[],COLUMN(AP:AP),0)</f>
        <v>0</v>
      </c>
      <c r="AQ573" cm="1">
        <f t="array" ref="AQ573">VLOOKUP($A573,Table_ship_components[],COLUMN(AQ:AQ),0)</f>
        <v>0</v>
      </c>
      <c r="AR573" cm="1">
        <f t="array" ref="AR573">VLOOKUP($A573,Table_ship_components[],COLUMN(AR:AR),0)</f>
        <v>0</v>
      </c>
      <c r="AS573" cm="1">
        <f t="array" ref="AS573">VLOOKUP($A573,Table_ship_components[],COLUMN(AS:AS),0)</f>
        <v>0</v>
      </c>
      <c r="AT573" cm="1">
        <f t="array" ref="AT573">VLOOKUP($A573,Table_ship_components[],COLUMN(AT:AT),0)</f>
        <v>0</v>
      </c>
      <c r="AU573" s="2" cm="1">
        <f t="array" ref="AU573">VLOOKUP($A573,Table_ship_components[],COLUMN(AU:AU),0)</f>
        <v>0</v>
      </c>
      <c r="AV573" s="2" cm="1">
        <f t="array" ref="AV573">VLOOKUP($A573,Table_ship_components[],COLUMN(AV:AV),0)</f>
        <v>0</v>
      </c>
      <c r="AW573" s="2" cm="1">
        <f t="array" ref="AW573">VLOOKUP($A573,Table_ship_components[],COLUMN(AW:AW),0)</f>
        <v>0</v>
      </c>
      <c r="AX573" s="2" cm="1">
        <f t="array" ref="AX573">VLOOKUP($A573,Table_ship_components[],COLUMN(AX:AX),0)</f>
        <v>0</v>
      </c>
      <c r="AY573" s="2" cm="1">
        <f t="array" ref="AY573">VLOOKUP($A573,Table_ship_components[],COLUMN(AY:AY),0)</f>
        <v>0</v>
      </c>
      <c r="AZ573" s="2" t="str" cm="1">
        <f t="array" ref="AZ573">VLOOKUP($A573,Table_ship_components[],COLUMN(AZ:AZ),0)</f>
        <v>C</v>
      </c>
      <c r="BA573" s="14" cm="1">
        <f t="array" ref="BA573">VLOOKUP($A573,Table_ship_components[],COLUMN(BA:BA),0)</f>
        <v>350000</v>
      </c>
      <c r="BB573" s="14" cm="1">
        <f t="array" ref="BB573">(VLOOKUP($A573,Table_ship_components[],COLUMN(BA:BA),0)+(W573*C573))</f>
        <v>350000</v>
      </c>
      <c r="BC573" s="2" t="str" cm="1">
        <f t="array" ref="BC573">VLOOKUP($A573,Table_ship_components[],COLUMN(BC:BC),0)</f>
        <v>UNCOMMON</v>
      </c>
      <c r="BD573" s="2" cm="1">
        <f t="array" ref="BD573">VLOOKUP($A573,Table_ship_components[],COLUMN(BD:BD),0)</f>
        <v>0</v>
      </c>
    </row>
    <row r="574" spans="1:56" outlineLevel="1" x14ac:dyDescent="0.35">
      <c r="A574" t="s">
        <v>288</v>
      </c>
      <c r="B574" t="str" cm="1">
        <f t="array" ref="B574">VLOOKUP($A574,Table_ship_components[],COLUMN(B:B),0)</f>
        <v>PICK A COMPONENT</v>
      </c>
      <c r="D574" cm="1">
        <f t="array" ref="D574">VLOOKUP($A574,Table_ship_components[],COLUMN(D:D),0)</f>
        <v>0</v>
      </c>
      <c r="E574" cm="1">
        <f t="array" ref="E574">ROUND(VLOOKUP($A574,Table_ship_components[],COLUMN(D:D),0)+(V574*C574),0)</f>
        <v>0</v>
      </c>
      <c r="F574" cm="1">
        <f t="array" ref="F574">VLOOKUP($A574,Table_ship_components[],COLUMN(F:F),0)</f>
        <v>0</v>
      </c>
      <c r="G574" cm="1">
        <f t="array" ref="G574">ROUND(VLOOKUP($A574,Table_ship_components[],COLUMN(G:G),0)+(X574*C574),0)</f>
        <v>0</v>
      </c>
      <c r="H574" cm="1">
        <f t="array" ref="H574">VLOOKUP($A574,Table_ship_components[],COLUMN(H:H),0)</f>
        <v>0</v>
      </c>
      <c r="I574" cm="1">
        <f t="array" ref="I574">VLOOKUP($A574,Table_ship_components[],COLUMN(I:I),0)</f>
        <v>0</v>
      </c>
      <c r="J574" cm="1">
        <f t="array" ref="J574">VLOOKUP($A574,Table_ship_components[],COLUMN(J:J),0)</f>
        <v>0</v>
      </c>
      <c r="K574" cm="1">
        <f t="array" ref="K574">VLOOKUP($A574,Table_ship_components[],COLUMN(K:K),0)</f>
        <v>0</v>
      </c>
      <c r="L574" cm="1">
        <f t="array" ref="L574">VLOOKUP($A574,Table_ship_components[],COLUMN(L:L),0)</f>
        <v>0</v>
      </c>
      <c r="M574" cm="1">
        <f t="array" ref="M574">VLOOKUP($A574,Table_ship_components[],COLUMN(M:M),0)</f>
        <v>0</v>
      </c>
      <c r="N574" cm="1">
        <f t="array" ref="N574">VLOOKUP($A574,Table_ship_components[],COLUMN(N:N),0)</f>
        <v>0</v>
      </c>
      <c r="O574" cm="1">
        <f t="array" ref="O574">VLOOKUP($A574,Table_ship_components[],COLUMN(O:O),0)</f>
        <v>0</v>
      </c>
      <c r="P574" cm="1">
        <f t="array" ref="P574">VLOOKUP($A574,Table_ship_components[],COLUMN(P:P),0)</f>
        <v>0</v>
      </c>
      <c r="Q574" cm="1">
        <f t="array" ref="Q574">VLOOKUP($A574,Table_ship_components[],COLUMN(Q:Q),0)</f>
        <v>0</v>
      </c>
      <c r="R574" cm="1">
        <f t="array" ref="R574">VLOOKUP($A574,Table_ship_components[],COLUMN(R:R),0)</f>
        <v>0</v>
      </c>
      <c r="S574" cm="1">
        <f t="array" ref="S574">VLOOKUP($A574,Table_ship_components[],COLUMN(S:S),0)</f>
        <v>0</v>
      </c>
      <c r="T574" cm="1">
        <f t="array" ref="T574">VLOOKUP($A574,Table_ship_components[],COLUMN(T:T),0)</f>
        <v>0</v>
      </c>
      <c r="U574" cm="1">
        <f t="array" ref="U574">VLOOKUP($A574,Table_ship_components[],COLUMN(U:U),0)</f>
        <v>0</v>
      </c>
      <c r="V574" cm="1">
        <f t="array" ref="V574">VLOOKUP($A574,Table_ship_components[],COLUMN(V:V),0)</f>
        <v>0</v>
      </c>
      <c r="W574" s="15" cm="1">
        <f t="array" ref="W574">VLOOKUP($A574,Table_ship_components[],COLUMN(W:W),0)</f>
        <v>0</v>
      </c>
      <c r="X574" cm="1">
        <f t="array" ref="X574">VLOOKUP($A574,Table_ship_components[],COLUMN(X:X),0)</f>
        <v>0</v>
      </c>
      <c r="Y574" cm="1">
        <f t="array" ref="Y574">VLOOKUP($A574,Table_ship_components[],COLUMN(Y:Y),0)</f>
        <v>0</v>
      </c>
      <c r="Z574" cm="1">
        <f t="array" ref="Z574">VLOOKUP($A574,Table_ship_components[],COLUMN(Z:Z),0)</f>
        <v>0</v>
      </c>
      <c r="AA574" cm="1">
        <f t="array" ref="AA574">VLOOKUP($A574,Table_ship_components[],COLUMN(AA:AA),0)*C574</f>
        <v>0</v>
      </c>
      <c r="AB574">
        <f t="shared" si="56"/>
        <v>0</v>
      </c>
      <c r="AC574" cm="1">
        <f t="array" ref="AC574">VLOOKUP($A574,Table_ship_components[],COLUMN(AC:AC),0)*C574</f>
        <v>0</v>
      </c>
      <c r="AD574" cm="1">
        <f t="array" ref="AD574">VLOOKUP($A574,Table_ship_components[],COLUMN(AD:AD),0)</f>
        <v>0</v>
      </c>
      <c r="AE574" cm="1">
        <f t="array" ref="AE574">VLOOKUP($A574,Table_ship_components[],COLUMN(AE:AE),0)</f>
        <v>0</v>
      </c>
      <c r="AF574" cm="1">
        <f t="array" ref="AF574">VLOOKUP($A574,Table_ship_components[],COLUMN(AF:AF),0)</f>
        <v>0</v>
      </c>
      <c r="AG574" cm="1">
        <f t="array" ref="AG574">VLOOKUP($A574,Table_ship_components[],COLUMN(AG:AG),0)</f>
        <v>0</v>
      </c>
      <c r="AH574" cm="1">
        <f t="array" ref="AH574">VLOOKUP($A574,Table_ship_components[],COLUMN(AH:AH),0)</f>
        <v>0</v>
      </c>
      <c r="AI574" cm="1">
        <f t="array" ref="AI574">VLOOKUP($A574,Table_ship_components[],COLUMN(AI:AI),0)</f>
        <v>0</v>
      </c>
      <c r="AJ574" cm="1">
        <f t="array" ref="AJ574">VLOOKUP($A574,Table_ship_components[],COLUMN(AJ:AJ),0)</f>
        <v>0</v>
      </c>
      <c r="AK574" cm="1">
        <f t="array" ref="AK574">VLOOKUP($A574,Table_ship_components[],COLUMN(AK:AK),0)</f>
        <v>0</v>
      </c>
      <c r="AL574" cm="1">
        <f t="array" ref="AL574">VLOOKUP($A574,Table_ship_components[],COLUMN(AL:AL),0)</f>
        <v>0</v>
      </c>
      <c r="AM574" cm="1">
        <f t="array" ref="AM574">VLOOKUP($A574,Table_ship_components[],COLUMN(AM:AM),0)</f>
        <v>0</v>
      </c>
      <c r="AN574" cm="1">
        <f t="array" ref="AN574">VLOOKUP($A574,Table_ship_components[],COLUMN(AN:AN),0)</f>
        <v>0</v>
      </c>
      <c r="AO574" cm="1">
        <f t="array" ref="AO574">VLOOKUP($A574,Table_ship_components[],COLUMN(AO:AO),0)</f>
        <v>0</v>
      </c>
      <c r="AP574" cm="1">
        <f t="array" ref="AP574">VLOOKUP($A574,Table_ship_components[],COLUMN(AP:AP),0)</f>
        <v>0</v>
      </c>
      <c r="AQ574" cm="1">
        <f t="array" ref="AQ574">VLOOKUP($A574,Table_ship_components[],COLUMN(AQ:AQ),0)</f>
        <v>0</v>
      </c>
      <c r="AR574" cm="1">
        <f t="array" ref="AR574">VLOOKUP($A574,Table_ship_components[],COLUMN(AR:AR),0)</f>
        <v>0</v>
      </c>
      <c r="AS574" cm="1">
        <f t="array" ref="AS574">VLOOKUP($A574,Table_ship_components[],COLUMN(AS:AS),0)</f>
        <v>0</v>
      </c>
      <c r="AT574" cm="1">
        <f t="array" ref="AT574">VLOOKUP($A574,Table_ship_components[],COLUMN(AT:AT),0)</f>
        <v>0</v>
      </c>
      <c r="AU574" s="2" cm="1">
        <f t="array" ref="AU574">VLOOKUP($A574,Table_ship_components[],COLUMN(AU:AU),0)</f>
        <v>0</v>
      </c>
      <c r="AV574" s="2" cm="1">
        <f t="array" ref="AV574">VLOOKUP($A574,Table_ship_components[],COLUMN(AV:AV),0)</f>
        <v>0</v>
      </c>
      <c r="AW574" s="2" cm="1">
        <f t="array" ref="AW574">VLOOKUP($A574,Table_ship_components[],COLUMN(AW:AW),0)</f>
        <v>0</v>
      </c>
      <c r="AX574" s="2" cm="1">
        <f t="array" ref="AX574">VLOOKUP($A574,Table_ship_components[],COLUMN(AX:AX),0)</f>
        <v>0</v>
      </c>
      <c r="AY574" s="2" cm="1">
        <f t="array" ref="AY574">VLOOKUP($A574,Table_ship_components[],COLUMN(AY:AY),0)</f>
        <v>0</v>
      </c>
      <c r="AZ574" s="2" t="str" cm="1">
        <f t="array" ref="AZ574">VLOOKUP($A574,Table_ship_components[],COLUMN(AZ:AZ),0)</f>
        <v>C</v>
      </c>
      <c r="BA574" s="14" cm="1">
        <f t="array" ref="BA574">VLOOKUP($A574,Table_ship_components[],COLUMN(BA:BA),0)</f>
        <v>0</v>
      </c>
      <c r="BB574" s="14" cm="1">
        <f t="array" ref="BB574">(VLOOKUP($A574,Table_ship_components[],COLUMN(BA:BA),0)+(W574*C574))</f>
        <v>0</v>
      </c>
      <c r="BC574" s="2" cm="1">
        <f t="array" ref="BC574">VLOOKUP($A574,Table_ship_components[],COLUMN(BC:BC),0)</f>
        <v>0</v>
      </c>
      <c r="BD574" s="2" cm="1">
        <f t="array" ref="BD574">VLOOKUP($A574,Table_ship_components[],COLUMN(BD:BD),0)</f>
        <v>0</v>
      </c>
    </row>
    <row r="575" spans="1:56" outlineLevel="1" x14ac:dyDescent="0.35">
      <c r="A575" t="s">
        <v>324</v>
      </c>
      <c r="B575" t="str" cm="1">
        <f t="array" ref="B575">VLOOKUP($A575,Table_ship_components[],COLUMN(B:B),0)</f>
        <v>huge fixed weapon mount</v>
      </c>
      <c r="D575" cm="1">
        <f t="array" ref="D575">VLOOKUP($A575,Table_ship_components[],COLUMN(D:D),0)</f>
        <v>5</v>
      </c>
      <c r="E575" cm="1">
        <f t="array" ref="E575">ROUND(VLOOKUP($A575,Table_ship_components[],COLUMN(D:D),0)+(V575*C575),0)</f>
        <v>5</v>
      </c>
      <c r="F575" cm="1">
        <f t="array" ref="F575">VLOOKUP($A575,Table_ship_components[],COLUMN(F:F),0)</f>
        <v>0</v>
      </c>
      <c r="G575" cm="1">
        <f t="array" ref="G575">ROUND(VLOOKUP($A575,Table_ship_components[],COLUMN(G:G),0)+(X575*C575),0)</f>
        <v>0</v>
      </c>
      <c r="H575" cm="1">
        <f t="array" ref="H575">VLOOKUP($A575,Table_ship_components[],COLUMN(H:H),0)</f>
        <v>0</v>
      </c>
      <c r="I575" cm="1">
        <f t="array" ref="I575">VLOOKUP($A575,Table_ship_components[],COLUMN(I:I),0)</f>
        <v>0</v>
      </c>
      <c r="J575" cm="1">
        <f t="array" ref="J575">VLOOKUP($A575,Table_ship_components[],COLUMN(J:J),0)</f>
        <v>0</v>
      </c>
      <c r="K575" cm="1">
        <f t="array" ref="K575">VLOOKUP($A575,Table_ship_components[],COLUMN(K:K),0)</f>
        <v>0</v>
      </c>
      <c r="L575" cm="1">
        <f t="array" ref="L575">VLOOKUP($A575,Table_ship_components[],COLUMN(L:L),0)</f>
        <v>0</v>
      </c>
      <c r="M575" cm="1">
        <f t="array" ref="M575">VLOOKUP($A575,Table_ship_components[],COLUMN(M:M),0)</f>
        <v>0</v>
      </c>
      <c r="N575" cm="1">
        <f t="array" ref="N575">VLOOKUP($A575,Table_ship_components[],COLUMN(N:N),0)</f>
        <v>1</v>
      </c>
      <c r="O575" cm="1">
        <f t="array" ref="O575">VLOOKUP($A575,Table_ship_components[],COLUMN(O:O),0)</f>
        <v>1</v>
      </c>
      <c r="P575" cm="1">
        <f t="array" ref="P575">VLOOKUP($A575,Table_ship_components[],COLUMN(P:P),0)</f>
        <v>1</v>
      </c>
      <c r="Q575" cm="1">
        <f t="array" ref="Q575">VLOOKUP($A575,Table_ship_components[],COLUMN(Q:Q),0)</f>
        <v>1</v>
      </c>
      <c r="R575" cm="1">
        <f t="array" ref="R575">VLOOKUP($A575,Table_ship_components[],COLUMN(R:R),0)</f>
        <v>1</v>
      </c>
      <c r="S575" cm="1">
        <f t="array" ref="S575">VLOOKUP($A575,Table_ship_components[],COLUMN(S:S),0)</f>
        <v>1</v>
      </c>
      <c r="T575" cm="1">
        <f t="array" ref="T575">VLOOKUP($A575,Table_ship_components[],COLUMN(T:T),0)</f>
        <v>1</v>
      </c>
      <c r="U575" cm="1">
        <f t="array" ref="U575">VLOOKUP($A575,Table_ship_components[],COLUMN(U:U),0)</f>
        <v>0</v>
      </c>
      <c r="V575" cm="1">
        <f t="array" ref="V575">VLOOKUP($A575,Table_ship_components[],COLUMN(V:V),0)</f>
        <v>0</v>
      </c>
      <c r="W575" s="15" cm="1">
        <f t="array" ref="W575">VLOOKUP($A575,Table_ship_components[],COLUMN(W:W),0)</f>
        <v>0</v>
      </c>
      <c r="X575" cm="1">
        <f t="array" ref="X575">VLOOKUP($A575,Table_ship_components[],COLUMN(X:X),0)</f>
        <v>0</v>
      </c>
      <c r="Y575" cm="1">
        <f t="array" ref="Y575">VLOOKUP($A575,Table_ship_components[],COLUMN(Y:Y),0)</f>
        <v>0</v>
      </c>
      <c r="Z575" cm="1">
        <f t="array" ref="Z575">VLOOKUP($A575,Table_ship_components[],COLUMN(Z:Z),0)</f>
        <v>0</v>
      </c>
      <c r="AA575" cm="1">
        <f t="array" ref="AA575">VLOOKUP($A575,Table_ship_components[],COLUMN(AA:AA),0)*C575</f>
        <v>0</v>
      </c>
      <c r="AB575">
        <f t="shared" si="56"/>
        <v>0</v>
      </c>
      <c r="AC575" cm="1">
        <f t="array" ref="AC575">VLOOKUP($A575,Table_ship_components[],COLUMN(AC:AC),0)*C575</f>
        <v>0</v>
      </c>
      <c r="AD575" cm="1">
        <f t="array" ref="AD575">VLOOKUP($A575,Table_ship_components[],COLUMN(AD:AD),0)</f>
        <v>0</v>
      </c>
      <c r="AE575" cm="1">
        <f t="array" ref="AE575">VLOOKUP($A575,Table_ship_components[],COLUMN(AE:AE),0)</f>
        <v>0</v>
      </c>
      <c r="AF575" cm="1">
        <f t="array" ref="AF575">VLOOKUP($A575,Table_ship_components[],COLUMN(AF:AF),0)</f>
        <v>0</v>
      </c>
      <c r="AG575" cm="1">
        <f t="array" ref="AG575">VLOOKUP($A575,Table_ship_components[],COLUMN(AG:AG),0)</f>
        <v>0</v>
      </c>
      <c r="AH575" cm="1">
        <f t="array" ref="AH575">VLOOKUP($A575,Table_ship_components[],COLUMN(AH:AH),0)</f>
        <v>0</v>
      </c>
      <c r="AI575" cm="1">
        <f t="array" ref="AI575">VLOOKUP($A575,Table_ship_components[],COLUMN(AI:AI),0)</f>
        <v>0</v>
      </c>
      <c r="AJ575" cm="1">
        <f t="array" ref="AJ575">VLOOKUP($A575,Table_ship_components[],COLUMN(AJ:AJ),0)</f>
        <v>0</v>
      </c>
      <c r="AK575" cm="1">
        <f t="array" ref="AK575">VLOOKUP($A575,Table_ship_components[],COLUMN(AK:AK),0)</f>
        <v>0</v>
      </c>
      <c r="AL575" cm="1">
        <f t="array" ref="AL575">VLOOKUP($A575,Table_ship_components[],COLUMN(AL:AL),0)</f>
        <v>0</v>
      </c>
      <c r="AM575" cm="1">
        <f t="array" ref="AM575">VLOOKUP($A575,Table_ship_components[],COLUMN(AM:AM),0)</f>
        <v>0</v>
      </c>
      <c r="AN575" cm="1">
        <f t="array" ref="AN575">VLOOKUP($A575,Table_ship_components[],COLUMN(AN:AN),0)</f>
        <v>0</v>
      </c>
      <c r="AO575" cm="1">
        <f t="array" ref="AO575">VLOOKUP($A575,Table_ship_components[],COLUMN(AO:AO),0)</f>
        <v>0</v>
      </c>
      <c r="AP575" cm="1">
        <f t="array" ref="AP575">VLOOKUP($A575,Table_ship_components[],COLUMN(AP:AP),0)</f>
        <v>0</v>
      </c>
      <c r="AQ575" cm="1">
        <f t="array" ref="AQ575">VLOOKUP($A575,Table_ship_components[],COLUMN(AQ:AQ),0)</f>
        <v>0</v>
      </c>
      <c r="AR575" cm="1">
        <f t="array" ref="AR575">VLOOKUP($A575,Table_ship_components[],COLUMN(AR:AR),0)</f>
        <v>0</v>
      </c>
      <c r="AS575" cm="1">
        <f t="array" ref="AS575">VLOOKUP($A575,Table_ship_components[],COLUMN(AS:AS),0)</f>
        <v>0</v>
      </c>
      <c r="AT575" cm="1">
        <f t="array" ref="AT575">VLOOKUP($A575,Table_ship_components[],COLUMN(AT:AT),0)</f>
        <v>0</v>
      </c>
      <c r="AU575" s="2" cm="1">
        <f t="array" ref="AU575">VLOOKUP($A575,Table_ship_components[],COLUMN(AU:AU),0)</f>
        <v>0</v>
      </c>
      <c r="AV575" s="2" cm="1">
        <f t="array" ref="AV575">VLOOKUP($A575,Table_ship_components[],COLUMN(AV:AV),0)</f>
        <v>0</v>
      </c>
      <c r="AW575" s="2" cm="1">
        <f t="array" ref="AW575">VLOOKUP($A575,Table_ship_components[],COLUMN(AW:AW),0)</f>
        <v>0</v>
      </c>
      <c r="AX575" s="2" cm="1">
        <f t="array" ref="AX575">VLOOKUP($A575,Table_ship_components[],COLUMN(AX:AX),0)</f>
        <v>0</v>
      </c>
      <c r="AY575" s="2" cm="1">
        <f t="array" ref="AY575">VLOOKUP($A575,Table_ship_components[],COLUMN(AY:AY),0)</f>
        <v>0</v>
      </c>
      <c r="AZ575" s="2" t="str" cm="1">
        <f t="array" ref="AZ575">VLOOKUP($A575,Table_ship_components[],COLUMN(AZ:AZ),0)</f>
        <v>C</v>
      </c>
      <c r="BA575" s="14" cm="1">
        <f t="array" ref="BA575">VLOOKUP($A575,Table_ship_components[],COLUMN(BA:BA),0)</f>
        <v>200000</v>
      </c>
      <c r="BB575" s="14" cm="1">
        <f t="array" ref="BB575">(VLOOKUP($A575,Table_ship_components[],COLUMN(BA:BA),0)+(W575*C575))</f>
        <v>200000</v>
      </c>
      <c r="BC575" s="2" cm="1">
        <f t="array" ref="BC575">VLOOKUP($A575,Table_ship_components[],COLUMN(BC:BC),0)</f>
        <v>0</v>
      </c>
      <c r="BD575" s="2" cm="1">
        <f t="array" ref="BD575">VLOOKUP($A575,Table_ship_components[],COLUMN(BD:BD),0)</f>
        <v>0</v>
      </c>
    </row>
    <row r="576" spans="1:56" outlineLevel="1" x14ac:dyDescent="0.35">
      <c r="A576" t="s">
        <v>334</v>
      </c>
      <c r="B576" t="str" cm="1">
        <f t="array" ref="B576">VLOOKUP($A576,Table_ship_components[],COLUMN(B:B),0)</f>
        <v>extended fighter life support</v>
      </c>
      <c r="D576" cm="1">
        <f t="array" ref="D576">VLOOKUP($A576,Table_ship_components[],COLUMN(D:D),0)</f>
        <v>5</v>
      </c>
      <c r="E576" cm="1">
        <f t="array" ref="E576">ROUND(VLOOKUP($A576,Table_ship_components[],COLUMN(D:D),0)+(V576*C576),0)</f>
        <v>5</v>
      </c>
      <c r="F576" cm="1">
        <f t="array" ref="F576">VLOOKUP($A576,Table_ship_components[],COLUMN(F:F),0)</f>
        <v>4</v>
      </c>
      <c r="G576" cm="1">
        <f t="array" ref="G576">ROUND(VLOOKUP($A576,Table_ship_components[],COLUMN(G:G),0)+(X576*C576),0)</f>
        <v>4</v>
      </c>
      <c r="H576" cm="1">
        <f t="array" ref="H576">VLOOKUP($A576,Table_ship_components[],COLUMN(H:H),0)</f>
        <v>0</v>
      </c>
      <c r="I576" cm="1">
        <f t="array" ref="I576">VLOOKUP($A576,Table_ship_components[],COLUMN(I:I),0)</f>
        <v>0</v>
      </c>
      <c r="J576" cm="1">
        <f t="array" ref="J576">VLOOKUP($A576,Table_ship_components[],COLUMN(J:J),0)</f>
        <v>0</v>
      </c>
      <c r="K576" cm="1">
        <f t="array" ref="K576">VLOOKUP($A576,Table_ship_components[],COLUMN(K:K),0)</f>
        <v>0</v>
      </c>
      <c r="L576" cm="1">
        <f t="array" ref="L576">VLOOKUP($A576,Table_ship_components[],COLUMN(L:L),0)</f>
        <v>0</v>
      </c>
      <c r="M576" cm="1">
        <f t="array" ref="M576">VLOOKUP($A576,Table_ship_components[],COLUMN(M:M),0)</f>
        <v>0</v>
      </c>
      <c r="N576" cm="1">
        <f t="array" ref="N576">VLOOKUP($A576,Table_ship_components[],COLUMN(N:N),0)</f>
        <v>1</v>
      </c>
      <c r="O576" cm="1">
        <f t="array" ref="O576">VLOOKUP($A576,Table_ship_components[],COLUMN(O:O),0)</f>
        <v>0</v>
      </c>
      <c r="P576" cm="1">
        <f t="array" ref="P576">VLOOKUP($A576,Table_ship_components[],COLUMN(P:P),0)</f>
        <v>0</v>
      </c>
      <c r="Q576" cm="1">
        <f t="array" ref="Q576">VLOOKUP($A576,Table_ship_components[],COLUMN(Q:Q),0)</f>
        <v>0</v>
      </c>
      <c r="R576" cm="1">
        <f t="array" ref="R576">VLOOKUP($A576,Table_ship_components[],COLUMN(R:R),0)</f>
        <v>0</v>
      </c>
      <c r="S576" cm="1">
        <f t="array" ref="S576">VLOOKUP($A576,Table_ship_components[],COLUMN(S:S),0)</f>
        <v>0</v>
      </c>
      <c r="T576" cm="1">
        <f t="array" ref="T576">VLOOKUP($A576,Table_ship_components[],COLUMN(T:T),0)</f>
        <v>0</v>
      </c>
      <c r="U576" cm="1">
        <f t="array" ref="U576">VLOOKUP($A576,Table_ship_components[],COLUMN(U:U),0)</f>
        <v>1</v>
      </c>
      <c r="V576" cm="1">
        <f t="array" ref="V576">VLOOKUP($A576,Table_ship_components[],COLUMN(V:V),0)</f>
        <v>1</v>
      </c>
      <c r="W576" s="15" cm="1">
        <f t="array" ref="W576">VLOOKUP($A576,Table_ship_components[],COLUMN(W:W),0)</f>
        <v>45000</v>
      </c>
      <c r="X576" cm="1">
        <f t="array" ref="X576">VLOOKUP($A576,Table_ship_components[],COLUMN(X:X),0)</f>
        <v>1</v>
      </c>
      <c r="Y576" cm="1">
        <f t="array" ref="Y576">VLOOKUP($A576,Table_ship_components[],COLUMN(Y:Y),0)</f>
        <v>0</v>
      </c>
      <c r="Z576" cm="1">
        <f t="array" ref="Z576">VLOOKUP($A576,Table_ship_components[],COLUMN(Z:Z),0)</f>
        <v>0</v>
      </c>
      <c r="AA576" cm="1">
        <f t="array" ref="AA576">VLOOKUP($A576,Table_ship_components[],COLUMN(AA:AA),0)*C576</f>
        <v>0</v>
      </c>
      <c r="AB576">
        <f t="shared" si="56"/>
        <v>0</v>
      </c>
      <c r="AC576" cm="1">
        <f t="array" ref="AC576">VLOOKUP($A576,Table_ship_components[],COLUMN(AC:AC),0)*C576</f>
        <v>0</v>
      </c>
      <c r="AD576" cm="1">
        <f t="array" ref="AD576">VLOOKUP($A576,Table_ship_components[],COLUMN(AD:AD),0)</f>
        <v>50</v>
      </c>
      <c r="AE576" cm="1">
        <f t="array" ref="AE576">VLOOKUP($A576,Table_ship_components[],COLUMN(AE:AE),0)</f>
        <v>0</v>
      </c>
      <c r="AF576" cm="1">
        <f t="array" ref="AF576">VLOOKUP($A576,Table_ship_components[],COLUMN(AF:AF),0)</f>
        <v>0</v>
      </c>
      <c r="AG576" cm="1">
        <f t="array" ref="AG576">VLOOKUP($A576,Table_ship_components[],COLUMN(AG:AG),0)</f>
        <v>0</v>
      </c>
      <c r="AH576" cm="1">
        <f t="array" ref="AH576">VLOOKUP($A576,Table_ship_components[],COLUMN(AH:AH),0)</f>
        <v>0</v>
      </c>
      <c r="AI576" cm="1">
        <f t="array" ref="AI576">VLOOKUP($A576,Table_ship_components[],COLUMN(AI:AI),0)</f>
        <v>0</v>
      </c>
      <c r="AJ576" cm="1">
        <f t="array" ref="AJ576">VLOOKUP($A576,Table_ship_components[],COLUMN(AJ:AJ),0)</f>
        <v>0</v>
      </c>
      <c r="AK576" cm="1">
        <f t="array" ref="AK576">VLOOKUP($A576,Table_ship_components[],COLUMN(AK:AK),0)</f>
        <v>0</v>
      </c>
      <c r="AL576" cm="1">
        <f t="array" ref="AL576">VLOOKUP($A576,Table_ship_components[],COLUMN(AL:AL),0)</f>
        <v>0</v>
      </c>
      <c r="AM576" cm="1">
        <f t="array" ref="AM576">VLOOKUP($A576,Table_ship_components[],COLUMN(AM:AM),0)</f>
        <v>0</v>
      </c>
      <c r="AN576" cm="1">
        <f t="array" ref="AN576">VLOOKUP($A576,Table_ship_components[],COLUMN(AN:AN),0)</f>
        <v>0</v>
      </c>
      <c r="AO576" cm="1">
        <f t="array" ref="AO576">VLOOKUP($A576,Table_ship_components[],COLUMN(AO:AO),0)</f>
        <v>0</v>
      </c>
      <c r="AP576" cm="1">
        <f t="array" ref="AP576">VLOOKUP($A576,Table_ship_components[],COLUMN(AP:AP),0)</f>
        <v>0</v>
      </c>
      <c r="AQ576" cm="1">
        <f t="array" ref="AQ576">VLOOKUP($A576,Table_ship_components[],COLUMN(AQ:AQ),0)</f>
        <v>0</v>
      </c>
      <c r="AR576" cm="1">
        <f t="array" ref="AR576">VLOOKUP($A576,Table_ship_components[],COLUMN(AR:AR),0)</f>
        <v>0</v>
      </c>
      <c r="AS576" cm="1">
        <f t="array" ref="AS576">VLOOKUP($A576,Table_ship_components[],COLUMN(AS:AS),0)</f>
        <v>0</v>
      </c>
      <c r="AT576" cm="1">
        <f t="array" ref="AT576">VLOOKUP($A576,Table_ship_components[],COLUMN(AT:AT),0)</f>
        <v>0</v>
      </c>
      <c r="AU576" s="2" cm="1">
        <f t="array" ref="AU576">VLOOKUP($A576,Table_ship_components[],COLUMN(AU:AU),0)</f>
        <v>0</v>
      </c>
      <c r="AV576" s="2" cm="1">
        <f t="array" ref="AV576">VLOOKUP($A576,Table_ship_components[],COLUMN(AV:AV),0)</f>
        <v>0</v>
      </c>
      <c r="AW576" s="2" cm="1">
        <f t="array" ref="AW576">VLOOKUP($A576,Table_ship_components[],COLUMN(AW:AW),0)</f>
        <v>0</v>
      </c>
      <c r="AX576" s="2" cm="1">
        <f t="array" ref="AX576">VLOOKUP($A576,Table_ship_components[],COLUMN(AX:AX),0)</f>
        <v>0</v>
      </c>
      <c r="AY576" s="2" cm="1">
        <f t="array" ref="AY576">VLOOKUP($A576,Table_ship_components[],COLUMN(AY:AY),0)</f>
        <v>0</v>
      </c>
      <c r="AZ576" s="2" t="str" cm="1">
        <f t="array" ref="AZ576">VLOOKUP($A576,Table_ship_components[],COLUMN(AZ:AZ),0)</f>
        <v>C</v>
      </c>
      <c r="BA576" s="14" cm="1">
        <f t="array" ref="BA576">VLOOKUP($A576,Table_ship_components[],COLUMN(BA:BA),0)</f>
        <v>750000</v>
      </c>
      <c r="BB576" s="14" cm="1">
        <f t="array" ref="BB576">(VLOOKUP($A576,Table_ship_components[],COLUMN(BA:BA),0)+(W576*C576))</f>
        <v>750000</v>
      </c>
      <c r="BC576" s="2" cm="1">
        <f t="array" ref="BC576">VLOOKUP($A576,Table_ship_components[],COLUMN(BC:BC),0)</f>
        <v>0</v>
      </c>
      <c r="BD576" s="2" cm="1">
        <f t="array" ref="BD576">VLOOKUP($A576,Table_ship_components[],COLUMN(BD:BD),0)</f>
        <v>0</v>
      </c>
    </row>
    <row r="577" spans="1:56" outlineLevel="1" x14ac:dyDescent="0.35">
      <c r="A577" t="s">
        <v>737</v>
      </c>
      <c r="B577" t="str" cm="1">
        <f t="array" ref="B577">VLOOKUP($A577,Table_ship_components[],COLUMN(B:B),0)</f>
        <v>average cockpit for fighters</v>
      </c>
      <c r="D577" cm="1">
        <f t="array" ref="D577">VLOOKUP($A577,Table_ship_components[],COLUMN(D:D),0)</f>
        <v>3</v>
      </c>
      <c r="E577" cm="1">
        <f t="array" ref="E577">ROUND(VLOOKUP($A577,Table_ship_components[],COLUMN(D:D),0)+(V577*C577),0)</f>
        <v>3</v>
      </c>
      <c r="F577" cm="1">
        <f t="array" ref="F577">VLOOKUP($A577,Table_ship_components[],COLUMN(F:F),0)</f>
        <v>2</v>
      </c>
      <c r="G577" cm="1">
        <f t="array" ref="G577">ROUND(VLOOKUP($A577,Table_ship_components[],COLUMN(G:G),0)+(X577*C577),0)</f>
        <v>2</v>
      </c>
      <c r="H577" cm="1">
        <f t="array" ref="H577">VLOOKUP($A577,Table_ship_components[],COLUMN(H:H),0)</f>
        <v>0</v>
      </c>
      <c r="I577" cm="1">
        <f t="array" ref="I577">VLOOKUP($A577,Table_ship_components[],COLUMN(I:I),0)</f>
        <v>0</v>
      </c>
      <c r="J577" cm="1">
        <f t="array" ref="J577">VLOOKUP($A577,Table_ship_components[],COLUMN(J:J),0)</f>
        <v>0</v>
      </c>
      <c r="K577" cm="1">
        <f t="array" ref="K577">VLOOKUP($A577,Table_ship_components[],COLUMN(K:K),0)</f>
        <v>0</v>
      </c>
      <c r="L577" cm="1">
        <f t="array" ref="L577">VLOOKUP($A577,Table_ship_components[],COLUMN(L:L),0)</f>
        <v>0</v>
      </c>
      <c r="M577" cm="1">
        <f t="array" ref="M577">VLOOKUP($A577,Table_ship_components[],COLUMN(M:M),0)</f>
        <v>0</v>
      </c>
      <c r="N577" cm="1">
        <f t="array" ref="N577">VLOOKUP($A577,Table_ship_components[],COLUMN(N:N),0)</f>
        <v>1</v>
      </c>
      <c r="O577" cm="1">
        <f t="array" ref="O577">VLOOKUP($A577,Table_ship_components[],COLUMN(O:O),0)</f>
        <v>0</v>
      </c>
      <c r="P577" cm="1">
        <f t="array" ref="P577">VLOOKUP($A577,Table_ship_components[],COLUMN(P:P),0)</f>
        <v>0</v>
      </c>
      <c r="Q577" cm="1">
        <f t="array" ref="Q577">VLOOKUP($A577,Table_ship_components[],COLUMN(Q:Q),0)</f>
        <v>0</v>
      </c>
      <c r="R577" cm="1">
        <f t="array" ref="R577">VLOOKUP($A577,Table_ship_components[],COLUMN(R:R),0)</f>
        <v>0</v>
      </c>
      <c r="S577" cm="1">
        <f t="array" ref="S577">VLOOKUP($A577,Table_ship_components[],COLUMN(S:S),0)</f>
        <v>0</v>
      </c>
      <c r="T577" cm="1">
        <f t="array" ref="T577">VLOOKUP($A577,Table_ship_components[],COLUMN(T:T),0)</f>
        <v>0</v>
      </c>
      <c r="U577" cm="1">
        <f t="array" ref="U577">VLOOKUP($A577,Table_ship_components[],COLUMN(U:U),0)</f>
        <v>0</v>
      </c>
      <c r="V577" cm="1">
        <f t="array" ref="V577">VLOOKUP($A577,Table_ship_components[],COLUMN(V:V),0)</f>
        <v>0</v>
      </c>
      <c r="W577" s="15" cm="1">
        <f t="array" ref="W577">VLOOKUP($A577,Table_ship_components[],COLUMN(W:W),0)</f>
        <v>0</v>
      </c>
      <c r="X577" cm="1">
        <f t="array" ref="X577">VLOOKUP($A577,Table_ship_components[],COLUMN(X:X),0)</f>
        <v>2</v>
      </c>
      <c r="Y577" cm="1">
        <f t="array" ref="Y577">VLOOKUP($A577,Table_ship_components[],COLUMN(Y:Y),0)</f>
        <v>1</v>
      </c>
      <c r="Z577" cm="1">
        <f t="array" ref="Z577">VLOOKUP($A577,Table_ship_components[],COLUMN(Z:Z),0)</f>
        <v>2</v>
      </c>
      <c r="AA577" cm="1">
        <f t="array" ref="AA577">VLOOKUP($A577,Table_ship_components[],COLUMN(AA:AA),0)*C577</f>
        <v>0</v>
      </c>
      <c r="AB577">
        <f t="shared" si="56"/>
        <v>0</v>
      </c>
      <c r="AC577" cm="1">
        <f t="array" ref="AC577">VLOOKUP($A577,Table_ship_components[],COLUMN(AC:AC),0)*C577</f>
        <v>0</v>
      </c>
      <c r="AD577" cm="1">
        <f t="array" ref="AD577">VLOOKUP($A577,Table_ship_components[],COLUMN(AD:AD),0)</f>
        <v>0</v>
      </c>
      <c r="AE577" cm="1">
        <f t="array" ref="AE577">VLOOKUP($A577,Table_ship_components[],COLUMN(AE:AE),0)</f>
        <v>0</v>
      </c>
      <c r="AF577" cm="1">
        <f t="array" ref="AF577">VLOOKUP($A577,Table_ship_components[],COLUMN(AF:AF),0)</f>
        <v>0</v>
      </c>
      <c r="AG577" cm="1">
        <f t="array" ref="AG577">VLOOKUP($A577,Table_ship_components[],COLUMN(AG:AG),0)</f>
        <v>0</v>
      </c>
      <c r="AH577" cm="1">
        <f t="array" ref="AH577">VLOOKUP($A577,Table_ship_components[],COLUMN(AH:AH),0)</f>
        <v>0</v>
      </c>
      <c r="AI577" cm="1">
        <f t="array" ref="AI577">VLOOKUP($A577,Table_ship_components[],COLUMN(AI:AI),0)</f>
        <v>0</v>
      </c>
      <c r="AJ577" cm="1">
        <f t="array" ref="AJ577">VLOOKUP($A577,Table_ship_components[],COLUMN(AJ:AJ),0)</f>
        <v>0</v>
      </c>
      <c r="AK577" cm="1">
        <f t="array" ref="AK577">VLOOKUP($A577,Table_ship_components[],COLUMN(AK:AK),0)</f>
        <v>0</v>
      </c>
      <c r="AL577" cm="1">
        <f t="array" ref="AL577">VLOOKUP($A577,Table_ship_components[],COLUMN(AL:AL),0)</f>
        <v>0</v>
      </c>
      <c r="AM577" cm="1">
        <f t="array" ref="AM577">VLOOKUP($A577,Table_ship_components[],COLUMN(AM:AM),0)</f>
        <v>0</v>
      </c>
      <c r="AN577" cm="1">
        <f t="array" ref="AN577">VLOOKUP($A577,Table_ship_components[],COLUMN(AN:AN),0)</f>
        <v>0</v>
      </c>
      <c r="AO577" cm="1">
        <f t="array" ref="AO577">VLOOKUP($A577,Table_ship_components[],COLUMN(AO:AO),0)</f>
        <v>0</v>
      </c>
      <c r="AP577" cm="1">
        <f t="array" ref="AP577">VLOOKUP($A577,Table_ship_components[],COLUMN(AP:AP),0)</f>
        <v>0</v>
      </c>
      <c r="AQ577" cm="1">
        <f t="array" ref="AQ577">VLOOKUP($A577,Table_ship_components[],COLUMN(AQ:AQ),0)</f>
        <v>0</v>
      </c>
      <c r="AR577" cm="1">
        <f t="array" ref="AR577">VLOOKUP($A577,Table_ship_components[],COLUMN(AR:AR),0)</f>
        <v>0</v>
      </c>
      <c r="AS577" cm="1">
        <f t="array" ref="AS577">VLOOKUP($A577,Table_ship_components[],COLUMN(AS:AS),0)</f>
        <v>1</v>
      </c>
      <c r="AT577" cm="1">
        <f t="array" ref="AT577">VLOOKUP($A577,Table_ship_components[],COLUMN(AT:AT),0)</f>
        <v>1</v>
      </c>
      <c r="AU577" s="2" cm="1">
        <f t="array" ref="AU577">VLOOKUP($A577,Table_ship_components[],COLUMN(AU:AU),0)</f>
        <v>0</v>
      </c>
      <c r="AV577" s="2" cm="1">
        <f t="array" ref="AV577">VLOOKUP($A577,Table_ship_components[],COLUMN(AV:AV),0)</f>
        <v>0</v>
      </c>
      <c r="AW577" s="2" cm="1">
        <f t="array" ref="AW577">VLOOKUP($A577,Table_ship_components[],COLUMN(AW:AW),0)</f>
        <v>0</v>
      </c>
      <c r="AX577" s="2" cm="1">
        <f t="array" ref="AX577">VLOOKUP($A577,Table_ship_components[],COLUMN(AX:AX),0)</f>
        <v>0</v>
      </c>
      <c r="AY577" s="2" cm="1">
        <f t="array" ref="AY577">VLOOKUP($A577,Table_ship_components[],COLUMN(AY:AY),0)</f>
        <v>0</v>
      </c>
      <c r="AZ577" s="2" t="str" cm="1">
        <f t="array" ref="AZ577">VLOOKUP($A577,Table_ship_components[],COLUMN(AZ:AZ),0)</f>
        <v>C</v>
      </c>
      <c r="BA577" s="14" cm="1">
        <f t="array" ref="BA577">VLOOKUP($A577,Table_ship_components[],COLUMN(BA:BA),0)</f>
        <v>100000</v>
      </c>
      <c r="BB577" s="14" cm="1">
        <f t="array" ref="BB577">(VLOOKUP($A577,Table_ship_components[],COLUMN(BA:BA),0)+(W577*C577))</f>
        <v>100000</v>
      </c>
      <c r="BC577" s="2" cm="1">
        <f t="array" ref="BC577">VLOOKUP($A577,Table_ship_components[],COLUMN(BC:BC),0)</f>
        <v>0</v>
      </c>
      <c r="BD577" s="2" cm="1">
        <f t="array" ref="BD577">VLOOKUP($A577,Table_ship_components[],COLUMN(BD:BD),0)</f>
        <v>0</v>
      </c>
    </row>
    <row r="578" spans="1:56" outlineLevel="1" x14ac:dyDescent="0.35">
      <c r="A578" t="s">
        <v>288</v>
      </c>
      <c r="B578" t="str" cm="1">
        <f t="array" ref="B578">VLOOKUP($A578,Table_ship_components[],COLUMN(B:B),0)</f>
        <v>PICK A COMPONENT</v>
      </c>
      <c r="D578" cm="1">
        <f t="array" ref="D578">VLOOKUP($A578,Table_ship_components[],COLUMN(D:D),0)</f>
        <v>0</v>
      </c>
      <c r="E578" cm="1">
        <f t="array" ref="E578">ROUND(VLOOKUP($A578,Table_ship_components[],COLUMN(D:D),0)+(V578*C578),0)</f>
        <v>0</v>
      </c>
      <c r="F578" cm="1">
        <f t="array" ref="F578">VLOOKUP($A578,Table_ship_components[],COLUMN(F:F),0)</f>
        <v>0</v>
      </c>
      <c r="G578" cm="1">
        <f t="array" ref="G578">ROUND(VLOOKUP($A578,Table_ship_components[],COLUMN(G:G),0)+(X578*C578),0)</f>
        <v>0</v>
      </c>
      <c r="H578" cm="1">
        <f t="array" ref="H578">VLOOKUP($A578,Table_ship_components[],COLUMN(H:H),0)</f>
        <v>0</v>
      </c>
      <c r="I578" cm="1">
        <f t="array" ref="I578">VLOOKUP($A578,Table_ship_components[],COLUMN(I:I),0)</f>
        <v>0</v>
      </c>
      <c r="J578" cm="1">
        <f t="array" ref="J578">VLOOKUP($A578,Table_ship_components[],COLUMN(J:J),0)</f>
        <v>0</v>
      </c>
      <c r="K578" cm="1">
        <f t="array" ref="K578">VLOOKUP($A578,Table_ship_components[],COLUMN(K:K),0)</f>
        <v>0</v>
      </c>
      <c r="L578" cm="1">
        <f t="array" ref="L578">VLOOKUP($A578,Table_ship_components[],COLUMN(L:L),0)</f>
        <v>0</v>
      </c>
      <c r="M578" cm="1">
        <f t="array" ref="M578">VLOOKUP($A578,Table_ship_components[],COLUMN(M:M),0)</f>
        <v>0</v>
      </c>
      <c r="N578" cm="1">
        <f t="array" ref="N578">VLOOKUP($A578,Table_ship_components[],COLUMN(N:N),0)</f>
        <v>0</v>
      </c>
      <c r="O578" cm="1">
        <f t="array" ref="O578">VLOOKUP($A578,Table_ship_components[],COLUMN(O:O),0)</f>
        <v>0</v>
      </c>
      <c r="P578" cm="1">
        <f t="array" ref="P578">VLOOKUP($A578,Table_ship_components[],COLUMN(P:P),0)</f>
        <v>0</v>
      </c>
      <c r="Q578" cm="1">
        <f t="array" ref="Q578">VLOOKUP($A578,Table_ship_components[],COLUMN(Q:Q),0)</f>
        <v>0</v>
      </c>
      <c r="R578" cm="1">
        <f t="array" ref="R578">VLOOKUP($A578,Table_ship_components[],COLUMN(R:R),0)</f>
        <v>0</v>
      </c>
      <c r="S578" cm="1">
        <f t="array" ref="S578">VLOOKUP($A578,Table_ship_components[],COLUMN(S:S),0)</f>
        <v>0</v>
      </c>
      <c r="T578" cm="1">
        <f t="array" ref="T578">VLOOKUP($A578,Table_ship_components[],COLUMN(T:T),0)</f>
        <v>0</v>
      </c>
      <c r="U578" cm="1">
        <f t="array" ref="U578">VLOOKUP($A578,Table_ship_components[],COLUMN(U:U),0)</f>
        <v>0</v>
      </c>
      <c r="V578" cm="1">
        <f t="array" ref="V578">VLOOKUP($A578,Table_ship_components[],COLUMN(V:V),0)</f>
        <v>0</v>
      </c>
      <c r="W578" s="15" cm="1">
        <f t="array" ref="W578">VLOOKUP($A578,Table_ship_components[],COLUMN(W:W),0)</f>
        <v>0</v>
      </c>
      <c r="X578" cm="1">
        <f t="array" ref="X578">VLOOKUP($A578,Table_ship_components[],COLUMN(X:X),0)</f>
        <v>0</v>
      </c>
      <c r="Y578" cm="1">
        <f t="array" ref="Y578">VLOOKUP($A578,Table_ship_components[],COLUMN(Y:Y),0)</f>
        <v>0</v>
      </c>
      <c r="Z578" cm="1">
        <f t="array" ref="Z578">VLOOKUP($A578,Table_ship_components[],COLUMN(Z:Z),0)</f>
        <v>0</v>
      </c>
      <c r="AA578" cm="1">
        <f t="array" ref="AA578">VLOOKUP($A578,Table_ship_components[],COLUMN(AA:AA),0)*C578</f>
        <v>0</v>
      </c>
      <c r="AB578">
        <f t="shared" si="56"/>
        <v>0</v>
      </c>
      <c r="AC578" cm="1">
        <f t="array" ref="AC578">VLOOKUP($A578,Table_ship_components[],COLUMN(AC:AC),0)*C578</f>
        <v>0</v>
      </c>
      <c r="AD578" cm="1">
        <f t="array" ref="AD578">VLOOKUP($A578,Table_ship_components[],COLUMN(AD:AD),0)</f>
        <v>0</v>
      </c>
      <c r="AE578" cm="1">
        <f t="array" ref="AE578">VLOOKUP($A578,Table_ship_components[],COLUMN(AE:AE),0)</f>
        <v>0</v>
      </c>
      <c r="AF578" cm="1">
        <f t="array" ref="AF578">VLOOKUP($A578,Table_ship_components[],COLUMN(AF:AF),0)</f>
        <v>0</v>
      </c>
      <c r="AG578" cm="1">
        <f t="array" ref="AG578">VLOOKUP($A578,Table_ship_components[],COLUMN(AG:AG),0)</f>
        <v>0</v>
      </c>
      <c r="AH578" cm="1">
        <f t="array" ref="AH578">VLOOKUP($A578,Table_ship_components[],COLUMN(AH:AH),0)</f>
        <v>0</v>
      </c>
      <c r="AI578" cm="1">
        <f t="array" ref="AI578">VLOOKUP($A578,Table_ship_components[],COLUMN(AI:AI),0)</f>
        <v>0</v>
      </c>
      <c r="AJ578" cm="1">
        <f t="array" ref="AJ578">VLOOKUP($A578,Table_ship_components[],COLUMN(AJ:AJ),0)</f>
        <v>0</v>
      </c>
      <c r="AK578" cm="1">
        <f t="array" ref="AK578">VLOOKUP($A578,Table_ship_components[],COLUMN(AK:AK),0)</f>
        <v>0</v>
      </c>
      <c r="AL578" cm="1">
        <f t="array" ref="AL578">VLOOKUP($A578,Table_ship_components[],COLUMN(AL:AL),0)</f>
        <v>0</v>
      </c>
      <c r="AM578" cm="1">
        <f t="array" ref="AM578">VLOOKUP($A578,Table_ship_components[],COLUMN(AM:AM),0)</f>
        <v>0</v>
      </c>
      <c r="AN578" cm="1">
        <f t="array" ref="AN578">VLOOKUP($A578,Table_ship_components[],COLUMN(AN:AN),0)</f>
        <v>0</v>
      </c>
      <c r="AO578" cm="1">
        <f t="array" ref="AO578">VLOOKUP($A578,Table_ship_components[],COLUMN(AO:AO),0)</f>
        <v>0</v>
      </c>
      <c r="AP578" cm="1">
        <f t="array" ref="AP578">VLOOKUP($A578,Table_ship_components[],COLUMN(AP:AP),0)</f>
        <v>0</v>
      </c>
      <c r="AQ578" cm="1">
        <f t="array" ref="AQ578">VLOOKUP($A578,Table_ship_components[],COLUMN(AQ:AQ),0)</f>
        <v>0</v>
      </c>
      <c r="AR578" cm="1">
        <f t="array" ref="AR578">VLOOKUP($A578,Table_ship_components[],COLUMN(AR:AR),0)</f>
        <v>0</v>
      </c>
      <c r="AS578" cm="1">
        <f t="array" ref="AS578">VLOOKUP($A578,Table_ship_components[],COLUMN(AS:AS),0)</f>
        <v>0</v>
      </c>
      <c r="AT578" cm="1">
        <f t="array" ref="AT578">VLOOKUP($A578,Table_ship_components[],COLUMN(AT:AT),0)</f>
        <v>0</v>
      </c>
      <c r="AU578" s="2" cm="1">
        <f t="array" ref="AU578">VLOOKUP($A578,Table_ship_components[],COLUMN(AU:AU),0)</f>
        <v>0</v>
      </c>
      <c r="AV578" s="2" cm="1">
        <f t="array" ref="AV578">VLOOKUP($A578,Table_ship_components[],COLUMN(AV:AV),0)</f>
        <v>0</v>
      </c>
      <c r="AW578" s="2" cm="1">
        <f t="array" ref="AW578">VLOOKUP($A578,Table_ship_components[],COLUMN(AW:AW),0)</f>
        <v>0</v>
      </c>
      <c r="AX578" s="2" cm="1">
        <f t="array" ref="AX578">VLOOKUP($A578,Table_ship_components[],COLUMN(AX:AX),0)</f>
        <v>0</v>
      </c>
      <c r="AY578" s="2" cm="1">
        <f t="array" ref="AY578">VLOOKUP($A578,Table_ship_components[],COLUMN(AY:AY),0)</f>
        <v>0</v>
      </c>
      <c r="AZ578" s="2" t="str" cm="1">
        <f t="array" ref="AZ578">VLOOKUP($A578,Table_ship_components[],COLUMN(AZ:AZ),0)</f>
        <v>C</v>
      </c>
      <c r="BA578" s="14" cm="1">
        <f t="array" ref="BA578">VLOOKUP($A578,Table_ship_components[],COLUMN(BA:BA),0)</f>
        <v>0</v>
      </c>
      <c r="BB578" s="14" cm="1">
        <f t="array" ref="BB578">(VLOOKUP($A578,Table_ship_components[],COLUMN(BA:BA),0)+(W578*C578))</f>
        <v>0</v>
      </c>
      <c r="BC578" s="2" cm="1">
        <f t="array" ref="BC578">VLOOKUP($A578,Table_ship_components[],COLUMN(BC:BC),0)</f>
        <v>0</v>
      </c>
      <c r="BD578" s="2" cm="1">
        <f t="array" ref="BD578">VLOOKUP($A578,Table_ship_components[],COLUMN(BD:BD),0)</f>
        <v>0</v>
      </c>
    </row>
    <row r="579" spans="1:56" outlineLevel="1" x14ac:dyDescent="0.35">
      <c r="A579" t="s">
        <v>288</v>
      </c>
      <c r="B579" t="str" cm="1">
        <f t="array" ref="B579">VLOOKUP($A579,Table_ship_components[],COLUMN(B:B),0)</f>
        <v>PICK A COMPONENT</v>
      </c>
      <c r="D579" cm="1">
        <f t="array" ref="D579">VLOOKUP($A579,Table_ship_components[],COLUMN(D:D),0)</f>
        <v>0</v>
      </c>
      <c r="E579" cm="1">
        <f t="array" ref="E579">ROUND(VLOOKUP($A579,Table_ship_components[],COLUMN(D:D),0)+(V579*C579),0)</f>
        <v>0</v>
      </c>
      <c r="F579" cm="1">
        <f t="array" ref="F579">VLOOKUP($A579,Table_ship_components[],COLUMN(F:F),0)</f>
        <v>0</v>
      </c>
      <c r="G579" cm="1">
        <f t="array" ref="G579">ROUND(VLOOKUP($A579,Table_ship_components[],COLUMN(G:G),0)+(X579*C579),0)</f>
        <v>0</v>
      </c>
      <c r="H579" cm="1">
        <f t="array" ref="H579">VLOOKUP($A579,Table_ship_components[],COLUMN(H:H),0)</f>
        <v>0</v>
      </c>
      <c r="I579" cm="1">
        <f t="array" ref="I579">VLOOKUP($A579,Table_ship_components[],COLUMN(I:I),0)</f>
        <v>0</v>
      </c>
      <c r="J579" cm="1">
        <f t="array" ref="J579">VLOOKUP($A579,Table_ship_components[],COLUMN(J:J),0)</f>
        <v>0</v>
      </c>
      <c r="K579" cm="1">
        <f t="array" ref="K579">VLOOKUP($A579,Table_ship_components[],COLUMN(K:K),0)</f>
        <v>0</v>
      </c>
      <c r="L579" cm="1">
        <f t="array" ref="L579">VLOOKUP($A579,Table_ship_components[],COLUMN(L:L),0)</f>
        <v>0</v>
      </c>
      <c r="M579" cm="1">
        <f t="array" ref="M579">VLOOKUP($A579,Table_ship_components[],COLUMN(M:M),0)</f>
        <v>0</v>
      </c>
      <c r="N579" cm="1">
        <f t="array" ref="N579">VLOOKUP($A579,Table_ship_components[],COLUMN(N:N),0)</f>
        <v>0</v>
      </c>
      <c r="O579" cm="1">
        <f t="array" ref="O579">VLOOKUP($A579,Table_ship_components[],COLUMN(O:O),0)</f>
        <v>0</v>
      </c>
      <c r="P579" cm="1">
        <f t="array" ref="P579">VLOOKUP($A579,Table_ship_components[],COLUMN(P:P),0)</f>
        <v>0</v>
      </c>
      <c r="Q579" cm="1">
        <f t="array" ref="Q579">VLOOKUP($A579,Table_ship_components[],COLUMN(Q:Q),0)</f>
        <v>0</v>
      </c>
      <c r="R579" cm="1">
        <f t="array" ref="R579">VLOOKUP($A579,Table_ship_components[],COLUMN(R:R),0)</f>
        <v>0</v>
      </c>
      <c r="S579" cm="1">
        <f t="array" ref="S579">VLOOKUP($A579,Table_ship_components[],COLUMN(S:S),0)</f>
        <v>0</v>
      </c>
      <c r="T579" cm="1">
        <f t="array" ref="T579">VLOOKUP($A579,Table_ship_components[],COLUMN(T:T),0)</f>
        <v>0</v>
      </c>
      <c r="U579" cm="1">
        <f t="array" ref="U579">VLOOKUP($A579,Table_ship_components[],COLUMN(U:U),0)</f>
        <v>0</v>
      </c>
      <c r="V579" cm="1">
        <f t="array" ref="V579">VLOOKUP($A579,Table_ship_components[],COLUMN(V:V),0)</f>
        <v>0</v>
      </c>
      <c r="W579" s="15" cm="1">
        <f t="array" ref="W579">VLOOKUP($A579,Table_ship_components[],COLUMN(W:W),0)</f>
        <v>0</v>
      </c>
      <c r="X579" cm="1">
        <f t="array" ref="X579">VLOOKUP($A579,Table_ship_components[],COLUMN(X:X),0)</f>
        <v>0</v>
      </c>
      <c r="Y579" cm="1">
        <f t="array" ref="Y579">VLOOKUP($A579,Table_ship_components[],COLUMN(Y:Y),0)</f>
        <v>0</v>
      </c>
      <c r="Z579" cm="1">
        <f t="array" ref="Z579">VLOOKUP($A579,Table_ship_components[],COLUMN(Z:Z),0)</f>
        <v>0</v>
      </c>
      <c r="AA579" cm="1">
        <f t="array" ref="AA579">VLOOKUP($A579,Table_ship_components[],COLUMN(AA:AA),0)*C579</f>
        <v>0</v>
      </c>
      <c r="AB579">
        <f t="shared" si="56"/>
        <v>0</v>
      </c>
      <c r="AC579" cm="1">
        <f t="array" ref="AC579">VLOOKUP($A579,Table_ship_components[],COLUMN(AC:AC),0)*C579</f>
        <v>0</v>
      </c>
      <c r="AD579" cm="1">
        <f t="array" ref="AD579">VLOOKUP($A579,Table_ship_components[],COLUMN(AD:AD),0)</f>
        <v>0</v>
      </c>
      <c r="AE579" cm="1">
        <f t="array" ref="AE579">VLOOKUP($A579,Table_ship_components[],COLUMN(AE:AE),0)</f>
        <v>0</v>
      </c>
      <c r="AF579" cm="1">
        <f t="array" ref="AF579">VLOOKUP($A579,Table_ship_components[],COLUMN(AF:AF),0)</f>
        <v>0</v>
      </c>
      <c r="AG579" cm="1">
        <f t="array" ref="AG579">VLOOKUP($A579,Table_ship_components[],COLUMN(AG:AG),0)</f>
        <v>0</v>
      </c>
      <c r="AH579" cm="1">
        <f t="array" ref="AH579">VLOOKUP($A579,Table_ship_components[],COLUMN(AH:AH),0)</f>
        <v>0</v>
      </c>
      <c r="AI579" cm="1">
        <f t="array" ref="AI579">VLOOKUP($A579,Table_ship_components[],COLUMN(AI:AI),0)</f>
        <v>0</v>
      </c>
      <c r="AJ579" cm="1">
        <f t="array" ref="AJ579">VLOOKUP($A579,Table_ship_components[],COLUMN(AJ:AJ),0)</f>
        <v>0</v>
      </c>
      <c r="AK579" cm="1">
        <f t="array" ref="AK579">VLOOKUP($A579,Table_ship_components[],COLUMN(AK:AK),0)</f>
        <v>0</v>
      </c>
      <c r="AL579" cm="1">
        <f t="array" ref="AL579">VLOOKUP($A579,Table_ship_components[],COLUMN(AL:AL),0)</f>
        <v>0</v>
      </c>
      <c r="AM579" cm="1">
        <f t="array" ref="AM579">VLOOKUP($A579,Table_ship_components[],COLUMN(AM:AM),0)</f>
        <v>0</v>
      </c>
      <c r="AN579" cm="1">
        <f t="array" ref="AN579">VLOOKUP($A579,Table_ship_components[],COLUMN(AN:AN),0)</f>
        <v>0</v>
      </c>
      <c r="AO579" cm="1">
        <f t="array" ref="AO579">VLOOKUP($A579,Table_ship_components[],COLUMN(AO:AO),0)</f>
        <v>0</v>
      </c>
      <c r="AP579" cm="1">
        <f t="array" ref="AP579">VLOOKUP($A579,Table_ship_components[],COLUMN(AP:AP),0)</f>
        <v>0</v>
      </c>
      <c r="AQ579" cm="1">
        <f t="array" ref="AQ579">VLOOKUP($A579,Table_ship_components[],COLUMN(AQ:AQ),0)</f>
        <v>0</v>
      </c>
      <c r="AR579" cm="1">
        <f t="array" ref="AR579">VLOOKUP($A579,Table_ship_components[],COLUMN(AR:AR),0)</f>
        <v>0</v>
      </c>
      <c r="AS579" cm="1">
        <f t="array" ref="AS579">VLOOKUP($A579,Table_ship_components[],COLUMN(AS:AS),0)</f>
        <v>0</v>
      </c>
      <c r="AT579" cm="1">
        <f t="array" ref="AT579">VLOOKUP($A579,Table_ship_components[],COLUMN(AT:AT),0)</f>
        <v>0</v>
      </c>
      <c r="AU579" s="2" cm="1">
        <f t="array" ref="AU579">VLOOKUP($A579,Table_ship_components[],COLUMN(AU:AU),0)</f>
        <v>0</v>
      </c>
      <c r="AV579" s="2" cm="1">
        <f t="array" ref="AV579">VLOOKUP($A579,Table_ship_components[],COLUMN(AV:AV),0)</f>
        <v>0</v>
      </c>
      <c r="AW579" s="2" cm="1">
        <f t="array" ref="AW579">VLOOKUP($A579,Table_ship_components[],COLUMN(AW:AW),0)</f>
        <v>0</v>
      </c>
      <c r="AX579" s="2" cm="1">
        <f t="array" ref="AX579">VLOOKUP($A579,Table_ship_components[],COLUMN(AX:AX),0)</f>
        <v>0</v>
      </c>
      <c r="AY579" s="2" cm="1">
        <f t="array" ref="AY579">VLOOKUP($A579,Table_ship_components[],COLUMN(AY:AY),0)</f>
        <v>0</v>
      </c>
      <c r="AZ579" s="2" t="str" cm="1">
        <f t="array" ref="AZ579">VLOOKUP($A579,Table_ship_components[],COLUMN(AZ:AZ),0)</f>
        <v>C</v>
      </c>
      <c r="BA579" s="14" cm="1">
        <f t="array" ref="BA579">VLOOKUP($A579,Table_ship_components[],COLUMN(BA:BA),0)</f>
        <v>0</v>
      </c>
      <c r="BB579" s="14" cm="1">
        <f t="array" ref="BB579">(VLOOKUP($A579,Table_ship_components[],COLUMN(BA:BA),0)+(W579*C579))</f>
        <v>0</v>
      </c>
      <c r="BC579" s="2" cm="1">
        <f t="array" ref="BC579">VLOOKUP($A579,Table_ship_components[],COLUMN(BC:BC),0)</f>
        <v>0</v>
      </c>
      <c r="BD579" s="2" cm="1">
        <f t="array" ref="BD579">VLOOKUP($A579,Table_ship_components[],COLUMN(BD:BD),0)</f>
        <v>0</v>
      </c>
    </row>
    <row r="580" spans="1:56" outlineLevel="1" x14ac:dyDescent="0.35">
      <c r="A580" t="s">
        <v>288</v>
      </c>
      <c r="B580" t="str" cm="1">
        <f t="array" ref="B580">VLOOKUP($A580,Table_ship_components[],COLUMN(B:B),0)</f>
        <v>PICK A COMPONENT</v>
      </c>
      <c r="D580" cm="1">
        <f t="array" ref="D580">VLOOKUP($A580,Table_ship_components[],COLUMN(D:D),0)</f>
        <v>0</v>
      </c>
      <c r="E580" cm="1">
        <f t="array" ref="E580">ROUND(VLOOKUP($A580,Table_ship_components[],COLUMN(D:D),0)+(V580*C580),0)</f>
        <v>0</v>
      </c>
      <c r="F580" cm="1">
        <f t="array" ref="F580">VLOOKUP($A580,Table_ship_components[],COLUMN(F:F),0)</f>
        <v>0</v>
      </c>
      <c r="G580" cm="1">
        <f t="array" ref="G580">ROUND(VLOOKUP($A580,Table_ship_components[],COLUMN(G:G),0)+(X580*C580),0)</f>
        <v>0</v>
      </c>
      <c r="H580" cm="1">
        <f t="array" ref="H580">VLOOKUP($A580,Table_ship_components[],COLUMN(H:H),0)</f>
        <v>0</v>
      </c>
      <c r="I580" cm="1">
        <f t="array" ref="I580">VLOOKUP($A580,Table_ship_components[],COLUMN(I:I),0)</f>
        <v>0</v>
      </c>
      <c r="J580" cm="1">
        <f t="array" ref="J580">VLOOKUP($A580,Table_ship_components[],COLUMN(J:J),0)</f>
        <v>0</v>
      </c>
      <c r="K580" cm="1">
        <f t="array" ref="K580">VLOOKUP($A580,Table_ship_components[],COLUMN(K:K),0)</f>
        <v>0</v>
      </c>
      <c r="L580" cm="1">
        <f t="array" ref="L580">VLOOKUP($A580,Table_ship_components[],COLUMN(L:L),0)</f>
        <v>0</v>
      </c>
      <c r="M580" cm="1">
        <f t="array" ref="M580">VLOOKUP($A580,Table_ship_components[],COLUMN(M:M),0)</f>
        <v>0</v>
      </c>
      <c r="N580" cm="1">
        <f t="array" ref="N580">VLOOKUP($A580,Table_ship_components[],COLUMN(N:N),0)</f>
        <v>0</v>
      </c>
      <c r="O580" cm="1">
        <f t="array" ref="O580">VLOOKUP($A580,Table_ship_components[],COLUMN(O:O),0)</f>
        <v>0</v>
      </c>
      <c r="P580" cm="1">
        <f t="array" ref="P580">VLOOKUP($A580,Table_ship_components[],COLUMN(P:P),0)</f>
        <v>0</v>
      </c>
      <c r="Q580" cm="1">
        <f t="array" ref="Q580">VLOOKUP($A580,Table_ship_components[],COLUMN(Q:Q),0)</f>
        <v>0</v>
      </c>
      <c r="R580" cm="1">
        <f t="array" ref="R580">VLOOKUP($A580,Table_ship_components[],COLUMN(R:R),0)</f>
        <v>0</v>
      </c>
      <c r="S580" cm="1">
        <f t="array" ref="S580">VLOOKUP($A580,Table_ship_components[],COLUMN(S:S),0)</f>
        <v>0</v>
      </c>
      <c r="T580" cm="1">
        <f t="array" ref="T580">VLOOKUP($A580,Table_ship_components[],COLUMN(T:T),0)</f>
        <v>0</v>
      </c>
      <c r="U580" cm="1">
        <f t="array" ref="U580">VLOOKUP($A580,Table_ship_components[],COLUMN(U:U),0)</f>
        <v>0</v>
      </c>
      <c r="V580" cm="1">
        <f t="array" ref="V580">VLOOKUP($A580,Table_ship_components[],COLUMN(V:V),0)</f>
        <v>0</v>
      </c>
      <c r="W580" s="15" cm="1">
        <f t="array" ref="W580">VLOOKUP($A580,Table_ship_components[],COLUMN(W:W),0)</f>
        <v>0</v>
      </c>
      <c r="X580" cm="1">
        <f t="array" ref="X580">VLOOKUP($A580,Table_ship_components[],COLUMN(X:X),0)</f>
        <v>0</v>
      </c>
      <c r="Y580" cm="1">
        <f t="array" ref="Y580">VLOOKUP($A580,Table_ship_components[],COLUMN(Y:Y),0)</f>
        <v>0</v>
      </c>
      <c r="Z580" cm="1">
        <f t="array" ref="Z580">VLOOKUP($A580,Table_ship_components[],COLUMN(Z:Z),0)</f>
        <v>0</v>
      </c>
      <c r="AA580" cm="1">
        <f t="array" ref="AA580">VLOOKUP($A580,Table_ship_components[],COLUMN(AA:AA),0)*C580</f>
        <v>0</v>
      </c>
      <c r="AB580">
        <f>IF(A580="CARGOSPACE_0-ALL_0-UNIVERSAL",C580,0)</f>
        <v>0</v>
      </c>
      <c r="AC580" cm="1">
        <f t="array" ref="AC580">VLOOKUP($A580,Table_ship_components[],COLUMN(AC:AC),0)*C580</f>
        <v>0</v>
      </c>
      <c r="AD580" cm="1">
        <f t="array" ref="AD580">VLOOKUP($A580,Table_ship_components[],COLUMN(AD:AD),0)</f>
        <v>0</v>
      </c>
      <c r="AE580" cm="1">
        <f t="array" ref="AE580">VLOOKUP($A580,Table_ship_components[],COLUMN(AE:AE),0)</f>
        <v>0</v>
      </c>
      <c r="AF580" cm="1">
        <f t="array" ref="AF580">VLOOKUP($A580,Table_ship_components[],COLUMN(AF:AF),0)</f>
        <v>0</v>
      </c>
      <c r="AG580" cm="1">
        <f t="array" ref="AG580">VLOOKUP($A580,Table_ship_components[],COLUMN(AG:AG),0)</f>
        <v>0</v>
      </c>
      <c r="AH580" cm="1">
        <f t="array" ref="AH580">VLOOKUP($A580,Table_ship_components[],COLUMN(AH:AH),0)</f>
        <v>0</v>
      </c>
      <c r="AI580" cm="1">
        <f t="array" ref="AI580">VLOOKUP($A580,Table_ship_components[],COLUMN(AI:AI),0)</f>
        <v>0</v>
      </c>
      <c r="AJ580" cm="1">
        <f t="array" ref="AJ580">VLOOKUP($A580,Table_ship_components[],COLUMN(AJ:AJ),0)</f>
        <v>0</v>
      </c>
      <c r="AK580" cm="1">
        <f t="array" ref="AK580">VLOOKUP($A580,Table_ship_components[],COLUMN(AK:AK),0)</f>
        <v>0</v>
      </c>
      <c r="AL580" cm="1">
        <f t="array" ref="AL580">VLOOKUP($A580,Table_ship_components[],COLUMN(AL:AL),0)</f>
        <v>0</v>
      </c>
      <c r="AM580" cm="1">
        <f t="array" ref="AM580">VLOOKUP($A580,Table_ship_components[],COLUMN(AM:AM),0)</f>
        <v>0</v>
      </c>
      <c r="AN580" cm="1">
        <f t="array" ref="AN580">VLOOKUP($A580,Table_ship_components[],COLUMN(AN:AN),0)</f>
        <v>0</v>
      </c>
      <c r="AO580" cm="1">
        <f t="array" ref="AO580">VLOOKUP($A580,Table_ship_components[],COLUMN(AO:AO),0)</f>
        <v>0</v>
      </c>
      <c r="AP580" cm="1">
        <f t="array" ref="AP580">VLOOKUP($A580,Table_ship_components[],COLUMN(AP:AP),0)</f>
        <v>0</v>
      </c>
      <c r="AQ580" cm="1">
        <f t="array" ref="AQ580">VLOOKUP($A580,Table_ship_components[],COLUMN(AQ:AQ),0)</f>
        <v>0</v>
      </c>
      <c r="AR580" cm="1">
        <f t="array" ref="AR580">VLOOKUP($A580,Table_ship_components[],COLUMN(AR:AR),0)</f>
        <v>0</v>
      </c>
      <c r="AS580" cm="1">
        <f t="array" ref="AS580">VLOOKUP($A580,Table_ship_components[],COLUMN(AS:AS),0)</f>
        <v>0</v>
      </c>
      <c r="AT580" cm="1">
        <f t="array" ref="AT580">VLOOKUP($A580,Table_ship_components[],COLUMN(AT:AT),0)</f>
        <v>0</v>
      </c>
      <c r="AU580" s="2" cm="1">
        <f t="array" ref="AU580">VLOOKUP($A580,Table_ship_components[],COLUMN(AU:AU),0)</f>
        <v>0</v>
      </c>
      <c r="AV580" s="2" cm="1">
        <f t="array" ref="AV580">VLOOKUP($A580,Table_ship_components[],COLUMN(AV:AV),0)</f>
        <v>0</v>
      </c>
      <c r="AW580" s="2" cm="1">
        <f t="array" ref="AW580">VLOOKUP($A580,Table_ship_components[],COLUMN(AW:AW),0)</f>
        <v>0</v>
      </c>
      <c r="AX580" s="2" cm="1">
        <f t="array" ref="AX580">VLOOKUP($A580,Table_ship_components[],COLUMN(AX:AX),0)</f>
        <v>0</v>
      </c>
      <c r="AY580" s="2" cm="1">
        <f t="array" ref="AY580">VLOOKUP($A580,Table_ship_components[],COLUMN(AY:AY),0)</f>
        <v>0</v>
      </c>
      <c r="AZ580" s="2" t="str" cm="1">
        <f t="array" ref="AZ580">VLOOKUP($A580,Table_ship_components[],COLUMN(AZ:AZ),0)</f>
        <v>C</v>
      </c>
      <c r="BA580" s="14" cm="1">
        <f t="array" ref="BA580">VLOOKUP($A580,Table_ship_components[],COLUMN(BA:BA),0)</f>
        <v>0</v>
      </c>
      <c r="BB580" s="14" cm="1">
        <f t="array" ref="BB580">(VLOOKUP($A580,Table_ship_components[],COLUMN(BA:BA),0)+(W580*C580))</f>
        <v>0</v>
      </c>
      <c r="BC580" s="2" cm="1">
        <f t="array" ref="BC580">VLOOKUP($A580,Table_ship_components[],COLUMN(BC:BC),0)</f>
        <v>0</v>
      </c>
      <c r="BD580" s="2" cm="1">
        <f t="array" ref="BD580">VLOOKUP($A580,Table_ship_components[],COLUMN(BD:BD),0)</f>
        <v>0</v>
      </c>
    </row>
    <row r="581" spans="1:56" outlineLevel="1" x14ac:dyDescent="0.35">
      <c r="A581" s="18" t="s">
        <v>425</v>
      </c>
      <c r="B581" s="19" t="str">
        <f>CONCATENATE("SIZE ",(SUM(E582:E589)),"/",AY559,"  POWER ",(SUM(G582:G589)))</f>
        <v>SIZE 10/10  POWER 0</v>
      </c>
      <c r="AU581" s="2"/>
      <c r="AV581" s="2"/>
      <c r="AW581" s="2"/>
      <c r="AX581" s="2"/>
      <c r="AY581" s="2"/>
      <c r="AZ581" s="2"/>
      <c r="BA581" s="14"/>
      <c r="BB581" s="14"/>
      <c r="BC581" s="2"/>
      <c r="BD581" s="2"/>
    </row>
    <row r="582" spans="1:56" outlineLevel="1" x14ac:dyDescent="0.35">
      <c r="A582" t="s">
        <v>325</v>
      </c>
      <c r="B582" t="str" cm="1">
        <f t="array" ref="B582">VLOOKUP($A582,Table_ship_components[],COLUMN(B:B),0)</f>
        <v>fighter atmospheric package</v>
      </c>
      <c r="D582" cm="1">
        <f t="array" ref="D582">VLOOKUP($A582,Table_ship_components[],COLUMN(D:D),0)</f>
        <v>8</v>
      </c>
      <c r="E582" cm="1">
        <f t="array" ref="E582">ROUND(VLOOKUP($A582,Table_ship_components[],COLUMN(D:D),0)+(V582*C582),0)</f>
        <v>8</v>
      </c>
      <c r="F582" cm="1">
        <f t="array" ref="F582">VLOOKUP($A582,Table_ship_components[],COLUMN(F:F),0)</f>
        <v>0</v>
      </c>
      <c r="G582" cm="1">
        <f t="array" ref="G582">ROUND(VLOOKUP($A582,Table_ship_components[],COLUMN(G:G),0)+(X582*C582),0)</f>
        <v>0</v>
      </c>
      <c r="H582" cm="1">
        <f t="array" ref="H582">VLOOKUP($A582,Table_ship_components[],COLUMN(H:H),0)</f>
        <v>5</v>
      </c>
      <c r="I582" cm="1">
        <f t="array" ref="I582">VLOOKUP($A582,Table_ship_components[],COLUMN(I:I),0)</f>
        <v>0</v>
      </c>
      <c r="J582" cm="1">
        <f t="array" ref="J582">VLOOKUP($A582,Table_ship_components[],COLUMN(J:J),0)</f>
        <v>0</v>
      </c>
      <c r="K582" cm="1">
        <f t="array" ref="K582">VLOOKUP($A582,Table_ship_components[],COLUMN(K:K),0)</f>
        <v>0</v>
      </c>
      <c r="L582" cm="1">
        <f t="array" ref="L582">VLOOKUP($A582,Table_ship_components[],COLUMN(L:L),0)</f>
        <v>0</v>
      </c>
      <c r="M582" cm="1">
        <f t="array" ref="M582">VLOOKUP($A582,Table_ship_components[],COLUMN(M:M),0)</f>
        <v>0</v>
      </c>
      <c r="N582" cm="1">
        <f t="array" ref="N582">VLOOKUP($A582,Table_ship_components[],COLUMN(N:N),0)</f>
        <v>1</v>
      </c>
      <c r="O582" cm="1">
        <f t="array" ref="O582">VLOOKUP($A582,Table_ship_components[],COLUMN(O:O),0)</f>
        <v>0</v>
      </c>
      <c r="P582" cm="1">
        <f t="array" ref="P582">VLOOKUP($A582,Table_ship_components[],COLUMN(P:P),0)</f>
        <v>0</v>
      </c>
      <c r="Q582" cm="1">
        <f t="array" ref="Q582">VLOOKUP($A582,Table_ship_components[],COLUMN(Q:Q),0)</f>
        <v>0</v>
      </c>
      <c r="R582" cm="1">
        <f t="array" ref="R582">VLOOKUP($A582,Table_ship_components[],COLUMN(R:R),0)</f>
        <v>0</v>
      </c>
      <c r="S582" cm="1">
        <f t="array" ref="S582">VLOOKUP($A582,Table_ship_components[],COLUMN(S:S),0)</f>
        <v>0</v>
      </c>
      <c r="T582" cm="1">
        <f t="array" ref="T582">VLOOKUP($A582,Table_ship_components[],COLUMN(T:T),0)</f>
        <v>0</v>
      </c>
      <c r="U582" cm="1">
        <f t="array" ref="U582">VLOOKUP($A582,Table_ship_components[],COLUMN(U:U),0)</f>
        <v>0</v>
      </c>
      <c r="V582" cm="1">
        <f t="array" ref="V582">VLOOKUP($A582,Table_ship_components[],COLUMN(V:V),0)</f>
        <v>0</v>
      </c>
      <c r="W582" s="15" cm="1">
        <f t="array" ref="W582">VLOOKUP($A582,Table_ship_components[],COLUMN(W:W),0)</f>
        <v>0</v>
      </c>
      <c r="X582" cm="1">
        <f t="array" ref="X582">VLOOKUP($A582,Table_ship_components[],COLUMN(X:X),0)</f>
        <v>0</v>
      </c>
      <c r="Y582" cm="1">
        <f t="array" ref="Y582">VLOOKUP($A582,Table_ship_components[],COLUMN(Y:Y),0)</f>
        <v>0</v>
      </c>
      <c r="Z582" cm="1">
        <f t="array" ref="Z582">VLOOKUP($A582,Table_ship_components[],COLUMN(Z:Z),0)</f>
        <v>0</v>
      </c>
      <c r="AA582" cm="1">
        <f t="array" ref="AA582">VLOOKUP($A582,Table_ship_components[],COLUMN(AA:AA),0)*C582</f>
        <v>0</v>
      </c>
      <c r="AB582">
        <f t="shared" ref="AB582:AB589" si="57">IF(A582="CARGOSPACE_0-ALL_0-UNIVERSAL",C582,0)</f>
        <v>0</v>
      </c>
      <c r="AC582" cm="1">
        <f t="array" ref="AC582">VLOOKUP($A582,Table_ship_components[],COLUMN(AC:AC),0)*C582</f>
        <v>0</v>
      </c>
      <c r="AD582" cm="1">
        <f t="array" ref="AD582">VLOOKUP($A582,Table_ship_components[],COLUMN(AD:AD),0)</f>
        <v>0</v>
      </c>
      <c r="AE582" cm="1">
        <f t="array" ref="AE582">VLOOKUP($A582,Table_ship_components[],COLUMN(AE:AE),0)</f>
        <v>0</v>
      </c>
      <c r="AF582" cm="1">
        <f t="array" ref="AF582">VLOOKUP($A582,Table_ship_components[],COLUMN(AF:AF),0)</f>
        <v>0</v>
      </c>
      <c r="AG582" cm="1">
        <f t="array" ref="AG582">VLOOKUP($A582,Table_ship_components[],COLUMN(AG:AG),0)</f>
        <v>2</v>
      </c>
      <c r="AH582" cm="1">
        <f t="array" ref="AH582">VLOOKUP($A582,Table_ship_components[],COLUMN(AH:AH),0)</f>
        <v>0</v>
      </c>
      <c r="AI582" cm="1">
        <f t="array" ref="AI582">VLOOKUP($A582,Table_ship_components[],COLUMN(AI:AI),0)</f>
        <v>0</v>
      </c>
      <c r="AJ582" cm="1">
        <f t="array" ref="AJ582">VLOOKUP($A582,Table_ship_components[],COLUMN(AJ:AJ),0)</f>
        <v>0</v>
      </c>
      <c r="AK582" cm="1">
        <f t="array" ref="AK582">VLOOKUP($A582,Table_ship_components[],COLUMN(AK:AK),0)</f>
        <v>0</v>
      </c>
      <c r="AL582" cm="1">
        <f t="array" ref="AL582">VLOOKUP($A582,Table_ship_components[],COLUMN(AL:AL),0)</f>
        <v>0</v>
      </c>
      <c r="AM582" cm="1">
        <f t="array" ref="AM582">VLOOKUP($A582,Table_ship_components[],COLUMN(AM:AM),0)</f>
        <v>0</v>
      </c>
      <c r="AN582" cm="1">
        <f t="array" ref="AN582">VLOOKUP($A582,Table_ship_components[],COLUMN(AN:AN),0)</f>
        <v>0</v>
      </c>
      <c r="AO582" cm="1">
        <f t="array" ref="AO582">VLOOKUP($A582,Table_ship_components[],COLUMN(AO:AO),0)</f>
        <v>0</v>
      </c>
      <c r="AP582" cm="1">
        <f t="array" ref="AP582">VLOOKUP($A582,Table_ship_components[],COLUMN(AP:AP),0)</f>
        <v>0</v>
      </c>
      <c r="AQ582" cm="1">
        <f t="array" ref="AQ582">VLOOKUP($A582,Table_ship_components[],COLUMN(AQ:AQ),0)</f>
        <v>0</v>
      </c>
      <c r="AR582" cm="1">
        <f t="array" ref="AR582">VLOOKUP($A582,Table_ship_components[],COLUMN(AR:AR),0)</f>
        <v>0</v>
      </c>
      <c r="AS582" cm="1">
        <f t="array" ref="AS582">VLOOKUP($A582,Table_ship_components[],COLUMN(AS:AS),0)</f>
        <v>0</v>
      </c>
      <c r="AT582" cm="1">
        <f t="array" ref="AT582">VLOOKUP($A582,Table_ship_components[],COLUMN(AT:AT),0)</f>
        <v>0</v>
      </c>
      <c r="AU582" s="2" cm="1">
        <f t="array" ref="AU582">VLOOKUP($A582,Table_ship_components[],COLUMN(AU:AU),0)</f>
        <v>0</v>
      </c>
      <c r="AV582" s="2" cm="1">
        <f t="array" ref="AV582">VLOOKUP($A582,Table_ship_components[],COLUMN(AV:AV),0)</f>
        <v>0</v>
      </c>
      <c r="AW582" s="2" cm="1">
        <f t="array" ref="AW582">VLOOKUP($A582,Table_ship_components[],COLUMN(AW:AW),0)</f>
        <v>0</v>
      </c>
      <c r="AX582" s="2" cm="1">
        <f t="array" ref="AX582">VLOOKUP($A582,Table_ship_components[],COLUMN(AX:AX),0)</f>
        <v>0</v>
      </c>
      <c r="AY582" s="2" cm="1">
        <f t="array" ref="AY582">VLOOKUP($A582,Table_ship_components[],COLUMN(AY:AY),0)</f>
        <v>0</v>
      </c>
      <c r="AZ582" s="2" t="str" cm="1">
        <f t="array" ref="AZ582">VLOOKUP($A582,Table_ship_components[],COLUMN(AZ:AZ),0)</f>
        <v>C</v>
      </c>
      <c r="BA582" s="14" cm="1">
        <f t="array" ref="BA582">VLOOKUP($A582,Table_ship_components[],COLUMN(BA:BA),0)</f>
        <v>800000</v>
      </c>
      <c r="BB582" s="14" cm="1">
        <f t="array" ref="BB582">(VLOOKUP($A582,Table_ship_components[],COLUMN(BA:BA),0)+(W582*C582))</f>
        <v>800000</v>
      </c>
      <c r="BC582" s="2" cm="1">
        <f t="array" ref="BC582">VLOOKUP($A582,Table_ship_components[],COLUMN(BC:BC),0)</f>
        <v>0</v>
      </c>
      <c r="BD582" s="2" cm="1">
        <f t="array" ref="BD582">VLOOKUP($A582,Table_ship_components[],COLUMN(BD:BD),0)</f>
        <v>0</v>
      </c>
    </row>
    <row r="583" spans="1:56" outlineLevel="1" x14ac:dyDescent="0.35">
      <c r="A583" t="s">
        <v>315</v>
      </c>
      <c r="B583" t="str" cm="1">
        <f t="array" ref="B583">VLOOKUP($A583,Table_ship_components[],COLUMN(B:B),0)</f>
        <v>cargo space (1 HUGE item per unit)</v>
      </c>
      <c r="C583" s="2">
        <v>2</v>
      </c>
      <c r="D583" cm="1">
        <f t="array" ref="D583">VLOOKUP($A583,Table_ship_components[],COLUMN(D:D),0)</f>
        <v>0</v>
      </c>
      <c r="E583" cm="1">
        <f t="array" ref="E583">ROUND(VLOOKUP($A583,Table_ship_components[],COLUMN(D:D),0)+(V583*C583),0)</f>
        <v>2</v>
      </c>
      <c r="F583" cm="1">
        <f t="array" ref="F583">VLOOKUP($A583,Table_ship_components[],COLUMN(F:F),0)</f>
        <v>0</v>
      </c>
      <c r="G583" cm="1">
        <f t="array" ref="G583">ROUND(VLOOKUP($A583,Table_ship_components[],COLUMN(G:G),0)+(X583*C583),0)</f>
        <v>0</v>
      </c>
      <c r="H583" cm="1">
        <f t="array" ref="H583">VLOOKUP($A583,Table_ship_components[],COLUMN(H:H),0)</f>
        <v>0</v>
      </c>
      <c r="I583" cm="1">
        <f t="array" ref="I583">VLOOKUP($A583,Table_ship_components[],COLUMN(I:I),0)</f>
        <v>0</v>
      </c>
      <c r="J583" cm="1">
        <f t="array" ref="J583">VLOOKUP($A583,Table_ship_components[],COLUMN(J:J),0)</f>
        <v>0</v>
      </c>
      <c r="K583" cm="1">
        <f t="array" ref="K583">VLOOKUP($A583,Table_ship_components[],COLUMN(K:K),0)</f>
        <v>0</v>
      </c>
      <c r="L583" cm="1">
        <f t="array" ref="L583">VLOOKUP($A583,Table_ship_components[],COLUMN(L:L),0)</f>
        <v>0</v>
      </c>
      <c r="M583" cm="1">
        <f t="array" ref="M583">VLOOKUP($A583,Table_ship_components[],COLUMN(M:M),0)</f>
        <v>0</v>
      </c>
      <c r="N583" cm="1">
        <f t="array" ref="N583">VLOOKUP($A583,Table_ship_components[],COLUMN(N:N),0)</f>
        <v>1</v>
      </c>
      <c r="O583" cm="1">
        <f t="array" ref="O583">VLOOKUP($A583,Table_ship_components[],COLUMN(O:O),0)</f>
        <v>1</v>
      </c>
      <c r="P583" cm="1">
        <f t="array" ref="P583">VLOOKUP($A583,Table_ship_components[],COLUMN(P:P),0)</f>
        <v>1</v>
      </c>
      <c r="Q583" cm="1">
        <f t="array" ref="Q583">VLOOKUP($A583,Table_ship_components[],COLUMN(Q:Q),0)</f>
        <v>1</v>
      </c>
      <c r="R583" cm="1">
        <f t="array" ref="R583">VLOOKUP($A583,Table_ship_components[],COLUMN(R:R),0)</f>
        <v>1</v>
      </c>
      <c r="S583" cm="1">
        <f t="array" ref="S583">VLOOKUP($A583,Table_ship_components[],COLUMN(S:S),0)</f>
        <v>1</v>
      </c>
      <c r="T583" cm="1">
        <f t="array" ref="T583">VLOOKUP($A583,Table_ship_components[],COLUMN(T:T),0)</f>
        <v>1</v>
      </c>
      <c r="U583" cm="1">
        <f t="array" ref="U583">VLOOKUP($A583,Table_ship_components[],COLUMN(U:U),0)</f>
        <v>1</v>
      </c>
      <c r="V583" cm="1">
        <f t="array" ref="V583">VLOOKUP($A583,Table_ship_components[],COLUMN(V:V),0)</f>
        <v>1</v>
      </c>
      <c r="W583" s="15" cm="1">
        <f t="array" ref="W583">VLOOKUP($A583,Table_ship_components[],COLUMN(W:W),0)</f>
        <v>5000</v>
      </c>
      <c r="X583" cm="1">
        <f t="array" ref="X583">VLOOKUP($A583,Table_ship_components[],COLUMN(X:X),0)</f>
        <v>0</v>
      </c>
      <c r="Y583" cm="1">
        <f t="array" ref="Y583">VLOOKUP($A583,Table_ship_components[],COLUMN(Y:Y),0)</f>
        <v>0</v>
      </c>
      <c r="Z583" cm="1">
        <f t="array" ref="Z583">VLOOKUP($A583,Table_ship_components[],COLUMN(Z:Z),0)</f>
        <v>0</v>
      </c>
      <c r="AA583" cm="1">
        <f t="array" ref="AA583">VLOOKUP($A583,Table_ship_components[],COLUMN(AA:AA),0)*C583</f>
        <v>0</v>
      </c>
      <c r="AB583">
        <f t="shared" si="57"/>
        <v>2</v>
      </c>
      <c r="AC583" cm="1">
        <f t="array" ref="AC583">VLOOKUP($A583,Table_ship_components[],COLUMN(AC:AC),0)*C583</f>
        <v>0</v>
      </c>
      <c r="AD583" cm="1">
        <f t="array" ref="AD583">VLOOKUP($A583,Table_ship_components[],COLUMN(AD:AD),0)</f>
        <v>0</v>
      </c>
      <c r="AE583" cm="1">
        <f t="array" ref="AE583">VLOOKUP($A583,Table_ship_components[],COLUMN(AE:AE),0)</f>
        <v>0</v>
      </c>
      <c r="AF583" cm="1">
        <f t="array" ref="AF583">VLOOKUP($A583,Table_ship_components[],COLUMN(AF:AF),0)</f>
        <v>0</v>
      </c>
      <c r="AG583" cm="1">
        <f t="array" ref="AG583">VLOOKUP($A583,Table_ship_components[],COLUMN(AG:AG),0)</f>
        <v>0</v>
      </c>
      <c r="AH583" cm="1">
        <f t="array" ref="AH583">VLOOKUP($A583,Table_ship_components[],COLUMN(AH:AH),0)</f>
        <v>0</v>
      </c>
      <c r="AI583" cm="1">
        <f t="array" ref="AI583">VLOOKUP($A583,Table_ship_components[],COLUMN(AI:AI),0)</f>
        <v>0</v>
      </c>
      <c r="AJ583" cm="1">
        <f t="array" ref="AJ583">VLOOKUP($A583,Table_ship_components[],COLUMN(AJ:AJ),0)</f>
        <v>0</v>
      </c>
      <c r="AK583" cm="1">
        <f t="array" ref="AK583">VLOOKUP($A583,Table_ship_components[],COLUMN(AK:AK),0)</f>
        <v>0</v>
      </c>
      <c r="AL583" cm="1">
        <f t="array" ref="AL583">VLOOKUP($A583,Table_ship_components[],COLUMN(AL:AL),0)</f>
        <v>0</v>
      </c>
      <c r="AM583" cm="1">
        <f t="array" ref="AM583">VLOOKUP($A583,Table_ship_components[],COLUMN(AM:AM),0)</f>
        <v>0</v>
      </c>
      <c r="AN583" cm="1">
        <f t="array" ref="AN583">VLOOKUP($A583,Table_ship_components[],COLUMN(AN:AN),0)</f>
        <v>0</v>
      </c>
      <c r="AO583" cm="1">
        <f t="array" ref="AO583">VLOOKUP($A583,Table_ship_components[],COLUMN(AO:AO),0)</f>
        <v>0</v>
      </c>
      <c r="AP583" cm="1">
        <f t="array" ref="AP583">VLOOKUP($A583,Table_ship_components[],COLUMN(AP:AP),0)</f>
        <v>0</v>
      </c>
      <c r="AQ583" cm="1">
        <f t="array" ref="AQ583">VLOOKUP($A583,Table_ship_components[],COLUMN(AQ:AQ),0)</f>
        <v>0</v>
      </c>
      <c r="AR583" cm="1">
        <f t="array" ref="AR583">VLOOKUP($A583,Table_ship_components[],COLUMN(AR:AR),0)</f>
        <v>0</v>
      </c>
      <c r="AS583" cm="1">
        <f t="array" ref="AS583">VLOOKUP($A583,Table_ship_components[],COLUMN(AS:AS),0)</f>
        <v>0</v>
      </c>
      <c r="AT583" cm="1">
        <f t="array" ref="AT583">VLOOKUP($A583,Table_ship_components[],COLUMN(AT:AT),0)</f>
        <v>0</v>
      </c>
      <c r="AU583" s="2" cm="1">
        <f t="array" ref="AU583">VLOOKUP($A583,Table_ship_components[],COLUMN(AU:AU),0)</f>
        <v>0</v>
      </c>
      <c r="AV583" s="2" cm="1">
        <f t="array" ref="AV583">VLOOKUP($A583,Table_ship_components[],COLUMN(AV:AV),0)</f>
        <v>0</v>
      </c>
      <c r="AW583" s="2" cm="1">
        <f t="array" ref="AW583">VLOOKUP($A583,Table_ship_components[],COLUMN(AW:AW),0)</f>
        <v>0</v>
      </c>
      <c r="AX583" s="2" cm="1">
        <f t="array" ref="AX583">VLOOKUP($A583,Table_ship_components[],COLUMN(AX:AX),0)</f>
        <v>0</v>
      </c>
      <c r="AY583" s="2" cm="1">
        <f t="array" ref="AY583">VLOOKUP($A583,Table_ship_components[],COLUMN(AY:AY),0)</f>
        <v>0</v>
      </c>
      <c r="AZ583" s="2" t="str" cm="1">
        <f t="array" ref="AZ583">VLOOKUP($A583,Table_ship_components[],COLUMN(AZ:AZ),0)</f>
        <v>C</v>
      </c>
      <c r="BA583" s="14" cm="1">
        <f t="array" ref="BA583">VLOOKUP($A583,Table_ship_components[],COLUMN(BA:BA),0)</f>
        <v>5000</v>
      </c>
      <c r="BB583" s="14" cm="1">
        <f t="array" ref="BB583">(VLOOKUP($A583,Table_ship_components[],COLUMN(BA:BA),0)+(W583*C583))</f>
        <v>15000</v>
      </c>
      <c r="BC583" s="2" cm="1">
        <f t="array" ref="BC583">VLOOKUP($A583,Table_ship_components[],COLUMN(BC:BC),0)</f>
        <v>0</v>
      </c>
      <c r="BD583" s="2" cm="1">
        <f t="array" ref="BD583">VLOOKUP($A583,Table_ship_components[],COLUMN(BD:BD),0)</f>
        <v>0</v>
      </c>
    </row>
    <row r="584" spans="1:56" outlineLevel="1" x14ac:dyDescent="0.35">
      <c r="A584" t="s">
        <v>288</v>
      </c>
      <c r="B584" t="str" cm="1">
        <f t="array" ref="B584">VLOOKUP($A584,Table_ship_components[],COLUMN(B:B),0)</f>
        <v>PICK A COMPONENT</v>
      </c>
      <c r="D584" cm="1">
        <f t="array" ref="D584">VLOOKUP($A584,Table_ship_components[],COLUMN(D:D),0)</f>
        <v>0</v>
      </c>
      <c r="E584" cm="1">
        <f t="array" ref="E584">ROUND(VLOOKUP($A584,Table_ship_components[],COLUMN(D:D),0)+(V584*C584),0)</f>
        <v>0</v>
      </c>
      <c r="F584" cm="1">
        <f t="array" ref="F584">VLOOKUP($A584,Table_ship_components[],COLUMN(F:F),0)</f>
        <v>0</v>
      </c>
      <c r="G584" cm="1">
        <f t="array" ref="G584">ROUND(VLOOKUP($A584,Table_ship_components[],COLUMN(G:G),0)+(X584*C584),0)</f>
        <v>0</v>
      </c>
      <c r="H584" cm="1">
        <f t="array" ref="H584">VLOOKUP($A584,Table_ship_components[],COLUMN(H:H),0)</f>
        <v>0</v>
      </c>
      <c r="I584" cm="1">
        <f t="array" ref="I584">VLOOKUP($A584,Table_ship_components[],COLUMN(I:I),0)</f>
        <v>0</v>
      </c>
      <c r="J584" cm="1">
        <f t="array" ref="J584">VLOOKUP($A584,Table_ship_components[],COLUMN(J:J),0)</f>
        <v>0</v>
      </c>
      <c r="K584" cm="1">
        <f t="array" ref="K584">VLOOKUP($A584,Table_ship_components[],COLUMN(K:K),0)</f>
        <v>0</v>
      </c>
      <c r="L584" cm="1">
        <f t="array" ref="L584">VLOOKUP($A584,Table_ship_components[],COLUMN(L:L),0)</f>
        <v>0</v>
      </c>
      <c r="M584" cm="1">
        <f t="array" ref="M584">VLOOKUP($A584,Table_ship_components[],COLUMN(M:M),0)</f>
        <v>0</v>
      </c>
      <c r="N584" cm="1">
        <f t="array" ref="N584">VLOOKUP($A584,Table_ship_components[],COLUMN(N:N),0)</f>
        <v>0</v>
      </c>
      <c r="O584" cm="1">
        <f t="array" ref="O584">VLOOKUP($A584,Table_ship_components[],COLUMN(O:O),0)</f>
        <v>0</v>
      </c>
      <c r="P584" cm="1">
        <f t="array" ref="P584">VLOOKUP($A584,Table_ship_components[],COLUMN(P:P),0)</f>
        <v>0</v>
      </c>
      <c r="Q584" cm="1">
        <f t="array" ref="Q584">VLOOKUP($A584,Table_ship_components[],COLUMN(Q:Q),0)</f>
        <v>0</v>
      </c>
      <c r="R584" cm="1">
        <f t="array" ref="R584">VLOOKUP($A584,Table_ship_components[],COLUMN(R:R),0)</f>
        <v>0</v>
      </c>
      <c r="S584" cm="1">
        <f t="array" ref="S584">VLOOKUP($A584,Table_ship_components[],COLUMN(S:S),0)</f>
        <v>0</v>
      </c>
      <c r="T584" cm="1">
        <f t="array" ref="T584">VLOOKUP($A584,Table_ship_components[],COLUMN(T:T),0)</f>
        <v>0</v>
      </c>
      <c r="U584" cm="1">
        <f t="array" ref="U584">VLOOKUP($A584,Table_ship_components[],COLUMN(U:U),0)</f>
        <v>0</v>
      </c>
      <c r="V584" cm="1">
        <f t="array" ref="V584">VLOOKUP($A584,Table_ship_components[],COLUMN(V:V),0)</f>
        <v>0</v>
      </c>
      <c r="W584" s="15" cm="1">
        <f t="array" ref="W584">VLOOKUP($A584,Table_ship_components[],COLUMN(W:W),0)</f>
        <v>0</v>
      </c>
      <c r="X584" cm="1">
        <f t="array" ref="X584">VLOOKUP($A584,Table_ship_components[],COLUMN(X:X),0)</f>
        <v>0</v>
      </c>
      <c r="Y584" cm="1">
        <f t="array" ref="Y584">VLOOKUP($A584,Table_ship_components[],COLUMN(Y:Y),0)</f>
        <v>0</v>
      </c>
      <c r="Z584" cm="1">
        <f t="array" ref="Z584">VLOOKUP($A584,Table_ship_components[],COLUMN(Z:Z),0)</f>
        <v>0</v>
      </c>
      <c r="AA584" cm="1">
        <f t="array" ref="AA584">VLOOKUP($A584,Table_ship_components[],COLUMN(AA:AA),0)*C584</f>
        <v>0</v>
      </c>
      <c r="AB584">
        <f t="shared" si="57"/>
        <v>0</v>
      </c>
      <c r="AC584" cm="1">
        <f t="array" ref="AC584">VLOOKUP($A584,Table_ship_components[],COLUMN(AC:AC),0)*C584</f>
        <v>0</v>
      </c>
      <c r="AD584" cm="1">
        <f t="array" ref="AD584">VLOOKUP($A584,Table_ship_components[],COLUMN(AD:AD),0)</f>
        <v>0</v>
      </c>
      <c r="AE584" cm="1">
        <f t="array" ref="AE584">VLOOKUP($A584,Table_ship_components[],COLUMN(AE:AE),0)</f>
        <v>0</v>
      </c>
      <c r="AF584" cm="1">
        <f t="array" ref="AF584">VLOOKUP($A584,Table_ship_components[],COLUMN(AF:AF),0)</f>
        <v>0</v>
      </c>
      <c r="AG584" cm="1">
        <f t="array" ref="AG584">VLOOKUP($A584,Table_ship_components[],COLUMN(AG:AG),0)</f>
        <v>0</v>
      </c>
      <c r="AH584" cm="1">
        <f t="array" ref="AH584">VLOOKUP($A584,Table_ship_components[],COLUMN(AH:AH),0)</f>
        <v>0</v>
      </c>
      <c r="AI584" cm="1">
        <f t="array" ref="AI584">VLOOKUP($A584,Table_ship_components[],COLUMN(AI:AI),0)</f>
        <v>0</v>
      </c>
      <c r="AJ584" cm="1">
        <f t="array" ref="AJ584">VLOOKUP($A584,Table_ship_components[],COLUMN(AJ:AJ),0)</f>
        <v>0</v>
      </c>
      <c r="AK584" cm="1">
        <f t="array" ref="AK584">VLOOKUP($A584,Table_ship_components[],COLUMN(AK:AK),0)</f>
        <v>0</v>
      </c>
      <c r="AL584" cm="1">
        <f t="array" ref="AL584">VLOOKUP($A584,Table_ship_components[],COLUMN(AL:AL),0)</f>
        <v>0</v>
      </c>
      <c r="AM584" cm="1">
        <f t="array" ref="AM584">VLOOKUP($A584,Table_ship_components[],COLUMN(AM:AM),0)</f>
        <v>0</v>
      </c>
      <c r="AN584" cm="1">
        <f t="array" ref="AN584">VLOOKUP($A584,Table_ship_components[],COLUMN(AN:AN),0)</f>
        <v>0</v>
      </c>
      <c r="AO584" cm="1">
        <f t="array" ref="AO584">VLOOKUP($A584,Table_ship_components[],COLUMN(AO:AO),0)</f>
        <v>0</v>
      </c>
      <c r="AP584" cm="1">
        <f t="array" ref="AP584">VLOOKUP($A584,Table_ship_components[],COLUMN(AP:AP),0)</f>
        <v>0</v>
      </c>
      <c r="AQ584" cm="1">
        <f t="array" ref="AQ584">VLOOKUP($A584,Table_ship_components[],COLUMN(AQ:AQ),0)</f>
        <v>0</v>
      </c>
      <c r="AR584" cm="1">
        <f t="array" ref="AR584">VLOOKUP($A584,Table_ship_components[],COLUMN(AR:AR),0)</f>
        <v>0</v>
      </c>
      <c r="AS584" cm="1">
        <f t="array" ref="AS584">VLOOKUP($A584,Table_ship_components[],COLUMN(AS:AS),0)</f>
        <v>0</v>
      </c>
      <c r="AT584" cm="1">
        <f t="array" ref="AT584">VLOOKUP($A584,Table_ship_components[],COLUMN(AT:AT),0)</f>
        <v>0</v>
      </c>
      <c r="AU584" s="2" cm="1">
        <f t="array" ref="AU584">VLOOKUP($A584,Table_ship_components[],COLUMN(AU:AU),0)</f>
        <v>0</v>
      </c>
      <c r="AV584" s="2" cm="1">
        <f t="array" ref="AV584">VLOOKUP($A584,Table_ship_components[],COLUMN(AV:AV),0)</f>
        <v>0</v>
      </c>
      <c r="AW584" s="2" cm="1">
        <f t="array" ref="AW584">VLOOKUP($A584,Table_ship_components[],COLUMN(AW:AW),0)</f>
        <v>0</v>
      </c>
      <c r="AX584" s="2" cm="1">
        <f t="array" ref="AX584">VLOOKUP($A584,Table_ship_components[],COLUMN(AX:AX),0)</f>
        <v>0</v>
      </c>
      <c r="AY584" s="2" cm="1">
        <f t="array" ref="AY584">VLOOKUP($A584,Table_ship_components[],COLUMN(AY:AY),0)</f>
        <v>0</v>
      </c>
      <c r="AZ584" s="2" t="str" cm="1">
        <f t="array" ref="AZ584">VLOOKUP($A584,Table_ship_components[],COLUMN(AZ:AZ),0)</f>
        <v>C</v>
      </c>
      <c r="BA584" s="14" cm="1">
        <f t="array" ref="BA584">VLOOKUP($A584,Table_ship_components[],COLUMN(BA:BA),0)</f>
        <v>0</v>
      </c>
      <c r="BB584" s="14" cm="1">
        <f t="array" ref="BB584">(VLOOKUP($A584,Table_ship_components[],COLUMN(BA:BA),0)+(W584*C584))</f>
        <v>0</v>
      </c>
      <c r="BC584" s="2" cm="1">
        <f t="array" ref="BC584">VLOOKUP($A584,Table_ship_components[],COLUMN(BC:BC),0)</f>
        <v>0</v>
      </c>
      <c r="BD584" s="2" cm="1">
        <f t="array" ref="BD584">VLOOKUP($A584,Table_ship_components[],COLUMN(BD:BD),0)</f>
        <v>0</v>
      </c>
    </row>
    <row r="585" spans="1:56" outlineLevel="1" x14ac:dyDescent="0.35">
      <c r="A585" t="s">
        <v>288</v>
      </c>
      <c r="B585" t="str" cm="1">
        <f t="array" ref="B585">VLOOKUP($A585,Table_ship_components[],COLUMN(B:B),0)</f>
        <v>PICK A COMPONENT</v>
      </c>
      <c r="D585" cm="1">
        <f t="array" ref="D585">VLOOKUP($A585,Table_ship_components[],COLUMN(D:D),0)</f>
        <v>0</v>
      </c>
      <c r="E585" cm="1">
        <f t="array" ref="E585">ROUND(VLOOKUP($A585,Table_ship_components[],COLUMN(D:D),0)+(V585*C585),0)</f>
        <v>0</v>
      </c>
      <c r="F585" cm="1">
        <f t="array" ref="F585">VLOOKUP($A585,Table_ship_components[],COLUMN(F:F),0)</f>
        <v>0</v>
      </c>
      <c r="G585" cm="1">
        <f t="array" ref="G585">ROUND(VLOOKUP($A585,Table_ship_components[],COLUMN(G:G),0)+(X585*C585),0)</f>
        <v>0</v>
      </c>
      <c r="H585" cm="1">
        <f t="array" ref="H585">VLOOKUP($A585,Table_ship_components[],COLUMN(H:H),0)</f>
        <v>0</v>
      </c>
      <c r="I585" cm="1">
        <f t="array" ref="I585">VLOOKUP($A585,Table_ship_components[],COLUMN(I:I),0)</f>
        <v>0</v>
      </c>
      <c r="J585" cm="1">
        <f t="array" ref="J585">VLOOKUP($A585,Table_ship_components[],COLUMN(J:J),0)</f>
        <v>0</v>
      </c>
      <c r="K585" cm="1">
        <f t="array" ref="K585">VLOOKUP($A585,Table_ship_components[],COLUMN(K:K),0)</f>
        <v>0</v>
      </c>
      <c r="L585" cm="1">
        <f t="array" ref="L585">VLOOKUP($A585,Table_ship_components[],COLUMN(L:L),0)</f>
        <v>0</v>
      </c>
      <c r="M585" cm="1">
        <f t="array" ref="M585">VLOOKUP($A585,Table_ship_components[],COLUMN(M:M),0)</f>
        <v>0</v>
      </c>
      <c r="N585" cm="1">
        <f t="array" ref="N585">VLOOKUP($A585,Table_ship_components[],COLUMN(N:N),0)</f>
        <v>0</v>
      </c>
      <c r="O585" cm="1">
        <f t="array" ref="O585">VLOOKUP($A585,Table_ship_components[],COLUMN(O:O),0)</f>
        <v>0</v>
      </c>
      <c r="P585" cm="1">
        <f t="array" ref="P585">VLOOKUP($A585,Table_ship_components[],COLUMN(P:P),0)</f>
        <v>0</v>
      </c>
      <c r="Q585" cm="1">
        <f t="array" ref="Q585">VLOOKUP($A585,Table_ship_components[],COLUMN(Q:Q),0)</f>
        <v>0</v>
      </c>
      <c r="R585" cm="1">
        <f t="array" ref="R585">VLOOKUP($A585,Table_ship_components[],COLUMN(R:R),0)</f>
        <v>0</v>
      </c>
      <c r="S585" cm="1">
        <f t="array" ref="S585">VLOOKUP($A585,Table_ship_components[],COLUMN(S:S),0)</f>
        <v>0</v>
      </c>
      <c r="T585" cm="1">
        <f t="array" ref="T585">VLOOKUP($A585,Table_ship_components[],COLUMN(T:T),0)</f>
        <v>0</v>
      </c>
      <c r="U585" cm="1">
        <f t="array" ref="U585">VLOOKUP($A585,Table_ship_components[],COLUMN(U:U),0)</f>
        <v>0</v>
      </c>
      <c r="V585" cm="1">
        <f t="array" ref="V585">VLOOKUP($A585,Table_ship_components[],COLUMN(V:V),0)</f>
        <v>0</v>
      </c>
      <c r="W585" s="15" cm="1">
        <f t="array" ref="W585">VLOOKUP($A585,Table_ship_components[],COLUMN(W:W),0)</f>
        <v>0</v>
      </c>
      <c r="X585" cm="1">
        <f t="array" ref="X585">VLOOKUP($A585,Table_ship_components[],COLUMN(X:X),0)</f>
        <v>0</v>
      </c>
      <c r="Y585" cm="1">
        <f t="array" ref="Y585">VLOOKUP($A585,Table_ship_components[],COLUMN(Y:Y),0)</f>
        <v>0</v>
      </c>
      <c r="Z585" cm="1">
        <f t="array" ref="Z585">VLOOKUP($A585,Table_ship_components[],COLUMN(Z:Z),0)</f>
        <v>0</v>
      </c>
      <c r="AA585" cm="1">
        <f t="array" ref="AA585">VLOOKUP($A585,Table_ship_components[],COLUMN(AA:AA),0)*C585</f>
        <v>0</v>
      </c>
      <c r="AB585">
        <f t="shared" si="57"/>
        <v>0</v>
      </c>
      <c r="AC585" cm="1">
        <f t="array" ref="AC585">VLOOKUP($A585,Table_ship_components[],COLUMN(AC:AC),0)*C585</f>
        <v>0</v>
      </c>
      <c r="AD585" cm="1">
        <f t="array" ref="AD585">VLOOKUP($A585,Table_ship_components[],COLUMN(AD:AD),0)</f>
        <v>0</v>
      </c>
      <c r="AE585" cm="1">
        <f t="array" ref="AE585">VLOOKUP($A585,Table_ship_components[],COLUMN(AE:AE),0)</f>
        <v>0</v>
      </c>
      <c r="AF585" cm="1">
        <f t="array" ref="AF585">VLOOKUP($A585,Table_ship_components[],COLUMN(AF:AF),0)</f>
        <v>0</v>
      </c>
      <c r="AG585" cm="1">
        <f t="array" ref="AG585">VLOOKUP($A585,Table_ship_components[],COLUMN(AG:AG),0)</f>
        <v>0</v>
      </c>
      <c r="AH585" cm="1">
        <f t="array" ref="AH585">VLOOKUP($A585,Table_ship_components[],COLUMN(AH:AH),0)</f>
        <v>0</v>
      </c>
      <c r="AI585" cm="1">
        <f t="array" ref="AI585">VLOOKUP($A585,Table_ship_components[],COLUMN(AI:AI),0)</f>
        <v>0</v>
      </c>
      <c r="AJ585" cm="1">
        <f t="array" ref="AJ585">VLOOKUP($A585,Table_ship_components[],COLUMN(AJ:AJ),0)</f>
        <v>0</v>
      </c>
      <c r="AK585" cm="1">
        <f t="array" ref="AK585">VLOOKUP($A585,Table_ship_components[],COLUMN(AK:AK),0)</f>
        <v>0</v>
      </c>
      <c r="AL585" cm="1">
        <f t="array" ref="AL585">VLOOKUP($A585,Table_ship_components[],COLUMN(AL:AL),0)</f>
        <v>0</v>
      </c>
      <c r="AM585" cm="1">
        <f t="array" ref="AM585">VLOOKUP($A585,Table_ship_components[],COLUMN(AM:AM),0)</f>
        <v>0</v>
      </c>
      <c r="AN585" cm="1">
        <f t="array" ref="AN585">VLOOKUP($A585,Table_ship_components[],COLUMN(AN:AN),0)</f>
        <v>0</v>
      </c>
      <c r="AO585" cm="1">
        <f t="array" ref="AO585">VLOOKUP($A585,Table_ship_components[],COLUMN(AO:AO),0)</f>
        <v>0</v>
      </c>
      <c r="AP585" cm="1">
        <f t="array" ref="AP585">VLOOKUP($A585,Table_ship_components[],COLUMN(AP:AP),0)</f>
        <v>0</v>
      </c>
      <c r="AQ585" cm="1">
        <f t="array" ref="AQ585">VLOOKUP($A585,Table_ship_components[],COLUMN(AQ:AQ),0)</f>
        <v>0</v>
      </c>
      <c r="AR585" cm="1">
        <f t="array" ref="AR585">VLOOKUP($A585,Table_ship_components[],COLUMN(AR:AR),0)</f>
        <v>0</v>
      </c>
      <c r="AS585" cm="1">
        <f t="array" ref="AS585">VLOOKUP($A585,Table_ship_components[],COLUMN(AS:AS),0)</f>
        <v>0</v>
      </c>
      <c r="AT585" cm="1">
        <f t="array" ref="AT585">VLOOKUP($A585,Table_ship_components[],COLUMN(AT:AT),0)</f>
        <v>0</v>
      </c>
      <c r="AU585" s="2" cm="1">
        <f t="array" ref="AU585">VLOOKUP($A585,Table_ship_components[],COLUMN(AU:AU),0)</f>
        <v>0</v>
      </c>
      <c r="AV585" s="2" cm="1">
        <f t="array" ref="AV585">VLOOKUP($A585,Table_ship_components[],COLUMN(AV:AV),0)</f>
        <v>0</v>
      </c>
      <c r="AW585" s="2" cm="1">
        <f t="array" ref="AW585">VLOOKUP($A585,Table_ship_components[],COLUMN(AW:AW),0)</f>
        <v>0</v>
      </c>
      <c r="AX585" s="2" cm="1">
        <f t="array" ref="AX585">VLOOKUP($A585,Table_ship_components[],COLUMN(AX:AX),0)</f>
        <v>0</v>
      </c>
      <c r="AY585" s="2" cm="1">
        <f t="array" ref="AY585">VLOOKUP($A585,Table_ship_components[],COLUMN(AY:AY),0)</f>
        <v>0</v>
      </c>
      <c r="AZ585" s="2" t="str" cm="1">
        <f t="array" ref="AZ585">VLOOKUP($A585,Table_ship_components[],COLUMN(AZ:AZ),0)</f>
        <v>C</v>
      </c>
      <c r="BA585" s="14" cm="1">
        <f t="array" ref="BA585">VLOOKUP($A585,Table_ship_components[],COLUMN(BA:BA),0)</f>
        <v>0</v>
      </c>
      <c r="BB585" s="14" cm="1">
        <f t="array" ref="BB585">(VLOOKUP($A585,Table_ship_components[],COLUMN(BA:BA),0)+(W585*C585))</f>
        <v>0</v>
      </c>
      <c r="BC585" s="2" cm="1">
        <f t="array" ref="BC585">VLOOKUP($A585,Table_ship_components[],COLUMN(BC:BC),0)</f>
        <v>0</v>
      </c>
      <c r="BD585" s="2" cm="1">
        <f t="array" ref="BD585">VLOOKUP($A585,Table_ship_components[],COLUMN(BD:BD),0)</f>
        <v>0</v>
      </c>
    </row>
    <row r="586" spans="1:56" outlineLevel="1" x14ac:dyDescent="0.35">
      <c r="A586" t="s">
        <v>288</v>
      </c>
      <c r="B586" t="str" cm="1">
        <f t="array" ref="B586">VLOOKUP($A586,Table_ship_components[],COLUMN(B:B),0)</f>
        <v>PICK A COMPONENT</v>
      </c>
      <c r="D586" cm="1">
        <f t="array" ref="D586">VLOOKUP($A586,Table_ship_components[],COLUMN(D:D),0)</f>
        <v>0</v>
      </c>
      <c r="E586" cm="1">
        <f t="array" ref="E586">ROUND(VLOOKUP($A586,Table_ship_components[],COLUMN(D:D),0)+(V586*C586),0)</f>
        <v>0</v>
      </c>
      <c r="F586" cm="1">
        <f t="array" ref="F586">VLOOKUP($A586,Table_ship_components[],COLUMN(F:F),0)</f>
        <v>0</v>
      </c>
      <c r="G586" cm="1">
        <f t="array" ref="G586">ROUND(VLOOKUP($A586,Table_ship_components[],COLUMN(G:G),0)+(X586*C586),0)</f>
        <v>0</v>
      </c>
      <c r="H586" cm="1">
        <f t="array" ref="H586">VLOOKUP($A586,Table_ship_components[],COLUMN(H:H),0)</f>
        <v>0</v>
      </c>
      <c r="I586" cm="1">
        <f t="array" ref="I586">VLOOKUP($A586,Table_ship_components[],COLUMN(I:I),0)</f>
        <v>0</v>
      </c>
      <c r="J586" cm="1">
        <f t="array" ref="J586">VLOOKUP($A586,Table_ship_components[],COLUMN(J:J),0)</f>
        <v>0</v>
      </c>
      <c r="K586" cm="1">
        <f t="array" ref="K586">VLOOKUP($A586,Table_ship_components[],COLUMN(K:K),0)</f>
        <v>0</v>
      </c>
      <c r="L586" cm="1">
        <f t="array" ref="L586">VLOOKUP($A586,Table_ship_components[],COLUMN(L:L),0)</f>
        <v>0</v>
      </c>
      <c r="M586" cm="1">
        <f t="array" ref="M586">VLOOKUP($A586,Table_ship_components[],COLUMN(M:M),0)</f>
        <v>0</v>
      </c>
      <c r="N586" cm="1">
        <f t="array" ref="N586">VLOOKUP($A586,Table_ship_components[],COLUMN(N:N),0)</f>
        <v>0</v>
      </c>
      <c r="O586" cm="1">
        <f t="array" ref="O586">VLOOKUP($A586,Table_ship_components[],COLUMN(O:O),0)</f>
        <v>0</v>
      </c>
      <c r="P586" cm="1">
        <f t="array" ref="P586">VLOOKUP($A586,Table_ship_components[],COLUMN(P:P),0)</f>
        <v>0</v>
      </c>
      <c r="Q586" cm="1">
        <f t="array" ref="Q586">VLOOKUP($A586,Table_ship_components[],COLUMN(Q:Q),0)</f>
        <v>0</v>
      </c>
      <c r="R586" cm="1">
        <f t="array" ref="R586">VLOOKUP($A586,Table_ship_components[],COLUMN(R:R),0)</f>
        <v>0</v>
      </c>
      <c r="S586" cm="1">
        <f t="array" ref="S586">VLOOKUP($A586,Table_ship_components[],COLUMN(S:S),0)</f>
        <v>0</v>
      </c>
      <c r="T586" cm="1">
        <f t="array" ref="T586">VLOOKUP($A586,Table_ship_components[],COLUMN(T:T),0)</f>
        <v>0</v>
      </c>
      <c r="U586" cm="1">
        <f t="array" ref="U586">VLOOKUP($A586,Table_ship_components[],COLUMN(U:U),0)</f>
        <v>0</v>
      </c>
      <c r="V586" cm="1">
        <f t="array" ref="V586">VLOOKUP($A586,Table_ship_components[],COLUMN(V:V),0)</f>
        <v>0</v>
      </c>
      <c r="W586" s="15" cm="1">
        <f t="array" ref="W586">VLOOKUP($A586,Table_ship_components[],COLUMN(W:W),0)</f>
        <v>0</v>
      </c>
      <c r="X586" cm="1">
        <f t="array" ref="X586">VLOOKUP($A586,Table_ship_components[],COLUMN(X:X),0)</f>
        <v>0</v>
      </c>
      <c r="Y586" cm="1">
        <f t="array" ref="Y586">VLOOKUP($A586,Table_ship_components[],COLUMN(Y:Y),0)</f>
        <v>0</v>
      </c>
      <c r="Z586" cm="1">
        <f t="array" ref="Z586">VLOOKUP($A586,Table_ship_components[],COLUMN(Z:Z),0)</f>
        <v>0</v>
      </c>
      <c r="AA586" cm="1">
        <f t="array" ref="AA586">VLOOKUP($A586,Table_ship_components[],COLUMN(AA:AA),0)*C586</f>
        <v>0</v>
      </c>
      <c r="AB586">
        <f t="shared" si="57"/>
        <v>0</v>
      </c>
      <c r="AC586" cm="1">
        <f t="array" ref="AC586">VLOOKUP($A586,Table_ship_components[],COLUMN(AC:AC),0)*C586</f>
        <v>0</v>
      </c>
      <c r="AD586" cm="1">
        <f t="array" ref="AD586">VLOOKUP($A586,Table_ship_components[],COLUMN(AD:AD),0)</f>
        <v>0</v>
      </c>
      <c r="AE586" cm="1">
        <f t="array" ref="AE586">VLOOKUP($A586,Table_ship_components[],COLUMN(AE:AE),0)</f>
        <v>0</v>
      </c>
      <c r="AF586" cm="1">
        <f t="array" ref="AF586">VLOOKUP($A586,Table_ship_components[],COLUMN(AF:AF),0)</f>
        <v>0</v>
      </c>
      <c r="AG586" cm="1">
        <f t="array" ref="AG586">VLOOKUP($A586,Table_ship_components[],COLUMN(AG:AG),0)</f>
        <v>0</v>
      </c>
      <c r="AH586" cm="1">
        <f t="array" ref="AH586">VLOOKUP($A586,Table_ship_components[],COLUMN(AH:AH),0)</f>
        <v>0</v>
      </c>
      <c r="AI586" cm="1">
        <f t="array" ref="AI586">VLOOKUP($A586,Table_ship_components[],COLUMN(AI:AI),0)</f>
        <v>0</v>
      </c>
      <c r="AJ586" cm="1">
        <f t="array" ref="AJ586">VLOOKUP($A586,Table_ship_components[],COLUMN(AJ:AJ),0)</f>
        <v>0</v>
      </c>
      <c r="AK586" cm="1">
        <f t="array" ref="AK586">VLOOKUP($A586,Table_ship_components[],COLUMN(AK:AK),0)</f>
        <v>0</v>
      </c>
      <c r="AL586" cm="1">
        <f t="array" ref="AL586">VLOOKUP($A586,Table_ship_components[],COLUMN(AL:AL),0)</f>
        <v>0</v>
      </c>
      <c r="AM586" cm="1">
        <f t="array" ref="AM586">VLOOKUP($A586,Table_ship_components[],COLUMN(AM:AM),0)</f>
        <v>0</v>
      </c>
      <c r="AN586" cm="1">
        <f t="array" ref="AN586">VLOOKUP($A586,Table_ship_components[],COLUMN(AN:AN),0)</f>
        <v>0</v>
      </c>
      <c r="AO586" cm="1">
        <f t="array" ref="AO586">VLOOKUP($A586,Table_ship_components[],COLUMN(AO:AO),0)</f>
        <v>0</v>
      </c>
      <c r="AP586" cm="1">
        <f t="array" ref="AP586">VLOOKUP($A586,Table_ship_components[],COLUMN(AP:AP),0)</f>
        <v>0</v>
      </c>
      <c r="AQ586" cm="1">
        <f t="array" ref="AQ586">VLOOKUP($A586,Table_ship_components[],COLUMN(AQ:AQ),0)</f>
        <v>0</v>
      </c>
      <c r="AR586" cm="1">
        <f t="array" ref="AR586">VLOOKUP($A586,Table_ship_components[],COLUMN(AR:AR),0)</f>
        <v>0</v>
      </c>
      <c r="AS586" cm="1">
        <f t="array" ref="AS586">VLOOKUP($A586,Table_ship_components[],COLUMN(AS:AS),0)</f>
        <v>0</v>
      </c>
      <c r="AT586" cm="1">
        <f t="array" ref="AT586">VLOOKUP($A586,Table_ship_components[],COLUMN(AT:AT),0)</f>
        <v>0</v>
      </c>
      <c r="AU586" s="2" cm="1">
        <f t="array" ref="AU586">VLOOKUP($A586,Table_ship_components[],COLUMN(AU:AU),0)</f>
        <v>0</v>
      </c>
      <c r="AV586" s="2" cm="1">
        <f t="array" ref="AV586">VLOOKUP($A586,Table_ship_components[],COLUMN(AV:AV),0)</f>
        <v>0</v>
      </c>
      <c r="AW586" s="2" cm="1">
        <f t="array" ref="AW586">VLOOKUP($A586,Table_ship_components[],COLUMN(AW:AW),0)</f>
        <v>0</v>
      </c>
      <c r="AX586" s="2" cm="1">
        <f t="array" ref="AX586">VLOOKUP($A586,Table_ship_components[],COLUMN(AX:AX),0)</f>
        <v>0</v>
      </c>
      <c r="AY586" s="2" cm="1">
        <f t="array" ref="AY586">VLOOKUP($A586,Table_ship_components[],COLUMN(AY:AY),0)</f>
        <v>0</v>
      </c>
      <c r="AZ586" s="2" t="str" cm="1">
        <f t="array" ref="AZ586">VLOOKUP($A586,Table_ship_components[],COLUMN(AZ:AZ),0)</f>
        <v>C</v>
      </c>
      <c r="BA586" s="14" cm="1">
        <f t="array" ref="BA586">VLOOKUP($A586,Table_ship_components[],COLUMN(BA:BA),0)</f>
        <v>0</v>
      </c>
      <c r="BB586" s="14" cm="1">
        <f t="array" ref="BB586">(VLOOKUP($A586,Table_ship_components[],COLUMN(BA:BA),0)+(W586*C586))</f>
        <v>0</v>
      </c>
      <c r="BC586" s="2" cm="1">
        <f t="array" ref="BC586">VLOOKUP($A586,Table_ship_components[],COLUMN(BC:BC),0)</f>
        <v>0</v>
      </c>
      <c r="BD586" s="2" cm="1">
        <f t="array" ref="BD586">VLOOKUP($A586,Table_ship_components[],COLUMN(BD:BD),0)</f>
        <v>0</v>
      </c>
    </row>
    <row r="587" spans="1:56" outlineLevel="1" x14ac:dyDescent="0.35">
      <c r="A587" t="s">
        <v>288</v>
      </c>
      <c r="B587" t="str" cm="1">
        <f t="array" ref="B587">VLOOKUP($A587,Table_ship_components[],COLUMN(B:B),0)</f>
        <v>PICK A COMPONENT</v>
      </c>
      <c r="D587" cm="1">
        <f t="array" ref="D587">VLOOKUP($A587,Table_ship_components[],COLUMN(D:D),0)</f>
        <v>0</v>
      </c>
      <c r="E587" cm="1">
        <f t="array" ref="E587">ROUND(VLOOKUP($A587,Table_ship_components[],COLUMN(D:D),0)+(V587*C587),0)</f>
        <v>0</v>
      </c>
      <c r="F587" cm="1">
        <f t="array" ref="F587">VLOOKUP($A587,Table_ship_components[],COLUMN(F:F),0)</f>
        <v>0</v>
      </c>
      <c r="G587" cm="1">
        <f t="array" ref="G587">ROUND(VLOOKUP($A587,Table_ship_components[],COLUMN(G:G),0)+(X587*C587),0)</f>
        <v>0</v>
      </c>
      <c r="H587" cm="1">
        <f t="array" ref="H587">VLOOKUP($A587,Table_ship_components[],COLUMN(H:H),0)</f>
        <v>0</v>
      </c>
      <c r="I587" cm="1">
        <f t="array" ref="I587">VLOOKUP($A587,Table_ship_components[],COLUMN(I:I),0)</f>
        <v>0</v>
      </c>
      <c r="J587" cm="1">
        <f t="array" ref="J587">VLOOKUP($A587,Table_ship_components[],COLUMN(J:J),0)</f>
        <v>0</v>
      </c>
      <c r="K587" cm="1">
        <f t="array" ref="K587">VLOOKUP($A587,Table_ship_components[],COLUMN(K:K),0)</f>
        <v>0</v>
      </c>
      <c r="L587" cm="1">
        <f t="array" ref="L587">VLOOKUP($A587,Table_ship_components[],COLUMN(L:L),0)</f>
        <v>0</v>
      </c>
      <c r="M587" cm="1">
        <f t="array" ref="M587">VLOOKUP($A587,Table_ship_components[],COLUMN(M:M),0)</f>
        <v>0</v>
      </c>
      <c r="N587" cm="1">
        <f t="array" ref="N587">VLOOKUP($A587,Table_ship_components[],COLUMN(N:N),0)</f>
        <v>0</v>
      </c>
      <c r="O587" cm="1">
        <f t="array" ref="O587">VLOOKUP($A587,Table_ship_components[],COLUMN(O:O),0)</f>
        <v>0</v>
      </c>
      <c r="P587" cm="1">
        <f t="array" ref="P587">VLOOKUP($A587,Table_ship_components[],COLUMN(P:P),0)</f>
        <v>0</v>
      </c>
      <c r="Q587" cm="1">
        <f t="array" ref="Q587">VLOOKUP($A587,Table_ship_components[],COLUMN(Q:Q),0)</f>
        <v>0</v>
      </c>
      <c r="R587" cm="1">
        <f t="array" ref="R587">VLOOKUP($A587,Table_ship_components[],COLUMN(R:R),0)</f>
        <v>0</v>
      </c>
      <c r="S587" cm="1">
        <f t="array" ref="S587">VLOOKUP($A587,Table_ship_components[],COLUMN(S:S),0)</f>
        <v>0</v>
      </c>
      <c r="T587" cm="1">
        <f t="array" ref="T587">VLOOKUP($A587,Table_ship_components[],COLUMN(T:T),0)</f>
        <v>0</v>
      </c>
      <c r="U587" cm="1">
        <f t="array" ref="U587">VLOOKUP($A587,Table_ship_components[],COLUMN(U:U),0)</f>
        <v>0</v>
      </c>
      <c r="V587" cm="1">
        <f t="array" ref="V587">VLOOKUP($A587,Table_ship_components[],COLUMN(V:V),0)</f>
        <v>0</v>
      </c>
      <c r="W587" s="15" cm="1">
        <f t="array" ref="W587">VLOOKUP($A587,Table_ship_components[],COLUMN(W:W),0)</f>
        <v>0</v>
      </c>
      <c r="X587" cm="1">
        <f t="array" ref="X587">VLOOKUP($A587,Table_ship_components[],COLUMN(X:X),0)</f>
        <v>0</v>
      </c>
      <c r="Y587" cm="1">
        <f t="array" ref="Y587">VLOOKUP($A587,Table_ship_components[],COLUMN(Y:Y),0)</f>
        <v>0</v>
      </c>
      <c r="Z587" cm="1">
        <f t="array" ref="Z587">VLOOKUP($A587,Table_ship_components[],COLUMN(Z:Z),0)</f>
        <v>0</v>
      </c>
      <c r="AA587" cm="1">
        <f t="array" ref="AA587">VLOOKUP($A587,Table_ship_components[],COLUMN(AA:AA),0)*C587</f>
        <v>0</v>
      </c>
      <c r="AB587">
        <f t="shared" si="57"/>
        <v>0</v>
      </c>
      <c r="AC587" cm="1">
        <f t="array" ref="AC587">VLOOKUP($A587,Table_ship_components[],COLUMN(AC:AC),0)*C587</f>
        <v>0</v>
      </c>
      <c r="AD587" cm="1">
        <f t="array" ref="AD587">VLOOKUP($A587,Table_ship_components[],COLUMN(AD:AD),0)</f>
        <v>0</v>
      </c>
      <c r="AE587" cm="1">
        <f t="array" ref="AE587">VLOOKUP($A587,Table_ship_components[],COLUMN(AE:AE),0)</f>
        <v>0</v>
      </c>
      <c r="AF587" cm="1">
        <f t="array" ref="AF587">VLOOKUP($A587,Table_ship_components[],COLUMN(AF:AF),0)</f>
        <v>0</v>
      </c>
      <c r="AG587" cm="1">
        <f t="array" ref="AG587">VLOOKUP($A587,Table_ship_components[],COLUMN(AG:AG),0)</f>
        <v>0</v>
      </c>
      <c r="AH587" cm="1">
        <f t="array" ref="AH587">VLOOKUP($A587,Table_ship_components[],COLUMN(AH:AH),0)</f>
        <v>0</v>
      </c>
      <c r="AI587" cm="1">
        <f t="array" ref="AI587">VLOOKUP($A587,Table_ship_components[],COLUMN(AI:AI),0)</f>
        <v>0</v>
      </c>
      <c r="AJ587" cm="1">
        <f t="array" ref="AJ587">VLOOKUP($A587,Table_ship_components[],COLUMN(AJ:AJ),0)</f>
        <v>0</v>
      </c>
      <c r="AK587" cm="1">
        <f t="array" ref="AK587">VLOOKUP($A587,Table_ship_components[],COLUMN(AK:AK),0)</f>
        <v>0</v>
      </c>
      <c r="AL587" cm="1">
        <f t="array" ref="AL587">VLOOKUP($A587,Table_ship_components[],COLUMN(AL:AL),0)</f>
        <v>0</v>
      </c>
      <c r="AM587" cm="1">
        <f t="array" ref="AM587">VLOOKUP($A587,Table_ship_components[],COLUMN(AM:AM),0)</f>
        <v>0</v>
      </c>
      <c r="AN587" cm="1">
        <f t="array" ref="AN587">VLOOKUP($A587,Table_ship_components[],COLUMN(AN:AN),0)</f>
        <v>0</v>
      </c>
      <c r="AO587" cm="1">
        <f t="array" ref="AO587">VLOOKUP($A587,Table_ship_components[],COLUMN(AO:AO),0)</f>
        <v>0</v>
      </c>
      <c r="AP587" cm="1">
        <f t="array" ref="AP587">VLOOKUP($A587,Table_ship_components[],COLUMN(AP:AP),0)</f>
        <v>0</v>
      </c>
      <c r="AQ587" cm="1">
        <f t="array" ref="AQ587">VLOOKUP($A587,Table_ship_components[],COLUMN(AQ:AQ),0)</f>
        <v>0</v>
      </c>
      <c r="AR587" cm="1">
        <f t="array" ref="AR587">VLOOKUP($A587,Table_ship_components[],COLUMN(AR:AR),0)</f>
        <v>0</v>
      </c>
      <c r="AS587" cm="1">
        <f t="array" ref="AS587">VLOOKUP($A587,Table_ship_components[],COLUMN(AS:AS),0)</f>
        <v>0</v>
      </c>
      <c r="AT587" cm="1">
        <f t="array" ref="AT587">VLOOKUP($A587,Table_ship_components[],COLUMN(AT:AT),0)</f>
        <v>0</v>
      </c>
      <c r="AU587" s="2" cm="1">
        <f t="array" ref="AU587">VLOOKUP($A587,Table_ship_components[],COLUMN(AU:AU),0)</f>
        <v>0</v>
      </c>
      <c r="AV587" s="2" cm="1">
        <f t="array" ref="AV587">VLOOKUP($A587,Table_ship_components[],COLUMN(AV:AV),0)</f>
        <v>0</v>
      </c>
      <c r="AW587" s="2" cm="1">
        <f t="array" ref="AW587">VLOOKUP($A587,Table_ship_components[],COLUMN(AW:AW),0)</f>
        <v>0</v>
      </c>
      <c r="AX587" s="2" cm="1">
        <f t="array" ref="AX587">VLOOKUP($A587,Table_ship_components[],COLUMN(AX:AX),0)</f>
        <v>0</v>
      </c>
      <c r="AY587" s="2" cm="1">
        <f t="array" ref="AY587">VLOOKUP($A587,Table_ship_components[],COLUMN(AY:AY),0)</f>
        <v>0</v>
      </c>
      <c r="AZ587" s="2" t="str" cm="1">
        <f t="array" ref="AZ587">VLOOKUP($A587,Table_ship_components[],COLUMN(AZ:AZ),0)</f>
        <v>C</v>
      </c>
      <c r="BA587" s="14" cm="1">
        <f t="array" ref="BA587">VLOOKUP($A587,Table_ship_components[],COLUMN(BA:BA),0)</f>
        <v>0</v>
      </c>
      <c r="BB587" s="14" cm="1">
        <f t="array" ref="BB587">(VLOOKUP($A587,Table_ship_components[],COLUMN(BA:BA),0)+(W587*C587))</f>
        <v>0</v>
      </c>
      <c r="BC587" s="2" cm="1">
        <f t="array" ref="BC587">VLOOKUP($A587,Table_ship_components[],COLUMN(BC:BC),0)</f>
        <v>0</v>
      </c>
      <c r="BD587" s="2" cm="1">
        <f t="array" ref="BD587">VLOOKUP($A587,Table_ship_components[],COLUMN(BD:BD),0)</f>
        <v>0</v>
      </c>
    </row>
    <row r="588" spans="1:56" outlineLevel="1" x14ac:dyDescent="0.35">
      <c r="A588" t="s">
        <v>288</v>
      </c>
      <c r="B588" t="str" cm="1">
        <f t="array" ref="B588">VLOOKUP($A588,Table_ship_components[],COLUMN(B:B),0)</f>
        <v>PICK A COMPONENT</v>
      </c>
      <c r="D588" cm="1">
        <f t="array" ref="D588">VLOOKUP($A588,Table_ship_components[],COLUMN(D:D),0)</f>
        <v>0</v>
      </c>
      <c r="E588" cm="1">
        <f t="array" ref="E588">ROUND(VLOOKUP($A588,Table_ship_components[],COLUMN(D:D),0)+(V588*C588),0)</f>
        <v>0</v>
      </c>
      <c r="F588" cm="1">
        <f t="array" ref="F588">VLOOKUP($A588,Table_ship_components[],COLUMN(F:F),0)</f>
        <v>0</v>
      </c>
      <c r="G588" cm="1">
        <f t="array" ref="G588">ROUND(VLOOKUP($A588,Table_ship_components[],COLUMN(G:G),0)+(X588*C588),0)</f>
        <v>0</v>
      </c>
      <c r="H588" cm="1">
        <f t="array" ref="H588">VLOOKUP($A588,Table_ship_components[],COLUMN(H:H),0)</f>
        <v>0</v>
      </c>
      <c r="I588" cm="1">
        <f t="array" ref="I588">VLOOKUP($A588,Table_ship_components[],COLUMN(I:I),0)</f>
        <v>0</v>
      </c>
      <c r="J588" cm="1">
        <f t="array" ref="J588">VLOOKUP($A588,Table_ship_components[],COLUMN(J:J),0)</f>
        <v>0</v>
      </c>
      <c r="K588" cm="1">
        <f t="array" ref="K588">VLOOKUP($A588,Table_ship_components[],COLUMN(K:K),0)</f>
        <v>0</v>
      </c>
      <c r="L588" cm="1">
        <f t="array" ref="L588">VLOOKUP($A588,Table_ship_components[],COLUMN(L:L),0)</f>
        <v>0</v>
      </c>
      <c r="M588" cm="1">
        <f t="array" ref="M588">VLOOKUP($A588,Table_ship_components[],COLUMN(M:M),0)</f>
        <v>0</v>
      </c>
      <c r="N588" cm="1">
        <f t="array" ref="N588">VLOOKUP($A588,Table_ship_components[],COLUMN(N:N),0)</f>
        <v>0</v>
      </c>
      <c r="O588" cm="1">
        <f t="array" ref="O588">VLOOKUP($A588,Table_ship_components[],COLUMN(O:O),0)</f>
        <v>0</v>
      </c>
      <c r="P588" cm="1">
        <f t="array" ref="P588">VLOOKUP($A588,Table_ship_components[],COLUMN(P:P),0)</f>
        <v>0</v>
      </c>
      <c r="Q588" cm="1">
        <f t="array" ref="Q588">VLOOKUP($A588,Table_ship_components[],COLUMN(Q:Q),0)</f>
        <v>0</v>
      </c>
      <c r="R588" cm="1">
        <f t="array" ref="R588">VLOOKUP($A588,Table_ship_components[],COLUMN(R:R),0)</f>
        <v>0</v>
      </c>
      <c r="S588" cm="1">
        <f t="array" ref="S588">VLOOKUP($A588,Table_ship_components[],COLUMN(S:S),0)</f>
        <v>0</v>
      </c>
      <c r="T588" cm="1">
        <f t="array" ref="T588">VLOOKUP($A588,Table_ship_components[],COLUMN(T:T),0)</f>
        <v>0</v>
      </c>
      <c r="U588" cm="1">
        <f t="array" ref="U588">VLOOKUP($A588,Table_ship_components[],COLUMN(U:U),0)</f>
        <v>0</v>
      </c>
      <c r="V588" cm="1">
        <f t="array" ref="V588">VLOOKUP($A588,Table_ship_components[],COLUMN(V:V),0)</f>
        <v>0</v>
      </c>
      <c r="W588" s="15" cm="1">
        <f t="array" ref="W588">VLOOKUP($A588,Table_ship_components[],COLUMN(W:W),0)</f>
        <v>0</v>
      </c>
      <c r="X588" cm="1">
        <f t="array" ref="X588">VLOOKUP($A588,Table_ship_components[],COLUMN(X:X),0)</f>
        <v>0</v>
      </c>
      <c r="Y588" cm="1">
        <f t="array" ref="Y588">VLOOKUP($A588,Table_ship_components[],COLUMN(Y:Y),0)</f>
        <v>0</v>
      </c>
      <c r="Z588" cm="1">
        <f t="array" ref="Z588">VLOOKUP($A588,Table_ship_components[],COLUMN(Z:Z),0)</f>
        <v>0</v>
      </c>
      <c r="AA588" cm="1">
        <f t="array" ref="AA588">VLOOKUP($A588,Table_ship_components[],COLUMN(AA:AA),0)*C588</f>
        <v>0</v>
      </c>
      <c r="AB588">
        <f t="shared" si="57"/>
        <v>0</v>
      </c>
      <c r="AC588" cm="1">
        <f t="array" ref="AC588">VLOOKUP($A588,Table_ship_components[],COLUMN(AC:AC),0)*C588</f>
        <v>0</v>
      </c>
      <c r="AD588" cm="1">
        <f t="array" ref="AD588">VLOOKUP($A588,Table_ship_components[],COLUMN(AD:AD),0)</f>
        <v>0</v>
      </c>
      <c r="AE588" cm="1">
        <f t="array" ref="AE588">VLOOKUP($A588,Table_ship_components[],COLUMN(AE:AE),0)</f>
        <v>0</v>
      </c>
      <c r="AF588" cm="1">
        <f t="array" ref="AF588">VLOOKUP($A588,Table_ship_components[],COLUMN(AF:AF),0)</f>
        <v>0</v>
      </c>
      <c r="AG588" cm="1">
        <f t="array" ref="AG588">VLOOKUP($A588,Table_ship_components[],COLUMN(AG:AG),0)</f>
        <v>0</v>
      </c>
      <c r="AH588" cm="1">
        <f t="array" ref="AH588">VLOOKUP($A588,Table_ship_components[],COLUMN(AH:AH),0)</f>
        <v>0</v>
      </c>
      <c r="AI588" cm="1">
        <f t="array" ref="AI588">VLOOKUP($A588,Table_ship_components[],COLUMN(AI:AI),0)</f>
        <v>0</v>
      </c>
      <c r="AJ588" cm="1">
        <f t="array" ref="AJ588">VLOOKUP($A588,Table_ship_components[],COLUMN(AJ:AJ),0)</f>
        <v>0</v>
      </c>
      <c r="AK588" cm="1">
        <f t="array" ref="AK588">VLOOKUP($A588,Table_ship_components[],COLUMN(AK:AK),0)</f>
        <v>0</v>
      </c>
      <c r="AL588" cm="1">
        <f t="array" ref="AL588">VLOOKUP($A588,Table_ship_components[],COLUMN(AL:AL),0)</f>
        <v>0</v>
      </c>
      <c r="AM588" cm="1">
        <f t="array" ref="AM588">VLOOKUP($A588,Table_ship_components[],COLUMN(AM:AM),0)</f>
        <v>0</v>
      </c>
      <c r="AN588" cm="1">
        <f t="array" ref="AN588">VLOOKUP($A588,Table_ship_components[],COLUMN(AN:AN),0)</f>
        <v>0</v>
      </c>
      <c r="AO588" cm="1">
        <f t="array" ref="AO588">VLOOKUP($A588,Table_ship_components[],COLUMN(AO:AO),0)</f>
        <v>0</v>
      </c>
      <c r="AP588" cm="1">
        <f t="array" ref="AP588">VLOOKUP($A588,Table_ship_components[],COLUMN(AP:AP),0)</f>
        <v>0</v>
      </c>
      <c r="AQ588" cm="1">
        <f t="array" ref="AQ588">VLOOKUP($A588,Table_ship_components[],COLUMN(AQ:AQ),0)</f>
        <v>0</v>
      </c>
      <c r="AR588" cm="1">
        <f t="array" ref="AR588">VLOOKUP($A588,Table_ship_components[],COLUMN(AR:AR),0)</f>
        <v>0</v>
      </c>
      <c r="AS588" cm="1">
        <f t="array" ref="AS588">VLOOKUP($A588,Table_ship_components[],COLUMN(AS:AS),0)</f>
        <v>0</v>
      </c>
      <c r="AT588" cm="1">
        <f t="array" ref="AT588">VLOOKUP($A588,Table_ship_components[],COLUMN(AT:AT),0)</f>
        <v>0</v>
      </c>
      <c r="AU588" s="2" cm="1">
        <f t="array" ref="AU588">VLOOKUP($A588,Table_ship_components[],COLUMN(AU:AU),0)</f>
        <v>0</v>
      </c>
      <c r="AV588" s="2" cm="1">
        <f t="array" ref="AV588">VLOOKUP($A588,Table_ship_components[],COLUMN(AV:AV),0)</f>
        <v>0</v>
      </c>
      <c r="AW588" s="2" cm="1">
        <f t="array" ref="AW588">VLOOKUP($A588,Table_ship_components[],COLUMN(AW:AW),0)</f>
        <v>0</v>
      </c>
      <c r="AX588" s="2" cm="1">
        <f t="array" ref="AX588">VLOOKUP($A588,Table_ship_components[],COLUMN(AX:AX),0)</f>
        <v>0</v>
      </c>
      <c r="AY588" s="2" cm="1">
        <f t="array" ref="AY588">VLOOKUP($A588,Table_ship_components[],COLUMN(AY:AY),0)</f>
        <v>0</v>
      </c>
      <c r="AZ588" s="2" t="str" cm="1">
        <f t="array" ref="AZ588">VLOOKUP($A588,Table_ship_components[],COLUMN(AZ:AZ),0)</f>
        <v>C</v>
      </c>
      <c r="BA588" s="14" cm="1">
        <f t="array" ref="BA588">VLOOKUP($A588,Table_ship_components[],COLUMN(BA:BA),0)</f>
        <v>0</v>
      </c>
      <c r="BB588" s="14" cm="1">
        <f t="array" ref="BB588">(VLOOKUP($A588,Table_ship_components[],COLUMN(BA:BA),0)+(W588*C588))</f>
        <v>0</v>
      </c>
      <c r="BC588" s="2" cm="1">
        <f t="array" ref="BC588">VLOOKUP($A588,Table_ship_components[],COLUMN(BC:BC),0)</f>
        <v>0</v>
      </c>
      <c r="BD588" s="2" cm="1">
        <f t="array" ref="BD588">VLOOKUP($A588,Table_ship_components[],COLUMN(BD:BD),0)</f>
        <v>0</v>
      </c>
    </row>
    <row r="589" spans="1:56" outlineLevel="1" x14ac:dyDescent="0.35">
      <c r="A589" t="s">
        <v>288</v>
      </c>
      <c r="B589" t="str" cm="1">
        <f t="array" ref="B589">VLOOKUP($A589,Table_ship_components[],COLUMN(B:B),0)</f>
        <v>PICK A COMPONENT</v>
      </c>
      <c r="D589" cm="1">
        <f t="array" ref="D589">VLOOKUP($A589,Table_ship_components[],COLUMN(D:D),0)</f>
        <v>0</v>
      </c>
      <c r="E589" cm="1">
        <f t="array" ref="E589">ROUND(VLOOKUP($A589,Table_ship_components[],COLUMN(D:D),0)+(V589*C589),0)</f>
        <v>0</v>
      </c>
      <c r="F589" cm="1">
        <f t="array" ref="F589">VLOOKUP($A589,Table_ship_components[],COLUMN(F:F),0)</f>
        <v>0</v>
      </c>
      <c r="G589" cm="1">
        <f t="array" ref="G589">ROUND(VLOOKUP($A589,Table_ship_components[],COLUMN(G:G),0)+(X589*C589),0)</f>
        <v>0</v>
      </c>
      <c r="H589" cm="1">
        <f t="array" ref="H589">VLOOKUP($A589,Table_ship_components[],COLUMN(H:H),0)</f>
        <v>0</v>
      </c>
      <c r="I589" cm="1">
        <f t="array" ref="I589">VLOOKUP($A589,Table_ship_components[],COLUMN(I:I),0)</f>
        <v>0</v>
      </c>
      <c r="J589" cm="1">
        <f t="array" ref="J589">VLOOKUP($A589,Table_ship_components[],COLUMN(J:J),0)</f>
        <v>0</v>
      </c>
      <c r="K589" cm="1">
        <f t="array" ref="K589">VLOOKUP($A589,Table_ship_components[],COLUMN(K:K),0)</f>
        <v>0</v>
      </c>
      <c r="L589" cm="1">
        <f t="array" ref="L589">VLOOKUP($A589,Table_ship_components[],COLUMN(L:L),0)</f>
        <v>0</v>
      </c>
      <c r="M589" cm="1">
        <f t="array" ref="M589">VLOOKUP($A589,Table_ship_components[],COLUMN(M:M),0)</f>
        <v>0</v>
      </c>
      <c r="N589" cm="1">
        <f t="array" ref="N589">VLOOKUP($A589,Table_ship_components[],COLUMN(N:N),0)</f>
        <v>0</v>
      </c>
      <c r="O589" cm="1">
        <f t="array" ref="O589">VLOOKUP($A589,Table_ship_components[],COLUMN(O:O),0)</f>
        <v>0</v>
      </c>
      <c r="P589" cm="1">
        <f t="array" ref="P589">VLOOKUP($A589,Table_ship_components[],COLUMN(P:P),0)</f>
        <v>0</v>
      </c>
      <c r="Q589" cm="1">
        <f t="array" ref="Q589">VLOOKUP($A589,Table_ship_components[],COLUMN(Q:Q),0)</f>
        <v>0</v>
      </c>
      <c r="R589" cm="1">
        <f t="array" ref="R589">VLOOKUP($A589,Table_ship_components[],COLUMN(R:R),0)</f>
        <v>0</v>
      </c>
      <c r="S589" cm="1">
        <f t="array" ref="S589">VLOOKUP($A589,Table_ship_components[],COLUMN(S:S),0)</f>
        <v>0</v>
      </c>
      <c r="T589" cm="1">
        <f t="array" ref="T589">VLOOKUP($A589,Table_ship_components[],COLUMN(T:T),0)</f>
        <v>0</v>
      </c>
      <c r="U589" cm="1">
        <f t="array" ref="U589">VLOOKUP($A589,Table_ship_components[],COLUMN(U:U),0)</f>
        <v>0</v>
      </c>
      <c r="V589" cm="1">
        <f t="array" ref="V589">VLOOKUP($A589,Table_ship_components[],COLUMN(V:V),0)</f>
        <v>0</v>
      </c>
      <c r="W589" s="15" cm="1">
        <f t="array" ref="W589">VLOOKUP($A589,Table_ship_components[],COLUMN(W:W),0)</f>
        <v>0</v>
      </c>
      <c r="X589" cm="1">
        <f t="array" ref="X589">VLOOKUP($A589,Table_ship_components[],COLUMN(X:X),0)</f>
        <v>0</v>
      </c>
      <c r="Y589" cm="1">
        <f t="array" ref="Y589">VLOOKUP($A589,Table_ship_components[],COLUMN(Y:Y),0)</f>
        <v>0</v>
      </c>
      <c r="Z589" cm="1">
        <f t="array" ref="Z589">VLOOKUP($A589,Table_ship_components[],COLUMN(Z:Z),0)</f>
        <v>0</v>
      </c>
      <c r="AA589" cm="1">
        <f t="array" ref="AA589">VLOOKUP($A589,Table_ship_components[],COLUMN(AA:AA),0)*C589</f>
        <v>0</v>
      </c>
      <c r="AB589">
        <f t="shared" si="57"/>
        <v>0</v>
      </c>
      <c r="AC589" cm="1">
        <f t="array" ref="AC589">VLOOKUP($A589,Table_ship_components[],COLUMN(AC:AC),0)*C589</f>
        <v>0</v>
      </c>
      <c r="AD589" cm="1">
        <f t="array" ref="AD589">VLOOKUP($A589,Table_ship_components[],COLUMN(AD:AD),0)</f>
        <v>0</v>
      </c>
      <c r="AE589" cm="1">
        <f t="array" ref="AE589">VLOOKUP($A589,Table_ship_components[],COLUMN(AE:AE),0)</f>
        <v>0</v>
      </c>
      <c r="AF589" cm="1">
        <f t="array" ref="AF589">VLOOKUP($A589,Table_ship_components[],COLUMN(AF:AF),0)</f>
        <v>0</v>
      </c>
      <c r="AG589" cm="1">
        <f t="array" ref="AG589">VLOOKUP($A589,Table_ship_components[],COLUMN(AG:AG),0)</f>
        <v>0</v>
      </c>
      <c r="AH589" cm="1">
        <f t="array" ref="AH589">VLOOKUP($A589,Table_ship_components[],COLUMN(AH:AH),0)</f>
        <v>0</v>
      </c>
      <c r="AI589" cm="1">
        <f t="array" ref="AI589">VLOOKUP($A589,Table_ship_components[],COLUMN(AI:AI),0)</f>
        <v>0</v>
      </c>
      <c r="AJ589" cm="1">
        <f t="array" ref="AJ589">VLOOKUP($A589,Table_ship_components[],COLUMN(AJ:AJ),0)</f>
        <v>0</v>
      </c>
      <c r="AK589" cm="1">
        <f t="array" ref="AK589">VLOOKUP($A589,Table_ship_components[],COLUMN(AK:AK),0)</f>
        <v>0</v>
      </c>
      <c r="AL589" cm="1">
        <f t="array" ref="AL589">VLOOKUP($A589,Table_ship_components[],COLUMN(AL:AL),0)</f>
        <v>0</v>
      </c>
      <c r="AM589" cm="1">
        <f t="array" ref="AM589">VLOOKUP($A589,Table_ship_components[],COLUMN(AM:AM),0)</f>
        <v>0</v>
      </c>
      <c r="AN589" cm="1">
        <f t="array" ref="AN589">VLOOKUP($A589,Table_ship_components[],COLUMN(AN:AN),0)</f>
        <v>0</v>
      </c>
      <c r="AO589" cm="1">
        <f t="array" ref="AO589">VLOOKUP($A589,Table_ship_components[],COLUMN(AO:AO),0)</f>
        <v>0</v>
      </c>
      <c r="AP589" cm="1">
        <f t="array" ref="AP589">VLOOKUP($A589,Table_ship_components[],COLUMN(AP:AP),0)</f>
        <v>0</v>
      </c>
      <c r="AQ589" cm="1">
        <f t="array" ref="AQ589">VLOOKUP($A589,Table_ship_components[],COLUMN(AQ:AQ),0)</f>
        <v>0</v>
      </c>
      <c r="AR589" cm="1">
        <f t="array" ref="AR589">VLOOKUP($A589,Table_ship_components[],COLUMN(AR:AR),0)</f>
        <v>0</v>
      </c>
      <c r="AS589" cm="1">
        <f t="array" ref="AS589">VLOOKUP($A589,Table_ship_components[],COLUMN(AS:AS),0)</f>
        <v>0</v>
      </c>
      <c r="AT589" cm="1">
        <f t="array" ref="AT589">VLOOKUP($A589,Table_ship_components[],COLUMN(AT:AT),0)</f>
        <v>0</v>
      </c>
      <c r="AU589" s="2" cm="1">
        <f t="array" ref="AU589">VLOOKUP($A589,Table_ship_components[],COLUMN(AU:AU),0)</f>
        <v>0</v>
      </c>
      <c r="AV589" s="2" cm="1">
        <f t="array" ref="AV589">VLOOKUP($A589,Table_ship_components[],COLUMN(AV:AV),0)</f>
        <v>0</v>
      </c>
      <c r="AW589" s="2" cm="1">
        <f t="array" ref="AW589">VLOOKUP($A589,Table_ship_components[],COLUMN(AW:AW),0)</f>
        <v>0</v>
      </c>
      <c r="AX589" s="2" cm="1">
        <f t="array" ref="AX589">VLOOKUP($A589,Table_ship_components[],COLUMN(AX:AX),0)</f>
        <v>0</v>
      </c>
      <c r="AY589" s="2" cm="1">
        <f t="array" ref="AY589">VLOOKUP($A589,Table_ship_components[],COLUMN(AY:AY),0)</f>
        <v>0</v>
      </c>
      <c r="AZ589" s="2" t="str" cm="1">
        <f t="array" ref="AZ589">VLOOKUP($A589,Table_ship_components[],COLUMN(AZ:AZ),0)</f>
        <v>C</v>
      </c>
      <c r="BA589" s="14" cm="1">
        <f t="array" ref="BA589">VLOOKUP($A589,Table_ship_components[],COLUMN(BA:BA),0)</f>
        <v>0</v>
      </c>
      <c r="BB589" s="14" cm="1">
        <f t="array" ref="BB589">(VLOOKUP($A589,Table_ship_components[],COLUMN(BA:BA),0)+(W589*C589))</f>
        <v>0</v>
      </c>
      <c r="BC589" s="2" cm="1">
        <f t="array" ref="BC589">VLOOKUP($A589,Table_ship_components[],COLUMN(BC:BC),0)</f>
        <v>0</v>
      </c>
      <c r="BD589" s="2" cm="1">
        <f t="array" ref="BD589">VLOOKUP($A589,Table_ship_components[],COLUMN(BD:BD),0)</f>
        <v>0</v>
      </c>
    </row>
    <row r="590" spans="1:56" ht="15" outlineLevel="1" thickBot="1" x14ac:dyDescent="0.4">
      <c r="D590" s="32"/>
      <c r="E590" s="32">
        <f>SUM(E559:E589)</f>
        <v>50</v>
      </c>
      <c r="F590" s="32"/>
      <c r="G590" s="32">
        <f t="shared" ref="G590:L590" si="58">SUM(G559:G589)</f>
        <v>22</v>
      </c>
      <c r="H590" s="32">
        <f t="shared" si="58"/>
        <v>5</v>
      </c>
      <c r="I590" s="32">
        <f t="shared" si="58"/>
        <v>30</v>
      </c>
      <c r="J590" s="32">
        <f t="shared" si="58"/>
        <v>0</v>
      </c>
      <c r="K590" s="32">
        <f t="shared" si="58"/>
        <v>25</v>
      </c>
      <c r="L590" s="32">
        <f t="shared" si="58"/>
        <v>5</v>
      </c>
      <c r="M590" s="32"/>
      <c r="N590" s="32"/>
      <c r="O590" s="32"/>
      <c r="P590" s="32"/>
      <c r="Q590" s="32"/>
      <c r="R590" s="32"/>
      <c r="S590" s="32"/>
      <c r="T590" s="32"/>
      <c r="U590" s="32"/>
      <c r="V590" s="32"/>
      <c r="W590" s="32"/>
      <c r="X590" s="32"/>
      <c r="Y590" s="32">
        <f t="shared" ref="Y590:AY590" si="59">SUM(Y559:Y589)</f>
        <v>1</v>
      </c>
      <c r="Z590" s="32">
        <f t="shared" si="59"/>
        <v>2</v>
      </c>
      <c r="AA590" s="32">
        <f t="shared" si="59"/>
        <v>0</v>
      </c>
      <c r="AB590" s="32">
        <f t="shared" si="59"/>
        <v>2</v>
      </c>
      <c r="AC590" s="32">
        <f t="shared" si="59"/>
        <v>0</v>
      </c>
      <c r="AD590" s="32">
        <f t="shared" si="59"/>
        <v>50</v>
      </c>
      <c r="AE590" s="32">
        <f t="shared" si="59"/>
        <v>0</v>
      </c>
      <c r="AF590" s="32">
        <f t="shared" si="59"/>
        <v>0</v>
      </c>
      <c r="AG590" s="32">
        <f t="shared" si="59"/>
        <v>2</v>
      </c>
      <c r="AH590" s="32">
        <f t="shared" si="59"/>
        <v>2000</v>
      </c>
      <c r="AI590" s="32">
        <f t="shared" si="59"/>
        <v>10000</v>
      </c>
      <c r="AJ590" s="32">
        <f t="shared" si="59"/>
        <v>0</v>
      </c>
      <c r="AK590" s="32">
        <f t="shared" si="59"/>
        <v>0</v>
      </c>
      <c r="AL590" s="32">
        <f t="shared" si="59"/>
        <v>2</v>
      </c>
      <c r="AM590" s="32">
        <f t="shared" si="59"/>
        <v>2</v>
      </c>
      <c r="AN590" s="32">
        <f t="shared" si="59"/>
        <v>5</v>
      </c>
      <c r="AO590" s="32">
        <f t="shared" si="59"/>
        <v>2</v>
      </c>
      <c r="AP590" s="32">
        <f t="shared" si="59"/>
        <v>5</v>
      </c>
      <c r="AQ590" s="32">
        <f t="shared" si="59"/>
        <v>0</v>
      </c>
      <c r="AR590" s="32">
        <f t="shared" si="59"/>
        <v>4</v>
      </c>
      <c r="AS590" s="32">
        <f t="shared" si="59"/>
        <v>4</v>
      </c>
      <c r="AT590" s="32">
        <f t="shared" si="59"/>
        <v>3</v>
      </c>
      <c r="AU590" s="32">
        <f t="shared" si="59"/>
        <v>4</v>
      </c>
      <c r="AV590" s="32">
        <f t="shared" si="59"/>
        <v>50</v>
      </c>
      <c r="AW590" s="32">
        <f t="shared" si="59"/>
        <v>10</v>
      </c>
      <c r="AX590" s="32">
        <f t="shared" si="59"/>
        <v>30</v>
      </c>
      <c r="AY590" s="32">
        <f t="shared" si="59"/>
        <v>10</v>
      </c>
      <c r="AZ590" s="32"/>
      <c r="BA590" s="33">
        <f>SUM(BA559:BA589)</f>
        <v>4070000</v>
      </c>
      <c r="BB590" s="33">
        <f>SUM(BB559:BB589)</f>
        <v>4080000</v>
      </c>
      <c r="BC590" s="32"/>
      <c r="BD590" s="32"/>
    </row>
    <row r="591" spans="1:56" ht="19" outlineLevel="1" thickTop="1" x14ac:dyDescent="0.45">
      <c r="A591" s="35" t="s">
        <v>691</v>
      </c>
      <c r="B591" s="34">
        <f>BB590</f>
        <v>4080000</v>
      </c>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c r="AX591" s="36"/>
      <c r="AY591" s="36"/>
      <c r="AZ591" s="36"/>
      <c r="BA591" s="37"/>
      <c r="BB591" s="37"/>
      <c r="BC591" s="36"/>
      <c r="BD591" s="36"/>
    </row>
    <row r="592" spans="1:56" ht="21" x14ac:dyDescent="0.5">
      <c r="A592" s="38" t="s">
        <v>166</v>
      </c>
      <c r="B592" s="38" t="s">
        <v>743</v>
      </c>
    </row>
    <row r="593" spans="1:56" outlineLevel="1" x14ac:dyDescent="0.35">
      <c r="A593" t="s">
        <v>724</v>
      </c>
      <c r="B593" t="str" cm="1">
        <f t="array" ref="B593">VLOOKUP($A593,Table_ship_components[],COLUMN(B:B),0)</f>
        <v>suicide drone template</v>
      </c>
      <c r="D593" cm="1">
        <f t="array" ref="D593">VLOOKUP($A593,Table_ship_components[],COLUMN(D:D),0)</f>
        <v>0</v>
      </c>
      <c r="E593" cm="1">
        <f t="array" ref="E593">(VLOOKUP($A593,Table_ship_components[],COLUMN(D:D),0)+(V593*C593))</f>
        <v>0</v>
      </c>
      <c r="F593" cm="1">
        <f t="array" ref="F593">VLOOKUP($A593,Table_ship_components[],COLUMN(F:F),0)</f>
        <v>0</v>
      </c>
      <c r="G593" cm="1">
        <f t="array" ref="G593">(VLOOKUP($A593,Table_ship_components[],COLUMN(G:G),0)+(X593*C593))</f>
        <v>0</v>
      </c>
      <c r="H593" cm="1">
        <f t="array" ref="H593">VLOOKUP($A593,Table_ship_components[],COLUMN(H:H),0)</f>
        <v>0</v>
      </c>
      <c r="I593" cm="1">
        <f t="array" ref="I593">VLOOKUP($A593,Table_ship_components[],COLUMN(I:I),0)</f>
        <v>0</v>
      </c>
      <c r="J593" cm="1">
        <f t="array" ref="J593">VLOOKUP($A593,Table_ship_components[],COLUMN(J:J),0)</f>
        <v>0</v>
      </c>
      <c r="K593" cm="1">
        <f t="array" ref="K593">VLOOKUP($A593,Table_ship_components[],COLUMN(K:K),0)</f>
        <v>0</v>
      </c>
      <c r="L593" cm="1">
        <f t="array" ref="L593">VLOOKUP($A593,Table_ship_components[],COLUMN(L:L),0)</f>
        <v>0</v>
      </c>
      <c r="M593" cm="1">
        <f t="array" ref="M593">VLOOKUP($A593,Table_ship_components[],COLUMN(M:M),0)</f>
        <v>0</v>
      </c>
      <c r="N593" cm="1">
        <f t="array" ref="N593">VLOOKUP($A593,Table_ship_components[],COLUMN(N:N),0)</f>
        <v>0</v>
      </c>
      <c r="O593" cm="1">
        <f t="array" ref="O593">VLOOKUP($A593,Table_ship_components[],COLUMN(O:O),0)</f>
        <v>0</v>
      </c>
      <c r="P593" cm="1">
        <f t="array" ref="P593">VLOOKUP($A593,Table_ship_components[],COLUMN(P:P),0)</f>
        <v>0</v>
      </c>
      <c r="Q593" cm="1">
        <f t="array" ref="Q593">VLOOKUP($A593,Table_ship_components[],COLUMN(Q:Q),0)</f>
        <v>0</v>
      </c>
      <c r="R593" cm="1">
        <f t="array" ref="R593">VLOOKUP($A593,Table_ship_components[],COLUMN(R:R),0)</f>
        <v>0</v>
      </c>
      <c r="S593" cm="1">
        <f t="array" ref="S593">VLOOKUP($A593,Table_ship_components[],COLUMN(S:S),0)</f>
        <v>0</v>
      </c>
      <c r="T593" cm="1">
        <f t="array" ref="T593">VLOOKUP($A593,Table_ship_components[],COLUMN(T:T),0)</f>
        <v>0</v>
      </c>
      <c r="U593" cm="1">
        <f t="array" ref="U593">VLOOKUP($A593,Table_ship_components[],COLUMN(U:U),0)</f>
        <v>0</v>
      </c>
      <c r="V593" cm="1">
        <f t="array" ref="V593">VLOOKUP($A593,Table_ship_components[],COLUMN(V:V),0)</f>
        <v>0</v>
      </c>
      <c r="W593" s="15" cm="1">
        <f t="array" ref="W593">VLOOKUP($A593,Table_ship_components[],COLUMN(W:W),0)</f>
        <v>0</v>
      </c>
      <c r="X593" cm="1">
        <f t="array" ref="X593">VLOOKUP($A593,Table_ship_components[],COLUMN(X:X),0)</f>
        <v>0</v>
      </c>
      <c r="Y593" cm="1">
        <f t="array" ref="Y593">VLOOKUP($A593,Table_ship_components[],COLUMN(Y:Y),0)</f>
        <v>0</v>
      </c>
      <c r="Z593" cm="1">
        <f t="array" ref="Z593">VLOOKUP($A593,Table_ship_components[],COLUMN(Z:Z),0)</f>
        <v>0</v>
      </c>
      <c r="AA593" cm="1">
        <f t="array" ref="AA593">VLOOKUP($A593,Table_ship_components[],COLUMN(AA:AA),0)</f>
        <v>0</v>
      </c>
      <c r="AB593" cm="1">
        <f t="array" ref="AB593">VLOOKUP($A593,Table_ship_components[],COLUMN(AB:AB),0)</f>
        <v>0</v>
      </c>
      <c r="AC593" cm="1">
        <f t="array" ref="AC593">VLOOKUP($A593,Table_ship_components[],COLUMN(AC:AC),0)</f>
        <v>0</v>
      </c>
      <c r="AD593" cm="1">
        <f t="array" ref="AD593">VLOOKUP($A593,Table_ship_components[],COLUMN(AD:AD),0)</f>
        <v>0</v>
      </c>
      <c r="AE593" cm="1">
        <f t="array" ref="AE593">VLOOKUP($A593,Table_ship_components[],COLUMN(AE:AE),0)</f>
        <v>0</v>
      </c>
      <c r="AF593" cm="1">
        <f t="array" ref="AF593">VLOOKUP($A593,Table_ship_components[],COLUMN(AF:AF),0)</f>
        <v>0</v>
      </c>
      <c r="AG593" cm="1">
        <f t="array" ref="AG593">VLOOKUP($A593,Table_ship_components[],COLUMN(AG:AG),0)</f>
        <v>0</v>
      </c>
      <c r="AH593" cm="1">
        <f t="array" ref="AH593">VLOOKUP($A593,Table_ship_components[],COLUMN(AH:AH),0)</f>
        <v>0</v>
      </c>
      <c r="AI593" cm="1">
        <f t="array" ref="AI593">VLOOKUP($A593,Table_ship_components[],COLUMN(AI:AI),0)</f>
        <v>0</v>
      </c>
      <c r="AJ593" cm="1">
        <f t="array" ref="AJ593">VLOOKUP($A593,Table_ship_components[],COLUMN(AJ:AJ),0)</f>
        <v>0</v>
      </c>
      <c r="AK593" cm="1">
        <f t="array" ref="AK593">VLOOKUP($A593,Table_ship_components[],COLUMN(AK:AK),0)</f>
        <v>0</v>
      </c>
      <c r="AL593" cm="1">
        <f t="array" ref="AL593">VLOOKUP($A593,Table_ship_components[],COLUMN(AL:AL),0)</f>
        <v>0</v>
      </c>
      <c r="AM593" cm="1">
        <f t="array" ref="AM593">VLOOKUP($A593,Table_ship_components[],COLUMN(AM:AM),0)</f>
        <v>1</v>
      </c>
      <c r="AN593" cm="1">
        <f t="array" ref="AN593">VLOOKUP($A593,Table_ship_components[],COLUMN(AN:AN),0)</f>
        <v>5</v>
      </c>
      <c r="AO593" cm="1">
        <f t="array" ref="AO593">VLOOKUP($A593,Table_ship_components[],COLUMN(AO:AO),0)</f>
        <v>2</v>
      </c>
      <c r="AP593" cm="1">
        <f t="array" ref="AP593">VLOOKUP($A593,Table_ship_components[],COLUMN(AP:AP),0)</f>
        <v>5</v>
      </c>
      <c r="AQ593" cm="1">
        <f t="array" ref="AQ593">VLOOKUP($A593,Table_ship_components[],COLUMN(AQ:AQ),0)</f>
        <v>0</v>
      </c>
      <c r="AR593" cm="1">
        <f t="array" ref="AR593">VLOOKUP($A593,Table_ship_components[],COLUMN(AR:AR),0)</f>
        <v>3</v>
      </c>
      <c r="AS593" cm="1">
        <f t="array" ref="AS593">VLOOKUP($A593,Table_ship_components[],COLUMN(AS:AS),0)</f>
        <v>2</v>
      </c>
      <c r="AT593" cm="1">
        <f t="array" ref="AT593">VLOOKUP($A593,Table_ship_components[],COLUMN(AT:AT),0)</f>
        <v>2</v>
      </c>
      <c r="AU593" s="2" cm="1">
        <f t="array" ref="AU593">VLOOKUP($A593,Table_ship_components[],COLUMN(AU:AU),0)</f>
        <v>3</v>
      </c>
      <c r="AV593" s="2" cm="1">
        <f t="array" ref="AV593">VLOOKUP($A593,Table_ship_components[],COLUMN(AV:AV),0)</f>
        <v>25</v>
      </c>
      <c r="AW593" s="2" cm="1">
        <f t="array" ref="AW593">VLOOKUP($A593,Table_ship_components[],COLUMN(AW:AW),0)</f>
        <v>10</v>
      </c>
      <c r="AX593" s="2" cm="1">
        <f t="array" ref="AX593">VLOOKUP($A593,Table_ship_components[],COLUMN(AX:AX),0)</f>
        <v>15</v>
      </c>
      <c r="AY593" s="2" cm="1">
        <f t="array" ref="AY593">VLOOKUP($A593,Table_ship_components[],COLUMN(AY:AY),0)</f>
        <v>0</v>
      </c>
      <c r="AZ593" s="2" t="str" cm="1">
        <f t="array" ref="AZ593">VLOOKUP($A593,Table_ship_components[],COLUMN(AZ:AZ),0)</f>
        <v>C</v>
      </c>
      <c r="BA593" s="14" cm="1">
        <f t="array" ref="BA593">VLOOKUP($A593,Table_ship_components[],COLUMN(BA:BA),0)</f>
        <v>575000</v>
      </c>
      <c r="BB593" s="14" cm="1">
        <f t="array" ref="BB593">(VLOOKUP($A593,Table_ship_components[],COLUMN(BA:BA),0)+(W593*C593))</f>
        <v>575000</v>
      </c>
      <c r="BC593" s="2" cm="1">
        <f t="array" ref="BC593">VLOOKUP($A593,Table_ship_components[],COLUMN(BC:BC),0)</f>
        <v>0</v>
      </c>
      <c r="BD593" s="2" cm="1">
        <f t="array" ref="BD593">VLOOKUP($A593,Table_ship_components[],COLUMN(BD:BD),0)</f>
        <v>0</v>
      </c>
    </row>
    <row r="594" spans="1:56" outlineLevel="1" x14ac:dyDescent="0.35"/>
    <row r="595" spans="1:56" outlineLevel="1" x14ac:dyDescent="0.35">
      <c r="A595" s="40" t="str">
        <f>CONCATENATE("LIFE SUPPORT VALID : ",IF((SUM(Z624:AA624)&lt;=AC624),"YES","NO"))</f>
        <v>LIFE SUPPORT VALID : YES</v>
      </c>
      <c r="B595" s="39" t="str">
        <f>CONCATENATE("TOTAL SIZE ",(SUM(E597:E623))," TOTAL POWER ",(SUM(G597:G623))," / ",(SUM(I597:I623)))</f>
        <v>TOTAL SIZE 25 TOTAL POWER 15 / 25</v>
      </c>
    </row>
    <row r="596" spans="1:56" outlineLevel="1" x14ac:dyDescent="0.35">
      <c r="A596" s="18" t="s">
        <v>423</v>
      </c>
      <c r="B596" s="19" t="str">
        <f>CONCATENATE("SIZE ",(SUM(E597:E602)),"/", AW593,"  POWER ",(SUM(G597:G602)),)</f>
        <v>SIZE 10/10  POWER 0</v>
      </c>
      <c r="C596" s="31" t="s">
        <v>521</v>
      </c>
    </row>
    <row r="597" spans="1:56" outlineLevel="1" x14ac:dyDescent="0.35">
      <c r="A597" t="s">
        <v>544</v>
      </c>
      <c r="B597" t="str" cm="1">
        <f t="array" ref="B597">VLOOKUP($A597,Table_ship_components[],COLUMN(B:B),0)</f>
        <v>average drone power plant</v>
      </c>
      <c r="D597" cm="1">
        <f t="array" ref="D597">VLOOKUP($A597,Table_ship_components[],COLUMN(D:D),0)</f>
        <v>7</v>
      </c>
      <c r="E597" cm="1">
        <f t="array" ref="E597">ROUND(VLOOKUP($A597,Table_ship_components[],COLUMN(D:D),0)+(V597*C597),0)</f>
        <v>7</v>
      </c>
      <c r="F597" cm="1">
        <f t="array" ref="F597">VLOOKUP($A597,Table_ship_components[],COLUMN(F:F),0)</f>
        <v>0</v>
      </c>
      <c r="G597" cm="1">
        <f t="array" ref="G597">ROUND(VLOOKUP($A597,Table_ship_components[],COLUMN(G:G),0)+(X597*C597),0)</f>
        <v>0</v>
      </c>
      <c r="H597" cm="1">
        <f t="array" ref="H597">VLOOKUP($A597,Table_ship_components[],COLUMN(H:H),0)</f>
        <v>0</v>
      </c>
      <c r="I597" cm="1">
        <f t="array" ref="I597">VLOOKUP($A597,Table_ship_components[],COLUMN(I:I),0)</f>
        <v>25</v>
      </c>
      <c r="J597" cm="1">
        <f t="array" ref="J597">VLOOKUP($A597,Table_ship_components[],COLUMN(J:J),0)</f>
        <v>0</v>
      </c>
      <c r="K597" cm="1">
        <f t="array" ref="K597">VLOOKUP($A597,Table_ship_components[],COLUMN(K:K),0)</f>
        <v>0</v>
      </c>
      <c r="L597" cm="1">
        <f t="array" ref="L597">VLOOKUP($A597,Table_ship_components[],COLUMN(L:L),0)</f>
        <v>0</v>
      </c>
      <c r="M597" cm="1">
        <f t="array" ref="M597">VLOOKUP($A597,Table_ship_components[],COLUMN(M:M),0)</f>
        <v>1</v>
      </c>
      <c r="N597" cm="1">
        <f t="array" ref="N597">VLOOKUP($A597,Table_ship_components[],COLUMN(N:N),0)</f>
        <v>0</v>
      </c>
      <c r="O597" cm="1">
        <f t="array" ref="O597">VLOOKUP($A597,Table_ship_components[],COLUMN(O:O),0)</f>
        <v>0</v>
      </c>
      <c r="P597" cm="1">
        <f t="array" ref="P597">VLOOKUP($A597,Table_ship_components[],COLUMN(P:P),0)</f>
        <v>0</v>
      </c>
      <c r="Q597" cm="1">
        <f t="array" ref="Q597">VLOOKUP($A597,Table_ship_components[],COLUMN(Q:Q),0)</f>
        <v>0</v>
      </c>
      <c r="R597" cm="1">
        <f t="array" ref="R597">VLOOKUP($A597,Table_ship_components[],COLUMN(R:R),0)</f>
        <v>0</v>
      </c>
      <c r="S597" cm="1">
        <f t="array" ref="S597">VLOOKUP($A597,Table_ship_components[],COLUMN(S:S),0)</f>
        <v>0</v>
      </c>
      <c r="T597" cm="1">
        <f t="array" ref="T597">VLOOKUP($A597,Table_ship_components[],COLUMN(T:T),0)</f>
        <v>0</v>
      </c>
      <c r="U597" cm="1">
        <f t="array" ref="U597">VLOOKUP($A597,Table_ship_components[],COLUMN(U:U),0)</f>
        <v>0</v>
      </c>
      <c r="V597" cm="1">
        <f t="array" ref="V597">VLOOKUP($A597,Table_ship_components[],COLUMN(V:V),0)</f>
        <v>0</v>
      </c>
      <c r="W597" s="15" cm="1">
        <f t="array" ref="W597">VLOOKUP($A597,Table_ship_components[],COLUMN(W:W),0)</f>
        <v>0</v>
      </c>
      <c r="X597" cm="1">
        <f t="array" ref="X597">VLOOKUP($A597,Table_ship_components[],COLUMN(X:X),0)</f>
        <v>0</v>
      </c>
      <c r="Y597" cm="1">
        <f t="array" ref="Y597">VLOOKUP($A597,Table_ship_components[],COLUMN(Y:Y),0)</f>
        <v>0</v>
      </c>
      <c r="Z597" cm="1">
        <f t="array" ref="Z597">VLOOKUP($A597,Table_ship_components[],COLUMN(Z:Z),0)</f>
        <v>0</v>
      </c>
      <c r="AA597" cm="1">
        <f t="array" ref="AA597">VLOOKUP($A597,Table_ship_components[],COLUMN(AA:AA),0)*C597</f>
        <v>0</v>
      </c>
      <c r="AB597">
        <f>IF(A597="CARGOSPACE_0-ALL_0-UNIVERSAL",C597,0)</f>
        <v>0</v>
      </c>
      <c r="AC597" cm="1">
        <f t="array" ref="AC597">VLOOKUP($A597,Table_ship_components[],COLUMN(AC:AC),0)*C597</f>
        <v>0</v>
      </c>
      <c r="AD597" cm="1">
        <f t="array" ref="AD597">VLOOKUP($A597,Table_ship_components[],COLUMN(AD:AD),0)</f>
        <v>0</v>
      </c>
      <c r="AE597" cm="1">
        <f t="array" ref="AE597">VLOOKUP($A597,Table_ship_components[],COLUMN(AE:AE),0)</f>
        <v>0</v>
      </c>
      <c r="AF597" cm="1">
        <f t="array" ref="AF597">VLOOKUP($A597,Table_ship_components[],COLUMN(AF:AF),0)</f>
        <v>0</v>
      </c>
      <c r="AG597" cm="1">
        <f t="array" ref="AG597">VLOOKUP($A597,Table_ship_components[],COLUMN(AG:AG),0)</f>
        <v>0</v>
      </c>
      <c r="AH597" cm="1">
        <f t="array" ref="AH597">VLOOKUP($A597,Table_ship_components[],COLUMN(AH:AH),0)</f>
        <v>0</v>
      </c>
      <c r="AI597" cm="1">
        <f t="array" ref="AI597">VLOOKUP($A597,Table_ship_components[],COLUMN(AI:AI),0)</f>
        <v>0</v>
      </c>
      <c r="AJ597" cm="1">
        <f t="array" ref="AJ597">VLOOKUP($A597,Table_ship_components[],COLUMN(AJ:AJ),0)</f>
        <v>0</v>
      </c>
      <c r="AK597" cm="1">
        <f t="array" ref="AK597">VLOOKUP($A597,Table_ship_components[],COLUMN(AK:AK),0)</f>
        <v>0</v>
      </c>
      <c r="AL597" cm="1">
        <f t="array" ref="AL597">VLOOKUP($A597,Table_ship_components[],COLUMN(AL:AL),0)</f>
        <v>0</v>
      </c>
      <c r="AM597" cm="1">
        <f t="array" ref="AM597">VLOOKUP($A597,Table_ship_components[],COLUMN(AM:AM),0)</f>
        <v>0</v>
      </c>
      <c r="AN597" cm="1">
        <f t="array" ref="AN597">VLOOKUP($A597,Table_ship_components[],COLUMN(AN:AN),0)</f>
        <v>0</v>
      </c>
      <c r="AO597" cm="1">
        <f t="array" ref="AO597">VLOOKUP($A597,Table_ship_components[],COLUMN(AO:AO),0)</f>
        <v>0</v>
      </c>
      <c r="AP597" cm="1">
        <f t="array" ref="AP597">VLOOKUP($A597,Table_ship_components[],COLUMN(AP:AP),0)</f>
        <v>0</v>
      </c>
      <c r="AQ597" cm="1">
        <f t="array" ref="AQ597">VLOOKUP($A597,Table_ship_components[],COLUMN(AQ:AQ),0)</f>
        <v>0</v>
      </c>
      <c r="AR597" cm="1">
        <f t="array" ref="AR597">VLOOKUP($A597,Table_ship_components[],COLUMN(AR:AR),0)</f>
        <v>0</v>
      </c>
      <c r="AS597" cm="1">
        <f t="array" ref="AS597">VLOOKUP($A597,Table_ship_components[],COLUMN(AS:AS),0)</f>
        <v>0</v>
      </c>
      <c r="AT597" cm="1">
        <f t="array" ref="AT597">VLOOKUP($A597,Table_ship_components[],COLUMN(AT:AT),0)</f>
        <v>0</v>
      </c>
      <c r="AU597" s="2" cm="1">
        <f t="array" ref="AU597">VLOOKUP($A597,Table_ship_components[],COLUMN(AU:AU),0)</f>
        <v>0</v>
      </c>
      <c r="AV597" s="2" cm="1">
        <f t="array" ref="AV597">VLOOKUP($A597,Table_ship_components[],COLUMN(AV:AV),0)</f>
        <v>0</v>
      </c>
      <c r="AW597" s="2" cm="1">
        <f t="array" ref="AW597">VLOOKUP($A597,Table_ship_components[],COLUMN(AW:AW),0)</f>
        <v>0</v>
      </c>
      <c r="AX597" s="2" cm="1">
        <f t="array" ref="AX597">VLOOKUP($A597,Table_ship_components[],COLUMN(AX:AX),0)</f>
        <v>0</v>
      </c>
      <c r="AY597" s="2" cm="1">
        <f t="array" ref="AY597">VLOOKUP($A597,Table_ship_components[],COLUMN(AY:AY),0)</f>
        <v>0</v>
      </c>
      <c r="AZ597" s="2" t="str" cm="1">
        <f t="array" ref="AZ597">VLOOKUP($A597,Table_ship_components[],COLUMN(AZ:AZ),0)</f>
        <v>C</v>
      </c>
      <c r="BA597" s="14" cm="1">
        <f t="array" ref="BA597">VLOOKUP($A597,Table_ship_components[],COLUMN(BA:BA),0)</f>
        <v>150000</v>
      </c>
      <c r="BB597" s="14" cm="1">
        <f t="array" ref="BB597">(VLOOKUP($A597,Table_ship_components[],COLUMN(BA:BA),0)+(W597*C597))</f>
        <v>150000</v>
      </c>
      <c r="BC597" s="2" cm="1">
        <f t="array" ref="BC597">VLOOKUP($A597,Table_ship_components[],COLUMN(BC:BC),0)</f>
        <v>0</v>
      </c>
      <c r="BD597" s="2" cm="1">
        <f t="array" ref="BD597">VLOOKUP($A597,Table_ship_components[],COLUMN(BD:BD),0)</f>
        <v>0</v>
      </c>
    </row>
    <row r="598" spans="1:56" outlineLevel="1" x14ac:dyDescent="0.35">
      <c r="A598" t="s">
        <v>316</v>
      </c>
      <c r="B598" t="str" cm="1">
        <f t="array" ref="B598">VLOOKUP($A598,Table_ship_components[],COLUMN(B:B),0)</f>
        <v>extra large ordonnance bay</v>
      </c>
      <c r="D598" cm="1">
        <f t="array" ref="D598">VLOOKUP($A598,Table_ship_components[],COLUMN(D:D),0)</f>
        <v>3</v>
      </c>
      <c r="E598" cm="1">
        <f t="array" ref="E598">ROUND(VLOOKUP($A598,Table_ship_components[],COLUMN(D:D),0)+(V598*C598),0)</f>
        <v>3</v>
      </c>
      <c r="F598" cm="1">
        <f t="array" ref="F598">VLOOKUP($A598,Table_ship_components[],COLUMN(F:F),0)</f>
        <v>0</v>
      </c>
      <c r="G598" cm="1">
        <f t="array" ref="G598">ROUND(VLOOKUP($A598,Table_ship_components[],COLUMN(G:G),0)+(X598*C598),0)</f>
        <v>0</v>
      </c>
      <c r="H598" cm="1">
        <f t="array" ref="H598">VLOOKUP($A598,Table_ship_components[],COLUMN(H:H),0)</f>
        <v>0</v>
      </c>
      <c r="I598" cm="1">
        <f t="array" ref="I598">VLOOKUP($A598,Table_ship_components[],COLUMN(I:I),0)</f>
        <v>0</v>
      </c>
      <c r="J598" cm="1">
        <f t="array" ref="J598">VLOOKUP($A598,Table_ship_components[],COLUMN(J:J),0)</f>
        <v>0</v>
      </c>
      <c r="K598" cm="1">
        <f t="array" ref="K598">VLOOKUP($A598,Table_ship_components[],COLUMN(K:K),0)</f>
        <v>0</v>
      </c>
      <c r="L598" cm="1">
        <f t="array" ref="L598">VLOOKUP($A598,Table_ship_components[],COLUMN(L:L),0)</f>
        <v>0</v>
      </c>
      <c r="M598" cm="1">
        <f t="array" ref="M598">VLOOKUP($A598,Table_ship_components[],COLUMN(M:M),0)</f>
        <v>1</v>
      </c>
      <c r="N598" cm="1">
        <f t="array" ref="N598">VLOOKUP($A598,Table_ship_components[],COLUMN(N:N),0)</f>
        <v>1</v>
      </c>
      <c r="O598" cm="1">
        <f t="array" ref="O598">VLOOKUP($A598,Table_ship_components[],COLUMN(O:O),0)</f>
        <v>1</v>
      </c>
      <c r="P598" cm="1">
        <f t="array" ref="P598">VLOOKUP($A598,Table_ship_components[],COLUMN(P:P),0)</f>
        <v>1</v>
      </c>
      <c r="Q598" cm="1">
        <f t="array" ref="Q598">VLOOKUP($A598,Table_ship_components[],COLUMN(Q:Q),0)</f>
        <v>1</v>
      </c>
      <c r="R598" cm="1">
        <f t="array" ref="R598">VLOOKUP($A598,Table_ship_components[],COLUMN(R:R),0)</f>
        <v>1</v>
      </c>
      <c r="S598" cm="1">
        <f t="array" ref="S598">VLOOKUP($A598,Table_ship_components[],COLUMN(S:S),0)</f>
        <v>1</v>
      </c>
      <c r="T598" cm="1">
        <f t="array" ref="T598">VLOOKUP($A598,Table_ship_components[],COLUMN(T:T),0)</f>
        <v>1</v>
      </c>
      <c r="U598" cm="1">
        <f t="array" ref="U598">VLOOKUP($A598,Table_ship_components[],COLUMN(U:U),0)</f>
        <v>0</v>
      </c>
      <c r="V598" cm="1">
        <f t="array" ref="V598">VLOOKUP($A598,Table_ship_components[],COLUMN(V:V),0)</f>
        <v>0</v>
      </c>
      <c r="W598" s="15" cm="1">
        <f t="array" ref="W598">VLOOKUP($A598,Table_ship_components[],COLUMN(W:W),0)</f>
        <v>0</v>
      </c>
      <c r="X598" cm="1">
        <f t="array" ref="X598">VLOOKUP($A598,Table_ship_components[],COLUMN(X:X),0)</f>
        <v>0</v>
      </c>
      <c r="Y598" cm="1">
        <f t="array" ref="Y598">VLOOKUP($A598,Table_ship_components[],COLUMN(Y:Y),0)</f>
        <v>0</v>
      </c>
      <c r="Z598" cm="1">
        <f t="array" ref="Z598">VLOOKUP($A598,Table_ship_components[],COLUMN(Z:Z),0)</f>
        <v>0</v>
      </c>
      <c r="AA598" cm="1">
        <f t="array" ref="AA598">VLOOKUP($A598,Table_ship_components[],COLUMN(AA:AA),0)*C598</f>
        <v>0</v>
      </c>
      <c r="AB598">
        <f t="shared" ref="AB598:AB602" si="60">IF(A598="CARGOSPACE_0-ALL_0-UNIVERSAL",C598,0)</f>
        <v>0</v>
      </c>
      <c r="AC598" cm="1">
        <f t="array" ref="AC598">VLOOKUP($A598,Table_ship_components[],COLUMN(AC:AC),0)*C598</f>
        <v>0</v>
      </c>
      <c r="AD598" cm="1">
        <f t="array" ref="AD598">VLOOKUP($A598,Table_ship_components[],COLUMN(AD:AD),0)</f>
        <v>0</v>
      </c>
      <c r="AE598" cm="1">
        <f t="array" ref="AE598">VLOOKUP($A598,Table_ship_components[],COLUMN(AE:AE),0)</f>
        <v>0</v>
      </c>
      <c r="AF598" cm="1">
        <f t="array" ref="AF598">VLOOKUP($A598,Table_ship_components[],COLUMN(AF:AF),0)</f>
        <v>0</v>
      </c>
      <c r="AG598" cm="1">
        <f t="array" ref="AG598">VLOOKUP($A598,Table_ship_components[],COLUMN(AG:AG),0)</f>
        <v>0</v>
      </c>
      <c r="AH598" cm="1">
        <f t="array" ref="AH598">VLOOKUP($A598,Table_ship_components[],COLUMN(AH:AH),0)</f>
        <v>0</v>
      </c>
      <c r="AI598" cm="1">
        <f t="array" ref="AI598">VLOOKUP($A598,Table_ship_components[],COLUMN(AI:AI),0)</f>
        <v>0</v>
      </c>
      <c r="AJ598" cm="1">
        <f t="array" ref="AJ598">VLOOKUP($A598,Table_ship_components[],COLUMN(AJ:AJ),0)</f>
        <v>0</v>
      </c>
      <c r="AK598" cm="1">
        <f t="array" ref="AK598">VLOOKUP($A598,Table_ship_components[],COLUMN(AK:AK),0)</f>
        <v>0</v>
      </c>
      <c r="AL598" cm="1">
        <f t="array" ref="AL598">VLOOKUP($A598,Table_ship_components[],COLUMN(AL:AL),0)</f>
        <v>0</v>
      </c>
      <c r="AM598" cm="1">
        <f t="array" ref="AM598">VLOOKUP($A598,Table_ship_components[],COLUMN(AM:AM),0)</f>
        <v>0</v>
      </c>
      <c r="AN598" cm="1">
        <f t="array" ref="AN598">VLOOKUP($A598,Table_ship_components[],COLUMN(AN:AN),0)</f>
        <v>0</v>
      </c>
      <c r="AO598" cm="1">
        <f t="array" ref="AO598">VLOOKUP($A598,Table_ship_components[],COLUMN(AO:AO),0)</f>
        <v>0</v>
      </c>
      <c r="AP598" cm="1">
        <f t="array" ref="AP598">VLOOKUP($A598,Table_ship_components[],COLUMN(AP:AP),0)</f>
        <v>0</v>
      </c>
      <c r="AQ598" cm="1">
        <f t="array" ref="AQ598">VLOOKUP($A598,Table_ship_components[],COLUMN(AQ:AQ),0)</f>
        <v>0</v>
      </c>
      <c r="AR598" cm="1">
        <f t="array" ref="AR598">VLOOKUP($A598,Table_ship_components[],COLUMN(AR:AR),0)</f>
        <v>0</v>
      </c>
      <c r="AS598" cm="1">
        <f t="array" ref="AS598">VLOOKUP($A598,Table_ship_components[],COLUMN(AS:AS),0)</f>
        <v>0</v>
      </c>
      <c r="AT598" cm="1">
        <f t="array" ref="AT598">VLOOKUP($A598,Table_ship_components[],COLUMN(AT:AT),0)</f>
        <v>0</v>
      </c>
      <c r="AU598" s="2" cm="1">
        <f t="array" ref="AU598">VLOOKUP($A598,Table_ship_components[],COLUMN(AU:AU),0)</f>
        <v>0</v>
      </c>
      <c r="AV598" s="2" cm="1">
        <f t="array" ref="AV598">VLOOKUP($A598,Table_ship_components[],COLUMN(AV:AV),0)</f>
        <v>0</v>
      </c>
      <c r="AW598" s="2" cm="1">
        <f t="array" ref="AW598">VLOOKUP($A598,Table_ship_components[],COLUMN(AW:AW),0)</f>
        <v>0</v>
      </c>
      <c r="AX598" s="2" cm="1">
        <f t="array" ref="AX598">VLOOKUP($A598,Table_ship_components[],COLUMN(AX:AX),0)</f>
        <v>0</v>
      </c>
      <c r="AY598" s="2" cm="1">
        <f t="array" ref="AY598">VLOOKUP($A598,Table_ship_components[],COLUMN(AY:AY),0)</f>
        <v>0</v>
      </c>
      <c r="AZ598" s="2" t="str" cm="1">
        <f t="array" ref="AZ598">VLOOKUP($A598,Table_ship_components[],COLUMN(AZ:AZ),0)</f>
        <v>C</v>
      </c>
      <c r="BA598" s="14" cm="1">
        <f t="array" ref="BA598">VLOOKUP($A598,Table_ship_components[],COLUMN(BA:BA),0)</f>
        <v>50000</v>
      </c>
      <c r="BB598" s="14" cm="1">
        <f t="array" ref="BB598">(VLOOKUP($A598,Table_ship_components[],COLUMN(BA:BA),0)+(W598*C598))</f>
        <v>50000</v>
      </c>
      <c r="BC598" s="2" cm="1">
        <f t="array" ref="BC598">VLOOKUP($A598,Table_ship_components[],COLUMN(BC:BC),0)</f>
        <v>0</v>
      </c>
      <c r="BD598" s="2" cm="1">
        <f t="array" ref="BD598">VLOOKUP($A598,Table_ship_components[],COLUMN(BD:BD),0)</f>
        <v>0</v>
      </c>
    </row>
    <row r="599" spans="1:56" outlineLevel="1" x14ac:dyDescent="0.35">
      <c r="A599" t="s">
        <v>288</v>
      </c>
      <c r="B599" t="str" cm="1">
        <f t="array" ref="B599">VLOOKUP($A599,Table_ship_components[],COLUMN(B:B),0)</f>
        <v>PICK A COMPONENT</v>
      </c>
      <c r="D599" cm="1">
        <f t="array" ref="D599">VLOOKUP($A599,Table_ship_components[],COLUMN(D:D),0)</f>
        <v>0</v>
      </c>
      <c r="E599" cm="1">
        <f t="array" ref="E599">ROUND(VLOOKUP($A599,Table_ship_components[],COLUMN(D:D),0)+(V599*C599),0)</f>
        <v>0</v>
      </c>
      <c r="F599" cm="1">
        <f t="array" ref="F599">VLOOKUP($A599,Table_ship_components[],COLUMN(F:F),0)</f>
        <v>0</v>
      </c>
      <c r="G599" cm="1">
        <f t="array" ref="G599">ROUND(VLOOKUP($A599,Table_ship_components[],COLUMN(G:G),0)+(X599*C599),0)</f>
        <v>0</v>
      </c>
      <c r="H599" cm="1">
        <f t="array" ref="H599">VLOOKUP($A599,Table_ship_components[],COLUMN(H:H),0)</f>
        <v>0</v>
      </c>
      <c r="I599" cm="1">
        <f t="array" ref="I599">VLOOKUP($A599,Table_ship_components[],COLUMN(I:I),0)</f>
        <v>0</v>
      </c>
      <c r="J599" cm="1">
        <f t="array" ref="J599">VLOOKUP($A599,Table_ship_components[],COLUMN(J:J),0)</f>
        <v>0</v>
      </c>
      <c r="K599" cm="1">
        <f t="array" ref="K599">VLOOKUP($A599,Table_ship_components[],COLUMN(K:K),0)</f>
        <v>0</v>
      </c>
      <c r="L599" cm="1">
        <f t="array" ref="L599">VLOOKUP($A599,Table_ship_components[],COLUMN(L:L),0)</f>
        <v>0</v>
      </c>
      <c r="M599" cm="1">
        <f t="array" ref="M599">VLOOKUP($A599,Table_ship_components[],COLUMN(M:M),0)</f>
        <v>0</v>
      </c>
      <c r="N599" cm="1">
        <f t="array" ref="N599">VLOOKUP($A599,Table_ship_components[],COLUMN(N:N),0)</f>
        <v>0</v>
      </c>
      <c r="O599" cm="1">
        <f t="array" ref="O599">VLOOKUP($A599,Table_ship_components[],COLUMN(O:O),0)</f>
        <v>0</v>
      </c>
      <c r="P599" cm="1">
        <f t="array" ref="P599">VLOOKUP($A599,Table_ship_components[],COLUMN(P:P),0)</f>
        <v>0</v>
      </c>
      <c r="Q599" cm="1">
        <f t="array" ref="Q599">VLOOKUP($A599,Table_ship_components[],COLUMN(Q:Q),0)</f>
        <v>0</v>
      </c>
      <c r="R599" cm="1">
        <f t="array" ref="R599">VLOOKUP($A599,Table_ship_components[],COLUMN(R:R),0)</f>
        <v>0</v>
      </c>
      <c r="S599" cm="1">
        <f t="array" ref="S599">VLOOKUP($A599,Table_ship_components[],COLUMN(S:S),0)</f>
        <v>0</v>
      </c>
      <c r="T599" cm="1">
        <f t="array" ref="T599">VLOOKUP($A599,Table_ship_components[],COLUMN(T:T),0)</f>
        <v>0</v>
      </c>
      <c r="U599" cm="1">
        <f t="array" ref="U599">VLOOKUP($A599,Table_ship_components[],COLUMN(U:U),0)</f>
        <v>0</v>
      </c>
      <c r="V599" cm="1">
        <f t="array" ref="V599">VLOOKUP($A599,Table_ship_components[],COLUMN(V:V),0)</f>
        <v>0</v>
      </c>
      <c r="W599" s="15" cm="1">
        <f t="array" ref="W599">VLOOKUP($A599,Table_ship_components[],COLUMN(W:W),0)</f>
        <v>0</v>
      </c>
      <c r="X599" cm="1">
        <f t="array" ref="X599">VLOOKUP($A599,Table_ship_components[],COLUMN(X:X),0)</f>
        <v>0</v>
      </c>
      <c r="Y599" cm="1">
        <f t="array" ref="Y599">VLOOKUP($A599,Table_ship_components[],COLUMN(Y:Y),0)</f>
        <v>0</v>
      </c>
      <c r="Z599" cm="1">
        <f t="array" ref="Z599">VLOOKUP($A599,Table_ship_components[],COLUMN(Z:Z),0)</f>
        <v>0</v>
      </c>
      <c r="AA599" cm="1">
        <f t="array" ref="AA599">VLOOKUP($A599,Table_ship_components[],COLUMN(AA:AA),0)*C599</f>
        <v>0</v>
      </c>
      <c r="AB599">
        <f t="shared" si="60"/>
        <v>0</v>
      </c>
      <c r="AC599" cm="1">
        <f t="array" ref="AC599">VLOOKUP($A599,Table_ship_components[],COLUMN(AC:AC),0)*C599</f>
        <v>0</v>
      </c>
      <c r="AD599" cm="1">
        <f t="array" ref="AD599">VLOOKUP($A599,Table_ship_components[],COLUMN(AD:AD),0)</f>
        <v>0</v>
      </c>
      <c r="AE599" cm="1">
        <f t="array" ref="AE599">VLOOKUP($A599,Table_ship_components[],COLUMN(AE:AE),0)</f>
        <v>0</v>
      </c>
      <c r="AF599" cm="1">
        <f t="array" ref="AF599">VLOOKUP($A599,Table_ship_components[],COLUMN(AF:AF),0)</f>
        <v>0</v>
      </c>
      <c r="AG599" cm="1">
        <f t="array" ref="AG599">VLOOKUP($A599,Table_ship_components[],COLUMN(AG:AG),0)</f>
        <v>0</v>
      </c>
      <c r="AH599" cm="1">
        <f t="array" ref="AH599">VLOOKUP($A599,Table_ship_components[],COLUMN(AH:AH),0)</f>
        <v>0</v>
      </c>
      <c r="AI599" cm="1">
        <f t="array" ref="AI599">VLOOKUP($A599,Table_ship_components[],COLUMN(AI:AI),0)</f>
        <v>0</v>
      </c>
      <c r="AJ599" cm="1">
        <f t="array" ref="AJ599">VLOOKUP($A599,Table_ship_components[],COLUMN(AJ:AJ),0)</f>
        <v>0</v>
      </c>
      <c r="AK599" cm="1">
        <f t="array" ref="AK599">VLOOKUP($A599,Table_ship_components[],COLUMN(AK:AK),0)</f>
        <v>0</v>
      </c>
      <c r="AL599" cm="1">
        <f t="array" ref="AL599">VLOOKUP($A599,Table_ship_components[],COLUMN(AL:AL),0)</f>
        <v>0</v>
      </c>
      <c r="AM599" cm="1">
        <f t="array" ref="AM599">VLOOKUP($A599,Table_ship_components[],COLUMN(AM:AM),0)</f>
        <v>0</v>
      </c>
      <c r="AN599" cm="1">
        <f t="array" ref="AN599">VLOOKUP($A599,Table_ship_components[],COLUMN(AN:AN),0)</f>
        <v>0</v>
      </c>
      <c r="AO599" cm="1">
        <f t="array" ref="AO599">VLOOKUP($A599,Table_ship_components[],COLUMN(AO:AO),0)</f>
        <v>0</v>
      </c>
      <c r="AP599" cm="1">
        <f t="array" ref="AP599">VLOOKUP($A599,Table_ship_components[],COLUMN(AP:AP),0)</f>
        <v>0</v>
      </c>
      <c r="AQ599" cm="1">
        <f t="array" ref="AQ599">VLOOKUP($A599,Table_ship_components[],COLUMN(AQ:AQ),0)</f>
        <v>0</v>
      </c>
      <c r="AR599" cm="1">
        <f t="array" ref="AR599">VLOOKUP($A599,Table_ship_components[],COLUMN(AR:AR),0)</f>
        <v>0</v>
      </c>
      <c r="AS599" cm="1">
        <f t="array" ref="AS599">VLOOKUP($A599,Table_ship_components[],COLUMN(AS:AS),0)</f>
        <v>0</v>
      </c>
      <c r="AT599" cm="1">
        <f t="array" ref="AT599">VLOOKUP($A599,Table_ship_components[],COLUMN(AT:AT),0)</f>
        <v>0</v>
      </c>
      <c r="AU599" s="2" cm="1">
        <f t="array" ref="AU599">VLOOKUP($A599,Table_ship_components[],COLUMN(AU:AU),0)</f>
        <v>0</v>
      </c>
      <c r="AV599" s="2" cm="1">
        <f t="array" ref="AV599">VLOOKUP($A599,Table_ship_components[],COLUMN(AV:AV),0)</f>
        <v>0</v>
      </c>
      <c r="AW599" s="2" cm="1">
        <f t="array" ref="AW599">VLOOKUP($A599,Table_ship_components[],COLUMN(AW:AW),0)</f>
        <v>0</v>
      </c>
      <c r="AX599" s="2" cm="1">
        <f t="array" ref="AX599">VLOOKUP($A599,Table_ship_components[],COLUMN(AX:AX),0)</f>
        <v>0</v>
      </c>
      <c r="AY599" s="2" cm="1">
        <f t="array" ref="AY599">VLOOKUP($A599,Table_ship_components[],COLUMN(AY:AY),0)</f>
        <v>0</v>
      </c>
      <c r="AZ599" s="2" t="str" cm="1">
        <f t="array" ref="AZ599">VLOOKUP($A599,Table_ship_components[],COLUMN(AZ:AZ),0)</f>
        <v>C</v>
      </c>
      <c r="BA599" s="14" cm="1">
        <f t="array" ref="BA599">VLOOKUP($A599,Table_ship_components[],COLUMN(BA:BA),0)</f>
        <v>0</v>
      </c>
      <c r="BB599" s="14" cm="1">
        <f t="array" ref="BB599">(VLOOKUP($A599,Table_ship_components[],COLUMN(BA:BA),0)+(W599*C599))</f>
        <v>0</v>
      </c>
      <c r="BC599" s="2" cm="1">
        <f t="array" ref="BC599">VLOOKUP($A599,Table_ship_components[],COLUMN(BC:BC),0)</f>
        <v>0</v>
      </c>
      <c r="BD599" s="2" cm="1">
        <f t="array" ref="BD599">VLOOKUP($A599,Table_ship_components[],COLUMN(BD:BD),0)</f>
        <v>0</v>
      </c>
    </row>
    <row r="600" spans="1:56" outlineLevel="1" x14ac:dyDescent="0.35">
      <c r="A600" t="s">
        <v>288</v>
      </c>
      <c r="B600" t="str" cm="1">
        <f t="array" ref="B600">VLOOKUP($A600,Table_ship_components[],COLUMN(B:B),0)</f>
        <v>PICK A COMPONENT</v>
      </c>
      <c r="D600" cm="1">
        <f t="array" ref="D600">VLOOKUP($A600,Table_ship_components[],COLUMN(D:D),0)</f>
        <v>0</v>
      </c>
      <c r="E600" cm="1">
        <f t="array" ref="E600">ROUND(VLOOKUP($A600,Table_ship_components[],COLUMN(D:D),0)+(V600*C600),0)</f>
        <v>0</v>
      </c>
      <c r="F600" cm="1">
        <f t="array" ref="F600">VLOOKUP($A600,Table_ship_components[],COLUMN(F:F),0)</f>
        <v>0</v>
      </c>
      <c r="G600" cm="1">
        <f t="array" ref="G600">ROUND(VLOOKUP($A600,Table_ship_components[],COLUMN(G:G),0)+(X600*C600),0)</f>
        <v>0</v>
      </c>
      <c r="H600" cm="1">
        <f t="array" ref="H600">VLOOKUP($A600,Table_ship_components[],COLUMN(H:H),0)</f>
        <v>0</v>
      </c>
      <c r="I600" cm="1">
        <f t="array" ref="I600">VLOOKUP($A600,Table_ship_components[],COLUMN(I:I),0)</f>
        <v>0</v>
      </c>
      <c r="J600" cm="1">
        <f t="array" ref="J600">VLOOKUP($A600,Table_ship_components[],COLUMN(J:J),0)</f>
        <v>0</v>
      </c>
      <c r="K600" cm="1">
        <f t="array" ref="K600">VLOOKUP($A600,Table_ship_components[],COLUMN(K:K),0)</f>
        <v>0</v>
      </c>
      <c r="L600" cm="1">
        <f t="array" ref="L600">VLOOKUP($A600,Table_ship_components[],COLUMN(L:L),0)</f>
        <v>0</v>
      </c>
      <c r="M600" cm="1">
        <f t="array" ref="M600">VLOOKUP($A600,Table_ship_components[],COLUMN(M:M),0)</f>
        <v>0</v>
      </c>
      <c r="N600" cm="1">
        <f t="array" ref="N600">VLOOKUP($A600,Table_ship_components[],COLUMN(N:N),0)</f>
        <v>0</v>
      </c>
      <c r="O600" cm="1">
        <f t="array" ref="O600">VLOOKUP($A600,Table_ship_components[],COLUMN(O:O),0)</f>
        <v>0</v>
      </c>
      <c r="P600" cm="1">
        <f t="array" ref="P600">VLOOKUP($A600,Table_ship_components[],COLUMN(P:P),0)</f>
        <v>0</v>
      </c>
      <c r="Q600" cm="1">
        <f t="array" ref="Q600">VLOOKUP($A600,Table_ship_components[],COLUMN(Q:Q),0)</f>
        <v>0</v>
      </c>
      <c r="R600" cm="1">
        <f t="array" ref="R600">VLOOKUP($A600,Table_ship_components[],COLUMN(R:R),0)</f>
        <v>0</v>
      </c>
      <c r="S600" cm="1">
        <f t="array" ref="S600">VLOOKUP($A600,Table_ship_components[],COLUMN(S:S),0)</f>
        <v>0</v>
      </c>
      <c r="T600" cm="1">
        <f t="array" ref="T600">VLOOKUP($A600,Table_ship_components[],COLUMN(T:T),0)</f>
        <v>0</v>
      </c>
      <c r="U600" cm="1">
        <f t="array" ref="U600">VLOOKUP($A600,Table_ship_components[],COLUMN(U:U),0)</f>
        <v>0</v>
      </c>
      <c r="V600" cm="1">
        <f t="array" ref="V600">VLOOKUP($A600,Table_ship_components[],COLUMN(V:V),0)</f>
        <v>0</v>
      </c>
      <c r="W600" s="15" cm="1">
        <f t="array" ref="W600">VLOOKUP($A600,Table_ship_components[],COLUMN(W:W),0)</f>
        <v>0</v>
      </c>
      <c r="X600" cm="1">
        <f t="array" ref="X600">VLOOKUP($A600,Table_ship_components[],COLUMN(X:X),0)</f>
        <v>0</v>
      </c>
      <c r="Y600" cm="1">
        <f t="array" ref="Y600">VLOOKUP($A600,Table_ship_components[],COLUMN(Y:Y),0)</f>
        <v>0</v>
      </c>
      <c r="Z600" cm="1">
        <f t="array" ref="Z600">VLOOKUP($A600,Table_ship_components[],COLUMN(Z:Z),0)</f>
        <v>0</v>
      </c>
      <c r="AA600" cm="1">
        <f t="array" ref="AA600">VLOOKUP($A600,Table_ship_components[],COLUMN(AA:AA),0)*C600</f>
        <v>0</v>
      </c>
      <c r="AB600">
        <f t="shared" si="60"/>
        <v>0</v>
      </c>
      <c r="AC600" cm="1">
        <f t="array" ref="AC600">VLOOKUP($A600,Table_ship_components[],COLUMN(AC:AC),0)*C600</f>
        <v>0</v>
      </c>
      <c r="AD600" cm="1">
        <f t="array" ref="AD600">VLOOKUP($A600,Table_ship_components[],COLUMN(AD:AD),0)</f>
        <v>0</v>
      </c>
      <c r="AE600" cm="1">
        <f t="array" ref="AE600">VLOOKUP($A600,Table_ship_components[],COLUMN(AE:AE),0)</f>
        <v>0</v>
      </c>
      <c r="AF600" cm="1">
        <f t="array" ref="AF600">VLOOKUP($A600,Table_ship_components[],COLUMN(AF:AF),0)</f>
        <v>0</v>
      </c>
      <c r="AG600" cm="1">
        <f t="array" ref="AG600">VLOOKUP($A600,Table_ship_components[],COLUMN(AG:AG),0)</f>
        <v>0</v>
      </c>
      <c r="AH600" cm="1">
        <f t="array" ref="AH600">VLOOKUP($A600,Table_ship_components[],COLUMN(AH:AH),0)</f>
        <v>0</v>
      </c>
      <c r="AI600" cm="1">
        <f t="array" ref="AI600">VLOOKUP($A600,Table_ship_components[],COLUMN(AI:AI),0)</f>
        <v>0</v>
      </c>
      <c r="AJ600" cm="1">
        <f t="array" ref="AJ600">VLOOKUP($A600,Table_ship_components[],COLUMN(AJ:AJ),0)</f>
        <v>0</v>
      </c>
      <c r="AK600" cm="1">
        <f t="array" ref="AK600">VLOOKUP($A600,Table_ship_components[],COLUMN(AK:AK),0)</f>
        <v>0</v>
      </c>
      <c r="AL600" cm="1">
        <f t="array" ref="AL600">VLOOKUP($A600,Table_ship_components[],COLUMN(AL:AL),0)</f>
        <v>0</v>
      </c>
      <c r="AM600" cm="1">
        <f t="array" ref="AM600">VLOOKUP($A600,Table_ship_components[],COLUMN(AM:AM),0)</f>
        <v>0</v>
      </c>
      <c r="AN600" cm="1">
        <f t="array" ref="AN600">VLOOKUP($A600,Table_ship_components[],COLUMN(AN:AN),0)</f>
        <v>0</v>
      </c>
      <c r="AO600" cm="1">
        <f t="array" ref="AO600">VLOOKUP($A600,Table_ship_components[],COLUMN(AO:AO),0)</f>
        <v>0</v>
      </c>
      <c r="AP600" cm="1">
        <f t="array" ref="AP600">VLOOKUP($A600,Table_ship_components[],COLUMN(AP:AP),0)</f>
        <v>0</v>
      </c>
      <c r="AQ600" cm="1">
        <f t="array" ref="AQ600">VLOOKUP($A600,Table_ship_components[],COLUMN(AQ:AQ),0)</f>
        <v>0</v>
      </c>
      <c r="AR600" cm="1">
        <f t="array" ref="AR600">VLOOKUP($A600,Table_ship_components[],COLUMN(AR:AR),0)</f>
        <v>0</v>
      </c>
      <c r="AS600" cm="1">
        <f t="array" ref="AS600">VLOOKUP($A600,Table_ship_components[],COLUMN(AS:AS),0)</f>
        <v>0</v>
      </c>
      <c r="AT600" cm="1">
        <f t="array" ref="AT600">VLOOKUP($A600,Table_ship_components[],COLUMN(AT:AT),0)</f>
        <v>0</v>
      </c>
      <c r="AU600" s="2" cm="1">
        <f t="array" ref="AU600">VLOOKUP($A600,Table_ship_components[],COLUMN(AU:AU),0)</f>
        <v>0</v>
      </c>
      <c r="AV600" s="2" cm="1">
        <f t="array" ref="AV600">VLOOKUP($A600,Table_ship_components[],COLUMN(AV:AV),0)</f>
        <v>0</v>
      </c>
      <c r="AW600" s="2" cm="1">
        <f t="array" ref="AW600">VLOOKUP($A600,Table_ship_components[],COLUMN(AW:AW),0)</f>
        <v>0</v>
      </c>
      <c r="AX600" s="2" cm="1">
        <f t="array" ref="AX600">VLOOKUP($A600,Table_ship_components[],COLUMN(AX:AX),0)</f>
        <v>0</v>
      </c>
      <c r="AY600" s="2" cm="1">
        <f t="array" ref="AY600">VLOOKUP($A600,Table_ship_components[],COLUMN(AY:AY),0)</f>
        <v>0</v>
      </c>
      <c r="AZ600" s="2" t="str" cm="1">
        <f t="array" ref="AZ600">VLOOKUP($A600,Table_ship_components[],COLUMN(AZ:AZ),0)</f>
        <v>C</v>
      </c>
      <c r="BA600" s="14" cm="1">
        <f t="array" ref="BA600">VLOOKUP($A600,Table_ship_components[],COLUMN(BA:BA),0)</f>
        <v>0</v>
      </c>
      <c r="BB600" s="14" cm="1">
        <f t="array" ref="BB600">(VLOOKUP($A600,Table_ship_components[],COLUMN(BA:BA),0)+(W600*C600))</f>
        <v>0</v>
      </c>
      <c r="BC600" s="2" cm="1">
        <f t="array" ref="BC600">VLOOKUP($A600,Table_ship_components[],COLUMN(BC:BC),0)</f>
        <v>0</v>
      </c>
      <c r="BD600" s="2" cm="1">
        <f t="array" ref="BD600">VLOOKUP($A600,Table_ship_components[],COLUMN(BD:BD),0)</f>
        <v>0</v>
      </c>
    </row>
    <row r="601" spans="1:56" outlineLevel="1" x14ac:dyDescent="0.35">
      <c r="A601" t="s">
        <v>288</v>
      </c>
      <c r="B601" t="str" cm="1">
        <f t="array" ref="B601">VLOOKUP($A601,Table_ship_components[],COLUMN(B:B),0)</f>
        <v>PICK A COMPONENT</v>
      </c>
      <c r="C601" s="2">
        <v>1</v>
      </c>
      <c r="D601" cm="1">
        <f t="array" ref="D601">VLOOKUP($A601,Table_ship_components[],COLUMN(D:D),0)</f>
        <v>0</v>
      </c>
      <c r="E601" cm="1">
        <f t="array" ref="E601">ROUND(VLOOKUP($A601,Table_ship_components[],COLUMN(D:D),0)+(V601*C601),0)</f>
        <v>0</v>
      </c>
      <c r="F601" cm="1">
        <f t="array" ref="F601">VLOOKUP($A601,Table_ship_components[],COLUMN(F:F),0)</f>
        <v>0</v>
      </c>
      <c r="G601" cm="1">
        <f t="array" ref="G601">ROUND(VLOOKUP($A601,Table_ship_components[],COLUMN(G:G),0)+(X601*C601),0)</f>
        <v>0</v>
      </c>
      <c r="H601" cm="1">
        <f t="array" ref="H601">VLOOKUP($A601,Table_ship_components[],COLUMN(H:H),0)</f>
        <v>0</v>
      </c>
      <c r="I601" cm="1">
        <f t="array" ref="I601">VLOOKUP($A601,Table_ship_components[],COLUMN(I:I),0)</f>
        <v>0</v>
      </c>
      <c r="J601" cm="1">
        <f t="array" ref="J601">VLOOKUP($A601,Table_ship_components[],COLUMN(J:J),0)</f>
        <v>0</v>
      </c>
      <c r="K601" cm="1">
        <f t="array" ref="K601">VLOOKUP($A601,Table_ship_components[],COLUMN(K:K),0)</f>
        <v>0</v>
      </c>
      <c r="L601" cm="1">
        <f t="array" ref="L601">VLOOKUP($A601,Table_ship_components[],COLUMN(L:L),0)</f>
        <v>0</v>
      </c>
      <c r="M601" cm="1">
        <f t="array" ref="M601">VLOOKUP($A601,Table_ship_components[],COLUMN(M:M),0)</f>
        <v>0</v>
      </c>
      <c r="N601" cm="1">
        <f t="array" ref="N601">VLOOKUP($A601,Table_ship_components[],COLUMN(N:N),0)</f>
        <v>0</v>
      </c>
      <c r="O601" cm="1">
        <f t="array" ref="O601">VLOOKUP($A601,Table_ship_components[],COLUMN(O:O),0)</f>
        <v>0</v>
      </c>
      <c r="P601" cm="1">
        <f t="array" ref="P601">VLOOKUP($A601,Table_ship_components[],COLUMN(P:P),0)</f>
        <v>0</v>
      </c>
      <c r="Q601" cm="1">
        <f t="array" ref="Q601">VLOOKUP($A601,Table_ship_components[],COLUMN(Q:Q),0)</f>
        <v>0</v>
      </c>
      <c r="R601" cm="1">
        <f t="array" ref="R601">VLOOKUP($A601,Table_ship_components[],COLUMN(R:R),0)</f>
        <v>0</v>
      </c>
      <c r="S601" cm="1">
        <f t="array" ref="S601">VLOOKUP($A601,Table_ship_components[],COLUMN(S:S),0)</f>
        <v>0</v>
      </c>
      <c r="T601" cm="1">
        <f t="array" ref="T601">VLOOKUP($A601,Table_ship_components[],COLUMN(T:T),0)</f>
        <v>0</v>
      </c>
      <c r="U601" cm="1">
        <f t="array" ref="U601">VLOOKUP($A601,Table_ship_components[],COLUMN(U:U),0)</f>
        <v>0</v>
      </c>
      <c r="V601" cm="1">
        <f t="array" ref="V601">VLOOKUP($A601,Table_ship_components[],COLUMN(V:V),0)</f>
        <v>0</v>
      </c>
      <c r="W601" s="15" cm="1">
        <f t="array" ref="W601">VLOOKUP($A601,Table_ship_components[],COLUMN(W:W),0)</f>
        <v>0</v>
      </c>
      <c r="X601" cm="1">
        <f t="array" ref="X601">VLOOKUP($A601,Table_ship_components[],COLUMN(X:X),0)</f>
        <v>0</v>
      </c>
      <c r="Y601" cm="1">
        <f t="array" ref="Y601">VLOOKUP($A601,Table_ship_components[],COLUMN(Y:Y),0)</f>
        <v>0</v>
      </c>
      <c r="Z601" cm="1">
        <f t="array" ref="Z601">VLOOKUP($A601,Table_ship_components[],COLUMN(Z:Z),0)</f>
        <v>0</v>
      </c>
      <c r="AA601" cm="1">
        <f t="array" ref="AA601">VLOOKUP($A601,Table_ship_components[],COLUMN(AA:AA),0)*C601</f>
        <v>0</v>
      </c>
      <c r="AB601">
        <f t="shared" si="60"/>
        <v>0</v>
      </c>
      <c r="AC601" cm="1">
        <f t="array" ref="AC601">VLOOKUP($A601,Table_ship_components[],COLUMN(AC:AC),0)*C601</f>
        <v>0</v>
      </c>
      <c r="AD601" cm="1">
        <f t="array" ref="AD601">VLOOKUP($A601,Table_ship_components[],COLUMN(AD:AD),0)</f>
        <v>0</v>
      </c>
      <c r="AE601" cm="1">
        <f t="array" ref="AE601">VLOOKUP($A601,Table_ship_components[],COLUMN(AE:AE),0)</f>
        <v>0</v>
      </c>
      <c r="AF601" cm="1">
        <f t="array" ref="AF601">VLOOKUP($A601,Table_ship_components[],COLUMN(AF:AF),0)</f>
        <v>0</v>
      </c>
      <c r="AG601" cm="1">
        <f t="array" ref="AG601">VLOOKUP($A601,Table_ship_components[],COLUMN(AG:AG),0)</f>
        <v>0</v>
      </c>
      <c r="AH601" cm="1">
        <f t="array" ref="AH601">VLOOKUP($A601,Table_ship_components[],COLUMN(AH:AH),0)</f>
        <v>0</v>
      </c>
      <c r="AI601" cm="1">
        <f t="array" ref="AI601">VLOOKUP($A601,Table_ship_components[],COLUMN(AI:AI),0)</f>
        <v>0</v>
      </c>
      <c r="AJ601" cm="1">
        <f t="array" ref="AJ601">VLOOKUP($A601,Table_ship_components[],COLUMN(AJ:AJ),0)</f>
        <v>0</v>
      </c>
      <c r="AK601" cm="1">
        <f t="array" ref="AK601">VLOOKUP($A601,Table_ship_components[],COLUMN(AK:AK),0)</f>
        <v>0</v>
      </c>
      <c r="AL601" cm="1">
        <f t="array" ref="AL601">VLOOKUP($A601,Table_ship_components[],COLUMN(AL:AL),0)</f>
        <v>0</v>
      </c>
      <c r="AM601" cm="1">
        <f t="array" ref="AM601">VLOOKUP($A601,Table_ship_components[],COLUMN(AM:AM),0)</f>
        <v>0</v>
      </c>
      <c r="AN601" cm="1">
        <f t="array" ref="AN601">VLOOKUP($A601,Table_ship_components[],COLUMN(AN:AN),0)</f>
        <v>0</v>
      </c>
      <c r="AO601" cm="1">
        <f t="array" ref="AO601">VLOOKUP($A601,Table_ship_components[],COLUMN(AO:AO),0)</f>
        <v>0</v>
      </c>
      <c r="AP601" cm="1">
        <f t="array" ref="AP601">VLOOKUP($A601,Table_ship_components[],COLUMN(AP:AP),0)</f>
        <v>0</v>
      </c>
      <c r="AQ601" cm="1">
        <f t="array" ref="AQ601">VLOOKUP($A601,Table_ship_components[],COLUMN(AQ:AQ),0)</f>
        <v>0</v>
      </c>
      <c r="AR601" cm="1">
        <f t="array" ref="AR601">VLOOKUP($A601,Table_ship_components[],COLUMN(AR:AR),0)</f>
        <v>0</v>
      </c>
      <c r="AS601" cm="1">
        <f t="array" ref="AS601">VLOOKUP($A601,Table_ship_components[],COLUMN(AS:AS),0)</f>
        <v>0</v>
      </c>
      <c r="AT601" cm="1">
        <f t="array" ref="AT601">VLOOKUP($A601,Table_ship_components[],COLUMN(AT:AT),0)</f>
        <v>0</v>
      </c>
      <c r="AU601" s="2" cm="1">
        <f t="array" ref="AU601">VLOOKUP($A601,Table_ship_components[],COLUMN(AU:AU),0)</f>
        <v>0</v>
      </c>
      <c r="AV601" s="2" cm="1">
        <f t="array" ref="AV601">VLOOKUP($A601,Table_ship_components[],COLUMN(AV:AV),0)</f>
        <v>0</v>
      </c>
      <c r="AW601" s="2" cm="1">
        <f t="array" ref="AW601">VLOOKUP($A601,Table_ship_components[],COLUMN(AW:AW),0)</f>
        <v>0</v>
      </c>
      <c r="AX601" s="2" cm="1">
        <f t="array" ref="AX601">VLOOKUP($A601,Table_ship_components[],COLUMN(AX:AX),0)</f>
        <v>0</v>
      </c>
      <c r="AY601" s="2" cm="1">
        <f t="array" ref="AY601">VLOOKUP($A601,Table_ship_components[],COLUMN(AY:AY),0)</f>
        <v>0</v>
      </c>
      <c r="AZ601" s="2" t="str" cm="1">
        <f t="array" ref="AZ601">VLOOKUP($A601,Table_ship_components[],COLUMN(AZ:AZ),0)</f>
        <v>C</v>
      </c>
      <c r="BA601" s="14" cm="1">
        <f t="array" ref="BA601">VLOOKUP($A601,Table_ship_components[],COLUMN(BA:BA),0)</f>
        <v>0</v>
      </c>
      <c r="BB601" s="14" cm="1">
        <f t="array" ref="BB601">(VLOOKUP($A601,Table_ship_components[],COLUMN(BA:BA),0)+(W601*C601))</f>
        <v>0</v>
      </c>
      <c r="BC601" s="2" cm="1">
        <f t="array" ref="BC601">VLOOKUP($A601,Table_ship_components[],COLUMN(BC:BC),0)</f>
        <v>0</v>
      </c>
      <c r="BD601" s="2" cm="1">
        <f t="array" ref="BD601">VLOOKUP($A601,Table_ship_components[],COLUMN(BD:BD),0)</f>
        <v>0</v>
      </c>
    </row>
    <row r="602" spans="1:56" outlineLevel="1" x14ac:dyDescent="0.35">
      <c r="A602" t="s">
        <v>288</v>
      </c>
      <c r="B602" t="str" cm="1">
        <f t="array" ref="B602">VLOOKUP($A602,Table_ship_components[],COLUMN(B:B),0)</f>
        <v>PICK A COMPONENT</v>
      </c>
      <c r="C602" s="2">
        <v>1</v>
      </c>
      <c r="D602" cm="1">
        <f t="array" ref="D602">VLOOKUP($A602,Table_ship_components[],COLUMN(D:D),0)</f>
        <v>0</v>
      </c>
      <c r="E602" cm="1">
        <f t="array" ref="E602">ROUND(VLOOKUP($A602,Table_ship_components[],COLUMN(D:D),0)+(V602*C602),0)</f>
        <v>0</v>
      </c>
      <c r="F602" cm="1">
        <f t="array" ref="F602">VLOOKUP($A602,Table_ship_components[],COLUMN(F:F),0)</f>
        <v>0</v>
      </c>
      <c r="G602" cm="1">
        <f t="array" ref="G602">ROUND(VLOOKUP($A602,Table_ship_components[],COLUMN(G:G),0)+(X602*C602),0)</f>
        <v>0</v>
      </c>
      <c r="H602" cm="1">
        <f t="array" ref="H602">VLOOKUP($A602,Table_ship_components[],COLUMN(H:H),0)</f>
        <v>0</v>
      </c>
      <c r="I602" cm="1">
        <f t="array" ref="I602">VLOOKUP($A602,Table_ship_components[],COLUMN(I:I),0)</f>
        <v>0</v>
      </c>
      <c r="J602" cm="1">
        <f t="array" ref="J602">VLOOKUP($A602,Table_ship_components[],COLUMN(J:J),0)</f>
        <v>0</v>
      </c>
      <c r="K602" cm="1">
        <f t="array" ref="K602">VLOOKUP($A602,Table_ship_components[],COLUMN(K:K),0)</f>
        <v>0</v>
      </c>
      <c r="L602" cm="1">
        <f t="array" ref="L602">VLOOKUP($A602,Table_ship_components[],COLUMN(L:L),0)</f>
        <v>0</v>
      </c>
      <c r="M602" cm="1">
        <f t="array" ref="M602">VLOOKUP($A602,Table_ship_components[],COLUMN(M:M),0)</f>
        <v>0</v>
      </c>
      <c r="N602" cm="1">
        <f t="array" ref="N602">VLOOKUP($A602,Table_ship_components[],COLUMN(N:N),0)</f>
        <v>0</v>
      </c>
      <c r="O602" cm="1">
        <f t="array" ref="O602">VLOOKUP($A602,Table_ship_components[],COLUMN(O:O),0)</f>
        <v>0</v>
      </c>
      <c r="P602" cm="1">
        <f t="array" ref="P602">VLOOKUP($A602,Table_ship_components[],COLUMN(P:P),0)</f>
        <v>0</v>
      </c>
      <c r="Q602" cm="1">
        <f t="array" ref="Q602">VLOOKUP($A602,Table_ship_components[],COLUMN(Q:Q),0)</f>
        <v>0</v>
      </c>
      <c r="R602" cm="1">
        <f t="array" ref="R602">VLOOKUP($A602,Table_ship_components[],COLUMN(R:R),0)</f>
        <v>0</v>
      </c>
      <c r="S602" cm="1">
        <f t="array" ref="S602">VLOOKUP($A602,Table_ship_components[],COLUMN(S:S),0)</f>
        <v>0</v>
      </c>
      <c r="T602" cm="1">
        <f t="array" ref="T602">VLOOKUP($A602,Table_ship_components[],COLUMN(T:T),0)</f>
        <v>0</v>
      </c>
      <c r="U602" cm="1">
        <f t="array" ref="U602">VLOOKUP($A602,Table_ship_components[],COLUMN(U:U),0)</f>
        <v>0</v>
      </c>
      <c r="V602" cm="1">
        <f t="array" ref="V602">VLOOKUP($A602,Table_ship_components[],COLUMN(V:V),0)</f>
        <v>0</v>
      </c>
      <c r="W602" s="15" cm="1">
        <f t="array" ref="W602">VLOOKUP($A602,Table_ship_components[],COLUMN(W:W),0)</f>
        <v>0</v>
      </c>
      <c r="X602" cm="1">
        <f t="array" ref="X602">VLOOKUP($A602,Table_ship_components[],COLUMN(X:X),0)</f>
        <v>0</v>
      </c>
      <c r="Y602" cm="1">
        <f t="array" ref="Y602">VLOOKUP($A602,Table_ship_components[],COLUMN(Y:Y),0)</f>
        <v>0</v>
      </c>
      <c r="Z602" cm="1">
        <f t="array" ref="Z602">VLOOKUP($A602,Table_ship_components[],COLUMN(Z:Z),0)</f>
        <v>0</v>
      </c>
      <c r="AA602" cm="1">
        <f t="array" ref="AA602">VLOOKUP($A602,Table_ship_components[],COLUMN(AA:AA),0)*C602</f>
        <v>0</v>
      </c>
      <c r="AB602">
        <f t="shared" si="60"/>
        <v>0</v>
      </c>
      <c r="AC602" cm="1">
        <f t="array" ref="AC602">VLOOKUP($A602,Table_ship_components[],COLUMN(AC:AC),0)*C602</f>
        <v>0</v>
      </c>
      <c r="AD602" cm="1">
        <f t="array" ref="AD602">VLOOKUP($A602,Table_ship_components[],COLUMN(AD:AD),0)</f>
        <v>0</v>
      </c>
      <c r="AE602" cm="1">
        <f t="array" ref="AE602">VLOOKUP($A602,Table_ship_components[],COLUMN(AE:AE),0)</f>
        <v>0</v>
      </c>
      <c r="AF602" cm="1">
        <f t="array" ref="AF602">VLOOKUP($A602,Table_ship_components[],COLUMN(AF:AF),0)</f>
        <v>0</v>
      </c>
      <c r="AG602" cm="1">
        <f t="array" ref="AG602">VLOOKUP($A602,Table_ship_components[],COLUMN(AG:AG),0)</f>
        <v>0</v>
      </c>
      <c r="AH602" cm="1">
        <f t="array" ref="AH602">VLOOKUP($A602,Table_ship_components[],COLUMN(AH:AH),0)</f>
        <v>0</v>
      </c>
      <c r="AI602" cm="1">
        <f t="array" ref="AI602">VLOOKUP($A602,Table_ship_components[],COLUMN(AI:AI),0)</f>
        <v>0</v>
      </c>
      <c r="AJ602" cm="1">
        <f t="array" ref="AJ602">VLOOKUP($A602,Table_ship_components[],COLUMN(AJ:AJ),0)</f>
        <v>0</v>
      </c>
      <c r="AK602" cm="1">
        <f t="array" ref="AK602">VLOOKUP($A602,Table_ship_components[],COLUMN(AK:AK),0)</f>
        <v>0</v>
      </c>
      <c r="AL602" cm="1">
        <f t="array" ref="AL602">VLOOKUP($A602,Table_ship_components[],COLUMN(AL:AL),0)</f>
        <v>0</v>
      </c>
      <c r="AM602" cm="1">
        <f t="array" ref="AM602">VLOOKUP($A602,Table_ship_components[],COLUMN(AM:AM),0)</f>
        <v>0</v>
      </c>
      <c r="AN602" cm="1">
        <f t="array" ref="AN602">VLOOKUP($A602,Table_ship_components[],COLUMN(AN:AN),0)</f>
        <v>0</v>
      </c>
      <c r="AO602" cm="1">
        <f t="array" ref="AO602">VLOOKUP($A602,Table_ship_components[],COLUMN(AO:AO),0)</f>
        <v>0</v>
      </c>
      <c r="AP602" cm="1">
        <f t="array" ref="AP602">VLOOKUP($A602,Table_ship_components[],COLUMN(AP:AP),0)</f>
        <v>0</v>
      </c>
      <c r="AQ602" cm="1">
        <f t="array" ref="AQ602">VLOOKUP($A602,Table_ship_components[],COLUMN(AQ:AQ),0)</f>
        <v>0</v>
      </c>
      <c r="AR602" cm="1">
        <f t="array" ref="AR602">VLOOKUP($A602,Table_ship_components[],COLUMN(AR:AR),0)</f>
        <v>0</v>
      </c>
      <c r="AS602" cm="1">
        <f t="array" ref="AS602">VLOOKUP($A602,Table_ship_components[],COLUMN(AS:AS),0)</f>
        <v>0</v>
      </c>
      <c r="AT602" cm="1">
        <f t="array" ref="AT602">VLOOKUP($A602,Table_ship_components[],COLUMN(AT:AT),0)</f>
        <v>0</v>
      </c>
      <c r="AU602" s="2" cm="1">
        <f t="array" ref="AU602">VLOOKUP($A602,Table_ship_components[],COLUMN(AU:AU),0)</f>
        <v>0</v>
      </c>
      <c r="AV602" s="2" cm="1">
        <f t="array" ref="AV602">VLOOKUP($A602,Table_ship_components[],COLUMN(AV:AV),0)</f>
        <v>0</v>
      </c>
      <c r="AW602" s="2" cm="1">
        <f t="array" ref="AW602">VLOOKUP($A602,Table_ship_components[],COLUMN(AW:AW),0)</f>
        <v>0</v>
      </c>
      <c r="AX602" s="2" cm="1">
        <f t="array" ref="AX602">VLOOKUP($A602,Table_ship_components[],COLUMN(AX:AX),0)</f>
        <v>0</v>
      </c>
      <c r="AY602" s="2" cm="1">
        <f t="array" ref="AY602">VLOOKUP($A602,Table_ship_components[],COLUMN(AY:AY),0)</f>
        <v>0</v>
      </c>
      <c r="AZ602" s="2" t="str" cm="1">
        <f t="array" ref="AZ602">VLOOKUP($A602,Table_ship_components[],COLUMN(AZ:AZ),0)</f>
        <v>C</v>
      </c>
      <c r="BA602" s="14" cm="1">
        <f t="array" ref="BA602">VLOOKUP($A602,Table_ship_components[],COLUMN(BA:BA),0)</f>
        <v>0</v>
      </c>
      <c r="BB602" s="14" cm="1">
        <f t="array" ref="BB602">(VLOOKUP($A602,Table_ship_components[],COLUMN(BA:BA),0)+(W602*C602))</f>
        <v>0</v>
      </c>
      <c r="BC602" s="2" cm="1">
        <f t="array" ref="BC602">VLOOKUP($A602,Table_ship_components[],COLUMN(BC:BC),0)</f>
        <v>0</v>
      </c>
      <c r="BD602" s="2" cm="1">
        <f t="array" ref="BD602">VLOOKUP($A602,Table_ship_components[],COLUMN(BD:BD),0)</f>
        <v>0</v>
      </c>
    </row>
    <row r="603" spans="1:56" outlineLevel="1" x14ac:dyDescent="0.35">
      <c r="A603" s="18" t="s">
        <v>424</v>
      </c>
      <c r="B603" s="19" t="str">
        <f>CONCATENATE("SIZE ",(SUM(E604:E614)),"/",AX593,"  POWER ",(SUM(G604:G614)))</f>
        <v>SIZE 15/15  POWER 15</v>
      </c>
      <c r="AU603" s="2"/>
      <c r="AV603" s="2"/>
      <c r="AW603" s="2"/>
      <c r="AX603" s="2"/>
      <c r="AY603" s="2"/>
      <c r="AZ603" s="2"/>
      <c r="BA603" s="14"/>
      <c r="BB603" s="14"/>
      <c r="BC603" s="2"/>
      <c r="BD603" s="2"/>
    </row>
    <row r="604" spans="1:56" outlineLevel="1" x14ac:dyDescent="0.35">
      <c r="A604" t="s">
        <v>632</v>
      </c>
      <c r="B604" t="str" cm="1">
        <f t="array" ref="B604">VLOOKUP($A604,Table_ship_components[],COLUMN(B:B),0)</f>
        <v>high speed drone balanced engine</v>
      </c>
      <c r="D604" cm="1">
        <f t="array" ref="D604">VLOOKUP($A604,Table_ship_components[],COLUMN(D:D),0)</f>
        <v>5</v>
      </c>
      <c r="E604" cm="1">
        <f t="array" ref="E604">ROUND(VLOOKUP($A604,Table_ship_components[],COLUMN(D:D),0)+(V604*C604),0)</f>
        <v>5</v>
      </c>
      <c r="F604" cm="1">
        <f t="array" ref="F604">VLOOKUP($A604,Table_ship_components[],COLUMN(F:F),0)</f>
        <v>6</v>
      </c>
      <c r="G604" cm="1">
        <f t="array" ref="G604">ROUND(VLOOKUP($A604,Table_ship_components[],COLUMN(G:G),0)+(X604*C604),0)</f>
        <v>6</v>
      </c>
      <c r="H604" cm="1">
        <f t="array" ref="H604">VLOOKUP($A604,Table_ship_components[],COLUMN(H:H),0)</f>
        <v>0</v>
      </c>
      <c r="I604" cm="1">
        <f t="array" ref="I604">VLOOKUP($A604,Table_ship_components[],COLUMN(I:I),0)</f>
        <v>0</v>
      </c>
      <c r="J604" cm="1">
        <f t="array" ref="J604">VLOOKUP($A604,Table_ship_components[],COLUMN(J:J),0)</f>
        <v>0</v>
      </c>
      <c r="K604" cm="1">
        <f t="array" ref="K604">VLOOKUP($A604,Table_ship_components[],COLUMN(K:K),0)</f>
        <v>0</v>
      </c>
      <c r="L604" cm="1">
        <f t="array" ref="L604">VLOOKUP($A604,Table_ship_components[],COLUMN(L:L),0)</f>
        <v>0</v>
      </c>
      <c r="M604" cm="1">
        <f t="array" ref="M604">VLOOKUP($A604,Table_ship_components[],COLUMN(M:M),0)</f>
        <v>1</v>
      </c>
      <c r="N604" cm="1">
        <f t="array" ref="N604">VLOOKUP($A604,Table_ship_components[],COLUMN(N:N),0)</f>
        <v>0</v>
      </c>
      <c r="O604" cm="1">
        <f t="array" ref="O604">VLOOKUP($A604,Table_ship_components[],COLUMN(O:O),0)</f>
        <v>0</v>
      </c>
      <c r="P604" cm="1">
        <f t="array" ref="P604">VLOOKUP($A604,Table_ship_components[],COLUMN(P:P),0)</f>
        <v>0</v>
      </c>
      <c r="Q604" cm="1">
        <f t="array" ref="Q604">VLOOKUP($A604,Table_ship_components[],COLUMN(Q:Q),0)</f>
        <v>0</v>
      </c>
      <c r="R604" cm="1">
        <f t="array" ref="R604">VLOOKUP($A604,Table_ship_components[],COLUMN(R:R),0)</f>
        <v>0</v>
      </c>
      <c r="S604" cm="1">
        <f t="array" ref="S604">VLOOKUP($A604,Table_ship_components[],COLUMN(S:S),0)</f>
        <v>0</v>
      </c>
      <c r="T604" cm="1">
        <f t="array" ref="T604">VLOOKUP($A604,Table_ship_components[],COLUMN(T:T),0)</f>
        <v>0</v>
      </c>
      <c r="U604" cm="1">
        <f t="array" ref="U604">VLOOKUP($A604,Table_ship_components[],COLUMN(U:U),0)</f>
        <v>0</v>
      </c>
      <c r="V604" cm="1">
        <f t="array" ref="V604">VLOOKUP($A604,Table_ship_components[],COLUMN(V:V),0)</f>
        <v>0</v>
      </c>
      <c r="W604" s="15" cm="1">
        <f t="array" ref="W604">VLOOKUP($A604,Table_ship_components[],COLUMN(W:W),0)</f>
        <v>0</v>
      </c>
      <c r="X604" cm="1">
        <f t="array" ref="X604">VLOOKUP($A604,Table_ship_components[],COLUMN(X:X),0)</f>
        <v>0</v>
      </c>
      <c r="Y604" cm="1">
        <f t="array" ref="Y604">VLOOKUP($A604,Table_ship_components[],COLUMN(Y:Y),0)</f>
        <v>0</v>
      </c>
      <c r="Z604" cm="1">
        <f t="array" ref="Z604">VLOOKUP($A604,Table_ship_components[],COLUMN(Z:Z),0)</f>
        <v>0</v>
      </c>
      <c r="AA604" cm="1">
        <f t="array" ref="AA604">VLOOKUP($A604,Table_ship_components[],COLUMN(AA:AA),0)*C604</f>
        <v>0</v>
      </c>
      <c r="AB604">
        <f t="shared" ref="AB604:AB613" si="61">IF(A604="CARGOSPACE_0-ALL_0-UNIVERSAL",C604,0)</f>
        <v>0</v>
      </c>
      <c r="AC604" cm="1">
        <f t="array" ref="AC604">VLOOKUP($A604,Table_ship_components[],COLUMN(AC:AC),0)*C604</f>
        <v>0</v>
      </c>
      <c r="AD604" cm="1">
        <f t="array" ref="AD604">VLOOKUP($A604,Table_ship_components[],COLUMN(AD:AD),0)</f>
        <v>0</v>
      </c>
      <c r="AE604" cm="1">
        <f t="array" ref="AE604">VLOOKUP($A604,Table_ship_components[],COLUMN(AE:AE),0)</f>
        <v>0</v>
      </c>
      <c r="AF604" cm="1">
        <f t="array" ref="AF604">VLOOKUP($A604,Table_ship_components[],COLUMN(AF:AF),0)</f>
        <v>0</v>
      </c>
      <c r="AG604" cm="1">
        <f t="array" ref="AG604">VLOOKUP($A604,Table_ship_components[],COLUMN(AG:AG),0)</f>
        <v>0</v>
      </c>
      <c r="AH604" cm="1">
        <f t="array" ref="AH604">VLOOKUP($A604,Table_ship_components[],COLUMN(AH:AH),0)</f>
        <v>0</v>
      </c>
      <c r="AI604" cm="1">
        <f t="array" ref="AI604">VLOOKUP($A604,Table_ship_components[],COLUMN(AI:AI),0)</f>
        <v>0</v>
      </c>
      <c r="AJ604" cm="1">
        <f t="array" ref="AJ604">VLOOKUP($A604,Table_ship_components[],COLUMN(AJ:AJ),0)</f>
        <v>0</v>
      </c>
      <c r="AK604" cm="1">
        <f t="array" ref="AK604">VLOOKUP($A604,Table_ship_components[],COLUMN(AK:AK),0)</f>
        <v>0</v>
      </c>
      <c r="AL604" cm="1">
        <f t="array" ref="AL604">VLOOKUP($A604,Table_ship_components[],COLUMN(AL:AL),0)</f>
        <v>3</v>
      </c>
      <c r="AM604" cm="1">
        <f t="array" ref="AM604">VLOOKUP($A604,Table_ship_components[],COLUMN(AM:AM),0)</f>
        <v>0</v>
      </c>
      <c r="AN604" cm="1">
        <f t="array" ref="AN604">VLOOKUP($A604,Table_ship_components[],COLUMN(AN:AN),0)</f>
        <v>0</v>
      </c>
      <c r="AO604" cm="1">
        <f t="array" ref="AO604">VLOOKUP($A604,Table_ship_components[],COLUMN(AO:AO),0)</f>
        <v>0</v>
      </c>
      <c r="AP604" cm="1">
        <f t="array" ref="AP604">VLOOKUP($A604,Table_ship_components[],COLUMN(AP:AP),0)</f>
        <v>0</v>
      </c>
      <c r="AQ604" cm="1">
        <f t="array" ref="AQ604">VLOOKUP($A604,Table_ship_components[],COLUMN(AQ:AQ),0)</f>
        <v>0</v>
      </c>
      <c r="AR604" cm="1">
        <f t="array" ref="AR604">VLOOKUP($A604,Table_ship_components[],COLUMN(AR:AR),0)</f>
        <v>1</v>
      </c>
      <c r="AS604" cm="1">
        <f t="array" ref="AS604">VLOOKUP($A604,Table_ship_components[],COLUMN(AS:AS),0)</f>
        <v>0</v>
      </c>
      <c r="AT604" cm="1">
        <f t="array" ref="AT604">VLOOKUP($A604,Table_ship_components[],COLUMN(AT:AT),0)</f>
        <v>0</v>
      </c>
      <c r="AU604" s="2" cm="1">
        <f t="array" ref="AU604">VLOOKUP($A604,Table_ship_components[],COLUMN(AU:AU),0)</f>
        <v>1</v>
      </c>
      <c r="AV604" s="2" cm="1">
        <f t="array" ref="AV604">VLOOKUP($A604,Table_ship_components[],COLUMN(AV:AV),0)</f>
        <v>0</v>
      </c>
      <c r="AW604" s="2" cm="1">
        <f t="array" ref="AW604">VLOOKUP($A604,Table_ship_components[],COLUMN(AW:AW),0)</f>
        <v>0</v>
      </c>
      <c r="AX604" s="2" cm="1">
        <f t="array" ref="AX604">VLOOKUP($A604,Table_ship_components[],COLUMN(AX:AX),0)</f>
        <v>0</v>
      </c>
      <c r="AY604" s="2" cm="1">
        <f t="array" ref="AY604">VLOOKUP($A604,Table_ship_components[],COLUMN(AY:AY),0)</f>
        <v>0</v>
      </c>
      <c r="AZ604" s="2" t="str" cm="1">
        <f t="array" ref="AZ604">VLOOKUP($A604,Table_ship_components[],COLUMN(AZ:AZ),0)</f>
        <v>C</v>
      </c>
      <c r="BA604" s="14" cm="1">
        <f t="array" ref="BA604">VLOOKUP($A604,Table_ship_components[],COLUMN(BA:BA),0)</f>
        <v>400000</v>
      </c>
      <c r="BB604" s="14" cm="1">
        <f t="array" ref="BB604">(VLOOKUP($A604,Table_ship_components[],COLUMN(BA:BA),0)+(W604*C604))</f>
        <v>400000</v>
      </c>
      <c r="BC604" s="2" cm="1">
        <f t="array" ref="BC604">VLOOKUP($A604,Table_ship_components[],COLUMN(BC:BC),0)</f>
        <v>0</v>
      </c>
      <c r="BD604" s="2" cm="1">
        <f t="array" ref="BD604">VLOOKUP($A604,Table_ship_components[],COLUMN(BD:BD),0)</f>
        <v>0</v>
      </c>
    </row>
    <row r="605" spans="1:56" outlineLevel="1" x14ac:dyDescent="0.35">
      <c r="A605" t="s">
        <v>531</v>
      </c>
      <c r="B605" t="str" cm="1">
        <f t="array" ref="B605">VLOOKUP($A605,Table_ship_components[],COLUMN(B:B),0)</f>
        <v>good drone ecm upgrade</v>
      </c>
      <c r="D605" cm="1">
        <f t="array" ref="D605">VLOOKUP($A605,Table_ship_components[],COLUMN(D:D),0)</f>
        <v>3</v>
      </c>
      <c r="E605" cm="1">
        <f t="array" ref="E605">ROUND(VLOOKUP($A605,Table_ship_components[],COLUMN(D:D),0)+(V605*C605),0)</f>
        <v>3</v>
      </c>
      <c r="F605" cm="1">
        <f t="array" ref="F605">VLOOKUP($A605,Table_ship_components[],COLUMN(F:F),0)</f>
        <v>3</v>
      </c>
      <c r="G605" cm="1">
        <f t="array" ref="G605">ROUND(VLOOKUP($A605,Table_ship_components[],COLUMN(G:G),0)+(X605*C605),0)</f>
        <v>3</v>
      </c>
      <c r="H605" cm="1">
        <f t="array" ref="H605">VLOOKUP($A605,Table_ship_components[],COLUMN(H:H),0)</f>
        <v>0</v>
      </c>
      <c r="I605" cm="1">
        <f t="array" ref="I605">VLOOKUP($A605,Table_ship_components[],COLUMN(I:I),0)</f>
        <v>0</v>
      </c>
      <c r="J605" cm="1">
        <f t="array" ref="J605">VLOOKUP($A605,Table_ship_components[],COLUMN(J:J),0)</f>
        <v>0</v>
      </c>
      <c r="K605" cm="1">
        <f t="array" ref="K605">VLOOKUP($A605,Table_ship_components[],COLUMN(K:K),0)</f>
        <v>0</v>
      </c>
      <c r="L605" cm="1">
        <f t="array" ref="L605">VLOOKUP($A605,Table_ship_components[],COLUMN(L:L),0)</f>
        <v>0</v>
      </c>
      <c r="M605" cm="1">
        <f t="array" ref="M605">VLOOKUP($A605,Table_ship_components[],COLUMN(M:M),0)</f>
        <v>1</v>
      </c>
      <c r="N605" cm="1">
        <f t="array" ref="N605">VLOOKUP($A605,Table_ship_components[],COLUMN(N:N),0)</f>
        <v>0</v>
      </c>
      <c r="O605" cm="1">
        <f t="array" ref="O605">VLOOKUP($A605,Table_ship_components[],COLUMN(O:O),0)</f>
        <v>0</v>
      </c>
      <c r="P605" cm="1">
        <f t="array" ref="P605">VLOOKUP($A605,Table_ship_components[],COLUMN(P:P),0)</f>
        <v>0</v>
      </c>
      <c r="Q605" cm="1">
        <f t="array" ref="Q605">VLOOKUP($A605,Table_ship_components[],COLUMN(Q:Q),0)</f>
        <v>0</v>
      </c>
      <c r="R605" cm="1">
        <f t="array" ref="R605">VLOOKUP($A605,Table_ship_components[],COLUMN(R:R),0)</f>
        <v>0</v>
      </c>
      <c r="S605" cm="1">
        <f t="array" ref="S605">VLOOKUP($A605,Table_ship_components[],COLUMN(S:S),0)</f>
        <v>0</v>
      </c>
      <c r="T605" cm="1">
        <f t="array" ref="T605">VLOOKUP($A605,Table_ship_components[],COLUMN(T:T),0)</f>
        <v>0</v>
      </c>
      <c r="U605" cm="1">
        <f t="array" ref="U605">VLOOKUP($A605,Table_ship_components[],COLUMN(U:U),0)</f>
        <v>0</v>
      </c>
      <c r="V605" cm="1">
        <f t="array" ref="V605">VLOOKUP($A605,Table_ship_components[],COLUMN(V:V),0)</f>
        <v>0</v>
      </c>
      <c r="W605" s="15" cm="1">
        <f t="array" ref="W605">VLOOKUP($A605,Table_ship_components[],COLUMN(W:W),0)</f>
        <v>0</v>
      </c>
      <c r="X605" cm="1">
        <f t="array" ref="X605">VLOOKUP($A605,Table_ship_components[],COLUMN(X:X),0)</f>
        <v>0</v>
      </c>
      <c r="Y605" cm="1">
        <f t="array" ref="Y605">VLOOKUP($A605,Table_ship_components[],COLUMN(Y:Y),0)</f>
        <v>0</v>
      </c>
      <c r="Z605" cm="1">
        <f t="array" ref="Z605">VLOOKUP($A605,Table_ship_components[],COLUMN(Z:Z),0)</f>
        <v>0</v>
      </c>
      <c r="AA605" cm="1">
        <f t="array" ref="AA605">VLOOKUP($A605,Table_ship_components[],COLUMN(AA:AA),0)*C605</f>
        <v>0</v>
      </c>
      <c r="AB605">
        <f t="shared" si="61"/>
        <v>0</v>
      </c>
      <c r="AC605" cm="1">
        <f t="array" ref="AC605">VLOOKUP($A605,Table_ship_components[],COLUMN(AC:AC),0)*C605</f>
        <v>0</v>
      </c>
      <c r="AD605" cm="1">
        <f t="array" ref="AD605">VLOOKUP($A605,Table_ship_components[],COLUMN(AD:AD),0)</f>
        <v>0</v>
      </c>
      <c r="AE605" cm="1">
        <f t="array" ref="AE605">VLOOKUP($A605,Table_ship_components[],COLUMN(AE:AE),0)</f>
        <v>0</v>
      </c>
      <c r="AF605" cm="1">
        <f t="array" ref="AF605">VLOOKUP($A605,Table_ship_components[],COLUMN(AF:AF),0)</f>
        <v>0</v>
      </c>
      <c r="AG605" cm="1">
        <f t="array" ref="AG605">VLOOKUP($A605,Table_ship_components[],COLUMN(AG:AG),0)</f>
        <v>0</v>
      </c>
      <c r="AH605" cm="1">
        <f t="array" ref="AH605">VLOOKUP($A605,Table_ship_components[],COLUMN(AH:AH),0)</f>
        <v>0</v>
      </c>
      <c r="AI605" cm="1">
        <f t="array" ref="AI605">VLOOKUP($A605,Table_ship_components[],COLUMN(AI:AI),0)</f>
        <v>0</v>
      </c>
      <c r="AJ605" cm="1">
        <f t="array" ref="AJ605">VLOOKUP($A605,Table_ship_components[],COLUMN(AJ:AJ),0)</f>
        <v>0</v>
      </c>
      <c r="AK605" cm="1">
        <f t="array" ref="AK605">VLOOKUP($A605,Table_ship_components[],COLUMN(AK:AK),0)</f>
        <v>0</v>
      </c>
      <c r="AL605" cm="1">
        <f t="array" ref="AL605">VLOOKUP($A605,Table_ship_components[],COLUMN(AL:AL),0)</f>
        <v>0</v>
      </c>
      <c r="AM605" cm="1">
        <f t="array" ref="AM605">VLOOKUP($A605,Table_ship_components[],COLUMN(AM:AM),0)</f>
        <v>0</v>
      </c>
      <c r="AN605" cm="1">
        <f t="array" ref="AN605">VLOOKUP($A605,Table_ship_components[],COLUMN(AN:AN),0)</f>
        <v>0</v>
      </c>
      <c r="AO605" cm="1">
        <f t="array" ref="AO605">VLOOKUP($A605,Table_ship_components[],COLUMN(AO:AO),0)</f>
        <v>3</v>
      </c>
      <c r="AP605" cm="1">
        <f t="array" ref="AP605">VLOOKUP($A605,Table_ship_components[],COLUMN(AP:AP),0)</f>
        <v>0</v>
      </c>
      <c r="AQ605" cm="1">
        <f t="array" ref="AQ605">VLOOKUP($A605,Table_ship_components[],COLUMN(AQ:AQ),0)</f>
        <v>0</v>
      </c>
      <c r="AR605" cm="1">
        <f t="array" ref="AR605">VLOOKUP($A605,Table_ship_components[],COLUMN(AR:AR),0)</f>
        <v>0</v>
      </c>
      <c r="AS605" cm="1">
        <f t="array" ref="AS605">VLOOKUP($A605,Table_ship_components[],COLUMN(AS:AS),0)</f>
        <v>0</v>
      </c>
      <c r="AT605" cm="1">
        <f t="array" ref="AT605">VLOOKUP($A605,Table_ship_components[],COLUMN(AT:AT),0)</f>
        <v>0</v>
      </c>
      <c r="AU605" s="2" cm="1">
        <f t="array" ref="AU605">VLOOKUP($A605,Table_ship_components[],COLUMN(AU:AU),0)</f>
        <v>0</v>
      </c>
      <c r="AV605" s="2" cm="1">
        <f t="array" ref="AV605">VLOOKUP($A605,Table_ship_components[],COLUMN(AV:AV),0)</f>
        <v>0</v>
      </c>
      <c r="AW605" s="2" cm="1">
        <f t="array" ref="AW605">VLOOKUP($A605,Table_ship_components[],COLUMN(AW:AW),0)</f>
        <v>0</v>
      </c>
      <c r="AX605" s="2" cm="1">
        <f t="array" ref="AX605">VLOOKUP($A605,Table_ship_components[],COLUMN(AX:AX),0)</f>
        <v>0</v>
      </c>
      <c r="AY605" s="2" cm="1">
        <f t="array" ref="AY605">VLOOKUP($A605,Table_ship_components[],COLUMN(AY:AY),0)</f>
        <v>0</v>
      </c>
      <c r="AZ605" s="2" t="str" cm="1">
        <f t="array" ref="AZ605">VLOOKUP($A605,Table_ship_components[],COLUMN(AZ:AZ),0)</f>
        <v>C</v>
      </c>
      <c r="BA605" s="14" cm="1">
        <f t="array" ref="BA605">VLOOKUP($A605,Table_ship_components[],COLUMN(BA:BA),0)</f>
        <v>75000</v>
      </c>
      <c r="BB605" s="14" cm="1">
        <f t="array" ref="BB605">(VLOOKUP($A605,Table_ship_components[],COLUMN(BA:BA),0)+(W605*C605))</f>
        <v>75000</v>
      </c>
      <c r="BC605" s="2" cm="1">
        <f t="array" ref="BC605">VLOOKUP($A605,Table_ship_components[],COLUMN(BC:BC),0)</f>
        <v>0</v>
      </c>
      <c r="BD605" s="2" cm="1">
        <f t="array" ref="BD605">VLOOKUP($A605,Table_ship_components[],COLUMN(BD:BD),0)</f>
        <v>0</v>
      </c>
    </row>
    <row r="606" spans="1:56" outlineLevel="1" x14ac:dyDescent="0.35">
      <c r="A606" t="s">
        <v>556</v>
      </c>
      <c r="B606" t="str" cm="1">
        <f t="array" ref="B606">VLOOKUP($A606,Table_ship_components[],COLUMN(B:B),0)</f>
        <v>average drone shield</v>
      </c>
      <c r="D606" cm="1">
        <f t="array" ref="D606">VLOOKUP($A606,Table_ship_components[],COLUMN(D:D),0)</f>
        <v>4</v>
      </c>
      <c r="E606" cm="1">
        <f t="array" ref="E606">ROUND(VLOOKUP($A606,Table_ship_components[],COLUMN(D:D),0)+(V606*C606),0)</f>
        <v>4</v>
      </c>
      <c r="F606" cm="1">
        <f t="array" ref="F606">VLOOKUP($A606,Table_ship_components[],COLUMN(F:F),0)</f>
        <v>4</v>
      </c>
      <c r="G606" cm="1">
        <f t="array" ref="G606">ROUND(VLOOKUP($A606,Table_ship_components[],COLUMN(G:G),0)+(X606*C606),0)</f>
        <v>4</v>
      </c>
      <c r="H606" cm="1">
        <f t="array" ref="H606">VLOOKUP($A606,Table_ship_components[],COLUMN(H:H),0)</f>
        <v>0</v>
      </c>
      <c r="I606" cm="1">
        <f t="array" ref="I606">VLOOKUP($A606,Table_ship_components[],COLUMN(I:I),0)</f>
        <v>0</v>
      </c>
      <c r="J606" cm="1">
        <f t="array" ref="J606">VLOOKUP($A606,Table_ship_components[],COLUMN(J:J),0)</f>
        <v>0</v>
      </c>
      <c r="K606" cm="1">
        <f t="array" ref="K606">VLOOKUP($A606,Table_ship_components[],COLUMN(K:K),0)</f>
        <v>20</v>
      </c>
      <c r="L606" cm="1">
        <f t="array" ref="L606">VLOOKUP($A606,Table_ship_components[],COLUMN(L:L),0)</f>
        <v>4</v>
      </c>
      <c r="M606" cm="1">
        <f t="array" ref="M606">VLOOKUP($A606,Table_ship_components[],COLUMN(M:M),0)</f>
        <v>1</v>
      </c>
      <c r="N606" cm="1">
        <f t="array" ref="N606">VLOOKUP($A606,Table_ship_components[],COLUMN(N:N),0)</f>
        <v>0</v>
      </c>
      <c r="O606" cm="1">
        <f t="array" ref="O606">VLOOKUP($A606,Table_ship_components[],COLUMN(O:O),0)</f>
        <v>0</v>
      </c>
      <c r="P606" cm="1">
        <f t="array" ref="P606">VLOOKUP($A606,Table_ship_components[],COLUMN(P:P),0)</f>
        <v>0</v>
      </c>
      <c r="Q606" cm="1">
        <f t="array" ref="Q606">VLOOKUP($A606,Table_ship_components[],COLUMN(Q:Q),0)</f>
        <v>0</v>
      </c>
      <c r="R606" cm="1">
        <f t="array" ref="R606">VLOOKUP($A606,Table_ship_components[],COLUMN(R:R),0)</f>
        <v>0</v>
      </c>
      <c r="S606" cm="1">
        <f t="array" ref="S606">VLOOKUP($A606,Table_ship_components[],COLUMN(S:S),0)</f>
        <v>0</v>
      </c>
      <c r="T606" cm="1">
        <f t="array" ref="T606">VLOOKUP($A606,Table_ship_components[],COLUMN(T:T),0)</f>
        <v>0</v>
      </c>
      <c r="U606" cm="1">
        <f t="array" ref="U606">VLOOKUP($A606,Table_ship_components[],COLUMN(U:U),0)</f>
        <v>0</v>
      </c>
      <c r="V606" cm="1">
        <f t="array" ref="V606">VLOOKUP($A606,Table_ship_components[],COLUMN(V:V),0)</f>
        <v>0</v>
      </c>
      <c r="W606" s="15" cm="1">
        <f t="array" ref="W606">VLOOKUP($A606,Table_ship_components[],COLUMN(W:W),0)</f>
        <v>0</v>
      </c>
      <c r="X606" cm="1">
        <f t="array" ref="X606">VLOOKUP($A606,Table_ship_components[],COLUMN(X:X),0)</f>
        <v>0</v>
      </c>
      <c r="Y606" cm="1">
        <f t="array" ref="Y606">VLOOKUP($A606,Table_ship_components[],COLUMN(Y:Y),0)</f>
        <v>0</v>
      </c>
      <c r="Z606" cm="1">
        <f t="array" ref="Z606">VLOOKUP($A606,Table_ship_components[],COLUMN(Z:Z),0)</f>
        <v>0</v>
      </c>
      <c r="AA606" cm="1">
        <f t="array" ref="AA606">VLOOKUP($A606,Table_ship_components[],COLUMN(AA:AA),0)*C606</f>
        <v>0</v>
      </c>
      <c r="AB606">
        <f t="shared" si="61"/>
        <v>0</v>
      </c>
      <c r="AC606" cm="1">
        <f t="array" ref="AC606">VLOOKUP($A606,Table_ship_components[],COLUMN(AC:AC),0)*C606</f>
        <v>0</v>
      </c>
      <c r="AD606" cm="1">
        <f t="array" ref="AD606">VLOOKUP($A606,Table_ship_components[],COLUMN(AD:AD),0)</f>
        <v>0</v>
      </c>
      <c r="AE606" cm="1">
        <f t="array" ref="AE606">VLOOKUP($A606,Table_ship_components[],COLUMN(AE:AE),0)</f>
        <v>0</v>
      </c>
      <c r="AF606" cm="1">
        <f t="array" ref="AF606">VLOOKUP($A606,Table_ship_components[],COLUMN(AF:AF),0)</f>
        <v>0</v>
      </c>
      <c r="AG606" cm="1">
        <f t="array" ref="AG606">VLOOKUP($A606,Table_ship_components[],COLUMN(AG:AG),0)</f>
        <v>0</v>
      </c>
      <c r="AH606" cm="1">
        <f t="array" ref="AH606">VLOOKUP($A606,Table_ship_components[],COLUMN(AH:AH),0)</f>
        <v>0</v>
      </c>
      <c r="AI606" cm="1">
        <f t="array" ref="AI606">VLOOKUP($A606,Table_ship_components[],COLUMN(AI:AI),0)</f>
        <v>0</v>
      </c>
      <c r="AJ606" cm="1">
        <f t="array" ref="AJ606">VLOOKUP($A606,Table_ship_components[],COLUMN(AJ:AJ),0)</f>
        <v>0</v>
      </c>
      <c r="AK606" cm="1">
        <f t="array" ref="AK606">VLOOKUP($A606,Table_ship_components[],COLUMN(AK:AK),0)</f>
        <v>0</v>
      </c>
      <c r="AL606" cm="1">
        <f t="array" ref="AL606">VLOOKUP($A606,Table_ship_components[],COLUMN(AL:AL),0)</f>
        <v>0</v>
      </c>
      <c r="AM606" cm="1">
        <f t="array" ref="AM606">VLOOKUP($A606,Table_ship_components[],COLUMN(AM:AM),0)</f>
        <v>0</v>
      </c>
      <c r="AN606" cm="1">
        <f t="array" ref="AN606">VLOOKUP($A606,Table_ship_components[],COLUMN(AN:AN),0)</f>
        <v>0</v>
      </c>
      <c r="AO606" cm="1">
        <f t="array" ref="AO606">VLOOKUP($A606,Table_ship_components[],COLUMN(AO:AO),0)</f>
        <v>0</v>
      </c>
      <c r="AP606" cm="1">
        <f t="array" ref="AP606">VLOOKUP($A606,Table_ship_components[],COLUMN(AP:AP),0)</f>
        <v>0</v>
      </c>
      <c r="AQ606" cm="1">
        <f t="array" ref="AQ606">VLOOKUP($A606,Table_ship_components[],COLUMN(AQ:AQ),0)</f>
        <v>0</v>
      </c>
      <c r="AR606" cm="1">
        <f t="array" ref="AR606">VLOOKUP($A606,Table_ship_components[],COLUMN(AR:AR),0)</f>
        <v>0</v>
      </c>
      <c r="AS606" cm="1">
        <f t="array" ref="AS606">VLOOKUP($A606,Table_ship_components[],COLUMN(AS:AS),0)</f>
        <v>0</v>
      </c>
      <c r="AT606" cm="1">
        <f t="array" ref="AT606">VLOOKUP($A606,Table_ship_components[],COLUMN(AT:AT),0)</f>
        <v>0</v>
      </c>
      <c r="AU606" s="2" cm="1">
        <f t="array" ref="AU606">VLOOKUP($A606,Table_ship_components[],COLUMN(AU:AU),0)</f>
        <v>0</v>
      </c>
      <c r="AV606" s="2" cm="1">
        <f t="array" ref="AV606">VLOOKUP($A606,Table_ship_components[],COLUMN(AV:AV),0)</f>
        <v>0</v>
      </c>
      <c r="AW606" s="2" cm="1">
        <f t="array" ref="AW606">VLOOKUP($A606,Table_ship_components[],COLUMN(AW:AW),0)</f>
        <v>0</v>
      </c>
      <c r="AX606" s="2" cm="1">
        <f t="array" ref="AX606">VLOOKUP($A606,Table_ship_components[],COLUMN(AX:AX),0)</f>
        <v>0</v>
      </c>
      <c r="AY606" s="2" cm="1">
        <f t="array" ref="AY606">VLOOKUP($A606,Table_ship_components[],COLUMN(AY:AY),0)</f>
        <v>0</v>
      </c>
      <c r="AZ606" s="2" t="str" cm="1">
        <f t="array" ref="AZ606">VLOOKUP($A606,Table_ship_components[],COLUMN(AZ:AZ),0)</f>
        <v>C</v>
      </c>
      <c r="BA606" s="14" cm="1">
        <f t="array" ref="BA606">VLOOKUP($A606,Table_ship_components[],COLUMN(BA:BA),0)</f>
        <v>250000</v>
      </c>
      <c r="BB606" s="14" cm="1">
        <f t="array" ref="BB606">(VLOOKUP($A606,Table_ship_components[],COLUMN(BA:BA),0)+(W606*C606))</f>
        <v>250000</v>
      </c>
      <c r="BC606" s="2" t="str" cm="1">
        <f t="array" ref="BC606">VLOOKUP($A606,Table_ship_components[],COLUMN(BC:BC),0)</f>
        <v>UNCOMMON</v>
      </c>
      <c r="BD606" s="2" cm="1">
        <f t="array" ref="BD606">VLOOKUP($A606,Table_ship_components[],COLUMN(BD:BD),0)</f>
        <v>0</v>
      </c>
    </row>
    <row r="607" spans="1:56" outlineLevel="1" x14ac:dyDescent="0.35">
      <c r="A607" t="s">
        <v>582</v>
      </c>
      <c r="B607" t="str" cm="1">
        <f t="array" ref="B607">VLOOKUP($A607,Table_ship_components[],COLUMN(B:B),0)</f>
        <v>basic drone warfare computer</v>
      </c>
      <c r="D607" cm="1">
        <f t="array" ref="D607">VLOOKUP($A607,Table_ship_components[],COLUMN(D:D),0)</f>
        <v>1</v>
      </c>
      <c r="E607" cm="1">
        <f t="array" ref="E607">ROUND(VLOOKUP($A607,Table_ship_components[],COLUMN(D:D),0)+(V607*C607),0)</f>
        <v>1</v>
      </c>
      <c r="F607" cm="1">
        <f t="array" ref="F607">VLOOKUP($A607,Table_ship_components[],COLUMN(F:F),0)</f>
        <v>1</v>
      </c>
      <c r="G607" cm="1">
        <f t="array" ref="G607">ROUND(VLOOKUP($A607,Table_ship_components[],COLUMN(G:G),0)+(X607*C607),0)</f>
        <v>1</v>
      </c>
      <c r="H607" cm="1">
        <f t="array" ref="H607">VLOOKUP($A607,Table_ship_components[],COLUMN(H:H),0)</f>
        <v>0</v>
      </c>
      <c r="I607" cm="1">
        <f t="array" ref="I607">VLOOKUP($A607,Table_ship_components[],COLUMN(I:I),0)</f>
        <v>0</v>
      </c>
      <c r="J607" cm="1">
        <f t="array" ref="J607">VLOOKUP($A607,Table_ship_components[],COLUMN(J:J),0)</f>
        <v>0</v>
      </c>
      <c r="K607" cm="1">
        <f t="array" ref="K607">VLOOKUP($A607,Table_ship_components[],COLUMN(K:K),0)</f>
        <v>0</v>
      </c>
      <c r="L607" cm="1">
        <f t="array" ref="L607">VLOOKUP($A607,Table_ship_components[],COLUMN(L:L),0)</f>
        <v>0</v>
      </c>
      <c r="M607" cm="1">
        <f t="array" ref="M607">VLOOKUP($A607,Table_ship_components[],COLUMN(M:M),0)</f>
        <v>1</v>
      </c>
      <c r="N607" cm="1">
        <f t="array" ref="N607">VLOOKUP($A607,Table_ship_components[],COLUMN(N:N),0)</f>
        <v>0</v>
      </c>
      <c r="O607" cm="1">
        <f t="array" ref="O607">VLOOKUP($A607,Table_ship_components[],COLUMN(O:O),0)</f>
        <v>0</v>
      </c>
      <c r="P607" cm="1">
        <f t="array" ref="P607">VLOOKUP($A607,Table_ship_components[],COLUMN(P:P),0)</f>
        <v>0</v>
      </c>
      <c r="Q607" cm="1">
        <f t="array" ref="Q607">VLOOKUP($A607,Table_ship_components[],COLUMN(Q:Q),0)</f>
        <v>0</v>
      </c>
      <c r="R607" cm="1">
        <f t="array" ref="R607">VLOOKUP($A607,Table_ship_components[],COLUMN(R:R),0)</f>
        <v>0</v>
      </c>
      <c r="S607" cm="1">
        <f t="array" ref="S607">VLOOKUP($A607,Table_ship_components[],COLUMN(S:S),0)</f>
        <v>0</v>
      </c>
      <c r="T607" cm="1">
        <f t="array" ref="T607">VLOOKUP($A607,Table_ship_components[],COLUMN(T:T),0)</f>
        <v>0</v>
      </c>
      <c r="U607" cm="1">
        <f t="array" ref="U607">VLOOKUP($A607,Table_ship_components[],COLUMN(U:U),0)</f>
        <v>0</v>
      </c>
      <c r="V607" cm="1">
        <f t="array" ref="V607">VLOOKUP($A607,Table_ship_components[],COLUMN(V:V),0)</f>
        <v>0</v>
      </c>
      <c r="W607" s="15" cm="1">
        <f t="array" ref="W607">VLOOKUP($A607,Table_ship_components[],COLUMN(W:W),0)</f>
        <v>0</v>
      </c>
      <c r="X607" cm="1">
        <f t="array" ref="X607">VLOOKUP($A607,Table_ship_components[],COLUMN(X:X),0)</f>
        <v>0</v>
      </c>
      <c r="Y607" cm="1">
        <f t="array" ref="Y607">VLOOKUP($A607,Table_ship_components[],COLUMN(Y:Y),0)</f>
        <v>0</v>
      </c>
      <c r="Z607" cm="1">
        <f t="array" ref="Z607">VLOOKUP($A607,Table_ship_components[],COLUMN(Z:Z),0)</f>
        <v>0</v>
      </c>
      <c r="AA607" cm="1">
        <f t="array" ref="AA607">VLOOKUP($A607,Table_ship_components[],COLUMN(AA:AA),0)*C607</f>
        <v>0</v>
      </c>
      <c r="AB607">
        <f t="shared" si="61"/>
        <v>0</v>
      </c>
      <c r="AC607" cm="1">
        <f t="array" ref="AC607">VLOOKUP($A607,Table_ship_components[],COLUMN(AC:AC),0)*C607</f>
        <v>0</v>
      </c>
      <c r="AD607" cm="1">
        <f t="array" ref="AD607">VLOOKUP($A607,Table_ship_components[],COLUMN(AD:AD),0)</f>
        <v>0</v>
      </c>
      <c r="AE607" cm="1">
        <f t="array" ref="AE607">VLOOKUP($A607,Table_ship_components[],COLUMN(AE:AE),0)</f>
        <v>0</v>
      </c>
      <c r="AF607" cm="1">
        <f t="array" ref="AF607">VLOOKUP($A607,Table_ship_components[],COLUMN(AF:AF),0)</f>
        <v>0</v>
      </c>
      <c r="AG607" cm="1">
        <f t="array" ref="AG607">VLOOKUP($A607,Table_ship_components[],COLUMN(AG:AG),0)</f>
        <v>0</v>
      </c>
      <c r="AH607" cm="1">
        <f t="array" ref="AH607">VLOOKUP($A607,Table_ship_components[],COLUMN(AH:AH),0)</f>
        <v>0</v>
      </c>
      <c r="AI607" cm="1">
        <f t="array" ref="AI607">VLOOKUP($A607,Table_ship_components[],COLUMN(AI:AI),0)</f>
        <v>0</v>
      </c>
      <c r="AJ607" cm="1">
        <f t="array" ref="AJ607">VLOOKUP($A607,Table_ship_components[],COLUMN(AJ:AJ),0)</f>
        <v>0</v>
      </c>
      <c r="AK607" cm="1">
        <f t="array" ref="AK607">VLOOKUP($A607,Table_ship_components[],COLUMN(AK:AK),0)</f>
        <v>0</v>
      </c>
      <c r="AL607" cm="1">
        <f t="array" ref="AL607">VLOOKUP($A607,Table_ship_components[],COLUMN(AL:AL),0)</f>
        <v>0</v>
      </c>
      <c r="AM607" cm="1">
        <f t="array" ref="AM607">VLOOKUP($A607,Table_ship_components[],COLUMN(AM:AM),0)</f>
        <v>0</v>
      </c>
      <c r="AN607" cm="1">
        <f t="array" ref="AN607">VLOOKUP($A607,Table_ship_components[],COLUMN(AN:AN),0)</f>
        <v>0</v>
      </c>
      <c r="AO607" cm="1">
        <f t="array" ref="AO607">VLOOKUP($A607,Table_ship_components[],COLUMN(AO:AO),0)</f>
        <v>0</v>
      </c>
      <c r="AP607" cm="1">
        <f t="array" ref="AP607">VLOOKUP($A607,Table_ship_components[],COLUMN(AP:AP),0)</f>
        <v>0</v>
      </c>
      <c r="AQ607" cm="1">
        <f t="array" ref="AQ607">VLOOKUP($A607,Table_ship_components[],COLUMN(AQ:AQ),0)</f>
        <v>0</v>
      </c>
      <c r="AR607" cm="1">
        <f t="array" ref="AR607">VLOOKUP($A607,Table_ship_components[],COLUMN(AR:AR),0)</f>
        <v>0</v>
      </c>
      <c r="AS607" cm="1">
        <f t="array" ref="AS607">VLOOKUP($A607,Table_ship_components[],COLUMN(AS:AS),0)</f>
        <v>0</v>
      </c>
      <c r="AT607" cm="1">
        <f t="array" ref="AT607">VLOOKUP($A607,Table_ship_components[],COLUMN(AT:AT),0)</f>
        <v>0</v>
      </c>
      <c r="AU607" s="2" cm="1">
        <f t="array" ref="AU607">VLOOKUP($A607,Table_ship_components[],COLUMN(AU:AU),0)</f>
        <v>-1</v>
      </c>
      <c r="AV607" s="2" cm="1">
        <f t="array" ref="AV607">VLOOKUP($A607,Table_ship_components[],COLUMN(AV:AV),0)</f>
        <v>0</v>
      </c>
      <c r="AW607" s="2" cm="1">
        <f t="array" ref="AW607">VLOOKUP($A607,Table_ship_components[],COLUMN(AW:AW),0)</f>
        <v>0</v>
      </c>
      <c r="AX607" s="2" cm="1">
        <f t="array" ref="AX607">VLOOKUP($A607,Table_ship_components[],COLUMN(AX:AX),0)</f>
        <v>0</v>
      </c>
      <c r="AY607" s="2" cm="1">
        <f t="array" ref="AY607">VLOOKUP($A607,Table_ship_components[],COLUMN(AY:AY),0)</f>
        <v>0</v>
      </c>
      <c r="AZ607" s="2" t="str" cm="1">
        <f t="array" ref="AZ607">VLOOKUP($A607,Table_ship_components[],COLUMN(AZ:AZ),0)</f>
        <v>C</v>
      </c>
      <c r="BA607" s="14" cm="1">
        <f t="array" ref="BA607">VLOOKUP($A607,Table_ship_components[],COLUMN(BA:BA),0)</f>
        <v>70000</v>
      </c>
      <c r="BB607" s="14" cm="1">
        <f t="array" ref="BB607">(VLOOKUP($A607,Table_ship_components[],COLUMN(BA:BA),0)+(W607*C607))</f>
        <v>70000</v>
      </c>
      <c r="BC607" s="2" cm="1">
        <f t="array" ref="BC607">VLOOKUP($A607,Table_ship_components[],COLUMN(BC:BC),0)</f>
        <v>0</v>
      </c>
      <c r="BD607" s="2" cm="1">
        <f t="array" ref="BD607">VLOOKUP($A607,Table_ship_components[],COLUMN(BD:BD),0)</f>
        <v>0</v>
      </c>
    </row>
    <row r="608" spans="1:56" outlineLevel="1" x14ac:dyDescent="0.35">
      <c r="A608" t="s">
        <v>549</v>
      </c>
      <c r="B608" t="str" cm="1">
        <f t="array" ref="B608">VLOOKUP($A608,Table_ship_components[],COLUMN(B:B),0)</f>
        <v>basic drone radar and scans</v>
      </c>
      <c r="D608" cm="1">
        <f t="array" ref="D608">VLOOKUP($A608,Table_ship_components[],COLUMN(D:D),0)</f>
        <v>1</v>
      </c>
      <c r="E608" cm="1">
        <f t="array" ref="E608">ROUND(VLOOKUP($A608,Table_ship_components[],COLUMN(D:D),0)+(V608*C608),0)</f>
        <v>1</v>
      </c>
      <c r="F608" cm="1">
        <f t="array" ref="F608">VLOOKUP($A608,Table_ship_components[],COLUMN(F:F),0)</f>
        <v>1</v>
      </c>
      <c r="G608" cm="1">
        <f t="array" ref="G608">ROUND(VLOOKUP($A608,Table_ship_components[],COLUMN(G:G),0)+(X608*C608),0)</f>
        <v>1</v>
      </c>
      <c r="H608" cm="1">
        <f t="array" ref="H608">VLOOKUP($A608,Table_ship_components[],COLUMN(H:H),0)</f>
        <v>0</v>
      </c>
      <c r="I608" cm="1">
        <f t="array" ref="I608">VLOOKUP($A608,Table_ship_components[],COLUMN(I:I),0)</f>
        <v>0</v>
      </c>
      <c r="J608" cm="1">
        <f t="array" ref="J608">VLOOKUP($A608,Table_ship_components[],COLUMN(J:J),0)</f>
        <v>0</v>
      </c>
      <c r="K608" cm="1">
        <f t="array" ref="K608">VLOOKUP($A608,Table_ship_components[],COLUMN(K:K),0)</f>
        <v>0</v>
      </c>
      <c r="L608" cm="1">
        <f t="array" ref="L608">VLOOKUP($A608,Table_ship_components[],COLUMN(L:L),0)</f>
        <v>0</v>
      </c>
      <c r="M608" cm="1">
        <f t="array" ref="M608">VLOOKUP($A608,Table_ship_components[],COLUMN(M:M),0)</f>
        <v>1</v>
      </c>
      <c r="N608" cm="1">
        <f t="array" ref="N608">VLOOKUP($A608,Table_ship_components[],COLUMN(N:N),0)</f>
        <v>0</v>
      </c>
      <c r="O608" cm="1">
        <f t="array" ref="O608">VLOOKUP($A608,Table_ship_components[],COLUMN(O:O),0)</f>
        <v>0</v>
      </c>
      <c r="P608" cm="1">
        <f t="array" ref="P608">VLOOKUP($A608,Table_ship_components[],COLUMN(P:P),0)</f>
        <v>0</v>
      </c>
      <c r="Q608" cm="1">
        <f t="array" ref="Q608">VLOOKUP($A608,Table_ship_components[],COLUMN(Q:Q),0)</f>
        <v>0</v>
      </c>
      <c r="R608" cm="1">
        <f t="array" ref="R608">VLOOKUP($A608,Table_ship_components[],COLUMN(R:R),0)</f>
        <v>0</v>
      </c>
      <c r="S608" cm="1">
        <f t="array" ref="S608">VLOOKUP($A608,Table_ship_components[],COLUMN(S:S),0)</f>
        <v>0</v>
      </c>
      <c r="T608" cm="1">
        <f t="array" ref="T608">VLOOKUP($A608,Table_ship_components[],COLUMN(T:T),0)</f>
        <v>0</v>
      </c>
      <c r="U608" cm="1">
        <f t="array" ref="U608">VLOOKUP($A608,Table_ship_components[],COLUMN(U:U),0)</f>
        <v>0</v>
      </c>
      <c r="V608" cm="1">
        <f t="array" ref="V608">VLOOKUP($A608,Table_ship_components[],COLUMN(V:V),0)</f>
        <v>0</v>
      </c>
      <c r="W608" s="15" cm="1">
        <f t="array" ref="W608">VLOOKUP($A608,Table_ship_components[],COLUMN(W:W),0)</f>
        <v>0</v>
      </c>
      <c r="X608" cm="1">
        <f t="array" ref="X608">VLOOKUP($A608,Table_ship_components[],COLUMN(X:X),0)</f>
        <v>0</v>
      </c>
      <c r="Y608" cm="1">
        <f t="array" ref="Y608">VLOOKUP($A608,Table_ship_components[],COLUMN(Y:Y),0)</f>
        <v>0</v>
      </c>
      <c r="Z608" cm="1">
        <f t="array" ref="Z608">VLOOKUP($A608,Table_ship_components[],COLUMN(Z:Z),0)</f>
        <v>0</v>
      </c>
      <c r="AA608" cm="1">
        <f t="array" ref="AA608">VLOOKUP($A608,Table_ship_components[],COLUMN(AA:AA),0)*C608</f>
        <v>0</v>
      </c>
      <c r="AB608">
        <f t="shared" si="61"/>
        <v>0</v>
      </c>
      <c r="AC608" cm="1">
        <f t="array" ref="AC608">VLOOKUP($A608,Table_ship_components[],COLUMN(AC:AC),0)*C608</f>
        <v>0</v>
      </c>
      <c r="AD608" cm="1">
        <f t="array" ref="AD608">VLOOKUP($A608,Table_ship_components[],COLUMN(AD:AD),0)</f>
        <v>0</v>
      </c>
      <c r="AE608" cm="1">
        <f t="array" ref="AE608">VLOOKUP($A608,Table_ship_components[],COLUMN(AE:AE),0)</f>
        <v>0</v>
      </c>
      <c r="AF608" cm="1">
        <f t="array" ref="AF608">VLOOKUP($A608,Table_ship_components[],COLUMN(AF:AF),0)</f>
        <v>0</v>
      </c>
      <c r="AG608" cm="1">
        <f t="array" ref="AG608">VLOOKUP($A608,Table_ship_components[],COLUMN(AG:AG),0)</f>
        <v>0</v>
      </c>
      <c r="AH608" cm="1">
        <f t="array" ref="AH608">VLOOKUP($A608,Table_ship_components[],COLUMN(AH:AH),0)</f>
        <v>100</v>
      </c>
      <c r="AI608" cm="1">
        <f t="array" ref="AI608">VLOOKUP($A608,Table_ship_components[],COLUMN(AI:AI),0)</f>
        <v>0</v>
      </c>
      <c r="AJ608" cm="1">
        <f t="array" ref="AJ608">VLOOKUP($A608,Table_ship_components[],COLUMN(AJ:AJ),0)</f>
        <v>0</v>
      </c>
      <c r="AK608" cm="1">
        <f t="array" ref="AK608">VLOOKUP($A608,Table_ship_components[],COLUMN(AK:AK),0)</f>
        <v>0</v>
      </c>
      <c r="AL608" cm="1">
        <f t="array" ref="AL608">VLOOKUP($A608,Table_ship_components[],COLUMN(AL:AL),0)</f>
        <v>0</v>
      </c>
      <c r="AM608" cm="1">
        <f t="array" ref="AM608">VLOOKUP($A608,Table_ship_components[],COLUMN(AM:AM),0)</f>
        <v>0</v>
      </c>
      <c r="AN608" cm="1">
        <f t="array" ref="AN608">VLOOKUP($A608,Table_ship_components[],COLUMN(AN:AN),0)</f>
        <v>0</v>
      </c>
      <c r="AO608" cm="1">
        <f t="array" ref="AO608">VLOOKUP($A608,Table_ship_components[],COLUMN(AO:AO),0)</f>
        <v>0</v>
      </c>
      <c r="AP608" cm="1">
        <f t="array" ref="AP608">VLOOKUP($A608,Table_ship_components[],COLUMN(AP:AP),0)</f>
        <v>0</v>
      </c>
      <c r="AQ608" cm="1">
        <f t="array" ref="AQ608">VLOOKUP($A608,Table_ship_components[],COLUMN(AQ:AQ),0)</f>
        <v>0</v>
      </c>
      <c r="AR608" cm="1">
        <f t="array" ref="AR608">VLOOKUP($A608,Table_ship_components[],COLUMN(AR:AR),0)</f>
        <v>0</v>
      </c>
      <c r="AS608" cm="1">
        <f t="array" ref="AS608">VLOOKUP($A608,Table_ship_components[],COLUMN(AS:AS),0)</f>
        <v>-1</v>
      </c>
      <c r="AT608" cm="1">
        <f t="array" ref="AT608">VLOOKUP($A608,Table_ship_components[],COLUMN(AT:AT),0)</f>
        <v>0</v>
      </c>
      <c r="AU608" s="2" cm="1">
        <f t="array" ref="AU608">VLOOKUP($A608,Table_ship_components[],COLUMN(AU:AU),0)</f>
        <v>0</v>
      </c>
      <c r="AV608" s="2" cm="1">
        <f t="array" ref="AV608">VLOOKUP($A608,Table_ship_components[],COLUMN(AV:AV),0)</f>
        <v>0</v>
      </c>
      <c r="AW608" s="2" cm="1">
        <f t="array" ref="AW608">VLOOKUP($A608,Table_ship_components[],COLUMN(AW:AW),0)</f>
        <v>0</v>
      </c>
      <c r="AX608" s="2" cm="1">
        <f t="array" ref="AX608">VLOOKUP($A608,Table_ship_components[],COLUMN(AX:AX),0)</f>
        <v>0</v>
      </c>
      <c r="AY608" s="2" cm="1">
        <f t="array" ref="AY608">VLOOKUP($A608,Table_ship_components[],COLUMN(AY:AY),0)</f>
        <v>0</v>
      </c>
      <c r="AZ608" s="2" t="str" cm="1">
        <f t="array" ref="AZ608">VLOOKUP($A608,Table_ship_components[],COLUMN(AZ:AZ),0)</f>
        <v>C</v>
      </c>
      <c r="BA608" s="14" cm="1">
        <f t="array" ref="BA608">VLOOKUP($A608,Table_ship_components[],COLUMN(BA:BA),0)</f>
        <v>100000</v>
      </c>
      <c r="BB608" s="14" cm="1">
        <f t="array" ref="BB608">(VLOOKUP($A608,Table_ship_components[],COLUMN(BA:BA),0)+(W608*C608))</f>
        <v>100000</v>
      </c>
      <c r="BC608" s="2" cm="1">
        <f t="array" ref="BC608">VLOOKUP($A608,Table_ship_components[],COLUMN(BC:BC),0)</f>
        <v>0</v>
      </c>
      <c r="BD608" s="2" cm="1">
        <f t="array" ref="BD608">VLOOKUP($A608,Table_ship_components[],COLUMN(BD:BD),0)</f>
        <v>0</v>
      </c>
    </row>
    <row r="609" spans="1:56" outlineLevel="1" x14ac:dyDescent="0.35">
      <c r="A609" t="s">
        <v>315</v>
      </c>
      <c r="B609" t="str" cm="1">
        <f t="array" ref="B609">VLOOKUP($A609,Table_ship_components[],COLUMN(B:B),0)</f>
        <v>cargo space (1 HUGE item per unit)</v>
      </c>
      <c r="C609" s="2">
        <v>1</v>
      </c>
      <c r="D609" cm="1">
        <f t="array" ref="D609">VLOOKUP($A609,Table_ship_components[],COLUMN(D:D),0)</f>
        <v>0</v>
      </c>
      <c r="E609" cm="1">
        <f t="array" ref="E609">ROUND(VLOOKUP($A609,Table_ship_components[],COLUMN(D:D),0)+(V609*C609),0)</f>
        <v>1</v>
      </c>
      <c r="F609" cm="1">
        <f t="array" ref="F609">VLOOKUP($A609,Table_ship_components[],COLUMN(F:F),0)</f>
        <v>0</v>
      </c>
      <c r="G609" cm="1">
        <f t="array" ref="G609">ROUND(VLOOKUP($A609,Table_ship_components[],COLUMN(G:G),0)+(X609*C609),0)</f>
        <v>0</v>
      </c>
      <c r="H609" cm="1">
        <f t="array" ref="H609">VLOOKUP($A609,Table_ship_components[],COLUMN(H:H),0)</f>
        <v>0</v>
      </c>
      <c r="I609" cm="1">
        <f t="array" ref="I609">VLOOKUP($A609,Table_ship_components[],COLUMN(I:I),0)</f>
        <v>0</v>
      </c>
      <c r="J609" cm="1">
        <f t="array" ref="J609">VLOOKUP($A609,Table_ship_components[],COLUMN(J:J),0)</f>
        <v>0</v>
      </c>
      <c r="K609" cm="1">
        <f t="array" ref="K609">VLOOKUP($A609,Table_ship_components[],COLUMN(K:K),0)</f>
        <v>0</v>
      </c>
      <c r="L609" cm="1">
        <f t="array" ref="L609">VLOOKUP($A609,Table_ship_components[],COLUMN(L:L),0)</f>
        <v>0</v>
      </c>
      <c r="M609" cm="1">
        <f t="array" ref="M609">VLOOKUP($A609,Table_ship_components[],COLUMN(M:M),0)</f>
        <v>0</v>
      </c>
      <c r="N609" cm="1">
        <f t="array" ref="N609">VLOOKUP($A609,Table_ship_components[],COLUMN(N:N),0)</f>
        <v>1</v>
      </c>
      <c r="O609" cm="1">
        <f t="array" ref="O609">VLOOKUP($A609,Table_ship_components[],COLUMN(O:O),0)</f>
        <v>1</v>
      </c>
      <c r="P609" cm="1">
        <f t="array" ref="P609">VLOOKUP($A609,Table_ship_components[],COLUMN(P:P),0)</f>
        <v>1</v>
      </c>
      <c r="Q609" cm="1">
        <f t="array" ref="Q609">VLOOKUP($A609,Table_ship_components[],COLUMN(Q:Q),0)</f>
        <v>1</v>
      </c>
      <c r="R609" cm="1">
        <f t="array" ref="R609">VLOOKUP($A609,Table_ship_components[],COLUMN(R:R),0)</f>
        <v>1</v>
      </c>
      <c r="S609" cm="1">
        <f t="array" ref="S609">VLOOKUP($A609,Table_ship_components[],COLUMN(S:S),0)</f>
        <v>1</v>
      </c>
      <c r="T609" cm="1">
        <f t="array" ref="T609">VLOOKUP($A609,Table_ship_components[],COLUMN(T:T),0)</f>
        <v>1</v>
      </c>
      <c r="U609" cm="1">
        <f t="array" ref="U609">VLOOKUP($A609,Table_ship_components[],COLUMN(U:U),0)</f>
        <v>1</v>
      </c>
      <c r="V609" cm="1">
        <f t="array" ref="V609">VLOOKUP($A609,Table_ship_components[],COLUMN(V:V),0)</f>
        <v>1</v>
      </c>
      <c r="W609" s="15" cm="1">
        <f t="array" ref="W609">VLOOKUP($A609,Table_ship_components[],COLUMN(W:W),0)</f>
        <v>5000</v>
      </c>
      <c r="X609" cm="1">
        <f t="array" ref="X609">VLOOKUP($A609,Table_ship_components[],COLUMN(X:X),0)</f>
        <v>0</v>
      </c>
      <c r="Y609" cm="1">
        <f t="array" ref="Y609">VLOOKUP($A609,Table_ship_components[],COLUMN(Y:Y),0)</f>
        <v>0</v>
      </c>
      <c r="Z609" cm="1">
        <f t="array" ref="Z609">VLOOKUP($A609,Table_ship_components[],COLUMN(Z:Z),0)</f>
        <v>0</v>
      </c>
      <c r="AA609" cm="1">
        <f t="array" ref="AA609">VLOOKUP($A609,Table_ship_components[],COLUMN(AA:AA),0)*C609</f>
        <v>0</v>
      </c>
      <c r="AB609">
        <f t="shared" si="61"/>
        <v>1</v>
      </c>
      <c r="AC609" cm="1">
        <f t="array" ref="AC609">VLOOKUP($A609,Table_ship_components[],COLUMN(AC:AC),0)*C609</f>
        <v>0</v>
      </c>
      <c r="AD609" cm="1">
        <f t="array" ref="AD609">VLOOKUP($A609,Table_ship_components[],COLUMN(AD:AD),0)</f>
        <v>0</v>
      </c>
      <c r="AE609" cm="1">
        <f t="array" ref="AE609">VLOOKUP($A609,Table_ship_components[],COLUMN(AE:AE),0)</f>
        <v>0</v>
      </c>
      <c r="AF609" cm="1">
        <f t="array" ref="AF609">VLOOKUP($A609,Table_ship_components[],COLUMN(AF:AF),0)</f>
        <v>0</v>
      </c>
      <c r="AG609" cm="1">
        <f t="array" ref="AG609">VLOOKUP($A609,Table_ship_components[],COLUMN(AG:AG),0)</f>
        <v>0</v>
      </c>
      <c r="AH609" cm="1">
        <f t="array" ref="AH609">VLOOKUP($A609,Table_ship_components[],COLUMN(AH:AH),0)</f>
        <v>0</v>
      </c>
      <c r="AI609" cm="1">
        <f t="array" ref="AI609">VLOOKUP($A609,Table_ship_components[],COLUMN(AI:AI),0)</f>
        <v>0</v>
      </c>
      <c r="AJ609" cm="1">
        <f t="array" ref="AJ609">VLOOKUP($A609,Table_ship_components[],COLUMN(AJ:AJ),0)</f>
        <v>0</v>
      </c>
      <c r="AK609" cm="1">
        <f t="array" ref="AK609">VLOOKUP($A609,Table_ship_components[],COLUMN(AK:AK),0)</f>
        <v>0</v>
      </c>
      <c r="AL609" cm="1">
        <f t="array" ref="AL609">VLOOKUP($A609,Table_ship_components[],COLUMN(AL:AL),0)</f>
        <v>0</v>
      </c>
      <c r="AM609" cm="1">
        <f t="array" ref="AM609">VLOOKUP($A609,Table_ship_components[],COLUMN(AM:AM),0)</f>
        <v>0</v>
      </c>
      <c r="AN609" cm="1">
        <f t="array" ref="AN609">VLOOKUP($A609,Table_ship_components[],COLUMN(AN:AN),0)</f>
        <v>0</v>
      </c>
      <c r="AO609" cm="1">
        <f t="array" ref="AO609">VLOOKUP($A609,Table_ship_components[],COLUMN(AO:AO),0)</f>
        <v>0</v>
      </c>
      <c r="AP609" cm="1">
        <f t="array" ref="AP609">VLOOKUP($A609,Table_ship_components[],COLUMN(AP:AP),0)</f>
        <v>0</v>
      </c>
      <c r="AQ609" cm="1">
        <f t="array" ref="AQ609">VLOOKUP($A609,Table_ship_components[],COLUMN(AQ:AQ),0)</f>
        <v>0</v>
      </c>
      <c r="AR609" cm="1">
        <f t="array" ref="AR609">VLOOKUP($A609,Table_ship_components[],COLUMN(AR:AR),0)</f>
        <v>0</v>
      </c>
      <c r="AS609" cm="1">
        <f t="array" ref="AS609">VLOOKUP($A609,Table_ship_components[],COLUMN(AS:AS),0)</f>
        <v>0</v>
      </c>
      <c r="AT609" cm="1">
        <f t="array" ref="AT609">VLOOKUP($A609,Table_ship_components[],COLUMN(AT:AT),0)</f>
        <v>0</v>
      </c>
      <c r="AU609" s="2" cm="1">
        <f t="array" ref="AU609">VLOOKUP($A609,Table_ship_components[],COLUMN(AU:AU),0)</f>
        <v>0</v>
      </c>
      <c r="AV609" s="2" cm="1">
        <f t="array" ref="AV609">VLOOKUP($A609,Table_ship_components[],COLUMN(AV:AV),0)</f>
        <v>0</v>
      </c>
      <c r="AW609" s="2" cm="1">
        <f t="array" ref="AW609">VLOOKUP($A609,Table_ship_components[],COLUMN(AW:AW),0)</f>
        <v>0</v>
      </c>
      <c r="AX609" s="2" cm="1">
        <f t="array" ref="AX609">VLOOKUP($A609,Table_ship_components[],COLUMN(AX:AX),0)</f>
        <v>0</v>
      </c>
      <c r="AY609" s="2" cm="1">
        <f t="array" ref="AY609">VLOOKUP($A609,Table_ship_components[],COLUMN(AY:AY),0)</f>
        <v>0</v>
      </c>
      <c r="AZ609" s="2" t="str" cm="1">
        <f t="array" ref="AZ609">VLOOKUP($A609,Table_ship_components[],COLUMN(AZ:AZ),0)</f>
        <v>C</v>
      </c>
      <c r="BA609" s="14" cm="1">
        <f t="array" ref="BA609">VLOOKUP($A609,Table_ship_components[],COLUMN(BA:BA),0)</f>
        <v>5000</v>
      </c>
      <c r="BB609" s="14" cm="1">
        <f t="array" ref="BB609">(VLOOKUP($A609,Table_ship_components[],COLUMN(BA:BA),0)+(W609*C609))</f>
        <v>10000</v>
      </c>
      <c r="BC609" s="2" cm="1">
        <f t="array" ref="BC609">VLOOKUP($A609,Table_ship_components[],COLUMN(BC:BC),0)</f>
        <v>0</v>
      </c>
      <c r="BD609" s="2" cm="1">
        <f t="array" ref="BD609">VLOOKUP($A609,Table_ship_components[],COLUMN(BD:BD),0)</f>
        <v>0</v>
      </c>
    </row>
    <row r="610" spans="1:56" outlineLevel="1" x14ac:dyDescent="0.35">
      <c r="A610" t="s">
        <v>288</v>
      </c>
      <c r="B610" t="str" cm="1">
        <f t="array" ref="B610">VLOOKUP($A610,Table_ship_components[],COLUMN(B:B),0)</f>
        <v>PICK A COMPONENT</v>
      </c>
      <c r="D610" cm="1">
        <f t="array" ref="D610">VLOOKUP($A610,Table_ship_components[],COLUMN(D:D),0)</f>
        <v>0</v>
      </c>
      <c r="E610" cm="1">
        <f t="array" ref="E610">ROUND(VLOOKUP($A610,Table_ship_components[],COLUMN(D:D),0)+(V610*C610),0)</f>
        <v>0</v>
      </c>
      <c r="F610" cm="1">
        <f t="array" ref="F610">VLOOKUP($A610,Table_ship_components[],COLUMN(F:F),0)</f>
        <v>0</v>
      </c>
      <c r="G610" cm="1">
        <f t="array" ref="G610">ROUND(VLOOKUP($A610,Table_ship_components[],COLUMN(G:G),0)+(X610*C610),0)</f>
        <v>0</v>
      </c>
      <c r="H610" cm="1">
        <f t="array" ref="H610">VLOOKUP($A610,Table_ship_components[],COLUMN(H:H),0)</f>
        <v>0</v>
      </c>
      <c r="I610" cm="1">
        <f t="array" ref="I610">VLOOKUP($A610,Table_ship_components[],COLUMN(I:I),0)</f>
        <v>0</v>
      </c>
      <c r="J610" cm="1">
        <f t="array" ref="J610">VLOOKUP($A610,Table_ship_components[],COLUMN(J:J),0)</f>
        <v>0</v>
      </c>
      <c r="K610" cm="1">
        <f t="array" ref="K610">VLOOKUP($A610,Table_ship_components[],COLUMN(K:K),0)</f>
        <v>0</v>
      </c>
      <c r="L610" cm="1">
        <f t="array" ref="L610">VLOOKUP($A610,Table_ship_components[],COLUMN(L:L),0)</f>
        <v>0</v>
      </c>
      <c r="M610" cm="1">
        <f t="array" ref="M610">VLOOKUP($A610,Table_ship_components[],COLUMN(M:M),0)</f>
        <v>0</v>
      </c>
      <c r="N610" cm="1">
        <f t="array" ref="N610">VLOOKUP($A610,Table_ship_components[],COLUMN(N:N),0)</f>
        <v>0</v>
      </c>
      <c r="O610" cm="1">
        <f t="array" ref="O610">VLOOKUP($A610,Table_ship_components[],COLUMN(O:O),0)</f>
        <v>0</v>
      </c>
      <c r="P610" cm="1">
        <f t="array" ref="P610">VLOOKUP($A610,Table_ship_components[],COLUMN(P:P),0)</f>
        <v>0</v>
      </c>
      <c r="Q610" cm="1">
        <f t="array" ref="Q610">VLOOKUP($A610,Table_ship_components[],COLUMN(Q:Q),0)</f>
        <v>0</v>
      </c>
      <c r="R610" cm="1">
        <f t="array" ref="R610">VLOOKUP($A610,Table_ship_components[],COLUMN(R:R),0)</f>
        <v>0</v>
      </c>
      <c r="S610" cm="1">
        <f t="array" ref="S610">VLOOKUP($A610,Table_ship_components[],COLUMN(S:S),0)</f>
        <v>0</v>
      </c>
      <c r="T610" cm="1">
        <f t="array" ref="T610">VLOOKUP($A610,Table_ship_components[],COLUMN(T:T),0)</f>
        <v>0</v>
      </c>
      <c r="U610" cm="1">
        <f t="array" ref="U610">VLOOKUP($A610,Table_ship_components[],COLUMN(U:U),0)</f>
        <v>0</v>
      </c>
      <c r="V610" cm="1">
        <f t="array" ref="V610">VLOOKUP($A610,Table_ship_components[],COLUMN(V:V),0)</f>
        <v>0</v>
      </c>
      <c r="W610" s="15" cm="1">
        <f t="array" ref="W610">VLOOKUP($A610,Table_ship_components[],COLUMN(W:W),0)</f>
        <v>0</v>
      </c>
      <c r="X610" cm="1">
        <f t="array" ref="X610">VLOOKUP($A610,Table_ship_components[],COLUMN(X:X),0)</f>
        <v>0</v>
      </c>
      <c r="Y610" cm="1">
        <f t="array" ref="Y610">VLOOKUP($A610,Table_ship_components[],COLUMN(Y:Y),0)</f>
        <v>0</v>
      </c>
      <c r="Z610" cm="1">
        <f t="array" ref="Z610">VLOOKUP($A610,Table_ship_components[],COLUMN(Z:Z),0)</f>
        <v>0</v>
      </c>
      <c r="AA610" cm="1">
        <f t="array" ref="AA610">VLOOKUP($A610,Table_ship_components[],COLUMN(AA:AA),0)*C610</f>
        <v>0</v>
      </c>
      <c r="AB610">
        <f t="shared" si="61"/>
        <v>0</v>
      </c>
      <c r="AC610" cm="1">
        <f t="array" ref="AC610">VLOOKUP($A610,Table_ship_components[],COLUMN(AC:AC),0)*C610</f>
        <v>0</v>
      </c>
      <c r="AD610" cm="1">
        <f t="array" ref="AD610">VLOOKUP($A610,Table_ship_components[],COLUMN(AD:AD),0)</f>
        <v>0</v>
      </c>
      <c r="AE610" cm="1">
        <f t="array" ref="AE610">VLOOKUP($A610,Table_ship_components[],COLUMN(AE:AE),0)</f>
        <v>0</v>
      </c>
      <c r="AF610" cm="1">
        <f t="array" ref="AF610">VLOOKUP($A610,Table_ship_components[],COLUMN(AF:AF),0)</f>
        <v>0</v>
      </c>
      <c r="AG610" cm="1">
        <f t="array" ref="AG610">VLOOKUP($A610,Table_ship_components[],COLUMN(AG:AG),0)</f>
        <v>0</v>
      </c>
      <c r="AH610" cm="1">
        <f t="array" ref="AH610">VLOOKUP($A610,Table_ship_components[],COLUMN(AH:AH),0)</f>
        <v>0</v>
      </c>
      <c r="AI610" cm="1">
        <f t="array" ref="AI610">VLOOKUP($A610,Table_ship_components[],COLUMN(AI:AI),0)</f>
        <v>0</v>
      </c>
      <c r="AJ610" cm="1">
        <f t="array" ref="AJ610">VLOOKUP($A610,Table_ship_components[],COLUMN(AJ:AJ),0)</f>
        <v>0</v>
      </c>
      <c r="AK610" cm="1">
        <f t="array" ref="AK610">VLOOKUP($A610,Table_ship_components[],COLUMN(AK:AK),0)</f>
        <v>0</v>
      </c>
      <c r="AL610" cm="1">
        <f t="array" ref="AL610">VLOOKUP($A610,Table_ship_components[],COLUMN(AL:AL),0)</f>
        <v>0</v>
      </c>
      <c r="AM610" cm="1">
        <f t="array" ref="AM610">VLOOKUP($A610,Table_ship_components[],COLUMN(AM:AM),0)</f>
        <v>0</v>
      </c>
      <c r="AN610" cm="1">
        <f t="array" ref="AN610">VLOOKUP($A610,Table_ship_components[],COLUMN(AN:AN),0)</f>
        <v>0</v>
      </c>
      <c r="AO610" cm="1">
        <f t="array" ref="AO610">VLOOKUP($A610,Table_ship_components[],COLUMN(AO:AO),0)</f>
        <v>0</v>
      </c>
      <c r="AP610" cm="1">
        <f t="array" ref="AP610">VLOOKUP($A610,Table_ship_components[],COLUMN(AP:AP),0)</f>
        <v>0</v>
      </c>
      <c r="AQ610" cm="1">
        <f t="array" ref="AQ610">VLOOKUP($A610,Table_ship_components[],COLUMN(AQ:AQ),0)</f>
        <v>0</v>
      </c>
      <c r="AR610" cm="1">
        <f t="array" ref="AR610">VLOOKUP($A610,Table_ship_components[],COLUMN(AR:AR),0)</f>
        <v>0</v>
      </c>
      <c r="AS610" cm="1">
        <f t="array" ref="AS610">VLOOKUP($A610,Table_ship_components[],COLUMN(AS:AS),0)</f>
        <v>0</v>
      </c>
      <c r="AT610" cm="1">
        <f t="array" ref="AT610">VLOOKUP($A610,Table_ship_components[],COLUMN(AT:AT),0)</f>
        <v>0</v>
      </c>
      <c r="AU610" s="2" cm="1">
        <f t="array" ref="AU610">VLOOKUP($A610,Table_ship_components[],COLUMN(AU:AU),0)</f>
        <v>0</v>
      </c>
      <c r="AV610" s="2" cm="1">
        <f t="array" ref="AV610">VLOOKUP($A610,Table_ship_components[],COLUMN(AV:AV),0)</f>
        <v>0</v>
      </c>
      <c r="AW610" s="2" cm="1">
        <f t="array" ref="AW610">VLOOKUP($A610,Table_ship_components[],COLUMN(AW:AW),0)</f>
        <v>0</v>
      </c>
      <c r="AX610" s="2" cm="1">
        <f t="array" ref="AX610">VLOOKUP($A610,Table_ship_components[],COLUMN(AX:AX),0)</f>
        <v>0</v>
      </c>
      <c r="AY610" s="2" cm="1">
        <f t="array" ref="AY610">VLOOKUP($A610,Table_ship_components[],COLUMN(AY:AY),0)</f>
        <v>0</v>
      </c>
      <c r="AZ610" s="2" t="str" cm="1">
        <f t="array" ref="AZ610">VLOOKUP($A610,Table_ship_components[],COLUMN(AZ:AZ),0)</f>
        <v>C</v>
      </c>
      <c r="BA610" s="14" cm="1">
        <f t="array" ref="BA610">VLOOKUP($A610,Table_ship_components[],COLUMN(BA:BA),0)</f>
        <v>0</v>
      </c>
      <c r="BB610" s="14" cm="1">
        <f t="array" ref="BB610">(VLOOKUP($A610,Table_ship_components[],COLUMN(BA:BA),0)+(W610*C610))</f>
        <v>0</v>
      </c>
      <c r="BC610" s="2" cm="1">
        <f t="array" ref="BC610">VLOOKUP($A610,Table_ship_components[],COLUMN(BC:BC),0)</f>
        <v>0</v>
      </c>
      <c r="BD610" s="2" cm="1">
        <f t="array" ref="BD610">VLOOKUP($A610,Table_ship_components[],COLUMN(BD:BD),0)</f>
        <v>0</v>
      </c>
    </row>
    <row r="611" spans="1:56" outlineLevel="1" x14ac:dyDescent="0.35">
      <c r="A611" t="s">
        <v>288</v>
      </c>
      <c r="B611" t="str" cm="1">
        <f t="array" ref="B611">VLOOKUP($A611,Table_ship_components[],COLUMN(B:B),0)</f>
        <v>PICK A COMPONENT</v>
      </c>
      <c r="D611" cm="1">
        <f t="array" ref="D611">VLOOKUP($A611,Table_ship_components[],COLUMN(D:D),0)</f>
        <v>0</v>
      </c>
      <c r="E611" cm="1">
        <f t="array" ref="E611">ROUND(VLOOKUP($A611,Table_ship_components[],COLUMN(D:D),0)+(V611*C611),0)</f>
        <v>0</v>
      </c>
      <c r="F611" cm="1">
        <f t="array" ref="F611">VLOOKUP($A611,Table_ship_components[],COLUMN(F:F),0)</f>
        <v>0</v>
      </c>
      <c r="G611" cm="1">
        <f t="array" ref="G611">ROUND(VLOOKUP($A611,Table_ship_components[],COLUMN(G:G),0)+(X611*C611),0)</f>
        <v>0</v>
      </c>
      <c r="H611" cm="1">
        <f t="array" ref="H611">VLOOKUP($A611,Table_ship_components[],COLUMN(H:H),0)</f>
        <v>0</v>
      </c>
      <c r="I611" cm="1">
        <f t="array" ref="I611">VLOOKUP($A611,Table_ship_components[],COLUMN(I:I),0)</f>
        <v>0</v>
      </c>
      <c r="J611" cm="1">
        <f t="array" ref="J611">VLOOKUP($A611,Table_ship_components[],COLUMN(J:J),0)</f>
        <v>0</v>
      </c>
      <c r="K611" cm="1">
        <f t="array" ref="K611">VLOOKUP($A611,Table_ship_components[],COLUMN(K:K),0)</f>
        <v>0</v>
      </c>
      <c r="L611" cm="1">
        <f t="array" ref="L611">VLOOKUP($A611,Table_ship_components[],COLUMN(L:L),0)</f>
        <v>0</v>
      </c>
      <c r="M611" cm="1">
        <f t="array" ref="M611">VLOOKUP($A611,Table_ship_components[],COLUMN(M:M),0)</f>
        <v>0</v>
      </c>
      <c r="N611" cm="1">
        <f t="array" ref="N611">VLOOKUP($A611,Table_ship_components[],COLUMN(N:N),0)</f>
        <v>0</v>
      </c>
      <c r="O611" cm="1">
        <f t="array" ref="O611">VLOOKUP($A611,Table_ship_components[],COLUMN(O:O),0)</f>
        <v>0</v>
      </c>
      <c r="P611" cm="1">
        <f t="array" ref="P611">VLOOKUP($A611,Table_ship_components[],COLUMN(P:P),0)</f>
        <v>0</v>
      </c>
      <c r="Q611" cm="1">
        <f t="array" ref="Q611">VLOOKUP($A611,Table_ship_components[],COLUMN(Q:Q),0)</f>
        <v>0</v>
      </c>
      <c r="R611" cm="1">
        <f t="array" ref="R611">VLOOKUP($A611,Table_ship_components[],COLUMN(R:R),0)</f>
        <v>0</v>
      </c>
      <c r="S611" cm="1">
        <f t="array" ref="S611">VLOOKUP($A611,Table_ship_components[],COLUMN(S:S),0)</f>
        <v>0</v>
      </c>
      <c r="T611" cm="1">
        <f t="array" ref="T611">VLOOKUP($A611,Table_ship_components[],COLUMN(T:T),0)</f>
        <v>0</v>
      </c>
      <c r="U611" cm="1">
        <f t="array" ref="U611">VLOOKUP($A611,Table_ship_components[],COLUMN(U:U),0)</f>
        <v>0</v>
      </c>
      <c r="V611" cm="1">
        <f t="array" ref="V611">VLOOKUP($A611,Table_ship_components[],COLUMN(V:V),0)</f>
        <v>0</v>
      </c>
      <c r="W611" s="15" cm="1">
        <f t="array" ref="W611">VLOOKUP($A611,Table_ship_components[],COLUMN(W:W),0)</f>
        <v>0</v>
      </c>
      <c r="X611" cm="1">
        <f t="array" ref="X611">VLOOKUP($A611,Table_ship_components[],COLUMN(X:X),0)</f>
        <v>0</v>
      </c>
      <c r="Y611" cm="1">
        <f t="array" ref="Y611">VLOOKUP($A611,Table_ship_components[],COLUMN(Y:Y),0)</f>
        <v>0</v>
      </c>
      <c r="Z611" cm="1">
        <f t="array" ref="Z611">VLOOKUP($A611,Table_ship_components[],COLUMN(Z:Z),0)</f>
        <v>0</v>
      </c>
      <c r="AA611" cm="1">
        <f t="array" ref="AA611">VLOOKUP($A611,Table_ship_components[],COLUMN(AA:AA),0)*C611</f>
        <v>0</v>
      </c>
      <c r="AB611">
        <f t="shared" si="61"/>
        <v>0</v>
      </c>
      <c r="AC611" cm="1">
        <f t="array" ref="AC611">VLOOKUP($A611,Table_ship_components[],COLUMN(AC:AC),0)*C611</f>
        <v>0</v>
      </c>
      <c r="AD611" cm="1">
        <f t="array" ref="AD611">VLOOKUP($A611,Table_ship_components[],COLUMN(AD:AD),0)</f>
        <v>0</v>
      </c>
      <c r="AE611" cm="1">
        <f t="array" ref="AE611">VLOOKUP($A611,Table_ship_components[],COLUMN(AE:AE),0)</f>
        <v>0</v>
      </c>
      <c r="AF611" cm="1">
        <f t="array" ref="AF611">VLOOKUP($A611,Table_ship_components[],COLUMN(AF:AF),0)</f>
        <v>0</v>
      </c>
      <c r="AG611" cm="1">
        <f t="array" ref="AG611">VLOOKUP($A611,Table_ship_components[],COLUMN(AG:AG),0)</f>
        <v>0</v>
      </c>
      <c r="AH611" cm="1">
        <f t="array" ref="AH611">VLOOKUP($A611,Table_ship_components[],COLUMN(AH:AH),0)</f>
        <v>0</v>
      </c>
      <c r="AI611" cm="1">
        <f t="array" ref="AI611">VLOOKUP($A611,Table_ship_components[],COLUMN(AI:AI),0)</f>
        <v>0</v>
      </c>
      <c r="AJ611" cm="1">
        <f t="array" ref="AJ611">VLOOKUP($A611,Table_ship_components[],COLUMN(AJ:AJ),0)</f>
        <v>0</v>
      </c>
      <c r="AK611" cm="1">
        <f t="array" ref="AK611">VLOOKUP($A611,Table_ship_components[],COLUMN(AK:AK),0)</f>
        <v>0</v>
      </c>
      <c r="AL611" cm="1">
        <f t="array" ref="AL611">VLOOKUP($A611,Table_ship_components[],COLUMN(AL:AL),0)</f>
        <v>0</v>
      </c>
      <c r="AM611" cm="1">
        <f t="array" ref="AM611">VLOOKUP($A611,Table_ship_components[],COLUMN(AM:AM),0)</f>
        <v>0</v>
      </c>
      <c r="AN611" cm="1">
        <f t="array" ref="AN611">VLOOKUP($A611,Table_ship_components[],COLUMN(AN:AN),0)</f>
        <v>0</v>
      </c>
      <c r="AO611" cm="1">
        <f t="array" ref="AO611">VLOOKUP($A611,Table_ship_components[],COLUMN(AO:AO),0)</f>
        <v>0</v>
      </c>
      <c r="AP611" cm="1">
        <f t="array" ref="AP611">VLOOKUP($A611,Table_ship_components[],COLUMN(AP:AP),0)</f>
        <v>0</v>
      </c>
      <c r="AQ611" cm="1">
        <f t="array" ref="AQ611">VLOOKUP($A611,Table_ship_components[],COLUMN(AQ:AQ),0)</f>
        <v>0</v>
      </c>
      <c r="AR611" cm="1">
        <f t="array" ref="AR611">VLOOKUP($A611,Table_ship_components[],COLUMN(AR:AR),0)</f>
        <v>0</v>
      </c>
      <c r="AS611" cm="1">
        <f t="array" ref="AS611">VLOOKUP($A611,Table_ship_components[],COLUMN(AS:AS),0)</f>
        <v>0</v>
      </c>
      <c r="AT611" cm="1">
        <f t="array" ref="AT611">VLOOKUP($A611,Table_ship_components[],COLUMN(AT:AT),0)</f>
        <v>0</v>
      </c>
      <c r="AU611" s="2" cm="1">
        <f t="array" ref="AU611">VLOOKUP($A611,Table_ship_components[],COLUMN(AU:AU),0)</f>
        <v>0</v>
      </c>
      <c r="AV611" s="2" cm="1">
        <f t="array" ref="AV611">VLOOKUP($A611,Table_ship_components[],COLUMN(AV:AV),0)</f>
        <v>0</v>
      </c>
      <c r="AW611" s="2" cm="1">
        <f t="array" ref="AW611">VLOOKUP($A611,Table_ship_components[],COLUMN(AW:AW),0)</f>
        <v>0</v>
      </c>
      <c r="AX611" s="2" cm="1">
        <f t="array" ref="AX611">VLOOKUP($A611,Table_ship_components[],COLUMN(AX:AX),0)</f>
        <v>0</v>
      </c>
      <c r="AY611" s="2" cm="1">
        <f t="array" ref="AY611">VLOOKUP($A611,Table_ship_components[],COLUMN(AY:AY),0)</f>
        <v>0</v>
      </c>
      <c r="AZ611" s="2" t="str" cm="1">
        <f t="array" ref="AZ611">VLOOKUP($A611,Table_ship_components[],COLUMN(AZ:AZ),0)</f>
        <v>C</v>
      </c>
      <c r="BA611" s="14" cm="1">
        <f t="array" ref="BA611">VLOOKUP($A611,Table_ship_components[],COLUMN(BA:BA),0)</f>
        <v>0</v>
      </c>
      <c r="BB611" s="14" cm="1">
        <f t="array" ref="BB611">(VLOOKUP($A611,Table_ship_components[],COLUMN(BA:BA),0)+(W611*C611))</f>
        <v>0</v>
      </c>
      <c r="BC611" s="2" cm="1">
        <f t="array" ref="BC611">VLOOKUP($A611,Table_ship_components[],COLUMN(BC:BC),0)</f>
        <v>0</v>
      </c>
      <c r="BD611" s="2" cm="1">
        <f t="array" ref="BD611">VLOOKUP($A611,Table_ship_components[],COLUMN(BD:BD),0)</f>
        <v>0</v>
      </c>
    </row>
    <row r="612" spans="1:56" outlineLevel="1" x14ac:dyDescent="0.35">
      <c r="A612" t="s">
        <v>288</v>
      </c>
      <c r="B612" t="str" cm="1">
        <f t="array" ref="B612">VLOOKUP($A612,Table_ship_components[],COLUMN(B:B),0)</f>
        <v>PICK A COMPONENT</v>
      </c>
      <c r="D612" cm="1">
        <f t="array" ref="D612">VLOOKUP($A612,Table_ship_components[],COLUMN(D:D),0)</f>
        <v>0</v>
      </c>
      <c r="E612" cm="1">
        <f t="array" ref="E612">ROUND(VLOOKUP($A612,Table_ship_components[],COLUMN(D:D),0)+(V612*C612),0)</f>
        <v>0</v>
      </c>
      <c r="F612" cm="1">
        <f t="array" ref="F612">VLOOKUP($A612,Table_ship_components[],COLUMN(F:F),0)</f>
        <v>0</v>
      </c>
      <c r="G612" cm="1">
        <f t="array" ref="G612">ROUND(VLOOKUP($A612,Table_ship_components[],COLUMN(G:G),0)+(X612*C612),0)</f>
        <v>0</v>
      </c>
      <c r="H612" cm="1">
        <f t="array" ref="H612">VLOOKUP($A612,Table_ship_components[],COLUMN(H:H),0)</f>
        <v>0</v>
      </c>
      <c r="I612" cm="1">
        <f t="array" ref="I612">VLOOKUP($A612,Table_ship_components[],COLUMN(I:I),0)</f>
        <v>0</v>
      </c>
      <c r="J612" cm="1">
        <f t="array" ref="J612">VLOOKUP($A612,Table_ship_components[],COLUMN(J:J),0)</f>
        <v>0</v>
      </c>
      <c r="K612" cm="1">
        <f t="array" ref="K612">VLOOKUP($A612,Table_ship_components[],COLUMN(K:K),0)</f>
        <v>0</v>
      </c>
      <c r="L612" cm="1">
        <f t="array" ref="L612">VLOOKUP($A612,Table_ship_components[],COLUMN(L:L),0)</f>
        <v>0</v>
      </c>
      <c r="M612" cm="1">
        <f t="array" ref="M612">VLOOKUP($A612,Table_ship_components[],COLUMN(M:M),0)</f>
        <v>0</v>
      </c>
      <c r="N612" cm="1">
        <f t="array" ref="N612">VLOOKUP($A612,Table_ship_components[],COLUMN(N:N),0)</f>
        <v>0</v>
      </c>
      <c r="O612" cm="1">
        <f t="array" ref="O612">VLOOKUP($A612,Table_ship_components[],COLUMN(O:O),0)</f>
        <v>0</v>
      </c>
      <c r="P612" cm="1">
        <f t="array" ref="P612">VLOOKUP($A612,Table_ship_components[],COLUMN(P:P),0)</f>
        <v>0</v>
      </c>
      <c r="Q612" cm="1">
        <f t="array" ref="Q612">VLOOKUP($A612,Table_ship_components[],COLUMN(Q:Q),0)</f>
        <v>0</v>
      </c>
      <c r="R612" cm="1">
        <f t="array" ref="R612">VLOOKUP($A612,Table_ship_components[],COLUMN(R:R),0)</f>
        <v>0</v>
      </c>
      <c r="S612" cm="1">
        <f t="array" ref="S612">VLOOKUP($A612,Table_ship_components[],COLUMN(S:S),0)</f>
        <v>0</v>
      </c>
      <c r="T612" cm="1">
        <f t="array" ref="T612">VLOOKUP($A612,Table_ship_components[],COLUMN(T:T),0)</f>
        <v>0</v>
      </c>
      <c r="U612" cm="1">
        <f t="array" ref="U612">VLOOKUP($A612,Table_ship_components[],COLUMN(U:U),0)</f>
        <v>0</v>
      </c>
      <c r="V612" cm="1">
        <f t="array" ref="V612">VLOOKUP($A612,Table_ship_components[],COLUMN(V:V),0)</f>
        <v>0</v>
      </c>
      <c r="W612" s="15" cm="1">
        <f t="array" ref="W612">VLOOKUP($A612,Table_ship_components[],COLUMN(W:W),0)</f>
        <v>0</v>
      </c>
      <c r="X612" cm="1">
        <f t="array" ref="X612">VLOOKUP($A612,Table_ship_components[],COLUMN(X:X),0)</f>
        <v>0</v>
      </c>
      <c r="Y612" cm="1">
        <f t="array" ref="Y612">VLOOKUP($A612,Table_ship_components[],COLUMN(Y:Y),0)</f>
        <v>0</v>
      </c>
      <c r="Z612" cm="1">
        <f t="array" ref="Z612">VLOOKUP($A612,Table_ship_components[],COLUMN(Z:Z),0)</f>
        <v>0</v>
      </c>
      <c r="AA612" cm="1">
        <f t="array" ref="AA612">VLOOKUP($A612,Table_ship_components[],COLUMN(AA:AA),0)*C612</f>
        <v>0</v>
      </c>
      <c r="AB612">
        <f t="shared" si="61"/>
        <v>0</v>
      </c>
      <c r="AC612" cm="1">
        <f t="array" ref="AC612">VLOOKUP($A612,Table_ship_components[],COLUMN(AC:AC),0)*C612</f>
        <v>0</v>
      </c>
      <c r="AD612" cm="1">
        <f t="array" ref="AD612">VLOOKUP($A612,Table_ship_components[],COLUMN(AD:AD),0)</f>
        <v>0</v>
      </c>
      <c r="AE612" cm="1">
        <f t="array" ref="AE612">VLOOKUP($A612,Table_ship_components[],COLUMN(AE:AE),0)</f>
        <v>0</v>
      </c>
      <c r="AF612" cm="1">
        <f t="array" ref="AF612">VLOOKUP($A612,Table_ship_components[],COLUMN(AF:AF),0)</f>
        <v>0</v>
      </c>
      <c r="AG612" cm="1">
        <f t="array" ref="AG612">VLOOKUP($A612,Table_ship_components[],COLUMN(AG:AG),0)</f>
        <v>0</v>
      </c>
      <c r="AH612" cm="1">
        <f t="array" ref="AH612">VLOOKUP($A612,Table_ship_components[],COLUMN(AH:AH),0)</f>
        <v>0</v>
      </c>
      <c r="AI612" cm="1">
        <f t="array" ref="AI612">VLOOKUP($A612,Table_ship_components[],COLUMN(AI:AI),0)</f>
        <v>0</v>
      </c>
      <c r="AJ612" cm="1">
        <f t="array" ref="AJ612">VLOOKUP($A612,Table_ship_components[],COLUMN(AJ:AJ),0)</f>
        <v>0</v>
      </c>
      <c r="AK612" cm="1">
        <f t="array" ref="AK612">VLOOKUP($A612,Table_ship_components[],COLUMN(AK:AK),0)</f>
        <v>0</v>
      </c>
      <c r="AL612" cm="1">
        <f t="array" ref="AL612">VLOOKUP($A612,Table_ship_components[],COLUMN(AL:AL),0)</f>
        <v>0</v>
      </c>
      <c r="AM612" cm="1">
        <f t="array" ref="AM612">VLOOKUP($A612,Table_ship_components[],COLUMN(AM:AM),0)</f>
        <v>0</v>
      </c>
      <c r="AN612" cm="1">
        <f t="array" ref="AN612">VLOOKUP($A612,Table_ship_components[],COLUMN(AN:AN),0)</f>
        <v>0</v>
      </c>
      <c r="AO612" cm="1">
        <f t="array" ref="AO612">VLOOKUP($A612,Table_ship_components[],COLUMN(AO:AO),0)</f>
        <v>0</v>
      </c>
      <c r="AP612" cm="1">
        <f t="array" ref="AP612">VLOOKUP($A612,Table_ship_components[],COLUMN(AP:AP),0)</f>
        <v>0</v>
      </c>
      <c r="AQ612" cm="1">
        <f t="array" ref="AQ612">VLOOKUP($A612,Table_ship_components[],COLUMN(AQ:AQ),0)</f>
        <v>0</v>
      </c>
      <c r="AR612" cm="1">
        <f t="array" ref="AR612">VLOOKUP($A612,Table_ship_components[],COLUMN(AR:AR),0)</f>
        <v>0</v>
      </c>
      <c r="AS612" cm="1">
        <f t="array" ref="AS612">VLOOKUP($A612,Table_ship_components[],COLUMN(AS:AS),0)</f>
        <v>0</v>
      </c>
      <c r="AT612" cm="1">
        <f t="array" ref="AT612">VLOOKUP($A612,Table_ship_components[],COLUMN(AT:AT),0)</f>
        <v>0</v>
      </c>
      <c r="AU612" s="2" cm="1">
        <f t="array" ref="AU612">VLOOKUP($A612,Table_ship_components[],COLUMN(AU:AU),0)</f>
        <v>0</v>
      </c>
      <c r="AV612" s="2" cm="1">
        <f t="array" ref="AV612">VLOOKUP($A612,Table_ship_components[],COLUMN(AV:AV),0)</f>
        <v>0</v>
      </c>
      <c r="AW612" s="2" cm="1">
        <f t="array" ref="AW612">VLOOKUP($A612,Table_ship_components[],COLUMN(AW:AW),0)</f>
        <v>0</v>
      </c>
      <c r="AX612" s="2" cm="1">
        <f t="array" ref="AX612">VLOOKUP($A612,Table_ship_components[],COLUMN(AX:AX),0)</f>
        <v>0</v>
      </c>
      <c r="AY612" s="2" cm="1">
        <f t="array" ref="AY612">VLOOKUP($A612,Table_ship_components[],COLUMN(AY:AY),0)</f>
        <v>0</v>
      </c>
      <c r="AZ612" s="2" t="str" cm="1">
        <f t="array" ref="AZ612">VLOOKUP($A612,Table_ship_components[],COLUMN(AZ:AZ),0)</f>
        <v>C</v>
      </c>
      <c r="BA612" s="14" cm="1">
        <f t="array" ref="BA612">VLOOKUP($A612,Table_ship_components[],COLUMN(BA:BA),0)</f>
        <v>0</v>
      </c>
      <c r="BB612" s="14" cm="1">
        <f t="array" ref="BB612">(VLOOKUP($A612,Table_ship_components[],COLUMN(BA:BA),0)+(W612*C612))</f>
        <v>0</v>
      </c>
      <c r="BC612" s="2" cm="1">
        <f t="array" ref="BC612">VLOOKUP($A612,Table_ship_components[],COLUMN(BC:BC),0)</f>
        <v>0</v>
      </c>
      <c r="BD612" s="2" cm="1">
        <f t="array" ref="BD612">VLOOKUP($A612,Table_ship_components[],COLUMN(BD:BD),0)</f>
        <v>0</v>
      </c>
    </row>
    <row r="613" spans="1:56" outlineLevel="1" x14ac:dyDescent="0.35">
      <c r="A613" t="s">
        <v>288</v>
      </c>
      <c r="B613" t="str" cm="1">
        <f t="array" ref="B613">VLOOKUP($A613,Table_ship_components[],COLUMN(B:B),0)</f>
        <v>PICK A COMPONENT</v>
      </c>
      <c r="D613" cm="1">
        <f t="array" ref="D613">VLOOKUP($A613,Table_ship_components[],COLUMN(D:D),0)</f>
        <v>0</v>
      </c>
      <c r="E613" cm="1">
        <f t="array" ref="E613">ROUND(VLOOKUP($A613,Table_ship_components[],COLUMN(D:D),0)+(V613*C613),0)</f>
        <v>0</v>
      </c>
      <c r="F613" cm="1">
        <f t="array" ref="F613">VLOOKUP($A613,Table_ship_components[],COLUMN(F:F),0)</f>
        <v>0</v>
      </c>
      <c r="G613" cm="1">
        <f t="array" ref="G613">ROUND(VLOOKUP($A613,Table_ship_components[],COLUMN(G:G),0)+(X613*C613),0)</f>
        <v>0</v>
      </c>
      <c r="H613" cm="1">
        <f t="array" ref="H613">VLOOKUP($A613,Table_ship_components[],COLUMN(H:H),0)</f>
        <v>0</v>
      </c>
      <c r="I613" cm="1">
        <f t="array" ref="I613">VLOOKUP($A613,Table_ship_components[],COLUMN(I:I),0)</f>
        <v>0</v>
      </c>
      <c r="J613" cm="1">
        <f t="array" ref="J613">VLOOKUP($A613,Table_ship_components[],COLUMN(J:J),0)</f>
        <v>0</v>
      </c>
      <c r="K613" cm="1">
        <f t="array" ref="K613">VLOOKUP($A613,Table_ship_components[],COLUMN(K:K),0)</f>
        <v>0</v>
      </c>
      <c r="L613" cm="1">
        <f t="array" ref="L613">VLOOKUP($A613,Table_ship_components[],COLUMN(L:L),0)</f>
        <v>0</v>
      </c>
      <c r="M613" cm="1">
        <f t="array" ref="M613">VLOOKUP($A613,Table_ship_components[],COLUMN(M:M),0)</f>
        <v>0</v>
      </c>
      <c r="N613" cm="1">
        <f t="array" ref="N613">VLOOKUP($A613,Table_ship_components[],COLUMN(N:N),0)</f>
        <v>0</v>
      </c>
      <c r="O613" cm="1">
        <f t="array" ref="O613">VLOOKUP($A613,Table_ship_components[],COLUMN(O:O),0)</f>
        <v>0</v>
      </c>
      <c r="P613" cm="1">
        <f t="array" ref="P613">VLOOKUP($A613,Table_ship_components[],COLUMN(P:P),0)</f>
        <v>0</v>
      </c>
      <c r="Q613" cm="1">
        <f t="array" ref="Q613">VLOOKUP($A613,Table_ship_components[],COLUMN(Q:Q),0)</f>
        <v>0</v>
      </c>
      <c r="R613" cm="1">
        <f t="array" ref="R613">VLOOKUP($A613,Table_ship_components[],COLUMN(R:R),0)</f>
        <v>0</v>
      </c>
      <c r="S613" cm="1">
        <f t="array" ref="S613">VLOOKUP($A613,Table_ship_components[],COLUMN(S:S),0)</f>
        <v>0</v>
      </c>
      <c r="T613" cm="1">
        <f t="array" ref="T613">VLOOKUP($A613,Table_ship_components[],COLUMN(T:T),0)</f>
        <v>0</v>
      </c>
      <c r="U613" cm="1">
        <f t="array" ref="U613">VLOOKUP($A613,Table_ship_components[],COLUMN(U:U),0)</f>
        <v>0</v>
      </c>
      <c r="V613" cm="1">
        <f t="array" ref="V613">VLOOKUP($A613,Table_ship_components[],COLUMN(V:V),0)</f>
        <v>0</v>
      </c>
      <c r="W613" s="15" cm="1">
        <f t="array" ref="W613">VLOOKUP($A613,Table_ship_components[],COLUMN(W:W),0)</f>
        <v>0</v>
      </c>
      <c r="X613" cm="1">
        <f t="array" ref="X613">VLOOKUP($A613,Table_ship_components[],COLUMN(X:X),0)</f>
        <v>0</v>
      </c>
      <c r="Y613" cm="1">
        <f t="array" ref="Y613">VLOOKUP($A613,Table_ship_components[],COLUMN(Y:Y),0)</f>
        <v>0</v>
      </c>
      <c r="Z613" cm="1">
        <f t="array" ref="Z613">VLOOKUP($A613,Table_ship_components[],COLUMN(Z:Z),0)</f>
        <v>0</v>
      </c>
      <c r="AA613" cm="1">
        <f t="array" ref="AA613">VLOOKUP($A613,Table_ship_components[],COLUMN(AA:AA),0)*C613</f>
        <v>0</v>
      </c>
      <c r="AB613">
        <f t="shared" si="61"/>
        <v>0</v>
      </c>
      <c r="AC613" cm="1">
        <f t="array" ref="AC613">VLOOKUP($A613,Table_ship_components[],COLUMN(AC:AC),0)*C613</f>
        <v>0</v>
      </c>
      <c r="AD613" cm="1">
        <f t="array" ref="AD613">VLOOKUP($A613,Table_ship_components[],COLUMN(AD:AD),0)</f>
        <v>0</v>
      </c>
      <c r="AE613" cm="1">
        <f t="array" ref="AE613">VLOOKUP($A613,Table_ship_components[],COLUMN(AE:AE),0)</f>
        <v>0</v>
      </c>
      <c r="AF613" cm="1">
        <f t="array" ref="AF613">VLOOKUP($A613,Table_ship_components[],COLUMN(AF:AF),0)</f>
        <v>0</v>
      </c>
      <c r="AG613" cm="1">
        <f t="array" ref="AG613">VLOOKUP($A613,Table_ship_components[],COLUMN(AG:AG),0)</f>
        <v>0</v>
      </c>
      <c r="AH613" cm="1">
        <f t="array" ref="AH613">VLOOKUP($A613,Table_ship_components[],COLUMN(AH:AH),0)</f>
        <v>0</v>
      </c>
      <c r="AI613" cm="1">
        <f t="array" ref="AI613">VLOOKUP($A613,Table_ship_components[],COLUMN(AI:AI),0)</f>
        <v>0</v>
      </c>
      <c r="AJ613" cm="1">
        <f t="array" ref="AJ613">VLOOKUP($A613,Table_ship_components[],COLUMN(AJ:AJ),0)</f>
        <v>0</v>
      </c>
      <c r="AK613" cm="1">
        <f t="array" ref="AK613">VLOOKUP($A613,Table_ship_components[],COLUMN(AK:AK),0)</f>
        <v>0</v>
      </c>
      <c r="AL613" cm="1">
        <f t="array" ref="AL613">VLOOKUP($A613,Table_ship_components[],COLUMN(AL:AL),0)</f>
        <v>0</v>
      </c>
      <c r="AM613" cm="1">
        <f t="array" ref="AM613">VLOOKUP($A613,Table_ship_components[],COLUMN(AM:AM),0)</f>
        <v>0</v>
      </c>
      <c r="AN613" cm="1">
        <f t="array" ref="AN613">VLOOKUP($A613,Table_ship_components[],COLUMN(AN:AN),0)</f>
        <v>0</v>
      </c>
      <c r="AO613" cm="1">
        <f t="array" ref="AO613">VLOOKUP($A613,Table_ship_components[],COLUMN(AO:AO),0)</f>
        <v>0</v>
      </c>
      <c r="AP613" cm="1">
        <f t="array" ref="AP613">VLOOKUP($A613,Table_ship_components[],COLUMN(AP:AP),0)</f>
        <v>0</v>
      </c>
      <c r="AQ613" cm="1">
        <f t="array" ref="AQ613">VLOOKUP($A613,Table_ship_components[],COLUMN(AQ:AQ),0)</f>
        <v>0</v>
      </c>
      <c r="AR613" cm="1">
        <f t="array" ref="AR613">VLOOKUP($A613,Table_ship_components[],COLUMN(AR:AR),0)</f>
        <v>0</v>
      </c>
      <c r="AS613" cm="1">
        <f t="array" ref="AS613">VLOOKUP($A613,Table_ship_components[],COLUMN(AS:AS),0)</f>
        <v>0</v>
      </c>
      <c r="AT613" cm="1">
        <f t="array" ref="AT613">VLOOKUP($A613,Table_ship_components[],COLUMN(AT:AT),0)</f>
        <v>0</v>
      </c>
      <c r="AU613" s="2" cm="1">
        <f t="array" ref="AU613">VLOOKUP($A613,Table_ship_components[],COLUMN(AU:AU),0)</f>
        <v>0</v>
      </c>
      <c r="AV613" s="2" cm="1">
        <f t="array" ref="AV613">VLOOKUP($A613,Table_ship_components[],COLUMN(AV:AV),0)</f>
        <v>0</v>
      </c>
      <c r="AW613" s="2" cm="1">
        <f t="array" ref="AW613">VLOOKUP($A613,Table_ship_components[],COLUMN(AW:AW),0)</f>
        <v>0</v>
      </c>
      <c r="AX613" s="2" cm="1">
        <f t="array" ref="AX613">VLOOKUP($A613,Table_ship_components[],COLUMN(AX:AX),0)</f>
        <v>0</v>
      </c>
      <c r="AY613" s="2" cm="1">
        <f t="array" ref="AY613">VLOOKUP($A613,Table_ship_components[],COLUMN(AY:AY),0)</f>
        <v>0</v>
      </c>
      <c r="AZ613" s="2" t="str" cm="1">
        <f t="array" ref="AZ613">VLOOKUP($A613,Table_ship_components[],COLUMN(AZ:AZ),0)</f>
        <v>C</v>
      </c>
      <c r="BA613" s="14" cm="1">
        <f t="array" ref="BA613">VLOOKUP($A613,Table_ship_components[],COLUMN(BA:BA),0)</f>
        <v>0</v>
      </c>
      <c r="BB613" s="14" cm="1">
        <f t="array" ref="BB613">(VLOOKUP($A613,Table_ship_components[],COLUMN(BA:BA),0)+(W613*C613))</f>
        <v>0</v>
      </c>
      <c r="BC613" s="2" cm="1">
        <f t="array" ref="BC613">VLOOKUP($A613,Table_ship_components[],COLUMN(BC:BC),0)</f>
        <v>0</v>
      </c>
      <c r="BD613" s="2" cm="1">
        <f t="array" ref="BD613">VLOOKUP($A613,Table_ship_components[],COLUMN(BD:BD),0)</f>
        <v>0</v>
      </c>
    </row>
    <row r="614" spans="1:56" outlineLevel="1" x14ac:dyDescent="0.35">
      <c r="A614" t="s">
        <v>288</v>
      </c>
      <c r="B614" t="str" cm="1">
        <f t="array" ref="B614">VLOOKUP($A614,Table_ship_components[],COLUMN(B:B),0)</f>
        <v>PICK A COMPONENT</v>
      </c>
      <c r="D614" cm="1">
        <f t="array" ref="D614">VLOOKUP($A614,Table_ship_components[],COLUMN(D:D),0)</f>
        <v>0</v>
      </c>
      <c r="E614" cm="1">
        <f t="array" ref="E614">ROUND(VLOOKUP($A614,Table_ship_components[],COLUMN(D:D),0)+(V614*C614),0)</f>
        <v>0</v>
      </c>
      <c r="F614" cm="1">
        <f t="array" ref="F614">VLOOKUP($A614,Table_ship_components[],COLUMN(F:F),0)</f>
        <v>0</v>
      </c>
      <c r="G614" cm="1">
        <f t="array" ref="G614">ROUND(VLOOKUP($A614,Table_ship_components[],COLUMN(G:G),0)+(X614*C614),0)</f>
        <v>0</v>
      </c>
      <c r="H614" cm="1">
        <f t="array" ref="H614">VLOOKUP($A614,Table_ship_components[],COLUMN(H:H),0)</f>
        <v>0</v>
      </c>
      <c r="I614" cm="1">
        <f t="array" ref="I614">VLOOKUP($A614,Table_ship_components[],COLUMN(I:I),0)</f>
        <v>0</v>
      </c>
      <c r="J614" cm="1">
        <f t="array" ref="J614">VLOOKUP($A614,Table_ship_components[],COLUMN(J:J),0)</f>
        <v>0</v>
      </c>
      <c r="K614" cm="1">
        <f t="array" ref="K614">VLOOKUP($A614,Table_ship_components[],COLUMN(K:K),0)</f>
        <v>0</v>
      </c>
      <c r="L614" cm="1">
        <f t="array" ref="L614">VLOOKUP($A614,Table_ship_components[],COLUMN(L:L),0)</f>
        <v>0</v>
      </c>
      <c r="M614" cm="1">
        <f t="array" ref="M614">VLOOKUP($A614,Table_ship_components[],COLUMN(M:M),0)</f>
        <v>0</v>
      </c>
      <c r="N614" cm="1">
        <f t="array" ref="N614">VLOOKUP($A614,Table_ship_components[],COLUMN(N:N),0)</f>
        <v>0</v>
      </c>
      <c r="O614" cm="1">
        <f t="array" ref="O614">VLOOKUP($A614,Table_ship_components[],COLUMN(O:O),0)</f>
        <v>0</v>
      </c>
      <c r="P614" cm="1">
        <f t="array" ref="P614">VLOOKUP($A614,Table_ship_components[],COLUMN(P:P),0)</f>
        <v>0</v>
      </c>
      <c r="Q614" cm="1">
        <f t="array" ref="Q614">VLOOKUP($A614,Table_ship_components[],COLUMN(Q:Q),0)</f>
        <v>0</v>
      </c>
      <c r="R614" cm="1">
        <f t="array" ref="R614">VLOOKUP($A614,Table_ship_components[],COLUMN(R:R),0)</f>
        <v>0</v>
      </c>
      <c r="S614" cm="1">
        <f t="array" ref="S614">VLOOKUP($A614,Table_ship_components[],COLUMN(S:S),0)</f>
        <v>0</v>
      </c>
      <c r="T614" cm="1">
        <f t="array" ref="T614">VLOOKUP($A614,Table_ship_components[],COLUMN(T:T),0)</f>
        <v>0</v>
      </c>
      <c r="U614" cm="1">
        <f t="array" ref="U614">VLOOKUP($A614,Table_ship_components[],COLUMN(U:U),0)</f>
        <v>0</v>
      </c>
      <c r="V614" cm="1">
        <f t="array" ref="V614">VLOOKUP($A614,Table_ship_components[],COLUMN(V:V),0)</f>
        <v>0</v>
      </c>
      <c r="W614" s="15" cm="1">
        <f t="array" ref="W614">VLOOKUP($A614,Table_ship_components[],COLUMN(W:W),0)</f>
        <v>0</v>
      </c>
      <c r="X614" cm="1">
        <f t="array" ref="X614">VLOOKUP($A614,Table_ship_components[],COLUMN(X:X),0)</f>
        <v>0</v>
      </c>
      <c r="Y614" cm="1">
        <f t="array" ref="Y614">VLOOKUP($A614,Table_ship_components[],COLUMN(Y:Y),0)</f>
        <v>0</v>
      </c>
      <c r="Z614" cm="1">
        <f t="array" ref="Z614">VLOOKUP($A614,Table_ship_components[],COLUMN(Z:Z),0)</f>
        <v>0</v>
      </c>
      <c r="AA614" cm="1">
        <f t="array" ref="AA614">VLOOKUP($A614,Table_ship_components[],COLUMN(AA:AA),0)*C614</f>
        <v>0</v>
      </c>
      <c r="AB614">
        <f>IF(A614="CARGOSPACE_0-ALL_0-UNIVERSAL",C614,0)</f>
        <v>0</v>
      </c>
      <c r="AC614" cm="1">
        <f t="array" ref="AC614">VLOOKUP($A614,Table_ship_components[],COLUMN(AC:AC),0)*C614</f>
        <v>0</v>
      </c>
      <c r="AD614" cm="1">
        <f t="array" ref="AD614">VLOOKUP($A614,Table_ship_components[],COLUMN(AD:AD),0)</f>
        <v>0</v>
      </c>
      <c r="AE614" cm="1">
        <f t="array" ref="AE614">VLOOKUP($A614,Table_ship_components[],COLUMN(AE:AE),0)</f>
        <v>0</v>
      </c>
      <c r="AF614" cm="1">
        <f t="array" ref="AF614">VLOOKUP($A614,Table_ship_components[],COLUMN(AF:AF),0)</f>
        <v>0</v>
      </c>
      <c r="AG614" cm="1">
        <f t="array" ref="AG614">VLOOKUP($A614,Table_ship_components[],COLUMN(AG:AG),0)</f>
        <v>0</v>
      </c>
      <c r="AH614" cm="1">
        <f t="array" ref="AH614">VLOOKUP($A614,Table_ship_components[],COLUMN(AH:AH),0)</f>
        <v>0</v>
      </c>
      <c r="AI614" cm="1">
        <f t="array" ref="AI614">VLOOKUP($A614,Table_ship_components[],COLUMN(AI:AI),0)</f>
        <v>0</v>
      </c>
      <c r="AJ614" cm="1">
        <f t="array" ref="AJ614">VLOOKUP($A614,Table_ship_components[],COLUMN(AJ:AJ),0)</f>
        <v>0</v>
      </c>
      <c r="AK614" cm="1">
        <f t="array" ref="AK614">VLOOKUP($A614,Table_ship_components[],COLUMN(AK:AK),0)</f>
        <v>0</v>
      </c>
      <c r="AL614" cm="1">
        <f t="array" ref="AL614">VLOOKUP($A614,Table_ship_components[],COLUMN(AL:AL),0)</f>
        <v>0</v>
      </c>
      <c r="AM614" cm="1">
        <f t="array" ref="AM614">VLOOKUP($A614,Table_ship_components[],COLUMN(AM:AM),0)</f>
        <v>0</v>
      </c>
      <c r="AN614" cm="1">
        <f t="array" ref="AN614">VLOOKUP($A614,Table_ship_components[],COLUMN(AN:AN),0)</f>
        <v>0</v>
      </c>
      <c r="AO614" cm="1">
        <f t="array" ref="AO614">VLOOKUP($A614,Table_ship_components[],COLUMN(AO:AO),0)</f>
        <v>0</v>
      </c>
      <c r="AP614" cm="1">
        <f t="array" ref="AP614">VLOOKUP($A614,Table_ship_components[],COLUMN(AP:AP),0)</f>
        <v>0</v>
      </c>
      <c r="AQ614" cm="1">
        <f t="array" ref="AQ614">VLOOKUP($A614,Table_ship_components[],COLUMN(AQ:AQ),0)</f>
        <v>0</v>
      </c>
      <c r="AR614" cm="1">
        <f t="array" ref="AR614">VLOOKUP($A614,Table_ship_components[],COLUMN(AR:AR),0)</f>
        <v>0</v>
      </c>
      <c r="AS614" cm="1">
        <f t="array" ref="AS614">VLOOKUP($A614,Table_ship_components[],COLUMN(AS:AS),0)</f>
        <v>0</v>
      </c>
      <c r="AT614" cm="1">
        <f t="array" ref="AT614">VLOOKUP($A614,Table_ship_components[],COLUMN(AT:AT),0)</f>
        <v>0</v>
      </c>
      <c r="AU614" s="2" cm="1">
        <f t="array" ref="AU614">VLOOKUP($A614,Table_ship_components[],COLUMN(AU:AU),0)</f>
        <v>0</v>
      </c>
      <c r="AV614" s="2" cm="1">
        <f t="array" ref="AV614">VLOOKUP($A614,Table_ship_components[],COLUMN(AV:AV),0)</f>
        <v>0</v>
      </c>
      <c r="AW614" s="2" cm="1">
        <f t="array" ref="AW614">VLOOKUP($A614,Table_ship_components[],COLUMN(AW:AW),0)</f>
        <v>0</v>
      </c>
      <c r="AX614" s="2" cm="1">
        <f t="array" ref="AX614">VLOOKUP($A614,Table_ship_components[],COLUMN(AX:AX),0)</f>
        <v>0</v>
      </c>
      <c r="AY614" s="2" cm="1">
        <f t="array" ref="AY614">VLOOKUP($A614,Table_ship_components[],COLUMN(AY:AY),0)</f>
        <v>0</v>
      </c>
      <c r="AZ614" s="2" t="str" cm="1">
        <f t="array" ref="AZ614">VLOOKUP($A614,Table_ship_components[],COLUMN(AZ:AZ),0)</f>
        <v>C</v>
      </c>
      <c r="BA614" s="14" cm="1">
        <f t="array" ref="BA614">VLOOKUP($A614,Table_ship_components[],COLUMN(BA:BA),0)</f>
        <v>0</v>
      </c>
      <c r="BB614" s="14" cm="1">
        <f t="array" ref="BB614">(VLOOKUP($A614,Table_ship_components[],COLUMN(BA:BA),0)+(W614*C614))</f>
        <v>0</v>
      </c>
      <c r="BC614" s="2" cm="1">
        <f t="array" ref="BC614">VLOOKUP($A614,Table_ship_components[],COLUMN(BC:BC),0)</f>
        <v>0</v>
      </c>
      <c r="BD614" s="2" cm="1">
        <f t="array" ref="BD614">VLOOKUP($A614,Table_ship_components[],COLUMN(BD:BD),0)</f>
        <v>0</v>
      </c>
    </row>
    <row r="615" spans="1:56" outlineLevel="1" x14ac:dyDescent="0.35">
      <c r="A615" s="18" t="s">
        <v>425</v>
      </c>
      <c r="B615" s="19" t="str">
        <f>CONCATENATE("SIZE ",(SUM(E616:E623)),"/",AY593,"  POWER ",(SUM(G616:G623)))</f>
        <v>SIZE 0/0  POWER 0</v>
      </c>
      <c r="AU615" s="2"/>
      <c r="AV615" s="2"/>
      <c r="AW615" s="2"/>
      <c r="AX615" s="2"/>
      <c r="AY615" s="2"/>
      <c r="AZ615" s="2"/>
      <c r="BA615" s="14"/>
      <c r="BB615" s="14"/>
      <c r="BC615" s="2"/>
      <c r="BD615" s="2"/>
    </row>
    <row r="616" spans="1:56" outlineLevel="1" x14ac:dyDescent="0.35">
      <c r="A616" t="s">
        <v>288</v>
      </c>
      <c r="B616" t="str" cm="1">
        <f t="array" ref="B616">VLOOKUP($A616,Table_ship_components[],COLUMN(B:B),0)</f>
        <v>PICK A COMPONENT</v>
      </c>
      <c r="D616" cm="1">
        <f t="array" ref="D616">VLOOKUP($A616,Table_ship_components[],COLUMN(D:D),0)</f>
        <v>0</v>
      </c>
      <c r="E616" cm="1">
        <f t="array" ref="E616">ROUND(VLOOKUP($A616,Table_ship_components[],COLUMN(D:D),0)+(V616*C616),0)</f>
        <v>0</v>
      </c>
      <c r="F616" cm="1">
        <f t="array" ref="F616">VLOOKUP($A616,Table_ship_components[],COLUMN(F:F),0)</f>
        <v>0</v>
      </c>
      <c r="G616" cm="1">
        <f t="array" ref="G616">ROUND(VLOOKUP($A616,Table_ship_components[],COLUMN(G:G),0)+(X616*C616),0)</f>
        <v>0</v>
      </c>
      <c r="H616" cm="1">
        <f t="array" ref="H616">VLOOKUP($A616,Table_ship_components[],COLUMN(H:H),0)</f>
        <v>0</v>
      </c>
      <c r="I616" cm="1">
        <f t="array" ref="I616">VLOOKUP($A616,Table_ship_components[],COLUMN(I:I),0)</f>
        <v>0</v>
      </c>
      <c r="J616" cm="1">
        <f t="array" ref="J616">VLOOKUP($A616,Table_ship_components[],COLUMN(J:J),0)</f>
        <v>0</v>
      </c>
      <c r="K616" cm="1">
        <f t="array" ref="K616">VLOOKUP($A616,Table_ship_components[],COLUMN(K:K),0)</f>
        <v>0</v>
      </c>
      <c r="L616" cm="1">
        <f t="array" ref="L616">VLOOKUP($A616,Table_ship_components[],COLUMN(L:L),0)</f>
        <v>0</v>
      </c>
      <c r="M616" cm="1">
        <f t="array" ref="M616">VLOOKUP($A616,Table_ship_components[],COLUMN(M:M),0)</f>
        <v>0</v>
      </c>
      <c r="N616" cm="1">
        <f t="array" ref="N616">VLOOKUP($A616,Table_ship_components[],COLUMN(N:N),0)</f>
        <v>0</v>
      </c>
      <c r="O616" cm="1">
        <f t="array" ref="O616">VLOOKUP($A616,Table_ship_components[],COLUMN(O:O),0)</f>
        <v>0</v>
      </c>
      <c r="P616" cm="1">
        <f t="array" ref="P616">VLOOKUP($A616,Table_ship_components[],COLUMN(P:P),0)</f>
        <v>0</v>
      </c>
      <c r="Q616" cm="1">
        <f t="array" ref="Q616">VLOOKUP($A616,Table_ship_components[],COLUMN(Q:Q),0)</f>
        <v>0</v>
      </c>
      <c r="R616" cm="1">
        <f t="array" ref="R616">VLOOKUP($A616,Table_ship_components[],COLUMN(R:R),0)</f>
        <v>0</v>
      </c>
      <c r="S616" cm="1">
        <f t="array" ref="S616">VLOOKUP($A616,Table_ship_components[],COLUMN(S:S),0)</f>
        <v>0</v>
      </c>
      <c r="T616" cm="1">
        <f t="array" ref="T616">VLOOKUP($A616,Table_ship_components[],COLUMN(T:T),0)</f>
        <v>0</v>
      </c>
      <c r="U616" cm="1">
        <f t="array" ref="U616">VLOOKUP($A616,Table_ship_components[],COLUMN(U:U),0)</f>
        <v>0</v>
      </c>
      <c r="V616" cm="1">
        <f t="array" ref="V616">VLOOKUP($A616,Table_ship_components[],COLUMN(V:V),0)</f>
        <v>0</v>
      </c>
      <c r="W616" s="15" cm="1">
        <f t="array" ref="W616">VLOOKUP($A616,Table_ship_components[],COLUMN(W:W),0)</f>
        <v>0</v>
      </c>
      <c r="X616" cm="1">
        <f t="array" ref="X616">VLOOKUP($A616,Table_ship_components[],COLUMN(X:X),0)</f>
        <v>0</v>
      </c>
      <c r="Y616" cm="1">
        <f t="array" ref="Y616">VLOOKUP($A616,Table_ship_components[],COLUMN(Y:Y),0)</f>
        <v>0</v>
      </c>
      <c r="Z616" cm="1">
        <f t="array" ref="Z616">VLOOKUP($A616,Table_ship_components[],COLUMN(Z:Z),0)</f>
        <v>0</v>
      </c>
      <c r="AA616" cm="1">
        <f t="array" ref="AA616">VLOOKUP($A616,Table_ship_components[],COLUMN(AA:AA),0)*C616</f>
        <v>0</v>
      </c>
      <c r="AB616">
        <f t="shared" ref="AB616:AB623" si="62">IF(A616="CARGOSPACE_0-ALL_0-UNIVERSAL",C616,0)</f>
        <v>0</v>
      </c>
      <c r="AC616" cm="1">
        <f t="array" ref="AC616">VLOOKUP($A616,Table_ship_components[],COLUMN(AC:AC),0)*C616</f>
        <v>0</v>
      </c>
      <c r="AD616" cm="1">
        <f t="array" ref="AD616">VLOOKUP($A616,Table_ship_components[],COLUMN(AD:AD),0)</f>
        <v>0</v>
      </c>
      <c r="AE616" cm="1">
        <f t="array" ref="AE616">VLOOKUP($A616,Table_ship_components[],COLUMN(AE:AE),0)</f>
        <v>0</v>
      </c>
      <c r="AF616" cm="1">
        <f t="array" ref="AF616">VLOOKUP($A616,Table_ship_components[],COLUMN(AF:AF),0)</f>
        <v>0</v>
      </c>
      <c r="AG616" cm="1">
        <f t="array" ref="AG616">VLOOKUP($A616,Table_ship_components[],COLUMN(AG:AG),0)</f>
        <v>0</v>
      </c>
      <c r="AH616" cm="1">
        <f t="array" ref="AH616">VLOOKUP($A616,Table_ship_components[],COLUMN(AH:AH),0)</f>
        <v>0</v>
      </c>
      <c r="AI616" cm="1">
        <f t="array" ref="AI616">VLOOKUP($A616,Table_ship_components[],COLUMN(AI:AI),0)</f>
        <v>0</v>
      </c>
      <c r="AJ616" cm="1">
        <f t="array" ref="AJ616">VLOOKUP($A616,Table_ship_components[],COLUMN(AJ:AJ),0)</f>
        <v>0</v>
      </c>
      <c r="AK616" cm="1">
        <f t="array" ref="AK616">VLOOKUP($A616,Table_ship_components[],COLUMN(AK:AK),0)</f>
        <v>0</v>
      </c>
      <c r="AL616" cm="1">
        <f t="array" ref="AL616">VLOOKUP($A616,Table_ship_components[],COLUMN(AL:AL),0)</f>
        <v>0</v>
      </c>
      <c r="AM616" cm="1">
        <f t="array" ref="AM616">VLOOKUP($A616,Table_ship_components[],COLUMN(AM:AM),0)</f>
        <v>0</v>
      </c>
      <c r="AN616" cm="1">
        <f t="array" ref="AN616">VLOOKUP($A616,Table_ship_components[],COLUMN(AN:AN),0)</f>
        <v>0</v>
      </c>
      <c r="AO616" cm="1">
        <f t="array" ref="AO616">VLOOKUP($A616,Table_ship_components[],COLUMN(AO:AO),0)</f>
        <v>0</v>
      </c>
      <c r="AP616" cm="1">
        <f t="array" ref="AP616">VLOOKUP($A616,Table_ship_components[],COLUMN(AP:AP),0)</f>
        <v>0</v>
      </c>
      <c r="AQ616" cm="1">
        <f t="array" ref="AQ616">VLOOKUP($A616,Table_ship_components[],COLUMN(AQ:AQ),0)</f>
        <v>0</v>
      </c>
      <c r="AR616" cm="1">
        <f t="array" ref="AR616">VLOOKUP($A616,Table_ship_components[],COLUMN(AR:AR),0)</f>
        <v>0</v>
      </c>
      <c r="AS616" cm="1">
        <f t="array" ref="AS616">VLOOKUP($A616,Table_ship_components[],COLUMN(AS:AS),0)</f>
        <v>0</v>
      </c>
      <c r="AT616" cm="1">
        <f t="array" ref="AT616">VLOOKUP($A616,Table_ship_components[],COLUMN(AT:AT),0)</f>
        <v>0</v>
      </c>
      <c r="AU616" s="2" cm="1">
        <f t="array" ref="AU616">VLOOKUP($A616,Table_ship_components[],COLUMN(AU:AU),0)</f>
        <v>0</v>
      </c>
      <c r="AV616" s="2" cm="1">
        <f t="array" ref="AV616">VLOOKUP($A616,Table_ship_components[],COLUMN(AV:AV),0)</f>
        <v>0</v>
      </c>
      <c r="AW616" s="2" cm="1">
        <f t="array" ref="AW616">VLOOKUP($A616,Table_ship_components[],COLUMN(AW:AW),0)</f>
        <v>0</v>
      </c>
      <c r="AX616" s="2" cm="1">
        <f t="array" ref="AX616">VLOOKUP($A616,Table_ship_components[],COLUMN(AX:AX),0)</f>
        <v>0</v>
      </c>
      <c r="AY616" s="2" cm="1">
        <f t="array" ref="AY616">VLOOKUP($A616,Table_ship_components[],COLUMN(AY:AY),0)</f>
        <v>0</v>
      </c>
      <c r="AZ616" s="2" t="str" cm="1">
        <f t="array" ref="AZ616">VLOOKUP($A616,Table_ship_components[],COLUMN(AZ:AZ),0)</f>
        <v>C</v>
      </c>
      <c r="BA616" s="14" cm="1">
        <f t="array" ref="BA616">VLOOKUP($A616,Table_ship_components[],COLUMN(BA:BA),0)</f>
        <v>0</v>
      </c>
      <c r="BB616" s="14" cm="1">
        <f t="array" ref="BB616">(VLOOKUP($A616,Table_ship_components[],COLUMN(BA:BA),0)+(W616*C616))</f>
        <v>0</v>
      </c>
      <c r="BC616" s="2" cm="1">
        <f t="array" ref="BC616">VLOOKUP($A616,Table_ship_components[],COLUMN(BC:BC),0)</f>
        <v>0</v>
      </c>
      <c r="BD616" s="2" cm="1">
        <f t="array" ref="BD616">VLOOKUP($A616,Table_ship_components[],COLUMN(BD:BD),0)</f>
        <v>0</v>
      </c>
    </row>
    <row r="617" spans="1:56" outlineLevel="1" x14ac:dyDescent="0.35">
      <c r="A617" t="s">
        <v>288</v>
      </c>
      <c r="B617" t="str" cm="1">
        <f t="array" ref="B617">VLOOKUP($A617,Table_ship_components[],COLUMN(B:B),0)</f>
        <v>PICK A COMPONENT</v>
      </c>
      <c r="D617" cm="1">
        <f t="array" ref="D617">VLOOKUP($A617,Table_ship_components[],COLUMN(D:D),0)</f>
        <v>0</v>
      </c>
      <c r="E617" cm="1">
        <f t="array" ref="E617">ROUND(VLOOKUP($A617,Table_ship_components[],COLUMN(D:D),0)+(V617*C617),0)</f>
        <v>0</v>
      </c>
      <c r="F617" cm="1">
        <f t="array" ref="F617">VLOOKUP($A617,Table_ship_components[],COLUMN(F:F),0)</f>
        <v>0</v>
      </c>
      <c r="G617" cm="1">
        <f t="array" ref="G617">ROUND(VLOOKUP($A617,Table_ship_components[],COLUMN(G:G),0)+(X617*C617),0)</f>
        <v>0</v>
      </c>
      <c r="H617" cm="1">
        <f t="array" ref="H617">VLOOKUP($A617,Table_ship_components[],COLUMN(H:H),0)</f>
        <v>0</v>
      </c>
      <c r="I617" cm="1">
        <f t="array" ref="I617">VLOOKUP($A617,Table_ship_components[],COLUMN(I:I),0)</f>
        <v>0</v>
      </c>
      <c r="J617" cm="1">
        <f t="array" ref="J617">VLOOKUP($A617,Table_ship_components[],COLUMN(J:J),0)</f>
        <v>0</v>
      </c>
      <c r="K617" cm="1">
        <f t="array" ref="K617">VLOOKUP($A617,Table_ship_components[],COLUMN(K:K),0)</f>
        <v>0</v>
      </c>
      <c r="L617" cm="1">
        <f t="array" ref="L617">VLOOKUP($A617,Table_ship_components[],COLUMN(L:L),0)</f>
        <v>0</v>
      </c>
      <c r="M617" cm="1">
        <f t="array" ref="M617">VLOOKUP($A617,Table_ship_components[],COLUMN(M:M),0)</f>
        <v>0</v>
      </c>
      <c r="N617" cm="1">
        <f t="array" ref="N617">VLOOKUP($A617,Table_ship_components[],COLUMN(N:N),0)</f>
        <v>0</v>
      </c>
      <c r="O617" cm="1">
        <f t="array" ref="O617">VLOOKUP($A617,Table_ship_components[],COLUMN(O:O),0)</f>
        <v>0</v>
      </c>
      <c r="P617" cm="1">
        <f t="array" ref="P617">VLOOKUP($A617,Table_ship_components[],COLUMN(P:P),0)</f>
        <v>0</v>
      </c>
      <c r="Q617" cm="1">
        <f t="array" ref="Q617">VLOOKUP($A617,Table_ship_components[],COLUMN(Q:Q),0)</f>
        <v>0</v>
      </c>
      <c r="R617" cm="1">
        <f t="array" ref="R617">VLOOKUP($A617,Table_ship_components[],COLUMN(R:R),0)</f>
        <v>0</v>
      </c>
      <c r="S617" cm="1">
        <f t="array" ref="S617">VLOOKUP($A617,Table_ship_components[],COLUMN(S:S),0)</f>
        <v>0</v>
      </c>
      <c r="T617" cm="1">
        <f t="array" ref="T617">VLOOKUP($A617,Table_ship_components[],COLUMN(T:T),0)</f>
        <v>0</v>
      </c>
      <c r="U617" cm="1">
        <f t="array" ref="U617">VLOOKUP($A617,Table_ship_components[],COLUMN(U:U),0)</f>
        <v>0</v>
      </c>
      <c r="V617" cm="1">
        <f t="array" ref="V617">VLOOKUP($A617,Table_ship_components[],COLUMN(V:V),0)</f>
        <v>0</v>
      </c>
      <c r="W617" s="15" cm="1">
        <f t="array" ref="W617">VLOOKUP($A617,Table_ship_components[],COLUMN(W:W),0)</f>
        <v>0</v>
      </c>
      <c r="X617" cm="1">
        <f t="array" ref="X617">VLOOKUP($A617,Table_ship_components[],COLUMN(X:X),0)</f>
        <v>0</v>
      </c>
      <c r="Y617" cm="1">
        <f t="array" ref="Y617">VLOOKUP($A617,Table_ship_components[],COLUMN(Y:Y),0)</f>
        <v>0</v>
      </c>
      <c r="Z617" cm="1">
        <f t="array" ref="Z617">VLOOKUP($A617,Table_ship_components[],COLUMN(Z:Z),0)</f>
        <v>0</v>
      </c>
      <c r="AA617" cm="1">
        <f t="array" ref="AA617">VLOOKUP($A617,Table_ship_components[],COLUMN(AA:AA),0)*C617</f>
        <v>0</v>
      </c>
      <c r="AB617">
        <f t="shared" si="62"/>
        <v>0</v>
      </c>
      <c r="AC617" cm="1">
        <f t="array" ref="AC617">VLOOKUP($A617,Table_ship_components[],COLUMN(AC:AC),0)*C617</f>
        <v>0</v>
      </c>
      <c r="AD617" cm="1">
        <f t="array" ref="AD617">VLOOKUP($A617,Table_ship_components[],COLUMN(AD:AD),0)</f>
        <v>0</v>
      </c>
      <c r="AE617" cm="1">
        <f t="array" ref="AE617">VLOOKUP($A617,Table_ship_components[],COLUMN(AE:AE),0)</f>
        <v>0</v>
      </c>
      <c r="AF617" cm="1">
        <f t="array" ref="AF617">VLOOKUP($A617,Table_ship_components[],COLUMN(AF:AF),0)</f>
        <v>0</v>
      </c>
      <c r="AG617" cm="1">
        <f t="array" ref="AG617">VLOOKUP($A617,Table_ship_components[],COLUMN(AG:AG),0)</f>
        <v>0</v>
      </c>
      <c r="AH617" cm="1">
        <f t="array" ref="AH617">VLOOKUP($A617,Table_ship_components[],COLUMN(AH:AH),0)</f>
        <v>0</v>
      </c>
      <c r="AI617" cm="1">
        <f t="array" ref="AI617">VLOOKUP($A617,Table_ship_components[],COLUMN(AI:AI),0)</f>
        <v>0</v>
      </c>
      <c r="AJ617" cm="1">
        <f t="array" ref="AJ617">VLOOKUP($A617,Table_ship_components[],COLUMN(AJ:AJ),0)</f>
        <v>0</v>
      </c>
      <c r="AK617" cm="1">
        <f t="array" ref="AK617">VLOOKUP($A617,Table_ship_components[],COLUMN(AK:AK),0)</f>
        <v>0</v>
      </c>
      <c r="AL617" cm="1">
        <f t="array" ref="AL617">VLOOKUP($A617,Table_ship_components[],COLUMN(AL:AL),0)</f>
        <v>0</v>
      </c>
      <c r="AM617" cm="1">
        <f t="array" ref="AM617">VLOOKUP($A617,Table_ship_components[],COLUMN(AM:AM),0)</f>
        <v>0</v>
      </c>
      <c r="AN617" cm="1">
        <f t="array" ref="AN617">VLOOKUP($A617,Table_ship_components[],COLUMN(AN:AN),0)</f>
        <v>0</v>
      </c>
      <c r="AO617" cm="1">
        <f t="array" ref="AO617">VLOOKUP($A617,Table_ship_components[],COLUMN(AO:AO),0)</f>
        <v>0</v>
      </c>
      <c r="AP617" cm="1">
        <f t="array" ref="AP617">VLOOKUP($A617,Table_ship_components[],COLUMN(AP:AP),0)</f>
        <v>0</v>
      </c>
      <c r="AQ617" cm="1">
        <f t="array" ref="AQ617">VLOOKUP($A617,Table_ship_components[],COLUMN(AQ:AQ),0)</f>
        <v>0</v>
      </c>
      <c r="AR617" cm="1">
        <f t="array" ref="AR617">VLOOKUP($A617,Table_ship_components[],COLUMN(AR:AR),0)</f>
        <v>0</v>
      </c>
      <c r="AS617" cm="1">
        <f t="array" ref="AS617">VLOOKUP($A617,Table_ship_components[],COLUMN(AS:AS),0)</f>
        <v>0</v>
      </c>
      <c r="AT617" cm="1">
        <f t="array" ref="AT617">VLOOKUP($A617,Table_ship_components[],COLUMN(AT:AT),0)</f>
        <v>0</v>
      </c>
      <c r="AU617" s="2" cm="1">
        <f t="array" ref="AU617">VLOOKUP($A617,Table_ship_components[],COLUMN(AU:AU),0)</f>
        <v>0</v>
      </c>
      <c r="AV617" s="2" cm="1">
        <f t="array" ref="AV617">VLOOKUP($A617,Table_ship_components[],COLUMN(AV:AV),0)</f>
        <v>0</v>
      </c>
      <c r="AW617" s="2" cm="1">
        <f t="array" ref="AW617">VLOOKUP($A617,Table_ship_components[],COLUMN(AW:AW),0)</f>
        <v>0</v>
      </c>
      <c r="AX617" s="2" cm="1">
        <f t="array" ref="AX617">VLOOKUP($A617,Table_ship_components[],COLUMN(AX:AX),0)</f>
        <v>0</v>
      </c>
      <c r="AY617" s="2" cm="1">
        <f t="array" ref="AY617">VLOOKUP($A617,Table_ship_components[],COLUMN(AY:AY),0)</f>
        <v>0</v>
      </c>
      <c r="AZ617" s="2" t="str" cm="1">
        <f t="array" ref="AZ617">VLOOKUP($A617,Table_ship_components[],COLUMN(AZ:AZ),0)</f>
        <v>C</v>
      </c>
      <c r="BA617" s="14" cm="1">
        <f t="array" ref="BA617">VLOOKUP($A617,Table_ship_components[],COLUMN(BA:BA),0)</f>
        <v>0</v>
      </c>
      <c r="BB617" s="14" cm="1">
        <f t="array" ref="BB617">(VLOOKUP($A617,Table_ship_components[],COLUMN(BA:BA),0)+(W617*C617))</f>
        <v>0</v>
      </c>
      <c r="BC617" s="2" cm="1">
        <f t="array" ref="BC617">VLOOKUP($A617,Table_ship_components[],COLUMN(BC:BC),0)</f>
        <v>0</v>
      </c>
      <c r="BD617" s="2" cm="1">
        <f t="array" ref="BD617">VLOOKUP($A617,Table_ship_components[],COLUMN(BD:BD),0)</f>
        <v>0</v>
      </c>
    </row>
    <row r="618" spans="1:56" outlineLevel="1" x14ac:dyDescent="0.35">
      <c r="A618" t="s">
        <v>288</v>
      </c>
      <c r="B618" t="str" cm="1">
        <f t="array" ref="B618">VLOOKUP($A618,Table_ship_components[],COLUMN(B:B),0)</f>
        <v>PICK A COMPONENT</v>
      </c>
      <c r="D618" cm="1">
        <f t="array" ref="D618">VLOOKUP($A618,Table_ship_components[],COLUMN(D:D),0)</f>
        <v>0</v>
      </c>
      <c r="E618" cm="1">
        <f t="array" ref="E618">ROUND(VLOOKUP($A618,Table_ship_components[],COLUMN(D:D),0)+(V618*C618),0)</f>
        <v>0</v>
      </c>
      <c r="F618" cm="1">
        <f t="array" ref="F618">VLOOKUP($A618,Table_ship_components[],COLUMN(F:F),0)</f>
        <v>0</v>
      </c>
      <c r="G618" cm="1">
        <f t="array" ref="G618">ROUND(VLOOKUP($A618,Table_ship_components[],COLUMN(G:G),0)+(X618*C618),0)</f>
        <v>0</v>
      </c>
      <c r="H618" cm="1">
        <f t="array" ref="H618">VLOOKUP($A618,Table_ship_components[],COLUMN(H:H),0)</f>
        <v>0</v>
      </c>
      <c r="I618" cm="1">
        <f t="array" ref="I618">VLOOKUP($A618,Table_ship_components[],COLUMN(I:I),0)</f>
        <v>0</v>
      </c>
      <c r="J618" cm="1">
        <f t="array" ref="J618">VLOOKUP($A618,Table_ship_components[],COLUMN(J:J),0)</f>
        <v>0</v>
      </c>
      <c r="K618" cm="1">
        <f t="array" ref="K618">VLOOKUP($A618,Table_ship_components[],COLUMN(K:K),0)</f>
        <v>0</v>
      </c>
      <c r="L618" cm="1">
        <f t="array" ref="L618">VLOOKUP($A618,Table_ship_components[],COLUMN(L:L),0)</f>
        <v>0</v>
      </c>
      <c r="M618" cm="1">
        <f t="array" ref="M618">VLOOKUP($A618,Table_ship_components[],COLUMN(M:M),0)</f>
        <v>0</v>
      </c>
      <c r="N618" cm="1">
        <f t="array" ref="N618">VLOOKUP($A618,Table_ship_components[],COLUMN(N:N),0)</f>
        <v>0</v>
      </c>
      <c r="O618" cm="1">
        <f t="array" ref="O618">VLOOKUP($A618,Table_ship_components[],COLUMN(O:O),0)</f>
        <v>0</v>
      </c>
      <c r="P618" cm="1">
        <f t="array" ref="P618">VLOOKUP($A618,Table_ship_components[],COLUMN(P:P),0)</f>
        <v>0</v>
      </c>
      <c r="Q618" cm="1">
        <f t="array" ref="Q618">VLOOKUP($A618,Table_ship_components[],COLUMN(Q:Q),0)</f>
        <v>0</v>
      </c>
      <c r="R618" cm="1">
        <f t="array" ref="R618">VLOOKUP($A618,Table_ship_components[],COLUMN(R:R),0)</f>
        <v>0</v>
      </c>
      <c r="S618" cm="1">
        <f t="array" ref="S618">VLOOKUP($A618,Table_ship_components[],COLUMN(S:S),0)</f>
        <v>0</v>
      </c>
      <c r="T618" cm="1">
        <f t="array" ref="T618">VLOOKUP($A618,Table_ship_components[],COLUMN(T:T),0)</f>
        <v>0</v>
      </c>
      <c r="U618" cm="1">
        <f t="array" ref="U618">VLOOKUP($A618,Table_ship_components[],COLUMN(U:U),0)</f>
        <v>0</v>
      </c>
      <c r="V618" cm="1">
        <f t="array" ref="V618">VLOOKUP($A618,Table_ship_components[],COLUMN(V:V),0)</f>
        <v>0</v>
      </c>
      <c r="W618" s="15" cm="1">
        <f t="array" ref="W618">VLOOKUP($A618,Table_ship_components[],COLUMN(W:W),0)</f>
        <v>0</v>
      </c>
      <c r="X618" cm="1">
        <f t="array" ref="X618">VLOOKUP($A618,Table_ship_components[],COLUMN(X:X),0)</f>
        <v>0</v>
      </c>
      <c r="Y618" cm="1">
        <f t="array" ref="Y618">VLOOKUP($A618,Table_ship_components[],COLUMN(Y:Y),0)</f>
        <v>0</v>
      </c>
      <c r="Z618" cm="1">
        <f t="array" ref="Z618">VLOOKUP($A618,Table_ship_components[],COLUMN(Z:Z),0)</f>
        <v>0</v>
      </c>
      <c r="AA618" cm="1">
        <f t="array" ref="AA618">VLOOKUP($A618,Table_ship_components[],COLUMN(AA:AA),0)*C618</f>
        <v>0</v>
      </c>
      <c r="AB618">
        <f t="shared" si="62"/>
        <v>0</v>
      </c>
      <c r="AC618" cm="1">
        <f t="array" ref="AC618">VLOOKUP($A618,Table_ship_components[],COLUMN(AC:AC),0)*C618</f>
        <v>0</v>
      </c>
      <c r="AD618" cm="1">
        <f t="array" ref="AD618">VLOOKUP($A618,Table_ship_components[],COLUMN(AD:AD),0)</f>
        <v>0</v>
      </c>
      <c r="AE618" cm="1">
        <f t="array" ref="AE618">VLOOKUP($A618,Table_ship_components[],COLUMN(AE:AE),0)</f>
        <v>0</v>
      </c>
      <c r="AF618" cm="1">
        <f t="array" ref="AF618">VLOOKUP($A618,Table_ship_components[],COLUMN(AF:AF),0)</f>
        <v>0</v>
      </c>
      <c r="AG618" cm="1">
        <f t="array" ref="AG618">VLOOKUP($A618,Table_ship_components[],COLUMN(AG:AG),0)</f>
        <v>0</v>
      </c>
      <c r="AH618" cm="1">
        <f t="array" ref="AH618">VLOOKUP($A618,Table_ship_components[],COLUMN(AH:AH),0)</f>
        <v>0</v>
      </c>
      <c r="AI618" cm="1">
        <f t="array" ref="AI618">VLOOKUP($A618,Table_ship_components[],COLUMN(AI:AI),0)</f>
        <v>0</v>
      </c>
      <c r="AJ618" cm="1">
        <f t="array" ref="AJ618">VLOOKUP($A618,Table_ship_components[],COLUMN(AJ:AJ),0)</f>
        <v>0</v>
      </c>
      <c r="AK618" cm="1">
        <f t="array" ref="AK618">VLOOKUP($A618,Table_ship_components[],COLUMN(AK:AK),0)</f>
        <v>0</v>
      </c>
      <c r="AL618" cm="1">
        <f t="array" ref="AL618">VLOOKUP($A618,Table_ship_components[],COLUMN(AL:AL),0)</f>
        <v>0</v>
      </c>
      <c r="AM618" cm="1">
        <f t="array" ref="AM618">VLOOKUP($A618,Table_ship_components[],COLUMN(AM:AM),0)</f>
        <v>0</v>
      </c>
      <c r="AN618" cm="1">
        <f t="array" ref="AN618">VLOOKUP($A618,Table_ship_components[],COLUMN(AN:AN),0)</f>
        <v>0</v>
      </c>
      <c r="AO618" cm="1">
        <f t="array" ref="AO618">VLOOKUP($A618,Table_ship_components[],COLUMN(AO:AO),0)</f>
        <v>0</v>
      </c>
      <c r="AP618" cm="1">
        <f t="array" ref="AP618">VLOOKUP($A618,Table_ship_components[],COLUMN(AP:AP),0)</f>
        <v>0</v>
      </c>
      <c r="AQ618" cm="1">
        <f t="array" ref="AQ618">VLOOKUP($A618,Table_ship_components[],COLUMN(AQ:AQ),0)</f>
        <v>0</v>
      </c>
      <c r="AR618" cm="1">
        <f t="array" ref="AR618">VLOOKUP($A618,Table_ship_components[],COLUMN(AR:AR),0)</f>
        <v>0</v>
      </c>
      <c r="AS618" cm="1">
        <f t="array" ref="AS618">VLOOKUP($A618,Table_ship_components[],COLUMN(AS:AS),0)</f>
        <v>0</v>
      </c>
      <c r="AT618" cm="1">
        <f t="array" ref="AT618">VLOOKUP($A618,Table_ship_components[],COLUMN(AT:AT),0)</f>
        <v>0</v>
      </c>
      <c r="AU618" s="2" cm="1">
        <f t="array" ref="AU618">VLOOKUP($A618,Table_ship_components[],COLUMN(AU:AU),0)</f>
        <v>0</v>
      </c>
      <c r="AV618" s="2" cm="1">
        <f t="array" ref="AV618">VLOOKUP($A618,Table_ship_components[],COLUMN(AV:AV),0)</f>
        <v>0</v>
      </c>
      <c r="AW618" s="2" cm="1">
        <f t="array" ref="AW618">VLOOKUP($A618,Table_ship_components[],COLUMN(AW:AW),0)</f>
        <v>0</v>
      </c>
      <c r="AX618" s="2" cm="1">
        <f t="array" ref="AX618">VLOOKUP($A618,Table_ship_components[],COLUMN(AX:AX),0)</f>
        <v>0</v>
      </c>
      <c r="AY618" s="2" cm="1">
        <f t="array" ref="AY618">VLOOKUP($A618,Table_ship_components[],COLUMN(AY:AY),0)</f>
        <v>0</v>
      </c>
      <c r="AZ618" s="2" t="str" cm="1">
        <f t="array" ref="AZ618">VLOOKUP($A618,Table_ship_components[],COLUMN(AZ:AZ),0)</f>
        <v>C</v>
      </c>
      <c r="BA618" s="14" cm="1">
        <f t="array" ref="BA618">VLOOKUP($A618,Table_ship_components[],COLUMN(BA:BA),0)</f>
        <v>0</v>
      </c>
      <c r="BB618" s="14" cm="1">
        <f t="array" ref="BB618">(VLOOKUP($A618,Table_ship_components[],COLUMN(BA:BA),0)+(W618*C618))</f>
        <v>0</v>
      </c>
      <c r="BC618" s="2" cm="1">
        <f t="array" ref="BC618">VLOOKUP($A618,Table_ship_components[],COLUMN(BC:BC),0)</f>
        <v>0</v>
      </c>
      <c r="BD618" s="2" cm="1">
        <f t="array" ref="BD618">VLOOKUP($A618,Table_ship_components[],COLUMN(BD:BD),0)</f>
        <v>0</v>
      </c>
    </row>
    <row r="619" spans="1:56" outlineLevel="1" x14ac:dyDescent="0.35">
      <c r="A619" t="s">
        <v>288</v>
      </c>
      <c r="B619" t="str" cm="1">
        <f t="array" ref="B619">VLOOKUP($A619,Table_ship_components[],COLUMN(B:B),0)</f>
        <v>PICK A COMPONENT</v>
      </c>
      <c r="D619" cm="1">
        <f t="array" ref="D619">VLOOKUP($A619,Table_ship_components[],COLUMN(D:D),0)</f>
        <v>0</v>
      </c>
      <c r="E619" cm="1">
        <f t="array" ref="E619">ROUND(VLOOKUP($A619,Table_ship_components[],COLUMN(D:D),0)+(V619*C619),0)</f>
        <v>0</v>
      </c>
      <c r="F619" cm="1">
        <f t="array" ref="F619">VLOOKUP($A619,Table_ship_components[],COLUMN(F:F),0)</f>
        <v>0</v>
      </c>
      <c r="G619" cm="1">
        <f t="array" ref="G619">ROUND(VLOOKUP($A619,Table_ship_components[],COLUMN(G:G),0)+(X619*C619),0)</f>
        <v>0</v>
      </c>
      <c r="H619" cm="1">
        <f t="array" ref="H619">VLOOKUP($A619,Table_ship_components[],COLUMN(H:H),0)</f>
        <v>0</v>
      </c>
      <c r="I619" cm="1">
        <f t="array" ref="I619">VLOOKUP($A619,Table_ship_components[],COLUMN(I:I),0)</f>
        <v>0</v>
      </c>
      <c r="J619" cm="1">
        <f t="array" ref="J619">VLOOKUP($A619,Table_ship_components[],COLUMN(J:J),0)</f>
        <v>0</v>
      </c>
      <c r="K619" cm="1">
        <f t="array" ref="K619">VLOOKUP($A619,Table_ship_components[],COLUMN(K:K),0)</f>
        <v>0</v>
      </c>
      <c r="L619" cm="1">
        <f t="array" ref="L619">VLOOKUP($A619,Table_ship_components[],COLUMN(L:L),0)</f>
        <v>0</v>
      </c>
      <c r="M619" cm="1">
        <f t="array" ref="M619">VLOOKUP($A619,Table_ship_components[],COLUMN(M:M),0)</f>
        <v>0</v>
      </c>
      <c r="N619" cm="1">
        <f t="array" ref="N619">VLOOKUP($A619,Table_ship_components[],COLUMN(N:N),0)</f>
        <v>0</v>
      </c>
      <c r="O619" cm="1">
        <f t="array" ref="O619">VLOOKUP($A619,Table_ship_components[],COLUMN(O:O),0)</f>
        <v>0</v>
      </c>
      <c r="P619" cm="1">
        <f t="array" ref="P619">VLOOKUP($A619,Table_ship_components[],COLUMN(P:P),0)</f>
        <v>0</v>
      </c>
      <c r="Q619" cm="1">
        <f t="array" ref="Q619">VLOOKUP($A619,Table_ship_components[],COLUMN(Q:Q),0)</f>
        <v>0</v>
      </c>
      <c r="R619" cm="1">
        <f t="array" ref="R619">VLOOKUP($A619,Table_ship_components[],COLUMN(R:R),0)</f>
        <v>0</v>
      </c>
      <c r="S619" cm="1">
        <f t="array" ref="S619">VLOOKUP($A619,Table_ship_components[],COLUMN(S:S),0)</f>
        <v>0</v>
      </c>
      <c r="T619" cm="1">
        <f t="array" ref="T619">VLOOKUP($A619,Table_ship_components[],COLUMN(T:T),0)</f>
        <v>0</v>
      </c>
      <c r="U619" cm="1">
        <f t="array" ref="U619">VLOOKUP($A619,Table_ship_components[],COLUMN(U:U),0)</f>
        <v>0</v>
      </c>
      <c r="V619" cm="1">
        <f t="array" ref="V619">VLOOKUP($A619,Table_ship_components[],COLUMN(V:V),0)</f>
        <v>0</v>
      </c>
      <c r="W619" s="15" cm="1">
        <f t="array" ref="W619">VLOOKUP($A619,Table_ship_components[],COLUMN(W:W),0)</f>
        <v>0</v>
      </c>
      <c r="X619" cm="1">
        <f t="array" ref="X619">VLOOKUP($A619,Table_ship_components[],COLUMN(X:X),0)</f>
        <v>0</v>
      </c>
      <c r="Y619" cm="1">
        <f t="array" ref="Y619">VLOOKUP($A619,Table_ship_components[],COLUMN(Y:Y),0)</f>
        <v>0</v>
      </c>
      <c r="Z619" cm="1">
        <f t="array" ref="Z619">VLOOKUP($A619,Table_ship_components[],COLUMN(Z:Z),0)</f>
        <v>0</v>
      </c>
      <c r="AA619" cm="1">
        <f t="array" ref="AA619">VLOOKUP($A619,Table_ship_components[],COLUMN(AA:AA),0)*C619</f>
        <v>0</v>
      </c>
      <c r="AB619">
        <f t="shared" si="62"/>
        <v>0</v>
      </c>
      <c r="AC619" cm="1">
        <f t="array" ref="AC619">VLOOKUP($A619,Table_ship_components[],COLUMN(AC:AC),0)*C619</f>
        <v>0</v>
      </c>
      <c r="AD619" cm="1">
        <f t="array" ref="AD619">VLOOKUP($A619,Table_ship_components[],COLUMN(AD:AD),0)</f>
        <v>0</v>
      </c>
      <c r="AE619" cm="1">
        <f t="array" ref="AE619">VLOOKUP($A619,Table_ship_components[],COLUMN(AE:AE),0)</f>
        <v>0</v>
      </c>
      <c r="AF619" cm="1">
        <f t="array" ref="AF619">VLOOKUP($A619,Table_ship_components[],COLUMN(AF:AF),0)</f>
        <v>0</v>
      </c>
      <c r="AG619" cm="1">
        <f t="array" ref="AG619">VLOOKUP($A619,Table_ship_components[],COLUMN(AG:AG),0)</f>
        <v>0</v>
      </c>
      <c r="AH619" cm="1">
        <f t="array" ref="AH619">VLOOKUP($A619,Table_ship_components[],COLUMN(AH:AH),0)</f>
        <v>0</v>
      </c>
      <c r="AI619" cm="1">
        <f t="array" ref="AI619">VLOOKUP($A619,Table_ship_components[],COLUMN(AI:AI),0)</f>
        <v>0</v>
      </c>
      <c r="AJ619" cm="1">
        <f t="array" ref="AJ619">VLOOKUP($A619,Table_ship_components[],COLUMN(AJ:AJ),0)</f>
        <v>0</v>
      </c>
      <c r="AK619" cm="1">
        <f t="array" ref="AK619">VLOOKUP($A619,Table_ship_components[],COLUMN(AK:AK),0)</f>
        <v>0</v>
      </c>
      <c r="AL619" cm="1">
        <f t="array" ref="AL619">VLOOKUP($A619,Table_ship_components[],COLUMN(AL:AL),0)</f>
        <v>0</v>
      </c>
      <c r="AM619" cm="1">
        <f t="array" ref="AM619">VLOOKUP($A619,Table_ship_components[],COLUMN(AM:AM),0)</f>
        <v>0</v>
      </c>
      <c r="AN619" cm="1">
        <f t="array" ref="AN619">VLOOKUP($A619,Table_ship_components[],COLUMN(AN:AN),0)</f>
        <v>0</v>
      </c>
      <c r="AO619" cm="1">
        <f t="array" ref="AO619">VLOOKUP($A619,Table_ship_components[],COLUMN(AO:AO),0)</f>
        <v>0</v>
      </c>
      <c r="AP619" cm="1">
        <f t="array" ref="AP619">VLOOKUP($A619,Table_ship_components[],COLUMN(AP:AP),0)</f>
        <v>0</v>
      </c>
      <c r="AQ619" cm="1">
        <f t="array" ref="AQ619">VLOOKUP($A619,Table_ship_components[],COLUMN(AQ:AQ),0)</f>
        <v>0</v>
      </c>
      <c r="AR619" cm="1">
        <f t="array" ref="AR619">VLOOKUP($A619,Table_ship_components[],COLUMN(AR:AR),0)</f>
        <v>0</v>
      </c>
      <c r="AS619" cm="1">
        <f t="array" ref="AS619">VLOOKUP($A619,Table_ship_components[],COLUMN(AS:AS),0)</f>
        <v>0</v>
      </c>
      <c r="AT619" cm="1">
        <f t="array" ref="AT619">VLOOKUP($A619,Table_ship_components[],COLUMN(AT:AT),0)</f>
        <v>0</v>
      </c>
      <c r="AU619" s="2" cm="1">
        <f t="array" ref="AU619">VLOOKUP($A619,Table_ship_components[],COLUMN(AU:AU),0)</f>
        <v>0</v>
      </c>
      <c r="AV619" s="2" cm="1">
        <f t="array" ref="AV619">VLOOKUP($A619,Table_ship_components[],COLUMN(AV:AV),0)</f>
        <v>0</v>
      </c>
      <c r="AW619" s="2" cm="1">
        <f t="array" ref="AW619">VLOOKUP($A619,Table_ship_components[],COLUMN(AW:AW),0)</f>
        <v>0</v>
      </c>
      <c r="AX619" s="2" cm="1">
        <f t="array" ref="AX619">VLOOKUP($A619,Table_ship_components[],COLUMN(AX:AX),0)</f>
        <v>0</v>
      </c>
      <c r="AY619" s="2" cm="1">
        <f t="array" ref="AY619">VLOOKUP($A619,Table_ship_components[],COLUMN(AY:AY),0)</f>
        <v>0</v>
      </c>
      <c r="AZ619" s="2" t="str" cm="1">
        <f t="array" ref="AZ619">VLOOKUP($A619,Table_ship_components[],COLUMN(AZ:AZ),0)</f>
        <v>C</v>
      </c>
      <c r="BA619" s="14" cm="1">
        <f t="array" ref="BA619">VLOOKUP($A619,Table_ship_components[],COLUMN(BA:BA),0)</f>
        <v>0</v>
      </c>
      <c r="BB619" s="14" cm="1">
        <f t="array" ref="BB619">(VLOOKUP($A619,Table_ship_components[],COLUMN(BA:BA),0)+(W619*C619))</f>
        <v>0</v>
      </c>
      <c r="BC619" s="2" cm="1">
        <f t="array" ref="BC619">VLOOKUP($A619,Table_ship_components[],COLUMN(BC:BC),0)</f>
        <v>0</v>
      </c>
      <c r="BD619" s="2" cm="1">
        <f t="array" ref="BD619">VLOOKUP($A619,Table_ship_components[],COLUMN(BD:BD),0)</f>
        <v>0</v>
      </c>
    </row>
    <row r="620" spans="1:56" outlineLevel="1" x14ac:dyDescent="0.35">
      <c r="A620" t="s">
        <v>288</v>
      </c>
      <c r="B620" t="str" cm="1">
        <f t="array" ref="B620">VLOOKUP($A620,Table_ship_components[],COLUMN(B:B),0)</f>
        <v>PICK A COMPONENT</v>
      </c>
      <c r="D620" cm="1">
        <f t="array" ref="D620">VLOOKUP($A620,Table_ship_components[],COLUMN(D:D),0)</f>
        <v>0</v>
      </c>
      <c r="E620" cm="1">
        <f t="array" ref="E620">ROUND(VLOOKUP($A620,Table_ship_components[],COLUMN(D:D),0)+(V620*C620),0)</f>
        <v>0</v>
      </c>
      <c r="F620" cm="1">
        <f t="array" ref="F620">VLOOKUP($A620,Table_ship_components[],COLUMN(F:F),0)</f>
        <v>0</v>
      </c>
      <c r="G620" cm="1">
        <f t="array" ref="G620">ROUND(VLOOKUP($A620,Table_ship_components[],COLUMN(G:G),0)+(X620*C620),0)</f>
        <v>0</v>
      </c>
      <c r="H620" cm="1">
        <f t="array" ref="H620">VLOOKUP($A620,Table_ship_components[],COLUMN(H:H),0)</f>
        <v>0</v>
      </c>
      <c r="I620" cm="1">
        <f t="array" ref="I620">VLOOKUP($A620,Table_ship_components[],COLUMN(I:I),0)</f>
        <v>0</v>
      </c>
      <c r="J620" cm="1">
        <f t="array" ref="J620">VLOOKUP($A620,Table_ship_components[],COLUMN(J:J),0)</f>
        <v>0</v>
      </c>
      <c r="K620" cm="1">
        <f t="array" ref="K620">VLOOKUP($A620,Table_ship_components[],COLUMN(K:K),0)</f>
        <v>0</v>
      </c>
      <c r="L620" cm="1">
        <f t="array" ref="L620">VLOOKUP($A620,Table_ship_components[],COLUMN(L:L),0)</f>
        <v>0</v>
      </c>
      <c r="M620" cm="1">
        <f t="array" ref="M620">VLOOKUP($A620,Table_ship_components[],COLUMN(M:M),0)</f>
        <v>0</v>
      </c>
      <c r="N620" cm="1">
        <f t="array" ref="N620">VLOOKUP($A620,Table_ship_components[],COLUMN(N:N),0)</f>
        <v>0</v>
      </c>
      <c r="O620" cm="1">
        <f t="array" ref="O620">VLOOKUP($A620,Table_ship_components[],COLUMN(O:O),0)</f>
        <v>0</v>
      </c>
      <c r="P620" cm="1">
        <f t="array" ref="P620">VLOOKUP($A620,Table_ship_components[],COLUMN(P:P),0)</f>
        <v>0</v>
      </c>
      <c r="Q620" cm="1">
        <f t="array" ref="Q620">VLOOKUP($A620,Table_ship_components[],COLUMN(Q:Q),0)</f>
        <v>0</v>
      </c>
      <c r="R620" cm="1">
        <f t="array" ref="R620">VLOOKUP($A620,Table_ship_components[],COLUMN(R:R),0)</f>
        <v>0</v>
      </c>
      <c r="S620" cm="1">
        <f t="array" ref="S620">VLOOKUP($A620,Table_ship_components[],COLUMN(S:S),0)</f>
        <v>0</v>
      </c>
      <c r="T620" cm="1">
        <f t="array" ref="T620">VLOOKUP($A620,Table_ship_components[],COLUMN(T:T),0)</f>
        <v>0</v>
      </c>
      <c r="U620" cm="1">
        <f t="array" ref="U620">VLOOKUP($A620,Table_ship_components[],COLUMN(U:U),0)</f>
        <v>0</v>
      </c>
      <c r="V620" cm="1">
        <f t="array" ref="V620">VLOOKUP($A620,Table_ship_components[],COLUMN(V:V),0)</f>
        <v>0</v>
      </c>
      <c r="W620" s="15" cm="1">
        <f t="array" ref="W620">VLOOKUP($A620,Table_ship_components[],COLUMN(W:W),0)</f>
        <v>0</v>
      </c>
      <c r="X620" cm="1">
        <f t="array" ref="X620">VLOOKUP($A620,Table_ship_components[],COLUMN(X:X),0)</f>
        <v>0</v>
      </c>
      <c r="Y620" cm="1">
        <f t="array" ref="Y620">VLOOKUP($A620,Table_ship_components[],COLUMN(Y:Y),0)</f>
        <v>0</v>
      </c>
      <c r="Z620" cm="1">
        <f t="array" ref="Z620">VLOOKUP($A620,Table_ship_components[],COLUMN(Z:Z),0)</f>
        <v>0</v>
      </c>
      <c r="AA620" cm="1">
        <f t="array" ref="AA620">VLOOKUP($A620,Table_ship_components[],COLUMN(AA:AA),0)*C620</f>
        <v>0</v>
      </c>
      <c r="AB620">
        <f t="shared" si="62"/>
        <v>0</v>
      </c>
      <c r="AC620" cm="1">
        <f t="array" ref="AC620">VLOOKUP($A620,Table_ship_components[],COLUMN(AC:AC),0)*C620</f>
        <v>0</v>
      </c>
      <c r="AD620" cm="1">
        <f t="array" ref="AD620">VLOOKUP($A620,Table_ship_components[],COLUMN(AD:AD),0)</f>
        <v>0</v>
      </c>
      <c r="AE620" cm="1">
        <f t="array" ref="AE620">VLOOKUP($A620,Table_ship_components[],COLUMN(AE:AE),0)</f>
        <v>0</v>
      </c>
      <c r="AF620" cm="1">
        <f t="array" ref="AF620">VLOOKUP($A620,Table_ship_components[],COLUMN(AF:AF),0)</f>
        <v>0</v>
      </c>
      <c r="AG620" cm="1">
        <f t="array" ref="AG620">VLOOKUP($A620,Table_ship_components[],COLUMN(AG:AG),0)</f>
        <v>0</v>
      </c>
      <c r="AH620" cm="1">
        <f t="array" ref="AH620">VLOOKUP($A620,Table_ship_components[],COLUMN(AH:AH),0)</f>
        <v>0</v>
      </c>
      <c r="AI620" cm="1">
        <f t="array" ref="AI620">VLOOKUP($A620,Table_ship_components[],COLUMN(AI:AI),0)</f>
        <v>0</v>
      </c>
      <c r="AJ620" cm="1">
        <f t="array" ref="AJ620">VLOOKUP($A620,Table_ship_components[],COLUMN(AJ:AJ),0)</f>
        <v>0</v>
      </c>
      <c r="AK620" cm="1">
        <f t="array" ref="AK620">VLOOKUP($A620,Table_ship_components[],COLUMN(AK:AK),0)</f>
        <v>0</v>
      </c>
      <c r="AL620" cm="1">
        <f t="array" ref="AL620">VLOOKUP($A620,Table_ship_components[],COLUMN(AL:AL),0)</f>
        <v>0</v>
      </c>
      <c r="AM620" cm="1">
        <f t="array" ref="AM620">VLOOKUP($A620,Table_ship_components[],COLUMN(AM:AM),0)</f>
        <v>0</v>
      </c>
      <c r="AN620" cm="1">
        <f t="array" ref="AN620">VLOOKUP($A620,Table_ship_components[],COLUMN(AN:AN),0)</f>
        <v>0</v>
      </c>
      <c r="AO620" cm="1">
        <f t="array" ref="AO620">VLOOKUP($A620,Table_ship_components[],COLUMN(AO:AO),0)</f>
        <v>0</v>
      </c>
      <c r="AP620" cm="1">
        <f t="array" ref="AP620">VLOOKUP($A620,Table_ship_components[],COLUMN(AP:AP),0)</f>
        <v>0</v>
      </c>
      <c r="AQ620" cm="1">
        <f t="array" ref="AQ620">VLOOKUP($A620,Table_ship_components[],COLUMN(AQ:AQ),0)</f>
        <v>0</v>
      </c>
      <c r="AR620" cm="1">
        <f t="array" ref="AR620">VLOOKUP($A620,Table_ship_components[],COLUMN(AR:AR),0)</f>
        <v>0</v>
      </c>
      <c r="AS620" cm="1">
        <f t="array" ref="AS620">VLOOKUP($A620,Table_ship_components[],COLUMN(AS:AS),0)</f>
        <v>0</v>
      </c>
      <c r="AT620" cm="1">
        <f t="array" ref="AT620">VLOOKUP($A620,Table_ship_components[],COLUMN(AT:AT),0)</f>
        <v>0</v>
      </c>
      <c r="AU620" s="2" cm="1">
        <f t="array" ref="AU620">VLOOKUP($A620,Table_ship_components[],COLUMN(AU:AU),0)</f>
        <v>0</v>
      </c>
      <c r="AV620" s="2" cm="1">
        <f t="array" ref="AV620">VLOOKUP($A620,Table_ship_components[],COLUMN(AV:AV),0)</f>
        <v>0</v>
      </c>
      <c r="AW620" s="2" cm="1">
        <f t="array" ref="AW620">VLOOKUP($A620,Table_ship_components[],COLUMN(AW:AW),0)</f>
        <v>0</v>
      </c>
      <c r="AX620" s="2" cm="1">
        <f t="array" ref="AX620">VLOOKUP($A620,Table_ship_components[],COLUMN(AX:AX),0)</f>
        <v>0</v>
      </c>
      <c r="AY620" s="2" cm="1">
        <f t="array" ref="AY620">VLOOKUP($A620,Table_ship_components[],COLUMN(AY:AY),0)</f>
        <v>0</v>
      </c>
      <c r="AZ620" s="2" t="str" cm="1">
        <f t="array" ref="AZ620">VLOOKUP($A620,Table_ship_components[],COLUMN(AZ:AZ),0)</f>
        <v>C</v>
      </c>
      <c r="BA620" s="14" cm="1">
        <f t="array" ref="BA620">VLOOKUP($A620,Table_ship_components[],COLUMN(BA:BA),0)</f>
        <v>0</v>
      </c>
      <c r="BB620" s="14" cm="1">
        <f t="array" ref="BB620">(VLOOKUP($A620,Table_ship_components[],COLUMN(BA:BA),0)+(W620*C620))</f>
        <v>0</v>
      </c>
      <c r="BC620" s="2" cm="1">
        <f t="array" ref="BC620">VLOOKUP($A620,Table_ship_components[],COLUMN(BC:BC),0)</f>
        <v>0</v>
      </c>
      <c r="BD620" s="2" cm="1">
        <f t="array" ref="BD620">VLOOKUP($A620,Table_ship_components[],COLUMN(BD:BD),0)</f>
        <v>0</v>
      </c>
    </row>
    <row r="621" spans="1:56" outlineLevel="1" x14ac:dyDescent="0.35">
      <c r="A621" t="s">
        <v>288</v>
      </c>
      <c r="B621" t="str" cm="1">
        <f t="array" ref="B621">VLOOKUP($A621,Table_ship_components[],COLUMN(B:B),0)</f>
        <v>PICK A COMPONENT</v>
      </c>
      <c r="D621" cm="1">
        <f t="array" ref="D621">VLOOKUP($A621,Table_ship_components[],COLUMN(D:D),0)</f>
        <v>0</v>
      </c>
      <c r="E621" cm="1">
        <f t="array" ref="E621">ROUND(VLOOKUP($A621,Table_ship_components[],COLUMN(D:D),0)+(V621*C621),0)</f>
        <v>0</v>
      </c>
      <c r="F621" cm="1">
        <f t="array" ref="F621">VLOOKUP($A621,Table_ship_components[],COLUMN(F:F),0)</f>
        <v>0</v>
      </c>
      <c r="G621" cm="1">
        <f t="array" ref="G621">ROUND(VLOOKUP($A621,Table_ship_components[],COLUMN(G:G),0)+(X621*C621),0)</f>
        <v>0</v>
      </c>
      <c r="H621" cm="1">
        <f t="array" ref="H621">VLOOKUP($A621,Table_ship_components[],COLUMN(H:H),0)</f>
        <v>0</v>
      </c>
      <c r="I621" cm="1">
        <f t="array" ref="I621">VLOOKUP($A621,Table_ship_components[],COLUMN(I:I),0)</f>
        <v>0</v>
      </c>
      <c r="J621" cm="1">
        <f t="array" ref="J621">VLOOKUP($A621,Table_ship_components[],COLUMN(J:J),0)</f>
        <v>0</v>
      </c>
      <c r="K621" cm="1">
        <f t="array" ref="K621">VLOOKUP($A621,Table_ship_components[],COLUMN(K:K),0)</f>
        <v>0</v>
      </c>
      <c r="L621" cm="1">
        <f t="array" ref="L621">VLOOKUP($A621,Table_ship_components[],COLUMN(L:L),0)</f>
        <v>0</v>
      </c>
      <c r="M621" cm="1">
        <f t="array" ref="M621">VLOOKUP($A621,Table_ship_components[],COLUMN(M:M),0)</f>
        <v>0</v>
      </c>
      <c r="N621" cm="1">
        <f t="array" ref="N621">VLOOKUP($A621,Table_ship_components[],COLUMN(N:N),0)</f>
        <v>0</v>
      </c>
      <c r="O621" cm="1">
        <f t="array" ref="O621">VLOOKUP($A621,Table_ship_components[],COLUMN(O:O),0)</f>
        <v>0</v>
      </c>
      <c r="P621" cm="1">
        <f t="array" ref="P621">VLOOKUP($A621,Table_ship_components[],COLUMN(P:P),0)</f>
        <v>0</v>
      </c>
      <c r="Q621" cm="1">
        <f t="array" ref="Q621">VLOOKUP($A621,Table_ship_components[],COLUMN(Q:Q),0)</f>
        <v>0</v>
      </c>
      <c r="R621" cm="1">
        <f t="array" ref="R621">VLOOKUP($A621,Table_ship_components[],COLUMN(R:R),0)</f>
        <v>0</v>
      </c>
      <c r="S621" cm="1">
        <f t="array" ref="S621">VLOOKUP($A621,Table_ship_components[],COLUMN(S:S),0)</f>
        <v>0</v>
      </c>
      <c r="T621" cm="1">
        <f t="array" ref="T621">VLOOKUP($A621,Table_ship_components[],COLUMN(T:T),0)</f>
        <v>0</v>
      </c>
      <c r="U621" cm="1">
        <f t="array" ref="U621">VLOOKUP($A621,Table_ship_components[],COLUMN(U:U),0)</f>
        <v>0</v>
      </c>
      <c r="V621" cm="1">
        <f t="array" ref="V621">VLOOKUP($A621,Table_ship_components[],COLUMN(V:V),0)</f>
        <v>0</v>
      </c>
      <c r="W621" s="15" cm="1">
        <f t="array" ref="W621">VLOOKUP($A621,Table_ship_components[],COLUMN(W:W),0)</f>
        <v>0</v>
      </c>
      <c r="X621" cm="1">
        <f t="array" ref="X621">VLOOKUP($A621,Table_ship_components[],COLUMN(X:X),0)</f>
        <v>0</v>
      </c>
      <c r="Y621" cm="1">
        <f t="array" ref="Y621">VLOOKUP($A621,Table_ship_components[],COLUMN(Y:Y),0)</f>
        <v>0</v>
      </c>
      <c r="Z621" cm="1">
        <f t="array" ref="Z621">VLOOKUP($A621,Table_ship_components[],COLUMN(Z:Z),0)</f>
        <v>0</v>
      </c>
      <c r="AA621" cm="1">
        <f t="array" ref="AA621">VLOOKUP($A621,Table_ship_components[],COLUMN(AA:AA),0)*C621</f>
        <v>0</v>
      </c>
      <c r="AB621">
        <f t="shared" si="62"/>
        <v>0</v>
      </c>
      <c r="AC621" cm="1">
        <f t="array" ref="AC621">VLOOKUP($A621,Table_ship_components[],COLUMN(AC:AC),0)*C621</f>
        <v>0</v>
      </c>
      <c r="AD621" cm="1">
        <f t="array" ref="AD621">VLOOKUP($A621,Table_ship_components[],COLUMN(AD:AD),0)</f>
        <v>0</v>
      </c>
      <c r="AE621" cm="1">
        <f t="array" ref="AE621">VLOOKUP($A621,Table_ship_components[],COLUMN(AE:AE),0)</f>
        <v>0</v>
      </c>
      <c r="AF621" cm="1">
        <f t="array" ref="AF621">VLOOKUP($A621,Table_ship_components[],COLUMN(AF:AF),0)</f>
        <v>0</v>
      </c>
      <c r="AG621" cm="1">
        <f t="array" ref="AG621">VLOOKUP($A621,Table_ship_components[],COLUMN(AG:AG),0)</f>
        <v>0</v>
      </c>
      <c r="AH621" cm="1">
        <f t="array" ref="AH621">VLOOKUP($A621,Table_ship_components[],COLUMN(AH:AH),0)</f>
        <v>0</v>
      </c>
      <c r="AI621" cm="1">
        <f t="array" ref="AI621">VLOOKUP($A621,Table_ship_components[],COLUMN(AI:AI),0)</f>
        <v>0</v>
      </c>
      <c r="AJ621" cm="1">
        <f t="array" ref="AJ621">VLOOKUP($A621,Table_ship_components[],COLUMN(AJ:AJ),0)</f>
        <v>0</v>
      </c>
      <c r="AK621" cm="1">
        <f t="array" ref="AK621">VLOOKUP($A621,Table_ship_components[],COLUMN(AK:AK),0)</f>
        <v>0</v>
      </c>
      <c r="AL621" cm="1">
        <f t="array" ref="AL621">VLOOKUP($A621,Table_ship_components[],COLUMN(AL:AL),0)</f>
        <v>0</v>
      </c>
      <c r="AM621" cm="1">
        <f t="array" ref="AM621">VLOOKUP($A621,Table_ship_components[],COLUMN(AM:AM),0)</f>
        <v>0</v>
      </c>
      <c r="AN621" cm="1">
        <f t="array" ref="AN621">VLOOKUP($A621,Table_ship_components[],COLUMN(AN:AN),0)</f>
        <v>0</v>
      </c>
      <c r="AO621" cm="1">
        <f t="array" ref="AO621">VLOOKUP($A621,Table_ship_components[],COLUMN(AO:AO),0)</f>
        <v>0</v>
      </c>
      <c r="AP621" cm="1">
        <f t="array" ref="AP621">VLOOKUP($A621,Table_ship_components[],COLUMN(AP:AP),0)</f>
        <v>0</v>
      </c>
      <c r="AQ621" cm="1">
        <f t="array" ref="AQ621">VLOOKUP($A621,Table_ship_components[],COLUMN(AQ:AQ),0)</f>
        <v>0</v>
      </c>
      <c r="AR621" cm="1">
        <f t="array" ref="AR621">VLOOKUP($A621,Table_ship_components[],COLUMN(AR:AR),0)</f>
        <v>0</v>
      </c>
      <c r="AS621" cm="1">
        <f t="array" ref="AS621">VLOOKUP($A621,Table_ship_components[],COLUMN(AS:AS),0)</f>
        <v>0</v>
      </c>
      <c r="AT621" cm="1">
        <f t="array" ref="AT621">VLOOKUP($A621,Table_ship_components[],COLUMN(AT:AT),0)</f>
        <v>0</v>
      </c>
      <c r="AU621" s="2" cm="1">
        <f t="array" ref="AU621">VLOOKUP($A621,Table_ship_components[],COLUMN(AU:AU),0)</f>
        <v>0</v>
      </c>
      <c r="AV621" s="2" cm="1">
        <f t="array" ref="AV621">VLOOKUP($A621,Table_ship_components[],COLUMN(AV:AV),0)</f>
        <v>0</v>
      </c>
      <c r="AW621" s="2" cm="1">
        <f t="array" ref="AW621">VLOOKUP($A621,Table_ship_components[],COLUMN(AW:AW),0)</f>
        <v>0</v>
      </c>
      <c r="AX621" s="2" cm="1">
        <f t="array" ref="AX621">VLOOKUP($A621,Table_ship_components[],COLUMN(AX:AX),0)</f>
        <v>0</v>
      </c>
      <c r="AY621" s="2" cm="1">
        <f t="array" ref="AY621">VLOOKUP($A621,Table_ship_components[],COLUMN(AY:AY),0)</f>
        <v>0</v>
      </c>
      <c r="AZ621" s="2" t="str" cm="1">
        <f t="array" ref="AZ621">VLOOKUP($A621,Table_ship_components[],COLUMN(AZ:AZ),0)</f>
        <v>C</v>
      </c>
      <c r="BA621" s="14" cm="1">
        <f t="array" ref="BA621">VLOOKUP($A621,Table_ship_components[],COLUMN(BA:BA),0)</f>
        <v>0</v>
      </c>
      <c r="BB621" s="14" cm="1">
        <f t="array" ref="BB621">(VLOOKUP($A621,Table_ship_components[],COLUMN(BA:BA),0)+(W621*C621))</f>
        <v>0</v>
      </c>
      <c r="BC621" s="2" cm="1">
        <f t="array" ref="BC621">VLOOKUP($A621,Table_ship_components[],COLUMN(BC:BC),0)</f>
        <v>0</v>
      </c>
      <c r="BD621" s="2" cm="1">
        <f t="array" ref="BD621">VLOOKUP($A621,Table_ship_components[],COLUMN(BD:BD),0)</f>
        <v>0</v>
      </c>
    </row>
    <row r="622" spans="1:56" outlineLevel="1" x14ac:dyDescent="0.35">
      <c r="A622" t="s">
        <v>288</v>
      </c>
      <c r="B622" t="str" cm="1">
        <f t="array" ref="B622">VLOOKUP($A622,Table_ship_components[],COLUMN(B:B),0)</f>
        <v>PICK A COMPONENT</v>
      </c>
      <c r="D622" cm="1">
        <f t="array" ref="D622">VLOOKUP($A622,Table_ship_components[],COLUMN(D:D),0)</f>
        <v>0</v>
      </c>
      <c r="E622" cm="1">
        <f t="array" ref="E622">ROUND(VLOOKUP($A622,Table_ship_components[],COLUMN(D:D),0)+(V622*C622),0)</f>
        <v>0</v>
      </c>
      <c r="F622" cm="1">
        <f t="array" ref="F622">VLOOKUP($A622,Table_ship_components[],COLUMN(F:F),0)</f>
        <v>0</v>
      </c>
      <c r="G622" cm="1">
        <f t="array" ref="G622">ROUND(VLOOKUP($A622,Table_ship_components[],COLUMN(G:G),0)+(X622*C622),0)</f>
        <v>0</v>
      </c>
      <c r="H622" cm="1">
        <f t="array" ref="H622">VLOOKUP($A622,Table_ship_components[],COLUMN(H:H),0)</f>
        <v>0</v>
      </c>
      <c r="I622" cm="1">
        <f t="array" ref="I622">VLOOKUP($A622,Table_ship_components[],COLUMN(I:I),0)</f>
        <v>0</v>
      </c>
      <c r="J622" cm="1">
        <f t="array" ref="J622">VLOOKUP($A622,Table_ship_components[],COLUMN(J:J),0)</f>
        <v>0</v>
      </c>
      <c r="K622" cm="1">
        <f t="array" ref="K622">VLOOKUP($A622,Table_ship_components[],COLUMN(K:K),0)</f>
        <v>0</v>
      </c>
      <c r="L622" cm="1">
        <f t="array" ref="L622">VLOOKUP($A622,Table_ship_components[],COLUMN(L:L),0)</f>
        <v>0</v>
      </c>
      <c r="M622" cm="1">
        <f t="array" ref="M622">VLOOKUP($A622,Table_ship_components[],COLUMN(M:M),0)</f>
        <v>0</v>
      </c>
      <c r="N622" cm="1">
        <f t="array" ref="N622">VLOOKUP($A622,Table_ship_components[],COLUMN(N:N),0)</f>
        <v>0</v>
      </c>
      <c r="O622" cm="1">
        <f t="array" ref="O622">VLOOKUP($A622,Table_ship_components[],COLUMN(O:O),0)</f>
        <v>0</v>
      </c>
      <c r="P622" cm="1">
        <f t="array" ref="P622">VLOOKUP($A622,Table_ship_components[],COLUMN(P:P),0)</f>
        <v>0</v>
      </c>
      <c r="Q622" cm="1">
        <f t="array" ref="Q622">VLOOKUP($A622,Table_ship_components[],COLUMN(Q:Q),0)</f>
        <v>0</v>
      </c>
      <c r="R622" cm="1">
        <f t="array" ref="R622">VLOOKUP($A622,Table_ship_components[],COLUMN(R:R),0)</f>
        <v>0</v>
      </c>
      <c r="S622" cm="1">
        <f t="array" ref="S622">VLOOKUP($A622,Table_ship_components[],COLUMN(S:S),0)</f>
        <v>0</v>
      </c>
      <c r="T622" cm="1">
        <f t="array" ref="T622">VLOOKUP($A622,Table_ship_components[],COLUMN(T:T),0)</f>
        <v>0</v>
      </c>
      <c r="U622" cm="1">
        <f t="array" ref="U622">VLOOKUP($A622,Table_ship_components[],COLUMN(U:U),0)</f>
        <v>0</v>
      </c>
      <c r="V622" cm="1">
        <f t="array" ref="V622">VLOOKUP($A622,Table_ship_components[],COLUMN(V:V),0)</f>
        <v>0</v>
      </c>
      <c r="W622" s="15" cm="1">
        <f t="array" ref="W622">VLOOKUP($A622,Table_ship_components[],COLUMN(W:W),0)</f>
        <v>0</v>
      </c>
      <c r="X622" cm="1">
        <f t="array" ref="X622">VLOOKUP($A622,Table_ship_components[],COLUMN(X:X),0)</f>
        <v>0</v>
      </c>
      <c r="Y622" cm="1">
        <f t="array" ref="Y622">VLOOKUP($A622,Table_ship_components[],COLUMN(Y:Y),0)</f>
        <v>0</v>
      </c>
      <c r="Z622" cm="1">
        <f t="array" ref="Z622">VLOOKUP($A622,Table_ship_components[],COLUMN(Z:Z),0)</f>
        <v>0</v>
      </c>
      <c r="AA622" cm="1">
        <f t="array" ref="AA622">VLOOKUP($A622,Table_ship_components[],COLUMN(AA:AA),0)*C622</f>
        <v>0</v>
      </c>
      <c r="AB622">
        <f t="shared" si="62"/>
        <v>0</v>
      </c>
      <c r="AC622" cm="1">
        <f t="array" ref="AC622">VLOOKUP($A622,Table_ship_components[],COLUMN(AC:AC),0)*C622</f>
        <v>0</v>
      </c>
      <c r="AD622" cm="1">
        <f t="array" ref="AD622">VLOOKUP($A622,Table_ship_components[],COLUMN(AD:AD),0)</f>
        <v>0</v>
      </c>
      <c r="AE622" cm="1">
        <f t="array" ref="AE622">VLOOKUP($A622,Table_ship_components[],COLUMN(AE:AE),0)</f>
        <v>0</v>
      </c>
      <c r="AF622" cm="1">
        <f t="array" ref="AF622">VLOOKUP($A622,Table_ship_components[],COLUMN(AF:AF),0)</f>
        <v>0</v>
      </c>
      <c r="AG622" cm="1">
        <f t="array" ref="AG622">VLOOKUP($A622,Table_ship_components[],COLUMN(AG:AG),0)</f>
        <v>0</v>
      </c>
      <c r="AH622" cm="1">
        <f t="array" ref="AH622">VLOOKUP($A622,Table_ship_components[],COLUMN(AH:AH),0)</f>
        <v>0</v>
      </c>
      <c r="AI622" cm="1">
        <f t="array" ref="AI622">VLOOKUP($A622,Table_ship_components[],COLUMN(AI:AI),0)</f>
        <v>0</v>
      </c>
      <c r="AJ622" cm="1">
        <f t="array" ref="AJ622">VLOOKUP($A622,Table_ship_components[],COLUMN(AJ:AJ),0)</f>
        <v>0</v>
      </c>
      <c r="AK622" cm="1">
        <f t="array" ref="AK622">VLOOKUP($A622,Table_ship_components[],COLUMN(AK:AK),0)</f>
        <v>0</v>
      </c>
      <c r="AL622" cm="1">
        <f t="array" ref="AL622">VLOOKUP($A622,Table_ship_components[],COLUMN(AL:AL),0)</f>
        <v>0</v>
      </c>
      <c r="AM622" cm="1">
        <f t="array" ref="AM622">VLOOKUP($A622,Table_ship_components[],COLUMN(AM:AM),0)</f>
        <v>0</v>
      </c>
      <c r="AN622" cm="1">
        <f t="array" ref="AN622">VLOOKUP($A622,Table_ship_components[],COLUMN(AN:AN),0)</f>
        <v>0</v>
      </c>
      <c r="AO622" cm="1">
        <f t="array" ref="AO622">VLOOKUP($A622,Table_ship_components[],COLUMN(AO:AO),0)</f>
        <v>0</v>
      </c>
      <c r="AP622" cm="1">
        <f t="array" ref="AP622">VLOOKUP($A622,Table_ship_components[],COLUMN(AP:AP),0)</f>
        <v>0</v>
      </c>
      <c r="AQ622" cm="1">
        <f t="array" ref="AQ622">VLOOKUP($A622,Table_ship_components[],COLUMN(AQ:AQ),0)</f>
        <v>0</v>
      </c>
      <c r="AR622" cm="1">
        <f t="array" ref="AR622">VLOOKUP($A622,Table_ship_components[],COLUMN(AR:AR),0)</f>
        <v>0</v>
      </c>
      <c r="AS622" cm="1">
        <f t="array" ref="AS622">VLOOKUP($A622,Table_ship_components[],COLUMN(AS:AS),0)</f>
        <v>0</v>
      </c>
      <c r="AT622" cm="1">
        <f t="array" ref="AT622">VLOOKUP($A622,Table_ship_components[],COLUMN(AT:AT),0)</f>
        <v>0</v>
      </c>
      <c r="AU622" s="2" cm="1">
        <f t="array" ref="AU622">VLOOKUP($A622,Table_ship_components[],COLUMN(AU:AU),0)</f>
        <v>0</v>
      </c>
      <c r="AV622" s="2" cm="1">
        <f t="array" ref="AV622">VLOOKUP($A622,Table_ship_components[],COLUMN(AV:AV),0)</f>
        <v>0</v>
      </c>
      <c r="AW622" s="2" cm="1">
        <f t="array" ref="AW622">VLOOKUP($A622,Table_ship_components[],COLUMN(AW:AW),0)</f>
        <v>0</v>
      </c>
      <c r="AX622" s="2" cm="1">
        <f t="array" ref="AX622">VLOOKUP($A622,Table_ship_components[],COLUMN(AX:AX),0)</f>
        <v>0</v>
      </c>
      <c r="AY622" s="2" cm="1">
        <f t="array" ref="AY622">VLOOKUP($A622,Table_ship_components[],COLUMN(AY:AY),0)</f>
        <v>0</v>
      </c>
      <c r="AZ622" s="2" t="str" cm="1">
        <f t="array" ref="AZ622">VLOOKUP($A622,Table_ship_components[],COLUMN(AZ:AZ),0)</f>
        <v>C</v>
      </c>
      <c r="BA622" s="14" cm="1">
        <f t="array" ref="BA622">VLOOKUP($A622,Table_ship_components[],COLUMN(BA:BA),0)</f>
        <v>0</v>
      </c>
      <c r="BB622" s="14" cm="1">
        <f t="array" ref="BB622">(VLOOKUP($A622,Table_ship_components[],COLUMN(BA:BA),0)+(W622*C622))</f>
        <v>0</v>
      </c>
      <c r="BC622" s="2" cm="1">
        <f t="array" ref="BC622">VLOOKUP($A622,Table_ship_components[],COLUMN(BC:BC),0)</f>
        <v>0</v>
      </c>
      <c r="BD622" s="2" cm="1">
        <f t="array" ref="BD622">VLOOKUP($A622,Table_ship_components[],COLUMN(BD:BD),0)</f>
        <v>0</v>
      </c>
    </row>
    <row r="623" spans="1:56" outlineLevel="1" x14ac:dyDescent="0.35">
      <c r="A623" t="s">
        <v>288</v>
      </c>
      <c r="B623" t="str" cm="1">
        <f t="array" ref="B623">VLOOKUP($A623,Table_ship_components[],COLUMN(B:B),0)</f>
        <v>PICK A COMPONENT</v>
      </c>
      <c r="D623" cm="1">
        <f t="array" ref="D623">VLOOKUP($A623,Table_ship_components[],COLUMN(D:D),0)</f>
        <v>0</v>
      </c>
      <c r="E623" cm="1">
        <f t="array" ref="E623">ROUND(VLOOKUP($A623,Table_ship_components[],COLUMN(D:D),0)+(V623*C623),0)</f>
        <v>0</v>
      </c>
      <c r="F623" cm="1">
        <f t="array" ref="F623">VLOOKUP($A623,Table_ship_components[],COLUMN(F:F),0)</f>
        <v>0</v>
      </c>
      <c r="G623" cm="1">
        <f t="array" ref="G623">ROUND(VLOOKUP($A623,Table_ship_components[],COLUMN(G:G),0)+(X623*C623),0)</f>
        <v>0</v>
      </c>
      <c r="H623" cm="1">
        <f t="array" ref="H623">VLOOKUP($A623,Table_ship_components[],COLUMN(H:H),0)</f>
        <v>0</v>
      </c>
      <c r="I623" cm="1">
        <f t="array" ref="I623">VLOOKUP($A623,Table_ship_components[],COLUMN(I:I),0)</f>
        <v>0</v>
      </c>
      <c r="J623" cm="1">
        <f t="array" ref="J623">VLOOKUP($A623,Table_ship_components[],COLUMN(J:J),0)</f>
        <v>0</v>
      </c>
      <c r="K623" cm="1">
        <f t="array" ref="K623">VLOOKUP($A623,Table_ship_components[],COLUMN(K:K),0)</f>
        <v>0</v>
      </c>
      <c r="L623" cm="1">
        <f t="array" ref="L623">VLOOKUP($A623,Table_ship_components[],COLUMN(L:L),0)</f>
        <v>0</v>
      </c>
      <c r="M623" cm="1">
        <f t="array" ref="M623">VLOOKUP($A623,Table_ship_components[],COLUMN(M:M),0)</f>
        <v>0</v>
      </c>
      <c r="N623" cm="1">
        <f t="array" ref="N623">VLOOKUP($A623,Table_ship_components[],COLUMN(N:N),0)</f>
        <v>0</v>
      </c>
      <c r="O623" cm="1">
        <f t="array" ref="O623">VLOOKUP($A623,Table_ship_components[],COLUMN(O:O),0)</f>
        <v>0</v>
      </c>
      <c r="P623" cm="1">
        <f t="array" ref="P623">VLOOKUP($A623,Table_ship_components[],COLUMN(P:P),0)</f>
        <v>0</v>
      </c>
      <c r="Q623" cm="1">
        <f t="array" ref="Q623">VLOOKUP($A623,Table_ship_components[],COLUMN(Q:Q),0)</f>
        <v>0</v>
      </c>
      <c r="R623" cm="1">
        <f t="array" ref="R623">VLOOKUP($A623,Table_ship_components[],COLUMN(R:R),0)</f>
        <v>0</v>
      </c>
      <c r="S623" cm="1">
        <f t="array" ref="S623">VLOOKUP($A623,Table_ship_components[],COLUMN(S:S),0)</f>
        <v>0</v>
      </c>
      <c r="T623" cm="1">
        <f t="array" ref="T623">VLOOKUP($A623,Table_ship_components[],COLUMN(T:T),0)</f>
        <v>0</v>
      </c>
      <c r="U623" cm="1">
        <f t="array" ref="U623">VLOOKUP($A623,Table_ship_components[],COLUMN(U:U),0)</f>
        <v>0</v>
      </c>
      <c r="V623" cm="1">
        <f t="array" ref="V623">VLOOKUP($A623,Table_ship_components[],COLUMN(V:V),0)</f>
        <v>0</v>
      </c>
      <c r="W623" s="15" cm="1">
        <f t="array" ref="W623">VLOOKUP($A623,Table_ship_components[],COLUMN(W:W),0)</f>
        <v>0</v>
      </c>
      <c r="X623" cm="1">
        <f t="array" ref="X623">VLOOKUP($A623,Table_ship_components[],COLUMN(X:X),0)</f>
        <v>0</v>
      </c>
      <c r="Y623" cm="1">
        <f t="array" ref="Y623">VLOOKUP($A623,Table_ship_components[],COLUMN(Y:Y),0)</f>
        <v>0</v>
      </c>
      <c r="Z623" cm="1">
        <f t="array" ref="Z623">VLOOKUP($A623,Table_ship_components[],COLUMN(Z:Z),0)</f>
        <v>0</v>
      </c>
      <c r="AA623" cm="1">
        <f t="array" ref="AA623">VLOOKUP($A623,Table_ship_components[],COLUMN(AA:AA),0)*C623</f>
        <v>0</v>
      </c>
      <c r="AB623">
        <f t="shared" si="62"/>
        <v>0</v>
      </c>
      <c r="AC623" cm="1">
        <f t="array" ref="AC623">VLOOKUP($A623,Table_ship_components[],COLUMN(AC:AC),0)*C623</f>
        <v>0</v>
      </c>
      <c r="AD623" cm="1">
        <f t="array" ref="AD623">VLOOKUP($A623,Table_ship_components[],COLUMN(AD:AD),0)</f>
        <v>0</v>
      </c>
      <c r="AE623" cm="1">
        <f t="array" ref="AE623">VLOOKUP($A623,Table_ship_components[],COLUMN(AE:AE),0)</f>
        <v>0</v>
      </c>
      <c r="AF623" cm="1">
        <f t="array" ref="AF623">VLOOKUP($A623,Table_ship_components[],COLUMN(AF:AF),0)</f>
        <v>0</v>
      </c>
      <c r="AG623" cm="1">
        <f t="array" ref="AG623">VLOOKUP($A623,Table_ship_components[],COLUMN(AG:AG),0)</f>
        <v>0</v>
      </c>
      <c r="AH623" cm="1">
        <f t="array" ref="AH623">VLOOKUP($A623,Table_ship_components[],COLUMN(AH:AH),0)</f>
        <v>0</v>
      </c>
      <c r="AI623" cm="1">
        <f t="array" ref="AI623">VLOOKUP($A623,Table_ship_components[],COLUMN(AI:AI),0)</f>
        <v>0</v>
      </c>
      <c r="AJ623" cm="1">
        <f t="array" ref="AJ623">VLOOKUP($A623,Table_ship_components[],COLUMN(AJ:AJ),0)</f>
        <v>0</v>
      </c>
      <c r="AK623" cm="1">
        <f t="array" ref="AK623">VLOOKUP($A623,Table_ship_components[],COLUMN(AK:AK),0)</f>
        <v>0</v>
      </c>
      <c r="AL623" cm="1">
        <f t="array" ref="AL623">VLOOKUP($A623,Table_ship_components[],COLUMN(AL:AL),0)</f>
        <v>0</v>
      </c>
      <c r="AM623" cm="1">
        <f t="array" ref="AM623">VLOOKUP($A623,Table_ship_components[],COLUMN(AM:AM),0)</f>
        <v>0</v>
      </c>
      <c r="AN623" cm="1">
        <f t="array" ref="AN623">VLOOKUP($A623,Table_ship_components[],COLUMN(AN:AN),0)</f>
        <v>0</v>
      </c>
      <c r="AO623" cm="1">
        <f t="array" ref="AO623">VLOOKUP($A623,Table_ship_components[],COLUMN(AO:AO),0)</f>
        <v>0</v>
      </c>
      <c r="AP623" cm="1">
        <f t="array" ref="AP623">VLOOKUP($A623,Table_ship_components[],COLUMN(AP:AP),0)</f>
        <v>0</v>
      </c>
      <c r="AQ623" cm="1">
        <f t="array" ref="AQ623">VLOOKUP($A623,Table_ship_components[],COLUMN(AQ:AQ),0)</f>
        <v>0</v>
      </c>
      <c r="AR623" cm="1">
        <f t="array" ref="AR623">VLOOKUP($A623,Table_ship_components[],COLUMN(AR:AR),0)</f>
        <v>0</v>
      </c>
      <c r="AS623" cm="1">
        <f t="array" ref="AS623">VLOOKUP($A623,Table_ship_components[],COLUMN(AS:AS),0)</f>
        <v>0</v>
      </c>
      <c r="AT623" cm="1">
        <f t="array" ref="AT623">VLOOKUP($A623,Table_ship_components[],COLUMN(AT:AT),0)</f>
        <v>0</v>
      </c>
      <c r="AU623" s="2" cm="1">
        <f t="array" ref="AU623">VLOOKUP($A623,Table_ship_components[],COLUMN(AU:AU),0)</f>
        <v>0</v>
      </c>
      <c r="AV623" s="2" cm="1">
        <f t="array" ref="AV623">VLOOKUP($A623,Table_ship_components[],COLUMN(AV:AV),0)</f>
        <v>0</v>
      </c>
      <c r="AW623" s="2" cm="1">
        <f t="array" ref="AW623">VLOOKUP($A623,Table_ship_components[],COLUMN(AW:AW),0)</f>
        <v>0</v>
      </c>
      <c r="AX623" s="2" cm="1">
        <f t="array" ref="AX623">VLOOKUP($A623,Table_ship_components[],COLUMN(AX:AX),0)</f>
        <v>0</v>
      </c>
      <c r="AY623" s="2" cm="1">
        <f t="array" ref="AY623">VLOOKUP($A623,Table_ship_components[],COLUMN(AY:AY),0)</f>
        <v>0</v>
      </c>
      <c r="AZ623" s="2" t="str" cm="1">
        <f t="array" ref="AZ623">VLOOKUP($A623,Table_ship_components[],COLUMN(AZ:AZ),0)</f>
        <v>C</v>
      </c>
      <c r="BA623" s="14" cm="1">
        <f t="array" ref="BA623">VLOOKUP($A623,Table_ship_components[],COLUMN(BA:BA),0)</f>
        <v>0</v>
      </c>
      <c r="BB623" s="14" cm="1">
        <f t="array" ref="BB623">(VLOOKUP($A623,Table_ship_components[],COLUMN(BA:BA),0)+(W623*C623))</f>
        <v>0</v>
      </c>
      <c r="BC623" s="2" cm="1">
        <f t="array" ref="BC623">VLOOKUP($A623,Table_ship_components[],COLUMN(BC:BC),0)</f>
        <v>0</v>
      </c>
      <c r="BD623" s="2" cm="1">
        <f t="array" ref="BD623">VLOOKUP($A623,Table_ship_components[],COLUMN(BD:BD),0)</f>
        <v>0</v>
      </c>
    </row>
    <row r="624" spans="1:56" ht="15" outlineLevel="1" thickBot="1" x14ac:dyDescent="0.4">
      <c r="D624" s="32"/>
      <c r="E624" s="32">
        <f>SUM(E593:E623)</f>
        <v>25</v>
      </c>
      <c r="F624" s="32"/>
      <c r="G624" s="32">
        <f t="shared" ref="G624:L624" si="63">SUM(G593:G623)</f>
        <v>15</v>
      </c>
      <c r="H624" s="32">
        <f t="shared" si="63"/>
        <v>0</v>
      </c>
      <c r="I624" s="32">
        <f t="shared" si="63"/>
        <v>25</v>
      </c>
      <c r="J624" s="32">
        <f t="shared" si="63"/>
        <v>0</v>
      </c>
      <c r="K624" s="32">
        <f t="shared" si="63"/>
        <v>20</v>
      </c>
      <c r="L624" s="32">
        <f t="shared" si="63"/>
        <v>4</v>
      </c>
      <c r="M624" s="32"/>
      <c r="N624" s="32"/>
      <c r="O624" s="32"/>
      <c r="P624" s="32"/>
      <c r="Q624" s="32"/>
      <c r="R624" s="32"/>
      <c r="S624" s="32"/>
      <c r="T624" s="32"/>
      <c r="U624" s="32"/>
      <c r="V624" s="32"/>
      <c r="W624" s="32"/>
      <c r="X624" s="32"/>
      <c r="Y624" s="32">
        <f t="shared" ref="Y624:AY624" si="64">SUM(Y593:Y623)</f>
        <v>0</v>
      </c>
      <c r="Z624" s="32">
        <f t="shared" si="64"/>
        <v>0</v>
      </c>
      <c r="AA624" s="32">
        <f t="shared" si="64"/>
        <v>0</v>
      </c>
      <c r="AB624" s="32">
        <f t="shared" si="64"/>
        <v>1</v>
      </c>
      <c r="AC624" s="32">
        <f t="shared" si="64"/>
        <v>0</v>
      </c>
      <c r="AD624" s="32">
        <f t="shared" si="64"/>
        <v>0</v>
      </c>
      <c r="AE624" s="32">
        <f t="shared" si="64"/>
        <v>0</v>
      </c>
      <c r="AF624" s="32">
        <f t="shared" si="64"/>
        <v>0</v>
      </c>
      <c r="AG624" s="32">
        <f t="shared" si="64"/>
        <v>0</v>
      </c>
      <c r="AH624" s="32">
        <f t="shared" si="64"/>
        <v>100</v>
      </c>
      <c r="AI624" s="32">
        <f t="shared" si="64"/>
        <v>0</v>
      </c>
      <c r="AJ624" s="32">
        <f t="shared" si="64"/>
        <v>0</v>
      </c>
      <c r="AK624" s="32">
        <f t="shared" si="64"/>
        <v>0</v>
      </c>
      <c r="AL624" s="32">
        <f t="shared" si="64"/>
        <v>3</v>
      </c>
      <c r="AM624" s="32">
        <f t="shared" si="64"/>
        <v>1</v>
      </c>
      <c r="AN624" s="32">
        <f t="shared" si="64"/>
        <v>5</v>
      </c>
      <c r="AO624" s="32">
        <f t="shared" si="64"/>
        <v>5</v>
      </c>
      <c r="AP624" s="32">
        <f t="shared" si="64"/>
        <v>5</v>
      </c>
      <c r="AQ624" s="32">
        <f t="shared" si="64"/>
        <v>0</v>
      </c>
      <c r="AR624" s="32">
        <f t="shared" si="64"/>
        <v>4</v>
      </c>
      <c r="AS624" s="32">
        <f t="shared" si="64"/>
        <v>1</v>
      </c>
      <c r="AT624" s="32">
        <f t="shared" si="64"/>
        <v>2</v>
      </c>
      <c r="AU624" s="32">
        <f t="shared" si="64"/>
        <v>3</v>
      </c>
      <c r="AV624" s="32">
        <f t="shared" si="64"/>
        <v>25</v>
      </c>
      <c r="AW624" s="32">
        <f t="shared" si="64"/>
        <v>10</v>
      </c>
      <c r="AX624" s="32">
        <f t="shared" si="64"/>
        <v>15</v>
      </c>
      <c r="AY624" s="32">
        <f t="shared" si="64"/>
        <v>0</v>
      </c>
      <c r="AZ624" s="32"/>
      <c r="BA624" s="33">
        <f>SUM(BA593:BA623)</f>
        <v>1675000</v>
      </c>
      <c r="BB624" s="33">
        <f>SUM(BB593:BB623)</f>
        <v>1680000</v>
      </c>
      <c r="BC624" s="32"/>
      <c r="BD624" s="32"/>
    </row>
    <row r="625" spans="1:56" ht="19" outlineLevel="1" thickTop="1" x14ac:dyDescent="0.45">
      <c r="A625" s="35" t="s">
        <v>691</v>
      </c>
      <c r="B625" s="34">
        <f>BB624</f>
        <v>1680000</v>
      </c>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c r="AX625" s="36"/>
      <c r="AY625" s="36"/>
      <c r="AZ625" s="36"/>
      <c r="BA625" s="37"/>
      <c r="BB625" s="37"/>
      <c r="BC625" s="36"/>
      <c r="BD625" s="36"/>
    </row>
    <row r="626" spans="1:56" ht="21" x14ac:dyDescent="0.5">
      <c r="A626" s="38" t="s">
        <v>166</v>
      </c>
      <c r="B626" s="38" t="s">
        <v>742</v>
      </c>
    </row>
    <row r="627" spans="1:56" outlineLevel="1" x14ac:dyDescent="0.35">
      <c r="A627" t="s">
        <v>728</v>
      </c>
      <c r="B627" t="str" cm="1">
        <f t="array" ref="B627">VLOOKUP($A627,Table_ship_components[],COLUMN(B:B),0)</f>
        <v>attack drone template</v>
      </c>
      <c r="D627" cm="1">
        <f t="array" ref="D627">VLOOKUP($A627,Table_ship_components[],COLUMN(D:D),0)</f>
        <v>0</v>
      </c>
      <c r="E627" cm="1">
        <f t="array" ref="E627">(VLOOKUP($A627,Table_ship_components[],COLUMN(D:D),0)+(V627*C627))</f>
        <v>0</v>
      </c>
      <c r="F627" cm="1">
        <f t="array" ref="F627">VLOOKUP($A627,Table_ship_components[],COLUMN(F:F),0)</f>
        <v>0</v>
      </c>
      <c r="G627" cm="1">
        <f t="array" ref="G627">(VLOOKUP($A627,Table_ship_components[],COLUMN(G:G),0)+(X627*C627))</f>
        <v>0</v>
      </c>
      <c r="H627" cm="1">
        <f t="array" ref="H627">VLOOKUP($A627,Table_ship_components[],COLUMN(H:H),0)</f>
        <v>0</v>
      </c>
      <c r="I627" cm="1">
        <f t="array" ref="I627">VLOOKUP($A627,Table_ship_components[],COLUMN(I:I),0)</f>
        <v>0</v>
      </c>
      <c r="J627" cm="1">
        <f t="array" ref="J627">VLOOKUP($A627,Table_ship_components[],COLUMN(J:J),0)</f>
        <v>0</v>
      </c>
      <c r="K627" cm="1">
        <f t="array" ref="K627">VLOOKUP($A627,Table_ship_components[],COLUMN(K:K),0)</f>
        <v>0</v>
      </c>
      <c r="L627" cm="1">
        <f t="array" ref="L627">VLOOKUP($A627,Table_ship_components[],COLUMN(L:L),0)</f>
        <v>0</v>
      </c>
      <c r="M627" cm="1">
        <f t="array" ref="M627">VLOOKUP($A627,Table_ship_components[],COLUMN(M:M),0)</f>
        <v>0</v>
      </c>
      <c r="N627" cm="1">
        <f t="array" ref="N627">VLOOKUP($A627,Table_ship_components[],COLUMN(N:N),0)</f>
        <v>0</v>
      </c>
      <c r="O627" cm="1">
        <f t="array" ref="O627">VLOOKUP($A627,Table_ship_components[],COLUMN(O:O),0)</f>
        <v>0</v>
      </c>
      <c r="P627" cm="1">
        <f t="array" ref="P627">VLOOKUP($A627,Table_ship_components[],COLUMN(P:P),0)</f>
        <v>0</v>
      </c>
      <c r="Q627" cm="1">
        <f t="array" ref="Q627">VLOOKUP($A627,Table_ship_components[],COLUMN(Q:Q),0)</f>
        <v>0</v>
      </c>
      <c r="R627" cm="1">
        <f t="array" ref="R627">VLOOKUP($A627,Table_ship_components[],COLUMN(R:R),0)</f>
        <v>0</v>
      </c>
      <c r="S627" cm="1">
        <f t="array" ref="S627">VLOOKUP($A627,Table_ship_components[],COLUMN(S:S),0)</f>
        <v>0</v>
      </c>
      <c r="T627" cm="1">
        <f t="array" ref="T627">VLOOKUP($A627,Table_ship_components[],COLUMN(T:T),0)</f>
        <v>0</v>
      </c>
      <c r="U627" cm="1">
        <f t="array" ref="U627">VLOOKUP($A627,Table_ship_components[],COLUMN(U:U),0)</f>
        <v>0</v>
      </c>
      <c r="V627" cm="1">
        <f t="array" ref="V627">VLOOKUP($A627,Table_ship_components[],COLUMN(V:V),0)</f>
        <v>0</v>
      </c>
      <c r="W627" s="15" cm="1">
        <f t="array" ref="W627">VLOOKUP($A627,Table_ship_components[],COLUMN(W:W),0)</f>
        <v>0</v>
      </c>
      <c r="X627" cm="1">
        <f t="array" ref="X627">VLOOKUP($A627,Table_ship_components[],COLUMN(X:X),0)</f>
        <v>0</v>
      </c>
      <c r="Y627" cm="1">
        <f t="array" ref="Y627">VLOOKUP($A627,Table_ship_components[],COLUMN(Y:Y),0)</f>
        <v>0</v>
      </c>
      <c r="Z627" cm="1">
        <f t="array" ref="Z627">VLOOKUP($A627,Table_ship_components[],COLUMN(Z:Z),0)</f>
        <v>0</v>
      </c>
      <c r="AA627" cm="1">
        <f t="array" ref="AA627">VLOOKUP($A627,Table_ship_components[],COLUMN(AA:AA),0)</f>
        <v>0</v>
      </c>
      <c r="AB627" cm="1">
        <f t="array" ref="AB627">VLOOKUP($A627,Table_ship_components[],COLUMN(AB:AB),0)</f>
        <v>0</v>
      </c>
      <c r="AC627" cm="1">
        <f t="array" ref="AC627">VLOOKUP($A627,Table_ship_components[],COLUMN(AC:AC),0)</f>
        <v>0</v>
      </c>
      <c r="AD627" cm="1">
        <f t="array" ref="AD627">VLOOKUP($A627,Table_ship_components[],COLUMN(AD:AD),0)</f>
        <v>0</v>
      </c>
      <c r="AE627" cm="1">
        <f t="array" ref="AE627">VLOOKUP($A627,Table_ship_components[],COLUMN(AE:AE),0)</f>
        <v>0</v>
      </c>
      <c r="AF627" cm="1">
        <f t="array" ref="AF627">VLOOKUP($A627,Table_ship_components[],COLUMN(AF:AF),0)</f>
        <v>0</v>
      </c>
      <c r="AG627" cm="1">
        <f t="array" ref="AG627">VLOOKUP($A627,Table_ship_components[],COLUMN(AG:AG),0)</f>
        <v>0</v>
      </c>
      <c r="AH627" cm="1">
        <f t="array" ref="AH627">VLOOKUP($A627,Table_ship_components[],COLUMN(AH:AH),0)</f>
        <v>0</v>
      </c>
      <c r="AI627" cm="1">
        <f t="array" ref="AI627">VLOOKUP($A627,Table_ship_components[],COLUMN(AI:AI),0)</f>
        <v>0</v>
      </c>
      <c r="AJ627" cm="1">
        <f t="array" ref="AJ627">VLOOKUP($A627,Table_ship_components[],COLUMN(AJ:AJ),0)</f>
        <v>0</v>
      </c>
      <c r="AK627" cm="1">
        <f t="array" ref="AK627">VLOOKUP($A627,Table_ship_components[],COLUMN(AK:AK),0)</f>
        <v>0</v>
      </c>
      <c r="AL627" cm="1">
        <f t="array" ref="AL627">VLOOKUP($A627,Table_ship_components[],COLUMN(AL:AL),0)</f>
        <v>0</v>
      </c>
      <c r="AM627" cm="1">
        <f t="array" ref="AM627">VLOOKUP($A627,Table_ship_components[],COLUMN(AM:AM),0)</f>
        <v>1</v>
      </c>
      <c r="AN627" cm="1">
        <f t="array" ref="AN627">VLOOKUP($A627,Table_ship_components[],COLUMN(AN:AN),0)</f>
        <v>5</v>
      </c>
      <c r="AO627" cm="1">
        <f t="array" ref="AO627">VLOOKUP($A627,Table_ship_components[],COLUMN(AO:AO),0)</f>
        <v>2</v>
      </c>
      <c r="AP627" cm="1">
        <f t="array" ref="AP627">VLOOKUP($A627,Table_ship_components[],COLUMN(AP:AP),0)</f>
        <v>5</v>
      </c>
      <c r="AQ627" cm="1">
        <f t="array" ref="AQ627">VLOOKUP($A627,Table_ship_components[],COLUMN(AQ:AQ),0)</f>
        <v>0</v>
      </c>
      <c r="AR627" cm="1">
        <f t="array" ref="AR627">VLOOKUP($A627,Table_ship_components[],COLUMN(AR:AR),0)</f>
        <v>3</v>
      </c>
      <c r="AS627" cm="1">
        <f t="array" ref="AS627">VLOOKUP($A627,Table_ship_components[],COLUMN(AS:AS),0)</f>
        <v>2</v>
      </c>
      <c r="AT627" cm="1">
        <f t="array" ref="AT627">VLOOKUP($A627,Table_ship_components[],COLUMN(AT:AT),0)</f>
        <v>2</v>
      </c>
      <c r="AU627" s="2" cm="1">
        <f t="array" ref="AU627">VLOOKUP($A627,Table_ship_components[],COLUMN(AU:AU),0)</f>
        <v>3</v>
      </c>
      <c r="AV627" s="2" cm="1">
        <f t="array" ref="AV627">VLOOKUP($A627,Table_ship_components[],COLUMN(AV:AV),0)</f>
        <v>25</v>
      </c>
      <c r="AW627" s="2" cm="1">
        <f t="array" ref="AW627">VLOOKUP($A627,Table_ship_components[],COLUMN(AW:AW),0)</f>
        <v>10</v>
      </c>
      <c r="AX627" s="2" cm="1">
        <f t="array" ref="AX627">VLOOKUP($A627,Table_ship_components[],COLUMN(AX:AX),0)</f>
        <v>5</v>
      </c>
      <c r="AY627" s="2" cm="1">
        <f t="array" ref="AY627">VLOOKUP($A627,Table_ship_components[],COLUMN(AY:AY),0)</f>
        <v>10</v>
      </c>
      <c r="AZ627" s="2" t="str" cm="1">
        <f t="array" ref="AZ627">VLOOKUP($A627,Table_ship_components[],COLUMN(AZ:AZ),0)</f>
        <v>C</v>
      </c>
      <c r="BA627" s="14" cm="1">
        <f t="array" ref="BA627">VLOOKUP($A627,Table_ship_components[],COLUMN(BA:BA),0)</f>
        <v>530000</v>
      </c>
      <c r="BB627" s="14" cm="1">
        <f t="array" ref="BB627">(VLOOKUP($A627,Table_ship_components[],COLUMN(BA:BA),0)+(W627*C627))</f>
        <v>530000</v>
      </c>
      <c r="BC627" s="2" cm="1">
        <f t="array" ref="BC627">VLOOKUP($A627,Table_ship_components[],COLUMN(BC:BC),0)</f>
        <v>0</v>
      </c>
      <c r="BD627" s="2" cm="1">
        <f t="array" ref="BD627">VLOOKUP($A627,Table_ship_components[],COLUMN(BD:BD),0)</f>
        <v>0</v>
      </c>
    </row>
    <row r="628" spans="1:56" outlineLevel="1" x14ac:dyDescent="0.35"/>
    <row r="629" spans="1:56" outlineLevel="1" x14ac:dyDescent="0.35">
      <c r="A629" s="40" t="str">
        <f>CONCATENATE("LIFE SUPPORT VALID : ",IF((SUM(Z658:AA658)&lt;=AC658),"YES","NO"))</f>
        <v>LIFE SUPPORT VALID : YES</v>
      </c>
      <c r="B629" s="39" t="str">
        <f>CONCATENATE("TOTAL SIZE ",(SUM(E631:E657))," TOTAL POWER ",(SUM(G631:G657))," / ",(SUM(I631:I657)))</f>
        <v>TOTAL SIZE 25 TOTAL POWER 13 / 25</v>
      </c>
    </row>
    <row r="630" spans="1:56" outlineLevel="1" x14ac:dyDescent="0.35">
      <c r="A630" s="18" t="s">
        <v>423</v>
      </c>
      <c r="B630" s="19" t="str">
        <f>CONCATENATE("SIZE ",(SUM(E631:E636)),"/", AW627,"  POWER ",(SUM(G631:G636)),)</f>
        <v>SIZE 10/10  POWER 3</v>
      </c>
      <c r="C630" s="31" t="s">
        <v>521</v>
      </c>
    </row>
    <row r="631" spans="1:56" outlineLevel="1" x14ac:dyDescent="0.35">
      <c r="A631" t="s">
        <v>544</v>
      </c>
      <c r="B631" t="str" cm="1">
        <f t="array" ref="B631">VLOOKUP($A631,Table_ship_components[],COLUMN(B:B),0)</f>
        <v>average drone power plant</v>
      </c>
      <c r="D631" cm="1">
        <f t="array" ref="D631">VLOOKUP($A631,Table_ship_components[],COLUMN(D:D),0)</f>
        <v>7</v>
      </c>
      <c r="E631" cm="1">
        <f t="array" ref="E631">ROUND(VLOOKUP($A631,Table_ship_components[],COLUMN(D:D),0)+(V631*C631),0)</f>
        <v>7</v>
      </c>
      <c r="F631" cm="1">
        <f t="array" ref="F631">VLOOKUP($A631,Table_ship_components[],COLUMN(F:F),0)</f>
        <v>0</v>
      </c>
      <c r="G631" cm="1">
        <f t="array" ref="G631">ROUND(VLOOKUP($A631,Table_ship_components[],COLUMN(G:G),0)+(X631*C631),0)</f>
        <v>0</v>
      </c>
      <c r="H631" cm="1">
        <f t="array" ref="H631">VLOOKUP($A631,Table_ship_components[],COLUMN(H:H),0)</f>
        <v>0</v>
      </c>
      <c r="I631" cm="1">
        <f t="array" ref="I631">VLOOKUP($A631,Table_ship_components[],COLUMN(I:I),0)</f>
        <v>25</v>
      </c>
      <c r="J631" cm="1">
        <f t="array" ref="J631">VLOOKUP($A631,Table_ship_components[],COLUMN(J:J),0)</f>
        <v>0</v>
      </c>
      <c r="K631" cm="1">
        <f t="array" ref="K631">VLOOKUP($A631,Table_ship_components[],COLUMN(K:K),0)</f>
        <v>0</v>
      </c>
      <c r="L631" cm="1">
        <f t="array" ref="L631">VLOOKUP($A631,Table_ship_components[],COLUMN(L:L),0)</f>
        <v>0</v>
      </c>
      <c r="M631" cm="1">
        <f t="array" ref="M631">VLOOKUP($A631,Table_ship_components[],COLUMN(M:M),0)</f>
        <v>1</v>
      </c>
      <c r="N631" cm="1">
        <f t="array" ref="N631">VLOOKUP($A631,Table_ship_components[],COLUMN(N:N),0)</f>
        <v>0</v>
      </c>
      <c r="O631" cm="1">
        <f t="array" ref="O631">VLOOKUP($A631,Table_ship_components[],COLUMN(O:O),0)</f>
        <v>0</v>
      </c>
      <c r="P631" cm="1">
        <f t="array" ref="P631">VLOOKUP($A631,Table_ship_components[],COLUMN(P:P),0)</f>
        <v>0</v>
      </c>
      <c r="Q631" cm="1">
        <f t="array" ref="Q631">VLOOKUP($A631,Table_ship_components[],COLUMN(Q:Q),0)</f>
        <v>0</v>
      </c>
      <c r="R631" cm="1">
        <f t="array" ref="R631">VLOOKUP($A631,Table_ship_components[],COLUMN(R:R),0)</f>
        <v>0</v>
      </c>
      <c r="S631" cm="1">
        <f t="array" ref="S631">VLOOKUP($A631,Table_ship_components[],COLUMN(S:S),0)</f>
        <v>0</v>
      </c>
      <c r="T631" cm="1">
        <f t="array" ref="T631">VLOOKUP($A631,Table_ship_components[],COLUMN(T:T),0)</f>
        <v>0</v>
      </c>
      <c r="U631" cm="1">
        <f t="array" ref="U631">VLOOKUP($A631,Table_ship_components[],COLUMN(U:U),0)</f>
        <v>0</v>
      </c>
      <c r="V631" cm="1">
        <f t="array" ref="V631">VLOOKUP($A631,Table_ship_components[],COLUMN(V:V),0)</f>
        <v>0</v>
      </c>
      <c r="W631" s="15" cm="1">
        <f t="array" ref="W631">VLOOKUP($A631,Table_ship_components[],COLUMN(W:W),0)</f>
        <v>0</v>
      </c>
      <c r="X631" cm="1">
        <f t="array" ref="X631">VLOOKUP($A631,Table_ship_components[],COLUMN(X:X),0)</f>
        <v>0</v>
      </c>
      <c r="Y631" cm="1">
        <f t="array" ref="Y631">VLOOKUP($A631,Table_ship_components[],COLUMN(Y:Y),0)</f>
        <v>0</v>
      </c>
      <c r="Z631" cm="1">
        <f t="array" ref="Z631">VLOOKUP($A631,Table_ship_components[],COLUMN(Z:Z),0)</f>
        <v>0</v>
      </c>
      <c r="AA631" cm="1">
        <f t="array" ref="AA631">VLOOKUP($A631,Table_ship_components[],COLUMN(AA:AA),0)*C631</f>
        <v>0</v>
      </c>
      <c r="AB631">
        <f>IF(A631="CARGOSPACE_0-ALL_0-UNIVERSAL",C631,0)</f>
        <v>0</v>
      </c>
      <c r="AC631" cm="1">
        <f t="array" ref="AC631">VLOOKUP($A631,Table_ship_components[],COLUMN(AC:AC),0)*C631</f>
        <v>0</v>
      </c>
      <c r="AD631" cm="1">
        <f t="array" ref="AD631">VLOOKUP($A631,Table_ship_components[],COLUMN(AD:AD),0)</f>
        <v>0</v>
      </c>
      <c r="AE631" cm="1">
        <f t="array" ref="AE631">VLOOKUP($A631,Table_ship_components[],COLUMN(AE:AE),0)</f>
        <v>0</v>
      </c>
      <c r="AF631" cm="1">
        <f t="array" ref="AF631">VLOOKUP($A631,Table_ship_components[],COLUMN(AF:AF),0)</f>
        <v>0</v>
      </c>
      <c r="AG631" cm="1">
        <f t="array" ref="AG631">VLOOKUP($A631,Table_ship_components[],COLUMN(AG:AG),0)</f>
        <v>0</v>
      </c>
      <c r="AH631" cm="1">
        <f t="array" ref="AH631">VLOOKUP($A631,Table_ship_components[],COLUMN(AH:AH),0)</f>
        <v>0</v>
      </c>
      <c r="AI631" cm="1">
        <f t="array" ref="AI631">VLOOKUP($A631,Table_ship_components[],COLUMN(AI:AI),0)</f>
        <v>0</v>
      </c>
      <c r="AJ631" cm="1">
        <f t="array" ref="AJ631">VLOOKUP($A631,Table_ship_components[],COLUMN(AJ:AJ),0)</f>
        <v>0</v>
      </c>
      <c r="AK631" cm="1">
        <f t="array" ref="AK631">VLOOKUP($A631,Table_ship_components[],COLUMN(AK:AK),0)</f>
        <v>0</v>
      </c>
      <c r="AL631" cm="1">
        <f t="array" ref="AL631">VLOOKUP($A631,Table_ship_components[],COLUMN(AL:AL),0)</f>
        <v>0</v>
      </c>
      <c r="AM631" cm="1">
        <f t="array" ref="AM631">VLOOKUP($A631,Table_ship_components[],COLUMN(AM:AM),0)</f>
        <v>0</v>
      </c>
      <c r="AN631" cm="1">
        <f t="array" ref="AN631">VLOOKUP($A631,Table_ship_components[],COLUMN(AN:AN),0)</f>
        <v>0</v>
      </c>
      <c r="AO631" cm="1">
        <f t="array" ref="AO631">VLOOKUP($A631,Table_ship_components[],COLUMN(AO:AO),0)</f>
        <v>0</v>
      </c>
      <c r="AP631" cm="1">
        <f t="array" ref="AP631">VLOOKUP($A631,Table_ship_components[],COLUMN(AP:AP),0)</f>
        <v>0</v>
      </c>
      <c r="AQ631" cm="1">
        <f t="array" ref="AQ631">VLOOKUP($A631,Table_ship_components[],COLUMN(AQ:AQ),0)</f>
        <v>0</v>
      </c>
      <c r="AR631" cm="1">
        <f t="array" ref="AR631">VLOOKUP($A631,Table_ship_components[],COLUMN(AR:AR),0)</f>
        <v>0</v>
      </c>
      <c r="AS631" cm="1">
        <f t="array" ref="AS631">VLOOKUP($A631,Table_ship_components[],COLUMN(AS:AS),0)</f>
        <v>0</v>
      </c>
      <c r="AT631" cm="1">
        <f t="array" ref="AT631">VLOOKUP($A631,Table_ship_components[],COLUMN(AT:AT),0)</f>
        <v>0</v>
      </c>
      <c r="AU631" s="2" cm="1">
        <f t="array" ref="AU631">VLOOKUP($A631,Table_ship_components[],COLUMN(AU:AU),0)</f>
        <v>0</v>
      </c>
      <c r="AV631" s="2" cm="1">
        <f t="array" ref="AV631">VLOOKUP($A631,Table_ship_components[],COLUMN(AV:AV),0)</f>
        <v>0</v>
      </c>
      <c r="AW631" s="2" cm="1">
        <f t="array" ref="AW631">VLOOKUP($A631,Table_ship_components[],COLUMN(AW:AW),0)</f>
        <v>0</v>
      </c>
      <c r="AX631" s="2" cm="1">
        <f t="array" ref="AX631">VLOOKUP($A631,Table_ship_components[],COLUMN(AX:AX),0)</f>
        <v>0</v>
      </c>
      <c r="AY631" s="2" cm="1">
        <f t="array" ref="AY631">VLOOKUP($A631,Table_ship_components[],COLUMN(AY:AY),0)</f>
        <v>0</v>
      </c>
      <c r="AZ631" s="2" t="str" cm="1">
        <f t="array" ref="AZ631">VLOOKUP($A631,Table_ship_components[],COLUMN(AZ:AZ),0)</f>
        <v>C</v>
      </c>
      <c r="BA631" s="14" cm="1">
        <f t="array" ref="BA631">VLOOKUP($A631,Table_ship_components[],COLUMN(BA:BA),0)</f>
        <v>150000</v>
      </c>
      <c r="BB631" s="14" cm="1">
        <f t="array" ref="BB631">(VLOOKUP($A631,Table_ship_components[],COLUMN(BA:BA),0)+(W631*C631))</f>
        <v>150000</v>
      </c>
      <c r="BC631" s="2" cm="1">
        <f t="array" ref="BC631">VLOOKUP($A631,Table_ship_components[],COLUMN(BC:BC),0)</f>
        <v>0</v>
      </c>
      <c r="BD631" s="2" cm="1">
        <f t="array" ref="BD631">VLOOKUP($A631,Table_ship_components[],COLUMN(BD:BD),0)</f>
        <v>0</v>
      </c>
    </row>
    <row r="632" spans="1:56" outlineLevel="1" x14ac:dyDescent="0.35">
      <c r="A632" t="s">
        <v>582</v>
      </c>
      <c r="B632" t="str" cm="1">
        <f t="array" ref="B632">VLOOKUP($A632,Table_ship_components[],COLUMN(B:B),0)</f>
        <v>basic drone warfare computer</v>
      </c>
      <c r="D632" cm="1">
        <f t="array" ref="D632">VLOOKUP($A632,Table_ship_components[],COLUMN(D:D),0)</f>
        <v>1</v>
      </c>
      <c r="E632" cm="1">
        <f t="array" ref="E632">ROUND(VLOOKUP($A632,Table_ship_components[],COLUMN(D:D),0)+(V632*C632),0)</f>
        <v>1</v>
      </c>
      <c r="F632" cm="1">
        <f t="array" ref="F632">VLOOKUP($A632,Table_ship_components[],COLUMN(F:F),0)</f>
        <v>1</v>
      </c>
      <c r="G632" cm="1">
        <f t="array" ref="G632">ROUND(VLOOKUP($A632,Table_ship_components[],COLUMN(G:G),0)+(X632*C632),0)</f>
        <v>1</v>
      </c>
      <c r="H632" cm="1">
        <f t="array" ref="H632">VLOOKUP($A632,Table_ship_components[],COLUMN(H:H),0)</f>
        <v>0</v>
      </c>
      <c r="I632" cm="1">
        <f t="array" ref="I632">VLOOKUP($A632,Table_ship_components[],COLUMN(I:I),0)</f>
        <v>0</v>
      </c>
      <c r="J632" cm="1">
        <f t="array" ref="J632">VLOOKUP($A632,Table_ship_components[],COLUMN(J:J),0)</f>
        <v>0</v>
      </c>
      <c r="K632" cm="1">
        <f t="array" ref="K632">VLOOKUP($A632,Table_ship_components[],COLUMN(K:K),0)</f>
        <v>0</v>
      </c>
      <c r="L632" cm="1">
        <f t="array" ref="L632">VLOOKUP($A632,Table_ship_components[],COLUMN(L:L),0)</f>
        <v>0</v>
      </c>
      <c r="M632" cm="1">
        <f t="array" ref="M632">VLOOKUP($A632,Table_ship_components[],COLUMN(M:M),0)</f>
        <v>1</v>
      </c>
      <c r="N632" cm="1">
        <f t="array" ref="N632">VLOOKUP($A632,Table_ship_components[],COLUMN(N:N),0)</f>
        <v>0</v>
      </c>
      <c r="O632" cm="1">
        <f t="array" ref="O632">VLOOKUP($A632,Table_ship_components[],COLUMN(O:O),0)</f>
        <v>0</v>
      </c>
      <c r="P632" cm="1">
        <f t="array" ref="P632">VLOOKUP($A632,Table_ship_components[],COLUMN(P:P),0)</f>
        <v>0</v>
      </c>
      <c r="Q632" cm="1">
        <f t="array" ref="Q632">VLOOKUP($A632,Table_ship_components[],COLUMN(Q:Q),0)</f>
        <v>0</v>
      </c>
      <c r="R632" cm="1">
        <f t="array" ref="R632">VLOOKUP($A632,Table_ship_components[],COLUMN(R:R),0)</f>
        <v>0</v>
      </c>
      <c r="S632" cm="1">
        <f t="array" ref="S632">VLOOKUP($A632,Table_ship_components[],COLUMN(S:S),0)</f>
        <v>0</v>
      </c>
      <c r="T632" cm="1">
        <f t="array" ref="T632">VLOOKUP($A632,Table_ship_components[],COLUMN(T:T),0)</f>
        <v>0</v>
      </c>
      <c r="U632" cm="1">
        <f t="array" ref="U632">VLOOKUP($A632,Table_ship_components[],COLUMN(U:U),0)</f>
        <v>0</v>
      </c>
      <c r="V632" cm="1">
        <f t="array" ref="V632">VLOOKUP($A632,Table_ship_components[],COLUMN(V:V),0)</f>
        <v>0</v>
      </c>
      <c r="W632" s="15" cm="1">
        <f t="array" ref="W632">VLOOKUP($A632,Table_ship_components[],COLUMN(W:W),0)</f>
        <v>0</v>
      </c>
      <c r="X632" cm="1">
        <f t="array" ref="X632">VLOOKUP($A632,Table_ship_components[],COLUMN(X:X),0)</f>
        <v>0</v>
      </c>
      <c r="Y632" cm="1">
        <f t="array" ref="Y632">VLOOKUP($A632,Table_ship_components[],COLUMN(Y:Y),0)</f>
        <v>0</v>
      </c>
      <c r="Z632" cm="1">
        <f t="array" ref="Z632">VLOOKUP($A632,Table_ship_components[],COLUMN(Z:Z),0)</f>
        <v>0</v>
      </c>
      <c r="AA632" cm="1">
        <f t="array" ref="AA632">VLOOKUP($A632,Table_ship_components[],COLUMN(AA:AA),0)*C632</f>
        <v>0</v>
      </c>
      <c r="AB632">
        <f t="shared" ref="AB632:AB636" si="65">IF(A632="CARGOSPACE_0-ALL_0-UNIVERSAL",C632,0)</f>
        <v>0</v>
      </c>
      <c r="AC632" cm="1">
        <f t="array" ref="AC632">VLOOKUP($A632,Table_ship_components[],COLUMN(AC:AC),0)*C632</f>
        <v>0</v>
      </c>
      <c r="AD632" cm="1">
        <f t="array" ref="AD632">VLOOKUP($A632,Table_ship_components[],COLUMN(AD:AD),0)</f>
        <v>0</v>
      </c>
      <c r="AE632" cm="1">
        <f t="array" ref="AE632">VLOOKUP($A632,Table_ship_components[],COLUMN(AE:AE),0)</f>
        <v>0</v>
      </c>
      <c r="AF632" cm="1">
        <f t="array" ref="AF632">VLOOKUP($A632,Table_ship_components[],COLUMN(AF:AF),0)</f>
        <v>0</v>
      </c>
      <c r="AG632" cm="1">
        <f t="array" ref="AG632">VLOOKUP($A632,Table_ship_components[],COLUMN(AG:AG),0)</f>
        <v>0</v>
      </c>
      <c r="AH632" cm="1">
        <f t="array" ref="AH632">VLOOKUP($A632,Table_ship_components[],COLUMN(AH:AH),0)</f>
        <v>0</v>
      </c>
      <c r="AI632" cm="1">
        <f t="array" ref="AI632">VLOOKUP($A632,Table_ship_components[],COLUMN(AI:AI),0)</f>
        <v>0</v>
      </c>
      <c r="AJ632" cm="1">
        <f t="array" ref="AJ632">VLOOKUP($A632,Table_ship_components[],COLUMN(AJ:AJ),0)</f>
        <v>0</v>
      </c>
      <c r="AK632" cm="1">
        <f t="array" ref="AK632">VLOOKUP($A632,Table_ship_components[],COLUMN(AK:AK),0)</f>
        <v>0</v>
      </c>
      <c r="AL632" cm="1">
        <f t="array" ref="AL632">VLOOKUP($A632,Table_ship_components[],COLUMN(AL:AL),0)</f>
        <v>0</v>
      </c>
      <c r="AM632" cm="1">
        <f t="array" ref="AM632">VLOOKUP($A632,Table_ship_components[],COLUMN(AM:AM),0)</f>
        <v>0</v>
      </c>
      <c r="AN632" cm="1">
        <f t="array" ref="AN632">VLOOKUP($A632,Table_ship_components[],COLUMN(AN:AN),0)</f>
        <v>0</v>
      </c>
      <c r="AO632" cm="1">
        <f t="array" ref="AO632">VLOOKUP($A632,Table_ship_components[],COLUMN(AO:AO),0)</f>
        <v>0</v>
      </c>
      <c r="AP632" cm="1">
        <f t="array" ref="AP632">VLOOKUP($A632,Table_ship_components[],COLUMN(AP:AP),0)</f>
        <v>0</v>
      </c>
      <c r="AQ632" cm="1">
        <f t="array" ref="AQ632">VLOOKUP($A632,Table_ship_components[],COLUMN(AQ:AQ),0)</f>
        <v>0</v>
      </c>
      <c r="AR632" cm="1">
        <f t="array" ref="AR632">VLOOKUP($A632,Table_ship_components[],COLUMN(AR:AR),0)</f>
        <v>0</v>
      </c>
      <c r="AS632" cm="1">
        <f t="array" ref="AS632">VLOOKUP($A632,Table_ship_components[],COLUMN(AS:AS),0)</f>
        <v>0</v>
      </c>
      <c r="AT632" cm="1">
        <f t="array" ref="AT632">VLOOKUP($A632,Table_ship_components[],COLUMN(AT:AT),0)</f>
        <v>0</v>
      </c>
      <c r="AU632" s="2" cm="1">
        <f t="array" ref="AU632">VLOOKUP($A632,Table_ship_components[],COLUMN(AU:AU),0)</f>
        <v>-1</v>
      </c>
      <c r="AV632" s="2" cm="1">
        <f t="array" ref="AV632">VLOOKUP($A632,Table_ship_components[],COLUMN(AV:AV),0)</f>
        <v>0</v>
      </c>
      <c r="AW632" s="2" cm="1">
        <f t="array" ref="AW632">VLOOKUP($A632,Table_ship_components[],COLUMN(AW:AW),0)</f>
        <v>0</v>
      </c>
      <c r="AX632" s="2" cm="1">
        <f t="array" ref="AX632">VLOOKUP($A632,Table_ship_components[],COLUMN(AX:AX),0)</f>
        <v>0</v>
      </c>
      <c r="AY632" s="2" cm="1">
        <f t="array" ref="AY632">VLOOKUP($A632,Table_ship_components[],COLUMN(AY:AY),0)</f>
        <v>0</v>
      </c>
      <c r="AZ632" s="2" t="str" cm="1">
        <f t="array" ref="AZ632">VLOOKUP($A632,Table_ship_components[],COLUMN(AZ:AZ),0)</f>
        <v>C</v>
      </c>
      <c r="BA632" s="14" cm="1">
        <f t="array" ref="BA632">VLOOKUP($A632,Table_ship_components[],COLUMN(BA:BA),0)</f>
        <v>70000</v>
      </c>
      <c r="BB632" s="14" cm="1">
        <f t="array" ref="BB632">(VLOOKUP($A632,Table_ship_components[],COLUMN(BA:BA),0)+(W632*C632))</f>
        <v>70000</v>
      </c>
      <c r="BC632" s="2" cm="1">
        <f t="array" ref="BC632">VLOOKUP($A632,Table_ship_components[],COLUMN(BC:BC),0)</f>
        <v>0</v>
      </c>
      <c r="BD632" s="2" cm="1">
        <f t="array" ref="BD632">VLOOKUP($A632,Table_ship_components[],COLUMN(BD:BD),0)</f>
        <v>0</v>
      </c>
    </row>
    <row r="633" spans="1:56" outlineLevel="1" x14ac:dyDescent="0.35">
      <c r="A633" t="s">
        <v>288</v>
      </c>
      <c r="B633" t="str" cm="1">
        <f t="array" ref="B633">VLOOKUP($A633,Table_ship_components[],COLUMN(B:B),0)</f>
        <v>PICK A COMPONENT</v>
      </c>
      <c r="D633" cm="1">
        <f t="array" ref="D633">VLOOKUP($A633,Table_ship_components[],COLUMN(D:D),0)</f>
        <v>0</v>
      </c>
      <c r="E633" cm="1">
        <f t="array" ref="E633">ROUND(VLOOKUP($A633,Table_ship_components[],COLUMN(D:D),0)+(V633*C633),0)</f>
        <v>0</v>
      </c>
      <c r="F633" cm="1">
        <f t="array" ref="F633">VLOOKUP($A633,Table_ship_components[],COLUMN(F:F),0)</f>
        <v>0</v>
      </c>
      <c r="G633" cm="1">
        <f t="array" ref="G633">ROUND(VLOOKUP($A633,Table_ship_components[],COLUMN(G:G),0)+(X633*C633),0)</f>
        <v>0</v>
      </c>
      <c r="H633" cm="1">
        <f t="array" ref="H633">VLOOKUP($A633,Table_ship_components[],COLUMN(H:H),0)</f>
        <v>0</v>
      </c>
      <c r="I633" cm="1">
        <f t="array" ref="I633">VLOOKUP($A633,Table_ship_components[],COLUMN(I:I),0)</f>
        <v>0</v>
      </c>
      <c r="J633" cm="1">
        <f t="array" ref="J633">VLOOKUP($A633,Table_ship_components[],COLUMN(J:J),0)</f>
        <v>0</v>
      </c>
      <c r="K633" cm="1">
        <f t="array" ref="K633">VLOOKUP($A633,Table_ship_components[],COLUMN(K:K),0)</f>
        <v>0</v>
      </c>
      <c r="L633" cm="1">
        <f t="array" ref="L633">VLOOKUP($A633,Table_ship_components[],COLUMN(L:L),0)</f>
        <v>0</v>
      </c>
      <c r="M633" cm="1">
        <f t="array" ref="M633">VLOOKUP($A633,Table_ship_components[],COLUMN(M:M),0)</f>
        <v>0</v>
      </c>
      <c r="N633" cm="1">
        <f t="array" ref="N633">VLOOKUP($A633,Table_ship_components[],COLUMN(N:N),0)</f>
        <v>0</v>
      </c>
      <c r="O633" cm="1">
        <f t="array" ref="O633">VLOOKUP($A633,Table_ship_components[],COLUMN(O:O),0)</f>
        <v>0</v>
      </c>
      <c r="P633" cm="1">
        <f t="array" ref="P633">VLOOKUP($A633,Table_ship_components[],COLUMN(P:P),0)</f>
        <v>0</v>
      </c>
      <c r="Q633" cm="1">
        <f t="array" ref="Q633">VLOOKUP($A633,Table_ship_components[],COLUMN(Q:Q),0)</f>
        <v>0</v>
      </c>
      <c r="R633" cm="1">
        <f t="array" ref="R633">VLOOKUP($A633,Table_ship_components[],COLUMN(R:R),0)</f>
        <v>0</v>
      </c>
      <c r="S633" cm="1">
        <f t="array" ref="S633">VLOOKUP($A633,Table_ship_components[],COLUMN(S:S),0)</f>
        <v>0</v>
      </c>
      <c r="T633" cm="1">
        <f t="array" ref="T633">VLOOKUP($A633,Table_ship_components[],COLUMN(T:T),0)</f>
        <v>0</v>
      </c>
      <c r="U633" cm="1">
        <f t="array" ref="U633">VLOOKUP($A633,Table_ship_components[],COLUMN(U:U),0)</f>
        <v>0</v>
      </c>
      <c r="V633" cm="1">
        <f t="array" ref="V633">VLOOKUP($A633,Table_ship_components[],COLUMN(V:V),0)</f>
        <v>0</v>
      </c>
      <c r="W633" s="15" cm="1">
        <f t="array" ref="W633">VLOOKUP($A633,Table_ship_components[],COLUMN(W:W),0)</f>
        <v>0</v>
      </c>
      <c r="X633" cm="1">
        <f t="array" ref="X633">VLOOKUP($A633,Table_ship_components[],COLUMN(X:X),0)</f>
        <v>0</v>
      </c>
      <c r="Y633" cm="1">
        <f t="array" ref="Y633">VLOOKUP($A633,Table_ship_components[],COLUMN(Y:Y),0)</f>
        <v>0</v>
      </c>
      <c r="Z633" cm="1">
        <f t="array" ref="Z633">VLOOKUP($A633,Table_ship_components[],COLUMN(Z:Z),0)</f>
        <v>0</v>
      </c>
      <c r="AA633" cm="1">
        <f t="array" ref="AA633">VLOOKUP($A633,Table_ship_components[],COLUMN(AA:AA),0)*C633</f>
        <v>0</v>
      </c>
      <c r="AB633">
        <f t="shared" si="65"/>
        <v>0</v>
      </c>
      <c r="AC633" cm="1">
        <f t="array" ref="AC633">VLOOKUP($A633,Table_ship_components[],COLUMN(AC:AC),0)*C633</f>
        <v>0</v>
      </c>
      <c r="AD633" cm="1">
        <f t="array" ref="AD633">VLOOKUP($A633,Table_ship_components[],COLUMN(AD:AD),0)</f>
        <v>0</v>
      </c>
      <c r="AE633" cm="1">
        <f t="array" ref="AE633">VLOOKUP($A633,Table_ship_components[],COLUMN(AE:AE),0)</f>
        <v>0</v>
      </c>
      <c r="AF633" cm="1">
        <f t="array" ref="AF633">VLOOKUP($A633,Table_ship_components[],COLUMN(AF:AF),0)</f>
        <v>0</v>
      </c>
      <c r="AG633" cm="1">
        <f t="array" ref="AG633">VLOOKUP($A633,Table_ship_components[],COLUMN(AG:AG),0)</f>
        <v>0</v>
      </c>
      <c r="AH633" cm="1">
        <f t="array" ref="AH633">VLOOKUP($A633,Table_ship_components[],COLUMN(AH:AH),0)</f>
        <v>0</v>
      </c>
      <c r="AI633" cm="1">
        <f t="array" ref="AI633">VLOOKUP($A633,Table_ship_components[],COLUMN(AI:AI),0)</f>
        <v>0</v>
      </c>
      <c r="AJ633" cm="1">
        <f t="array" ref="AJ633">VLOOKUP($A633,Table_ship_components[],COLUMN(AJ:AJ),0)</f>
        <v>0</v>
      </c>
      <c r="AK633" cm="1">
        <f t="array" ref="AK633">VLOOKUP($A633,Table_ship_components[],COLUMN(AK:AK),0)</f>
        <v>0</v>
      </c>
      <c r="AL633" cm="1">
        <f t="array" ref="AL633">VLOOKUP($A633,Table_ship_components[],COLUMN(AL:AL),0)</f>
        <v>0</v>
      </c>
      <c r="AM633" cm="1">
        <f t="array" ref="AM633">VLOOKUP($A633,Table_ship_components[],COLUMN(AM:AM),0)</f>
        <v>0</v>
      </c>
      <c r="AN633" cm="1">
        <f t="array" ref="AN633">VLOOKUP($A633,Table_ship_components[],COLUMN(AN:AN),0)</f>
        <v>0</v>
      </c>
      <c r="AO633" cm="1">
        <f t="array" ref="AO633">VLOOKUP($A633,Table_ship_components[],COLUMN(AO:AO),0)</f>
        <v>0</v>
      </c>
      <c r="AP633" cm="1">
        <f t="array" ref="AP633">VLOOKUP($A633,Table_ship_components[],COLUMN(AP:AP),0)</f>
        <v>0</v>
      </c>
      <c r="AQ633" cm="1">
        <f t="array" ref="AQ633">VLOOKUP($A633,Table_ship_components[],COLUMN(AQ:AQ),0)</f>
        <v>0</v>
      </c>
      <c r="AR633" cm="1">
        <f t="array" ref="AR633">VLOOKUP($A633,Table_ship_components[],COLUMN(AR:AR),0)</f>
        <v>0</v>
      </c>
      <c r="AS633" cm="1">
        <f t="array" ref="AS633">VLOOKUP($A633,Table_ship_components[],COLUMN(AS:AS),0)</f>
        <v>0</v>
      </c>
      <c r="AT633" cm="1">
        <f t="array" ref="AT633">VLOOKUP($A633,Table_ship_components[],COLUMN(AT:AT),0)</f>
        <v>0</v>
      </c>
      <c r="AU633" s="2" cm="1">
        <f t="array" ref="AU633">VLOOKUP($A633,Table_ship_components[],COLUMN(AU:AU),0)</f>
        <v>0</v>
      </c>
      <c r="AV633" s="2" cm="1">
        <f t="array" ref="AV633">VLOOKUP($A633,Table_ship_components[],COLUMN(AV:AV),0)</f>
        <v>0</v>
      </c>
      <c r="AW633" s="2" cm="1">
        <f t="array" ref="AW633">VLOOKUP($A633,Table_ship_components[],COLUMN(AW:AW),0)</f>
        <v>0</v>
      </c>
      <c r="AX633" s="2" cm="1">
        <f t="array" ref="AX633">VLOOKUP($A633,Table_ship_components[],COLUMN(AX:AX),0)</f>
        <v>0</v>
      </c>
      <c r="AY633" s="2" cm="1">
        <f t="array" ref="AY633">VLOOKUP($A633,Table_ship_components[],COLUMN(AY:AY),0)</f>
        <v>0</v>
      </c>
      <c r="AZ633" s="2" t="str" cm="1">
        <f t="array" ref="AZ633">VLOOKUP($A633,Table_ship_components[],COLUMN(AZ:AZ),0)</f>
        <v>C</v>
      </c>
      <c r="BA633" s="14" cm="1">
        <f t="array" ref="BA633">VLOOKUP($A633,Table_ship_components[],COLUMN(BA:BA),0)</f>
        <v>0</v>
      </c>
      <c r="BB633" s="14" cm="1">
        <f t="array" ref="BB633">(VLOOKUP($A633,Table_ship_components[],COLUMN(BA:BA),0)+(W633*C633))</f>
        <v>0</v>
      </c>
      <c r="BC633" s="2" cm="1">
        <f t="array" ref="BC633">VLOOKUP($A633,Table_ship_components[],COLUMN(BC:BC),0)</f>
        <v>0</v>
      </c>
      <c r="BD633" s="2" cm="1">
        <f t="array" ref="BD633">VLOOKUP($A633,Table_ship_components[],COLUMN(BD:BD),0)</f>
        <v>0</v>
      </c>
    </row>
    <row r="634" spans="1:56" outlineLevel="1" x14ac:dyDescent="0.35">
      <c r="A634" t="s">
        <v>530</v>
      </c>
      <c r="B634" t="str" cm="1">
        <f t="array" ref="B634">VLOOKUP($A634,Table_ship_components[],COLUMN(B:B),0)</f>
        <v>average drone ecm upgrade</v>
      </c>
      <c r="D634" cm="1">
        <f t="array" ref="D634">VLOOKUP($A634,Table_ship_components[],COLUMN(D:D),0)</f>
        <v>2</v>
      </c>
      <c r="E634" cm="1">
        <f t="array" ref="E634">ROUND(VLOOKUP($A634,Table_ship_components[],COLUMN(D:D),0)+(V634*C634),0)</f>
        <v>2</v>
      </c>
      <c r="F634" cm="1">
        <f t="array" ref="F634">VLOOKUP($A634,Table_ship_components[],COLUMN(F:F),0)</f>
        <v>2</v>
      </c>
      <c r="G634" cm="1">
        <f t="array" ref="G634">ROUND(VLOOKUP($A634,Table_ship_components[],COLUMN(G:G),0)+(X634*C634),0)</f>
        <v>2</v>
      </c>
      <c r="H634" cm="1">
        <f t="array" ref="H634">VLOOKUP($A634,Table_ship_components[],COLUMN(H:H),0)</f>
        <v>0</v>
      </c>
      <c r="I634" cm="1">
        <f t="array" ref="I634">VLOOKUP($A634,Table_ship_components[],COLUMN(I:I),0)</f>
        <v>0</v>
      </c>
      <c r="J634" cm="1">
        <f t="array" ref="J634">VLOOKUP($A634,Table_ship_components[],COLUMN(J:J),0)</f>
        <v>0</v>
      </c>
      <c r="K634" cm="1">
        <f t="array" ref="K634">VLOOKUP($A634,Table_ship_components[],COLUMN(K:K),0)</f>
        <v>0</v>
      </c>
      <c r="L634" cm="1">
        <f t="array" ref="L634">VLOOKUP($A634,Table_ship_components[],COLUMN(L:L),0)</f>
        <v>0</v>
      </c>
      <c r="M634" cm="1">
        <f t="array" ref="M634">VLOOKUP($A634,Table_ship_components[],COLUMN(M:M),0)</f>
        <v>1</v>
      </c>
      <c r="N634" cm="1">
        <f t="array" ref="N634">VLOOKUP($A634,Table_ship_components[],COLUMN(N:N),0)</f>
        <v>0</v>
      </c>
      <c r="O634" cm="1">
        <f t="array" ref="O634">VLOOKUP($A634,Table_ship_components[],COLUMN(O:O),0)</f>
        <v>0</v>
      </c>
      <c r="P634" cm="1">
        <f t="array" ref="P634">VLOOKUP($A634,Table_ship_components[],COLUMN(P:P),0)</f>
        <v>0</v>
      </c>
      <c r="Q634" cm="1">
        <f t="array" ref="Q634">VLOOKUP($A634,Table_ship_components[],COLUMN(Q:Q),0)</f>
        <v>0</v>
      </c>
      <c r="R634" cm="1">
        <f t="array" ref="R634">VLOOKUP($A634,Table_ship_components[],COLUMN(R:R),0)</f>
        <v>0</v>
      </c>
      <c r="S634" cm="1">
        <f t="array" ref="S634">VLOOKUP($A634,Table_ship_components[],COLUMN(S:S),0)</f>
        <v>0</v>
      </c>
      <c r="T634" cm="1">
        <f t="array" ref="T634">VLOOKUP($A634,Table_ship_components[],COLUMN(T:T),0)</f>
        <v>0</v>
      </c>
      <c r="U634" cm="1">
        <f t="array" ref="U634">VLOOKUP($A634,Table_ship_components[],COLUMN(U:U),0)</f>
        <v>0</v>
      </c>
      <c r="V634" cm="1">
        <f t="array" ref="V634">VLOOKUP($A634,Table_ship_components[],COLUMN(V:V),0)</f>
        <v>0</v>
      </c>
      <c r="W634" s="15" cm="1">
        <f t="array" ref="W634">VLOOKUP($A634,Table_ship_components[],COLUMN(W:W),0)</f>
        <v>0</v>
      </c>
      <c r="X634" cm="1">
        <f t="array" ref="X634">VLOOKUP($A634,Table_ship_components[],COLUMN(X:X),0)</f>
        <v>0</v>
      </c>
      <c r="Y634" cm="1">
        <f t="array" ref="Y634">VLOOKUP($A634,Table_ship_components[],COLUMN(Y:Y),0)</f>
        <v>0</v>
      </c>
      <c r="Z634" cm="1">
        <f t="array" ref="Z634">VLOOKUP($A634,Table_ship_components[],COLUMN(Z:Z),0)</f>
        <v>0</v>
      </c>
      <c r="AA634" cm="1">
        <f t="array" ref="AA634">VLOOKUP($A634,Table_ship_components[],COLUMN(AA:AA),0)*C634</f>
        <v>0</v>
      </c>
      <c r="AB634">
        <f t="shared" si="65"/>
        <v>0</v>
      </c>
      <c r="AC634" cm="1">
        <f t="array" ref="AC634">VLOOKUP($A634,Table_ship_components[],COLUMN(AC:AC),0)*C634</f>
        <v>0</v>
      </c>
      <c r="AD634" cm="1">
        <f t="array" ref="AD634">VLOOKUP($A634,Table_ship_components[],COLUMN(AD:AD),0)</f>
        <v>0</v>
      </c>
      <c r="AE634" cm="1">
        <f t="array" ref="AE634">VLOOKUP($A634,Table_ship_components[],COLUMN(AE:AE),0)</f>
        <v>0</v>
      </c>
      <c r="AF634" cm="1">
        <f t="array" ref="AF634">VLOOKUP($A634,Table_ship_components[],COLUMN(AF:AF),0)</f>
        <v>0</v>
      </c>
      <c r="AG634" cm="1">
        <f t="array" ref="AG634">VLOOKUP($A634,Table_ship_components[],COLUMN(AG:AG),0)</f>
        <v>0</v>
      </c>
      <c r="AH634" cm="1">
        <f t="array" ref="AH634">VLOOKUP($A634,Table_ship_components[],COLUMN(AH:AH),0)</f>
        <v>0</v>
      </c>
      <c r="AI634" cm="1">
        <f t="array" ref="AI634">VLOOKUP($A634,Table_ship_components[],COLUMN(AI:AI),0)</f>
        <v>0</v>
      </c>
      <c r="AJ634" cm="1">
        <f t="array" ref="AJ634">VLOOKUP($A634,Table_ship_components[],COLUMN(AJ:AJ),0)</f>
        <v>0</v>
      </c>
      <c r="AK634" cm="1">
        <f t="array" ref="AK634">VLOOKUP($A634,Table_ship_components[],COLUMN(AK:AK),0)</f>
        <v>0</v>
      </c>
      <c r="AL634" cm="1">
        <f t="array" ref="AL634">VLOOKUP($A634,Table_ship_components[],COLUMN(AL:AL),0)</f>
        <v>0</v>
      </c>
      <c r="AM634" cm="1">
        <f t="array" ref="AM634">VLOOKUP($A634,Table_ship_components[],COLUMN(AM:AM),0)</f>
        <v>0</v>
      </c>
      <c r="AN634" cm="1">
        <f t="array" ref="AN634">VLOOKUP($A634,Table_ship_components[],COLUMN(AN:AN),0)</f>
        <v>0</v>
      </c>
      <c r="AO634" cm="1">
        <f t="array" ref="AO634">VLOOKUP($A634,Table_ship_components[],COLUMN(AO:AO),0)</f>
        <v>2</v>
      </c>
      <c r="AP634" cm="1">
        <f t="array" ref="AP634">VLOOKUP($A634,Table_ship_components[],COLUMN(AP:AP),0)</f>
        <v>0</v>
      </c>
      <c r="AQ634" cm="1">
        <f t="array" ref="AQ634">VLOOKUP($A634,Table_ship_components[],COLUMN(AQ:AQ),0)</f>
        <v>0</v>
      </c>
      <c r="AR634" cm="1">
        <f t="array" ref="AR634">VLOOKUP($A634,Table_ship_components[],COLUMN(AR:AR),0)</f>
        <v>0</v>
      </c>
      <c r="AS634" cm="1">
        <f t="array" ref="AS634">VLOOKUP($A634,Table_ship_components[],COLUMN(AS:AS),0)</f>
        <v>0</v>
      </c>
      <c r="AT634" cm="1">
        <f t="array" ref="AT634">VLOOKUP($A634,Table_ship_components[],COLUMN(AT:AT),0)</f>
        <v>0</v>
      </c>
      <c r="AU634" s="2" cm="1">
        <f t="array" ref="AU634">VLOOKUP($A634,Table_ship_components[],COLUMN(AU:AU),0)</f>
        <v>0</v>
      </c>
      <c r="AV634" s="2" cm="1">
        <f t="array" ref="AV634">VLOOKUP($A634,Table_ship_components[],COLUMN(AV:AV),0)</f>
        <v>0</v>
      </c>
      <c r="AW634" s="2" cm="1">
        <f t="array" ref="AW634">VLOOKUP($A634,Table_ship_components[],COLUMN(AW:AW),0)</f>
        <v>0</v>
      </c>
      <c r="AX634" s="2" cm="1">
        <f t="array" ref="AX634">VLOOKUP($A634,Table_ship_components[],COLUMN(AX:AX),0)</f>
        <v>0</v>
      </c>
      <c r="AY634" s="2" cm="1">
        <f t="array" ref="AY634">VLOOKUP($A634,Table_ship_components[],COLUMN(AY:AY),0)</f>
        <v>0</v>
      </c>
      <c r="AZ634" s="2" t="str" cm="1">
        <f t="array" ref="AZ634">VLOOKUP($A634,Table_ship_components[],COLUMN(AZ:AZ),0)</f>
        <v>C</v>
      </c>
      <c r="BA634" s="14" cm="1">
        <f t="array" ref="BA634">VLOOKUP($A634,Table_ship_components[],COLUMN(BA:BA),0)</f>
        <v>25000</v>
      </c>
      <c r="BB634" s="14" cm="1">
        <f t="array" ref="BB634">(VLOOKUP($A634,Table_ship_components[],COLUMN(BA:BA),0)+(W634*C634))</f>
        <v>25000</v>
      </c>
      <c r="BC634" s="2" cm="1">
        <f t="array" ref="BC634">VLOOKUP($A634,Table_ship_components[],COLUMN(BC:BC),0)</f>
        <v>0</v>
      </c>
      <c r="BD634" s="2" cm="1">
        <f t="array" ref="BD634">VLOOKUP($A634,Table_ship_components[],COLUMN(BD:BD),0)</f>
        <v>0</v>
      </c>
    </row>
    <row r="635" spans="1:56" outlineLevel="1" x14ac:dyDescent="0.35">
      <c r="A635" t="s">
        <v>288</v>
      </c>
      <c r="B635" t="str" cm="1">
        <f t="array" ref="B635">VLOOKUP($A635,Table_ship_components[],COLUMN(B:B),0)</f>
        <v>PICK A COMPONENT</v>
      </c>
      <c r="C635" s="2">
        <v>1</v>
      </c>
      <c r="D635" cm="1">
        <f t="array" ref="D635">VLOOKUP($A635,Table_ship_components[],COLUMN(D:D),0)</f>
        <v>0</v>
      </c>
      <c r="E635" cm="1">
        <f t="array" ref="E635">ROUND(VLOOKUP($A635,Table_ship_components[],COLUMN(D:D),0)+(V635*C635),0)</f>
        <v>0</v>
      </c>
      <c r="F635" cm="1">
        <f t="array" ref="F635">VLOOKUP($A635,Table_ship_components[],COLUMN(F:F),0)</f>
        <v>0</v>
      </c>
      <c r="G635" cm="1">
        <f t="array" ref="G635">ROUND(VLOOKUP($A635,Table_ship_components[],COLUMN(G:G),0)+(X635*C635),0)</f>
        <v>0</v>
      </c>
      <c r="H635" cm="1">
        <f t="array" ref="H635">VLOOKUP($A635,Table_ship_components[],COLUMN(H:H),0)</f>
        <v>0</v>
      </c>
      <c r="I635" cm="1">
        <f t="array" ref="I635">VLOOKUP($A635,Table_ship_components[],COLUMN(I:I),0)</f>
        <v>0</v>
      </c>
      <c r="J635" cm="1">
        <f t="array" ref="J635">VLOOKUP($A635,Table_ship_components[],COLUMN(J:J),0)</f>
        <v>0</v>
      </c>
      <c r="K635" cm="1">
        <f t="array" ref="K635">VLOOKUP($A635,Table_ship_components[],COLUMN(K:K),0)</f>
        <v>0</v>
      </c>
      <c r="L635" cm="1">
        <f t="array" ref="L635">VLOOKUP($A635,Table_ship_components[],COLUMN(L:L),0)</f>
        <v>0</v>
      </c>
      <c r="M635" cm="1">
        <f t="array" ref="M635">VLOOKUP($A635,Table_ship_components[],COLUMN(M:M),0)</f>
        <v>0</v>
      </c>
      <c r="N635" cm="1">
        <f t="array" ref="N635">VLOOKUP($A635,Table_ship_components[],COLUMN(N:N),0)</f>
        <v>0</v>
      </c>
      <c r="O635" cm="1">
        <f t="array" ref="O635">VLOOKUP($A635,Table_ship_components[],COLUMN(O:O),0)</f>
        <v>0</v>
      </c>
      <c r="P635" cm="1">
        <f t="array" ref="P635">VLOOKUP($A635,Table_ship_components[],COLUMN(P:P),0)</f>
        <v>0</v>
      </c>
      <c r="Q635" cm="1">
        <f t="array" ref="Q635">VLOOKUP($A635,Table_ship_components[],COLUMN(Q:Q),0)</f>
        <v>0</v>
      </c>
      <c r="R635" cm="1">
        <f t="array" ref="R635">VLOOKUP($A635,Table_ship_components[],COLUMN(R:R),0)</f>
        <v>0</v>
      </c>
      <c r="S635" cm="1">
        <f t="array" ref="S635">VLOOKUP($A635,Table_ship_components[],COLUMN(S:S),0)</f>
        <v>0</v>
      </c>
      <c r="T635" cm="1">
        <f t="array" ref="T635">VLOOKUP($A635,Table_ship_components[],COLUMN(T:T),0)</f>
        <v>0</v>
      </c>
      <c r="U635" cm="1">
        <f t="array" ref="U635">VLOOKUP($A635,Table_ship_components[],COLUMN(U:U),0)</f>
        <v>0</v>
      </c>
      <c r="V635" cm="1">
        <f t="array" ref="V635">VLOOKUP($A635,Table_ship_components[],COLUMN(V:V),0)</f>
        <v>0</v>
      </c>
      <c r="W635" s="15" cm="1">
        <f t="array" ref="W635">VLOOKUP($A635,Table_ship_components[],COLUMN(W:W),0)</f>
        <v>0</v>
      </c>
      <c r="X635" cm="1">
        <f t="array" ref="X635">VLOOKUP($A635,Table_ship_components[],COLUMN(X:X),0)</f>
        <v>0</v>
      </c>
      <c r="Y635" cm="1">
        <f t="array" ref="Y635">VLOOKUP($A635,Table_ship_components[],COLUMN(Y:Y),0)</f>
        <v>0</v>
      </c>
      <c r="Z635" cm="1">
        <f t="array" ref="Z635">VLOOKUP($A635,Table_ship_components[],COLUMN(Z:Z),0)</f>
        <v>0</v>
      </c>
      <c r="AA635" cm="1">
        <f t="array" ref="AA635">VLOOKUP($A635,Table_ship_components[],COLUMN(AA:AA),0)*C635</f>
        <v>0</v>
      </c>
      <c r="AB635">
        <f t="shared" si="65"/>
        <v>0</v>
      </c>
      <c r="AC635" cm="1">
        <f t="array" ref="AC635">VLOOKUP($A635,Table_ship_components[],COLUMN(AC:AC),0)*C635</f>
        <v>0</v>
      </c>
      <c r="AD635" cm="1">
        <f t="array" ref="AD635">VLOOKUP($A635,Table_ship_components[],COLUMN(AD:AD),0)</f>
        <v>0</v>
      </c>
      <c r="AE635" cm="1">
        <f t="array" ref="AE635">VLOOKUP($A635,Table_ship_components[],COLUMN(AE:AE),0)</f>
        <v>0</v>
      </c>
      <c r="AF635" cm="1">
        <f t="array" ref="AF635">VLOOKUP($A635,Table_ship_components[],COLUMN(AF:AF),0)</f>
        <v>0</v>
      </c>
      <c r="AG635" cm="1">
        <f t="array" ref="AG635">VLOOKUP($A635,Table_ship_components[],COLUMN(AG:AG),0)</f>
        <v>0</v>
      </c>
      <c r="AH635" cm="1">
        <f t="array" ref="AH635">VLOOKUP($A635,Table_ship_components[],COLUMN(AH:AH),0)</f>
        <v>0</v>
      </c>
      <c r="AI635" cm="1">
        <f t="array" ref="AI635">VLOOKUP($A635,Table_ship_components[],COLUMN(AI:AI),0)</f>
        <v>0</v>
      </c>
      <c r="AJ635" cm="1">
        <f t="array" ref="AJ635">VLOOKUP($A635,Table_ship_components[],COLUMN(AJ:AJ),0)</f>
        <v>0</v>
      </c>
      <c r="AK635" cm="1">
        <f t="array" ref="AK635">VLOOKUP($A635,Table_ship_components[],COLUMN(AK:AK),0)</f>
        <v>0</v>
      </c>
      <c r="AL635" cm="1">
        <f t="array" ref="AL635">VLOOKUP($A635,Table_ship_components[],COLUMN(AL:AL),0)</f>
        <v>0</v>
      </c>
      <c r="AM635" cm="1">
        <f t="array" ref="AM635">VLOOKUP($A635,Table_ship_components[],COLUMN(AM:AM),0)</f>
        <v>0</v>
      </c>
      <c r="AN635" cm="1">
        <f t="array" ref="AN635">VLOOKUP($A635,Table_ship_components[],COLUMN(AN:AN),0)</f>
        <v>0</v>
      </c>
      <c r="AO635" cm="1">
        <f t="array" ref="AO635">VLOOKUP($A635,Table_ship_components[],COLUMN(AO:AO),0)</f>
        <v>0</v>
      </c>
      <c r="AP635" cm="1">
        <f t="array" ref="AP635">VLOOKUP($A635,Table_ship_components[],COLUMN(AP:AP),0)</f>
        <v>0</v>
      </c>
      <c r="AQ635" cm="1">
        <f t="array" ref="AQ635">VLOOKUP($A635,Table_ship_components[],COLUMN(AQ:AQ),0)</f>
        <v>0</v>
      </c>
      <c r="AR635" cm="1">
        <f t="array" ref="AR635">VLOOKUP($A635,Table_ship_components[],COLUMN(AR:AR),0)</f>
        <v>0</v>
      </c>
      <c r="AS635" cm="1">
        <f t="array" ref="AS635">VLOOKUP($A635,Table_ship_components[],COLUMN(AS:AS),0)</f>
        <v>0</v>
      </c>
      <c r="AT635" cm="1">
        <f t="array" ref="AT635">VLOOKUP($A635,Table_ship_components[],COLUMN(AT:AT),0)</f>
        <v>0</v>
      </c>
      <c r="AU635" s="2" cm="1">
        <f t="array" ref="AU635">VLOOKUP($A635,Table_ship_components[],COLUMN(AU:AU),0)</f>
        <v>0</v>
      </c>
      <c r="AV635" s="2" cm="1">
        <f t="array" ref="AV635">VLOOKUP($A635,Table_ship_components[],COLUMN(AV:AV),0)</f>
        <v>0</v>
      </c>
      <c r="AW635" s="2" cm="1">
        <f t="array" ref="AW635">VLOOKUP($A635,Table_ship_components[],COLUMN(AW:AW),0)</f>
        <v>0</v>
      </c>
      <c r="AX635" s="2" cm="1">
        <f t="array" ref="AX635">VLOOKUP($A635,Table_ship_components[],COLUMN(AX:AX),0)</f>
        <v>0</v>
      </c>
      <c r="AY635" s="2" cm="1">
        <f t="array" ref="AY635">VLOOKUP($A635,Table_ship_components[],COLUMN(AY:AY),0)</f>
        <v>0</v>
      </c>
      <c r="AZ635" s="2" t="str" cm="1">
        <f t="array" ref="AZ635">VLOOKUP($A635,Table_ship_components[],COLUMN(AZ:AZ),0)</f>
        <v>C</v>
      </c>
      <c r="BA635" s="14" cm="1">
        <f t="array" ref="BA635">VLOOKUP($A635,Table_ship_components[],COLUMN(BA:BA),0)</f>
        <v>0</v>
      </c>
      <c r="BB635" s="14" cm="1">
        <f t="array" ref="BB635">(VLOOKUP($A635,Table_ship_components[],COLUMN(BA:BA),0)+(W635*C635))</f>
        <v>0</v>
      </c>
      <c r="BC635" s="2" cm="1">
        <f t="array" ref="BC635">VLOOKUP($A635,Table_ship_components[],COLUMN(BC:BC),0)</f>
        <v>0</v>
      </c>
      <c r="BD635" s="2" cm="1">
        <f t="array" ref="BD635">VLOOKUP($A635,Table_ship_components[],COLUMN(BD:BD),0)</f>
        <v>0</v>
      </c>
    </row>
    <row r="636" spans="1:56" outlineLevel="1" x14ac:dyDescent="0.35">
      <c r="A636" t="s">
        <v>288</v>
      </c>
      <c r="B636" t="str" cm="1">
        <f t="array" ref="B636">VLOOKUP($A636,Table_ship_components[],COLUMN(B:B),0)</f>
        <v>PICK A COMPONENT</v>
      </c>
      <c r="C636" s="2">
        <v>1</v>
      </c>
      <c r="D636" cm="1">
        <f t="array" ref="D636">VLOOKUP($A636,Table_ship_components[],COLUMN(D:D),0)</f>
        <v>0</v>
      </c>
      <c r="E636" cm="1">
        <f t="array" ref="E636">ROUND(VLOOKUP($A636,Table_ship_components[],COLUMN(D:D),0)+(V636*C636),0)</f>
        <v>0</v>
      </c>
      <c r="F636" cm="1">
        <f t="array" ref="F636">VLOOKUP($A636,Table_ship_components[],COLUMN(F:F),0)</f>
        <v>0</v>
      </c>
      <c r="G636" cm="1">
        <f t="array" ref="G636">ROUND(VLOOKUP($A636,Table_ship_components[],COLUMN(G:G),0)+(X636*C636),0)</f>
        <v>0</v>
      </c>
      <c r="H636" cm="1">
        <f t="array" ref="H636">VLOOKUP($A636,Table_ship_components[],COLUMN(H:H),0)</f>
        <v>0</v>
      </c>
      <c r="I636" cm="1">
        <f t="array" ref="I636">VLOOKUP($A636,Table_ship_components[],COLUMN(I:I),0)</f>
        <v>0</v>
      </c>
      <c r="J636" cm="1">
        <f t="array" ref="J636">VLOOKUP($A636,Table_ship_components[],COLUMN(J:J),0)</f>
        <v>0</v>
      </c>
      <c r="K636" cm="1">
        <f t="array" ref="K636">VLOOKUP($A636,Table_ship_components[],COLUMN(K:K),0)</f>
        <v>0</v>
      </c>
      <c r="L636" cm="1">
        <f t="array" ref="L636">VLOOKUP($A636,Table_ship_components[],COLUMN(L:L),0)</f>
        <v>0</v>
      </c>
      <c r="M636" cm="1">
        <f t="array" ref="M636">VLOOKUP($A636,Table_ship_components[],COLUMN(M:M),0)</f>
        <v>0</v>
      </c>
      <c r="N636" cm="1">
        <f t="array" ref="N636">VLOOKUP($A636,Table_ship_components[],COLUMN(N:N),0)</f>
        <v>0</v>
      </c>
      <c r="O636" cm="1">
        <f t="array" ref="O636">VLOOKUP($A636,Table_ship_components[],COLUMN(O:O),0)</f>
        <v>0</v>
      </c>
      <c r="P636" cm="1">
        <f t="array" ref="P636">VLOOKUP($A636,Table_ship_components[],COLUMN(P:P),0)</f>
        <v>0</v>
      </c>
      <c r="Q636" cm="1">
        <f t="array" ref="Q636">VLOOKUP($A636,Table_ship_components[],COLUMN(Q:Q),0)</f>
        <v>0</v>
      </c>
      <c r="R636" cm="1">
        <f t="array" ref="R636">VLOOKUP($A636,Table_ship_components[],COLUMN(R:R),0)</f>
        <v>0</v>
      </c>
      <c r="S636" cm="1">
        <f t="array" ref="S636">VLOOKUP($A636,Table_ship_components[],COLUMN(S:S),0)</f>
        <v>0</v>
      </c>
      <c r="T636" cm="1">
        <f t="array" ref="T636">VLOOKUP($A636,Table_ship_components[],COLUMN(T:T),0)</f>
        <v>0</v>
      </c>
      <c r="U636" cm="1">
        <f t="array" ref="U636">VLOOKUP($A636,Table_ship_components[],COLUMN(U:U),0)</f>
        <v>0</v>
      </c>
      <c r="V636" cm="1">
        <f t="array" ref="V636">VLOOKUP($A636,Table_ship_components[],COLUMN(V:V),0)</f>
        <v>0</v>
      </c>
      <c r="W636" s="15" cm="1">
        <f t="array" ref="W636">VLOOKUP($A636,Table_ship_components[],COLUMN(W:W),0)</f>
        <v>0</v>
      </c>
      <c r="X636" cm="1">
        <f t="array" ref="X636">VLOOKUP($A636,Table_ship_components[],COLUMN(X:X),0)</f>
        <v>0</v>
      </c>
      <c r="Y636" cm="1">
        <f t="array" ref="Y636">VLOOKUP($A636,Table_ship_components[],COLUMN(Y:Y),0)</f>
        <v>0</v>
      </c>
      <c r="Z636" cm="1">
        <f t="array" ref="Z636">VLOOKUP($A636,Table_ship_components[],COLUMN(Z:Z),0)</f>
        <v>0</v>
      </c>
      <c r="AA636" cm="1">
        <f t="array" ref="AA636">VLOOKUP($A636,Table_ship_components[],COLUMN(AA:AA),0)*C636</f>
        <v>0</v>
      </c>
      <c r="AB636">
        <f t="shared" si="65"/>
        <v>0</v>
      </c>
      <c r="AC636" cm="1">
        <f t="array" ref="AC636">VLOOKUP($A636,Table_ship_components[],COLUMN(AC:AC),0)*C636</f>
        <v>0</v>
      </c>
      <c r="AD636" cm="1">
        <f t="array" ref="AD636">VLOOKUP($A636,Table_ship_components[],COLUMN(AD:AD),0)</f>
        <v>0</v>
      </c>
      <c r="AE636" cm="1">
        <f t="array" ref="AE636">VLOOKUP($A636,Table_ship_components[],COLUMN(AE:AE),0)</f>
        <v>0</v>
      </c>
      <c r="AF636" cm="1">
        <f t="array" ref="AF636">VLOOKUP($A636,Table_ship_components[],COLUMN(AF:AF),0)</f>
        <v>0</v>
      </c>
      <c r="AG636" cm="1">
        <f t="array" ref="AG636">VLOOKUP($A636,Table_ship_components[],COLUMN(AG:AG),0)</f>
        <v>0</v>
      </c>
      <c r="AH636" cm="1">
        <f t="array" ref="AH636">VLOOKUP($A636,Table_ship_components[],COLUMN(AH:AH),0)</f>
        <v>0</v>
      </c>
      <c r="AI636" cm="1">
        <f t="array" ref="AI636">VLOOKUP($A636,Table_ship_components[],COLUMN(AI:AI),0)</f>
        <v>0</v>
      </c>
      <c r="AJ636" cm="1">
        <f t="array" ref="AJ636">VLOOKUP($A636,Table_ship_components[],COLUMN(AJ:AJ),0)</f>
        <v>0</v>
      </c>
      <c r="AK636" cm="1">
        <f t="array" ref="AK636">VLOOKUP($A636,Table_ship_components[],COLUMN(AK:AK),0)</f>
        <v>0</v>
      </c>
      <c r="AL636" cm="1">
        <f t="array" ref="AL636">VLOOKUP($A636,Table_ship_components[],COLUMN(AL:AL),0)</f>
        <v>0</v>
      </c>
      <c r="AM636" cm="1">
        <f t="array" ref="AM636">VLOOKUP($A636,Table_ship_components[],COLUMN(AM:AM),0)</f>
        <v>0</v>
      </c>
      <c r="AN636" cm="1">
        <f t="array" ref="AN636">VLOOKUP($A636,Table_ship_components[],COLUMN(AN:AN),0)</f>
        <v>0</v>
      </c>
      <c r="AO636" cm="1">
        <f t="array" ref="AO636">VLOOKUP($A636,Table_ship_components[],COLUMN(AO:AO),0)</f>
        <v>0</v>
      </c>
      <c r="AP636" cm="1">
        <f t="array" ref="AP636">VLOOKUP($A636,Table_ship_components[],COLUMN(AP:AP),0)</f>
        <v>0</v>
      </c>
      <c r="AQ636" cm="1">
        <f t="array" ref="AQ636">VLOOKUP($A636,Table_ship_components[],COLUMN(AQ:AQ),0)</f>
        <v>0</v>
      </c>
      <c r="AR636" cm="1">
        <f t="array" ref="AR636">VLOOKUP($A636,Table_ship_components[],COLUMN(AR:AR),0)</f>
        <v>0</v>
      </c>
      <c r="AS636" cm="1">
        <f t="array" ref="AS636">VLOOKUP($A636,Table_ship_components[],COLUMN(AS:AS),0)</f>
        <v>0</v>
      </c>
      <c r="AT636" cm="1">
        <f t="array" ref="AT636">VLOOKUP($A636,Table_ship_components[],COLUMN(AT:AT),0)</f>
        <v>0</v>
      </c>
      <c r="AU636" s="2" cm="1">
        <f t="array" ref="AU636">VLOOKUP($A636,Table_ship_components[],COLUMN(AU:AU),0)</f>
        <v>0</v>
      </c>
      <c r="AV636" s="2" cm="1">
        <f t="array" ref="AV636">VLOOKUP($A636,Table_ship_components[],COLUMN(AV:AV),0)</f>
        <v>0</v>
      </c>
      <c r="AW636" s="2" cm="1">
        <f t="array" ref="AW636">VLOOKUP($A636,Table_ship_components[],COLUMN(AW:AW),0)</f>
        <v>0</v>
      </c>
      <c r="AX636" s="2" cm="1">
        <f t="array" ref="AX636">VLOOKUP($A636,Table_ship_components[],COLUMN(AX:AX),0)</f>
        <v>0</v>
      </c>
      <c r="AY636" s="2" cm="1">
        <f t="array" ref="AY636">VLOOKUP($A636,Table_ship_components[],COLUMN(AY:AY),0)</f>
        <v>0</v>
      </c>
      <c r="AZ636" s="2" t="str" cm="1">
        <f t="array" ref="AZ636">VLOOKUP($A636,Table_ship_components[],COLUMN(AZ:AZ),0)</f>
        <v>C</v>
      </c>
      <c r="BA636" s="14" cm="1">
        <f t="array" ref="BA636">VLOOKUP($A636,Table_ship_components[],COLUMN(BA:BA),0)</f>
        <v>0</v>
      </c>
      <c r="BB636" s="14" cm="1">
        <f t="array" ref="BB636">(VLOOKUP($A636,Table_ship_components[],COLUMN(BA:BA),0)+(W636*C636))</f>
        <v>0</v>
      </c>
      <c r="BC636" s="2" cm="1">
        <f t="array" ref="BC636">VLOOKUP($A636,Table_ship_components[],COLUMN(BC:BC),0)</f>
        <v>0</v>
      </c>
      <c r="BD636" s="2" cm="1">
        <f t="array" ref="BD636">VLOOKUP($A636,Table_ship_components[],COLUMN(BD:BD),0)</f>
        <v>0</v>
      </c>
    </row>
    <row r="637" spans="1:56" outlineLevel="1" x14ac:dyDescent="0.35">
      <c r="A637" s="18" t="s">
        <v>424</v>
      </c>
      <c r="B637" s="19" t="str">
        <f>CONCATENATE("SIZE ",(SUM(E638:E648)),"/",AX627,"  POWER ",(SUM(G638:G648)))</f>
        <v>SIZE 5/5  POWER 5</v>
      </c>
      <c r="AU637" s="2"/>
      <c r="AV637" s="2"/>
      <c r="AW637" s="2"/>
      <c r="AX637" s="2"/>
      <c r="AY637" s="2"/>
      <c r="AZ637" s="2"/>
      <c r="BA637" s="14"/>
      <c r="BB637" s="14"/>
      <c r="BC637" s="2"/>
      <c r="BD637" s="2"/>
    </row>
    <row r="638" spans="1:56" outlineLevel="1" x14ac:dyDescent="0.35">
      <c r="A638" t="s">
        <v>288</v>
      </c>
      <c r="B638" t="str" cm="1">
        <f t="array" ref="B638">VLOOKUP($A638,Table_ship_components[],COLUMN(B:B),0)</f>
        <v>PICK A COMPONENT</v>
      </c>
      <c r="D638" cm="1">
        <f t="array" ref="D638">VLOOKUP($A638,Table_ship_components[],COLUMN(D:D),0)</f>
        <v>0</v>
      </c>
      <c r="E638" cm="1">
        <f t="array" ref="E638">ROUND(VLOOKUP($A638,Table_ship_components[],COLUMN(D:D),0)+(V638*C638),0)</f>
        <v>0</v>
      </c>
      <c r="F638" cm="1">
        <f t="array" ref="F638">VLOOKUP($A638,Table_ship_components[],COLUMN(F:F),0)</f>
        <v>0</v>
      </c>
      <c r="G638" cm="1">
        <f t="array" ref="G638">ROUND(VLOOKUP($A638,Table_ship_components[],COLUMN(G:G),0)+(X638*C638),0)</f>
        <v>0</v>
      </c>
      <c r="H638" cm="1">
        <f t="array" ref="H638">VLOOKUP($A638,Table_ship_components[],COLUMN(H:H),0)</f>
        <v>0</v>
      </c>
      <c r="I638" cm="1">
        <f t="array" ref="I638">VLOOKUP($A638,Table_ship_components[],COLUMN(I:I),0)</f>
        <v>0</v>
      </c>
      <c r="J638" cm="1">
        <f t="array" ref="J638">VLOOKUP($A638,Table_ship_components[],COLUMN(J:J),0)</f>
        <v>0</v>
      </c>
      <c r="K638" cm="1">
        <f t="array" ref="K638">VLOOKUP($A638,Table_ship_components[],COLUMN(K:K),0)</f>
        <v>0</v>
      </c>
      <c r="L638" cm="1">
        <f t="array" ref="L638">VLOOKUP($A638,Table_ship_components[],COLUMN(L:L),0)</f>
        <v>0</v>
      </c>
      <c r="M638" cm="1">
        <f t="array" ref="M638">VLOOKUP($A638,Table_ship_components[],COLUMN(M:M),0)</f>
        <v>0</v>
      </c>
      <c r="N638" cm="1">
        <f t="array" ref="N638">VLOOKUP($A638,Table_ship_components[],COLUMN(N:N),0)</f>
        <v>0</v>
      </c>
      <c r="O638" cm="1">
        <f t="array" ref="O638">VLOOKUP($A638,Table_ship_components[],COLUMN(O:O),0)</f>
        <v>0</v>
      </c>
      <c r="P638" cm="1">
        <f t="array" ref="P638">VLOOKUP($A638,Table_ship_components[],COLUMN(P:P),0)</f>
        <v>0</v>
      </c>
      <c r="Q638" cm="1">
        <f t="array" ref="Q638">VLOOKUP($A638,Table_ship_components[],COLUMN(Q:Q),0)</f>
        <v>0</v>
      </c>
      <c r="R638" cm="1">
        <f t="array" ref="R638">VLOOKUP($A638,Table_ship_components[],COLUMN(R:R),0)</f>
        <v>0</v>
      </c>
      <c r="S638" cm="1">
        <f t="array" ref="S638">VLOOKUP($A638,Table_ship_components[],COLUMN(S:S),0)</f>
        <v>0</v>
      </c>
      <c r="T638" cm="1">
        <f t="array" ref="T638">VLOOKUP($A638,Table_ship_components[],COLUMN(T:T),0)</f>
        <v>0</v>
      </c>
      <c r="U638" cm="1">
        <f t="array" ref="U638">VLOOKUP($A638,Table_ship_components[],COLUMN(U:U),0)</f>
        <v>0</v>
      </c>
      <c r="V638" cm="1">
        <f t="array" ref="V638">VLOOKUP($A638,Table_ship_components[],COLUMN(V:V),0)</f>
        <v>0</v>
      </c>
      <c r="W638" s="15" cm="1">
        <f t="array" ref="W638">VLOOKUP($A638,Table_ship_components[],COLUMN(W:W),0)</f>
        <v>0</v>
      </c>
      <c r="X638" cm="1">
        <f t="array" ref="X638">VLOOKUP($A638,Table_ship_components[],COLUMN(X:X),0)</f>
        <v>0</v>
      </c>
      <c r="Y638" cm="1">
        <f t="array" ref="Y638">VLOOKUP($A638,Table_ship_components[],COLUMN(Y:Y),0)</f>
        <v>0</v>
      </c>
      <c r="Z638" cm="1">
        <f t="array" ref="Z638">VLOOKUP($A638,Table_ship_components[],COLUMN(Z:Z),0)</f>
        <v>0</v>
      </c>
      <c r="AA638" cm="1">
        <f t="array" ref="AA638">VLOOKUP($A638,Table_ship_components[],COLUMN(AA:AA),0)*C638</f>
        <v>0</v>
      </c>
      <c r="AB638">
        <f t="shared" ref="AB638:AB647" si="66">IF(A638="CARGOSPACE_0-ALL_0-UNIVERSAL",C638,0)</f>
        <v>0</v>
      </c>
      <c r="AC638" cm="1">
        <f t="array" ref="AC638">VLOOKUP($A638,Table_ship_components[],COLUMN(AC:AC),0)*C638</f>
        <v>0</v>
      </c>
      <c r="AD638" cm="1">
        <f t="array" ref="AD638">VLOOKUP($A638,Table_ship_components[],COLUMN(AD:AD),0)</f>
        <v>0</v>
      </c>
      <c r="AE638" cm="1">
        <f t="array" ref="AE638">VLOOKUP($A638,Table_ship_components[],COLUMN(AE:AE),0)</f>
        <v>0</v>
      </c>
      <c r="AF638" cm="1">
        <f t="array" ref="AF638">VLOOKUP($A638,Table_ship_components[],COLUMN(AF:AF),0)</f>
        <v>0</v>
      </c>
      <c r="AG638" cm="1">
        <f t="array" ref="AG638">VLOOKUP($A638,Table_ship_components[],COLUMN(AG:AG),0)</f>
        <v>0</v>
      </c>
      <c r="AH638" cm="1">
        <f t="array" ref="AH638">VLOOKUP($A638,Table_ship_components[],COLUMN(AH:AH),0)</f>
        <v>0</v>
      </c>
      <c r="AI638" cm="1">
        <f t="array" ref="AI638">VLOOKUP($A638,Table_ship_components[],COLUMN(AI:AI),0)</f>
        <v>0</v>
      </c>
      <c r="AJ638" cm="1">
        <f t="array" ref="AJ638">VLOOKUP($A638,Table_ship_components[],COLUMN(AJ:AJ),0)</f>
        <v>0</v>
      </c>
      <c r="AK638" cm="1">
        <f t="array" ref="AK638">VLOOKUP($A638,Table_ship_components[],COLUMN(AK:AK),0)</f>
        <v>0</v>
      </c>
      <c r="AL638" cm="1">
        <f t="array" ref="AL638">VLOOKUP($A638,Table_ship_components[],COLUMN(AL:AL),0)</f>
        <v>0</v>
      </c>
      <c r="AM638" cm="1">
        <f t="array" ref="AM638">VLOOKUP($A638,Table_ship_components[],COLUMN(AM:AM),0)</f>
        <v>0</v>
      </c>
      <c r="AN638" cm="1">
        <f t="array" ref="AN638">VLOOKUP($A638,Table_ship_components[],COLUMN(AN:AN),0)</f>
        <v>0</v>
      </c>
      <c r="AO638" cm="1">
        <f t="array" ref="AO638">VLOOKUP($A638,Table_ship_components[],COLUMN(AO:AO),0)</f>
        <v>0</v>
      </c>
      <c r="AP638" cm="1">
        <f t="array" ref="AP638">VLOOKUP($A638,Table_ship_components[],COLUMN(AP:AP),0)</f>
        <v>0</v>
      </c>
      <c r="AQ638" cm="1">
        <f t="array" ref="AQ638">VLOOKUP($A638,Table_ship_components[],COLUMN(AQ:AQ),0)</f>
        <v>0</v>
      </c>
      <c r="AR638" cm="1">
        <f t="array" ref="AR638">VLOOKUP($A638,Table_ship_components[],COLUMN(AR:AR),0)</f>
        <v>0</v>
      </c>
      <c r="AS638" cm="1">
        <f t="array" ref="AS638">VLOOKUP($A638,Table_ship_components[],COLUMN(AS:AS),0)</f>
        <v>0</v>
      </c>
      <c r="AT638" cm="1">
        <f t="array" ref="AT638">VLOOKUP($A638,Table_ship_components[],COLUMN(AT:AT),0)</f>
        <v>0</v>
      </c>
      <c r="AU638" s="2" cm="1">
        <f t="array" ref="AU638">VLOOKUP($A638,Table_ship_components[],COLUMN(AU:AU),0)</f>
        <v>0</v>
      </c>
      <c r="AV638" s="2" cm="1">
        <f t="array" ref="AV638">VLOOKUP($A638,Table_ship_components[],COLUMN(AV:AV),0)</f>
        <v>0</v>
      </c>
      <c r="AW638" s="2" cm="1">
        <f t="array" ref="AW638">VLOOKUP($A638,Table_ship_components[],COLUMN(AW:AW),0)</f>
        <v>0</v>
      </c>
      <c r="AX638" s="2" cm="1">
        <f t="array" ref="AX638">VLOOKUP($A638,Table_ship_components[],COLUMN(AX:AX),0)</f>
        <v>0</v>
      </c>
      <c r="AY638" s="2" cm="1">
        <f t="array" ref="AY638">VLOOKUP($A638,Table_ship_components[],COLUMN(AY:AY),0)</f>
        <v>0</v>
      </c>
      <c r="AZ638" s="2" t="str" cm="1">
        <f t="array" ref="AZ638">VLOOKUP($A638,Table_ship_components[],COLUMN(AZ:AZ),0)</f>
        <v>C</v>
      </c>
      <c r="BA638" s="14" cm="1">
        <f t="array" ref="BA638">VLOOKUP($A638,Table_ship_components[],COLUMN(BA:BA),0)</f>
        <v>0</v>
      </c>
      <c r="BB638" s="14" cm="1">
        <f t="array" ref="BB638">(VLOOKUP($A638,Table_ship_components[],COLUMN(BA:BA),0)+(W638*C638))</f>
        <v>0</v>
      </c>
      <c r="BC638" s="2" cm="1">
        <f t="array" ref="BC638">VLOOKUP($A638,Table_ship_components[],COLUMN(BC:BC),0)</f>
        <v>0</v>
      </c>
      <c r="BD638" s="2" cm="1">
        <f t="array" ref="BD638">VLOOKUP($A638,Table_ship_components[],COLUMN(BD:BD),0)</f>
        <v>0</v>
      </c>
    </row>
    <row r="639" spans="1:56" outlineLevel="1" x14ac:dyDescent="0.35">
      <c r="A639" t="s">
        <v>556</v>
      </c>
      <c r="B639" t="str" cm="1">
        <f t="array" ref="B639">VLOOKUP($A639,Table_ship_components[],COLUMN(B:B),0)</f>
        <v>average drone shield</v>
      </c>
      <c r="D639" cm="1">
        <f t="array" ref="D639">VLOOKUP($A639,Table_ship_components[],COLUMN(D:D),0)</f>
        <v>4</v>
      </c>
      <c r="E639" cm="1">
        <f t="array" ref="E639">ROUND(VLOOKUP($A639,Table_ship_components[],COLUMN(D:D),0)+(V639*C639),0)</f>
        <v>4</v>
      </c>
      <c r="F639" cm="1">
        <f t="array" ref="F639">VLOOKUP($A639,Table_ship_components[],COLUMN(F:F),0)</f>
        <v>4</v>
      </c>
      <c r="G639" cm="1">
        <f t="array" ref="G639">ROUND(VLOOKUP($A639,Table_ship_components[],COLUMN(G:G),0)+(X639*C639),0)</f>
        <v>4</v>
      </c>
      <c r="H639" cm="1">
        <f t="array" ref="H639">VLOOKUP($A639,Table_ship_components[],COLUMN(H:H),0)</f>
        <v>0</v>
      </c>
      <c r="I639" cm="1">
        <f t="array" ref="I639">VLOOKUP($A639,Table_ship_components[],COLUMN(I:I),0)</f>
        <v>0</v>
      </c>
      <c r="J639" cm="1">
        <f t="array" ref="J639">VLOOKUP($A639,Table_ship_components[],COLUMN(J:J),0)</f>
        <v>0</v>
      </c>
      <c r="K639" cm="1">
        <f t="array" ref="K639">VLOOKUP($A639,Table_ship_components[],COLUMN(K:K),0)</f>
        <v>20</v>
      </c>
      <c r="L639" cm="1">
        <f t="array" ref="L639">VLOOKUP($A639,Table_ship_components[],COLUMN(L:L),0)</f>
        <v>4</v>
      </c>
      <c r="M639" cm="1">
        <f t="array" ref="M639">VLOOKUP($A639,Table_ship_components[],COLUMN(M:M),0)</f>
        <v>1</v>
      </c>
      <c r="N639" cm="1">
        <f t="array" ref="N639">VLOOKUP($A639,Table_ship_components[],COLUMN(N:N),0)</f>
        <v>0</v>
      </c>
      <c r="O639" cm="1">
        <f t="array" ref="O639">VLOOKUP($A639,Table_ship_components[],COLUMN(O:O),0)</f>
        <v>0</v>
      </c>
      <c r="P639" cm="1">
        <f t="array" ref="P639">VLOOKUP($A639,Table_ship_components[],COLUMN(P:P),0)</f>
        <v>0</v>
      </c>
      <c r="Q639" cm="1">
        <f t="array" ref="Q639">VLOOKUP($A639,Table_ship_components[],COLUMN(Q:Q),0)</f>
        <v>0</v>
      </c>
      <c r="R639" cm="1">
        <f t="array" ref="R639">VLOOKUP($A639,Table_ship_components[],COLUMN(R:R),0)</f>
        <v>0</v>
      </c>
      <c r="S639" cm="1">
        <f t="array" ref="S639">VLOOKUP($A639,Table_ship_components[],COLUMN(S:S),0)</f>
        <v>0</v>
      </c>
      <c r="T639" cm="1">
        <f t="array" ref="T639">VLOOKUP($A639,Table_ship_components[],COLUMN(T:T),0)</f>
        <v>0</v>
      </c>
      <c r="U639" cm="1">
        <f t="array" ref="U639">VLOOKUP($A639,Table_ship_components[],COLUMN(U:U),0)</f>
        <v>0</v>
      </c>
      <c r="V639" cm="1">
        <f t="array" ref="V639">VLOOKUP($A639,Table_ship_components[],COLUMN(V:V),0)</f>
        <v>0</v>
      </c>
      <c r="W639" s="15" cm="1">
        <f t="array" ref="W639">VLOOKUP($A639,Table_ship_components[],COLUMN(W:W),0)</f>
        <v>0</v>
      </c>
      <c r="X639" cm="1">
        <f t="array" ref="X639">VLOOKUP($A639,Table_ship_components[],COLUMN(X:X),0)</f>
        <v>0</v>
      </c>
      <c r="Y639" cm="1">
        <f t="array" ref="Y639">VLOOKUP($A639,Table_ship_components[],COLUMN(Y:Y),0)</f>
        <v>0</v>
      </c>
      <c r="Z639" cm="1">
        <f t="array" ref="Z639">VLOOKUP($A639,Table_ship_components[],COLUMN(Z:Z),0)</f>
        <v>0</v>
      </c>
      <c r="AA639" cm="1">
        <f t="array" ref="AA639">VLOOKUP($A639,Table_ship_components[],COLUMN(AA:AA),0)*C639</f>
        <v>0</v>
      </c>
      <c r="AB639">
        <f t="shared" si="66"/>
        <v>0</v>
      </c>
      <c r="AC639" cm="1">
        <f t="array" ref="AC639">VLOOKUP($A639,Table_ship_components[],COLUMN(AC:AC),0)*C639</f>
        <v>0</v>
      </c>
      <c r="AD639" cm="1">
        <f t="array" ref="AD639">VLOOKUP($A639,Table_ship_components[],COLUMN(AD:AD),0)</f>
        <v>0</v>
      </c>
      <c r="AE639" cm="1">
        <f t="array" ref="AE639">VLOOKUP($A639,Table_ship_components[],COLUMN(AE:AE),0)</f>
        <v>0</v>
      </c>
      <c r="AF639" cm="1">
        <f t="array" ref="AF639">VLOOKUP($A639,Table_ship_components[],COLUMN(AF:AF),0)</f>
        <v>0</v>
      </c>
      <c r="AG639" cm="1">
        <f t="array" ref="AG639">VLOOKUP($A639,Table_ship_components[],COLUMN(AG:AG),0)</f>
        <v>0</v>
      </c>
      <c r="AH639" cm="1">
        <f t="array" ref="AH639">VLOOKUP($A639,Table_ship_components[],COLUMN(AH:AH),0)</f>
        <v>0</v>
      </c>
      <c r="AI639" cm="1">
        <f t="array" ref="AI639">VLOOKUP($A639,Table_ship_components[],COLUMN(AI:AI),0)</f>
        <v>0</v>
      </c>
      <c r="AJ639" cm="1">
        <f t="array" ref="AJ639">VLOOKUP($A639,Table_ship_components[],COLUMN(AJ:AJ),0)</f>
        <v>0</v>
      </c>
      <c r="AK639" cm="1">
        <f t="array" ref="AK639">VLOOKUP($A639,Table_ship_components[],COLUMN(AK:AK),0)</f>
        <v>0</v>
      </c>
      <c r="AL639" cm="1">
        <f t="array" ref="AL639">VLOOKUP($A639,Table_ship_components[],COLUMN(AL:AL),0)</f>
        <v>0</v>
      </c>
      <c r="AM639" cm="1">
        <f t="array" ref="AM639">VLOOKUP($A639,Table_ship_components[],COLUMN(AM:AM),0)</f>
        <v>0</v>
      </c>
      <c r="AN639" cm="1">
        <f t="array" ref="AN639">VLOOKUP($A639,Table_ship_components[],COLUMN(AN:AN),0)</f>
        <v>0</v>
      </c>
      <c r="AO639" cm="1">
        <f t="array" ref="AO639">VLOOKUP($A639,Table_ship_components[],COLUMN(AO:AO),0)</f>
        <v>0</v>
      </c>
      <c r="AP639" cm="1">
        <f t="array" ref="AP639">VLOOKUP($A639,Table_ship_components[],COLUMN(AP:AP),0)</f>
        <v>0</v>
      </c>
      <c r="AQ639" cm="1">
        <f t="array" ref="AQ639">VLOOKUP($A639,Table_ship_components[],COLUMN(AQ:AQ),0)</f>
        <v>0</v>
      </c>
      <c r="AR639" cm="1">
        <f t="array" ref="AR639">VLOOKUP($A639,Table_ship_components[],COLUMN(AR:AR),0)</f>
        <v>0</v>
      </c>
      <c r="AS639" cm="1">
        <f t="array" ref="AS639">VLOOKUP($A639,Table_ship_components[],COLUMN(AS:AS),0)</f>
        <v>0</v>
      </c>
      <c r="AT639" cm="1">
        <f t="array" ref="AT639">VLOOKUP($A639,Table_ship_components[],COLUMN(AT:AT),0)</f>
        <v>0</v>
      </c>
      <c r="AU639" s="2" cm="1">
        <f t="array" ref="AU639">VLOOKUP($A639,Table_ship_components[],COLUMN(AU:AU),0)</f>
        <v>0</v>
      </c>
      <c r="AV639" s="2" cm="1">
        <f t="array" ref="AV639">VLOOKUP($A639,Table_ship_components[],COLUMN(AV:AV),0)</f>
        <v>0</v>
      </c>
      <c r="AW639" s="2" cm="1">
        <f t="array" ref="AW639">VLOOKUP($A639,Table_ship_components[],COLUMN(AW:AW),0)</f>
        <v>0</v>
      </c>
      <c r="AX639" s="2" cm="1">
        <f t="array" ref="AX639">VLOOKUP($A639,Table_ship_components[],COLUMN(AX:AX),0)</f>
        <v>0</v>
      </c>
      <c r="AY639" s="2" cm="1">
        <f t="array" ref="AY639">VLOOKUP($A639,Table_ship_components[],COLUMN(AY:AY),0)</f>
        <v>0</v>
      </c>
      <c r="AZ639" s="2" t="str" cm="1">
        <f t="array" ref="AZ639">VLOOKUP($A639,Table_ship_components[],COLUMN(AZ:AZ),0)</f>
        <v>C</v>
      </c>
      <c r="BA639" s="14" cm="1">
        <f t="array" ref="BA639">VLOOKUP($A639,Table_ship_components[],COLUMN(BA:BA),0)</f>
        <v>250000</v>
      </c>
      <c r="BB639" s="14" cm="1">
        <f t="array" ref="BB639">(VLOOKUP($A639,Table_ship_components[],COLUMN(BA:BA),0)+(W639*C639))</f>
        <v>250000</v>
      </c>
      <c r="BC639" s="2" t="str" cm="1">
        <f t="array" ref="BC639">VLOOKUP($A639,Table_ship_components[],COLUMN(BC:BC),0)</f>
        <v>UNCOMMON</v>
      </c>
      <c r="BD639" s="2" cm="1">
        <f t="array" ref="BD639">VLOOKUP($A639,Table_ship_components[],COLUMN(BD:BD),0)</f>
        <v>0</v>
      </c>
    </row>
    <row r="640" spans="1:56" outlineLevel="1" x14ac:dyDescent="0.35">
      <c r="A640" t="s">
        <v>549</v>
      </c>
      <c r="B640" t="str" cm="1">
        <f t="array" ref="B640">VLOOKUP($A640,Table_ship_components[],COLUMN(B:B),0)</f>
        <v>basic drone radar and scans</v>
      </c>
      <c r="D640" cm="1">
        <f t="array" ref="D640">VLOOKUP($A640,Table_ship_components[],COLUMN(D:D),0)</f>
        <v>1</v>
      </c>
      <c r="E640" cm="1">
        <f t="array" ref="E640">ROUND(VLOOKUP($A640,Table_ship_components[],COLUMN(D:D),0)+(V640*C640),0)</f>
        <v>1</v>
      </c>
      <c r="F640" cm="1">
        <f t="array" ref="F640">VLOOKUP($A640,Table_ship_components[],COLUMN(F:F),0)</f>
        <v>1</v>
      </c>
      <c r="G640" cm="1">
        <f t="array" ref="G640">ROUND(VLOOKUP($A640,Table_ship_components[],COLUMN(G:G),0)+(X640*C640),0)</f>
        <v>1</v>
      </c>
      <c r="H640" cm="1">
        <f t="array" ref="H640">VLOOKUP($A640,Table_ship_components[],COLUMN(H:H),0)</f>
        <v>0</v>
      </c>
      <c r="I640" cm="1">
        <f t="array" ref="I640">VLOOKUP($A640,Table_ship_components[],COLUMN(I:I),0)</f>
        <v>0</v>
      </c>
      <c r="J640" cm="1">
        <f t="array" ref="J640">VLOOKUP($A640,Table_ship_components[],COLUMN(J:J),0)</f>
        <v>0</v>
      </c>
      <c r="K640" cm="1">
        <f t="array" ref="K640">VLOOKUP($A640,Table_ship_components[],COLUMN(K:K),0)</f>
        <v>0</v>
      </c>
      <c r="L640" cm="1">
        <f t="array" ref="L640">VLOOKUP($A640,Table_ship_components[],COLUMN(L:L),0)</f>
        <v>0</v>
      </c>
      <c r="M640" cm="1">
        <f t="array" ref="M640">VLOOKUP($A640,Table_ship_components[],COLUMN(M:M),0)</f>
        <v>1</v>
      </c>
      <c r="N640" cm="1">
        <f t="array" ref="N640">VLOOKUP($A640,Table_ship_components[],COLUMN(N:N),0)</f>
        <v>0</v>
      </c>
      <c r="O640" cm="1">
        <f t="array" ref="O640">VLOOKUP($A640,Table_ship_components[],COLUMN(O:O),0)</f>
        <v>0</v>
      </c>
      <c r="P640" cm="1">
        <f t="array" ref="P640">VLOOKUP($A640,Table_ship_components[],COLUMN(P:P),0)</f>
        <v>0</v>
      </c>
      <c r="Q640" cm="1">
        <f t="array" ref="Q640">VLOOKUP($A640,Table_ship_components[],COLUMN(Q:Q),0)</f>
        <v>0</v>
      </c>
      <c r="R640" cm="1">
        <f t="array" ref="R640">VLOOKUP($A640,Table_ship_components[],COLUMN(R:R),0)</f>
        <v>0</v>
      </c>
      <c r="S640" cm="1">
        <f t="array" ref="S640">VLOOKUP($A640,Table_ship_components[],COLUMN(S:S),0)</f>
        <v>0</v>
      </c>
      <c r="T640" cm="1">
        <f t="array" ref="T640">VLOOKUP($A640,Table_ship_components[],COLUMN(T:T),0)</f>
        <v>0</v>
      </c>
      <c r="U640" cm="1">
        <f t="array" ref="U640">VLOOKUP($A640,Table_ship_components[],COLUMN(U:U),0)</f>
        <v>0</v>
      </c>
      <c r="V640" cm="1">
        <f t="array" ref="V640">VLOOKUP($A640,Table_ship_components[],COLUMN(V:V),0)</f>
        <v>0</v>
      </c>
      <c r="W640" s="15" cm="1">
        <f t="array" ref="W640">VLOOKUP($A640,Table_ship_components[],COLUMN(W:W),0)</f>
        <v>0</v>
      </c>
      <c r="X640" cm="1">
        <f t="array" ref="X640">VLOOKUP($A640,Table_ship_components[],COLUMN(X:X),0)</f>
        <v>0</v>
      </c>
      <c r="Y640" cm="1">
        <f t="array" ref="Y640">VLOOKUP($A640,Table_ship_components[],COLUMN(Y:Y),0)</f>
        <v>0</v>
      </c>
      <c r="Z640" cm="1">
        <f t="array" ref="Z640">VLOOKUP($A640,Table_ship_components[],COLUMN(Z:Z),0)</f>
        <v>0</v>
      </c>
      <c r="AA640" cm="1">
        <f t="array" ref="AA640">VLOOKUP($A640,Table_ship_components[],COLUMN(AA:AA),0)*C640</f>
        <v>0</v>
      </c>
      <c r="AB640">
        <f t="shared" si="66"/>
        <v>0</v>
      </c>
      <c r="AC640" cm="1">
        <f t="array" ref="AC640">VLOOKUP($A640,Table_ship_components[],COLUMN(AC:AC),0)*C640</f>
        <v>0</v>
      </c>
      <c r="AD640" cm="1">
        <f t="array" ref="AD640">VLOOKUP($A640,Table_ship_components[],COLUMN(AD:AD),0)</f>
        <v>0</v>
      </c>
      <c r="AE640" cm="1">
        <f t="array" ref="AE640">VLOOKUP($A640,Table_ship_components[],COLUMN(AE:AE),0)</f>
        <v>0</v>
      </c>
      <c r="AF640" cm="1">
        <f t="array" ref="AF640">VLOOKUP($A640,Table_ship_components[],COLUMN(AF:AF),0)</f>
        <v>0</v>
      </c>
      <c r="AG640" cm="1">
        <f t="array" ref="AG640">VLOOKUP($A640,Table_ship_components[],COLUMN(AG:AG),0)</f>
        <v>0</v>
      </c>
      <c r="AH640" cm="1">
        <f t="array" ref="AH640">VLOOKUP($A640,Table_ship_components[],COLUMN(AH:AH),0)</f>
        <v>100</v>
      </c>
      <c r="AI640" cm="1">
        <f t="array" ref="AI640">VLOOKUP($A640,Table_ship_components[],COLUMN(AI:AI),0)</f>
        <v>0</v>
      </c>
      <c r="AJ640" cm="1">
        <f t="array" ref="AJ640">VLOOKUP($A640,Table_ship_components[],COLUMN(AJ:AJ),0)</f>
        <v>0</v>
      </c>
      <c r="AK640" cm="1">
        <f t="array" ref="AK640">VLOOKUP($A640,Table_ship_components[],COLUMN(AK:AK),0)</f>
        <v>0</v>
      </c>
      <c r="AL640" cm="1">
        <f t="array" ref="AL640">VLOOKUP($A640,Table_ship_components[],COLUMN(AL:AL),0)</f>
        <v>0</v>
      </c>
      <c r="AM640" cm="1">
        <f t="array" ref="AM640">VLOOKUP($A640,Table_ship_components[],COLUMN(AM:AM),0)</f>
        <v>0</v>
      </c>
      <c r="AN640" cm="1">
        <f t="array" ref="AN640">VLOOKUP($A640,Table_ship_components[],COLUMN(AN:AN),0)</f>
        <v>0</v>
      </c>
      <c r="AO640" cm="1">
        <f t="array" ref="AO640">VLOOKUP($A640,Table_ship_components[],COLUMN(AO:AO),0)</f>
        <v>0</v>
      </c>
      <c r="AP640" cm="1">
        <f t="array" ref="AP640">VLOOKUP($A640,Table_ship_components[],COLUMN(AP:AP),0)</f>
        <v>0</v>
      </c>
      <c r="AQ640" cm="1">
        <f t="array" ref="AQ640">VLOOKUP($A640,Table_ship_components[],COLUMN(AQ:AQ),0)</f>
        <v>0</v>
      </c>
      <c r="AR640" cm="1">
        <f t="array" ref="AR640">VLOOKUP($A640,Table_ship_components[],COLUMN(AR:AR),0)</f>
        <v>0</v>
      </c>
      <c r="AS640" cm="1">
        <f t="array" ref="AS640">VLOOKUP($A640,Table_ship_components[],COLUMN(AS:AS),0)</f>
        <v>-1</v>
      </c>
      <c r="AT640" cm="1">
        <f t="array" ref="AT640">VLOOKUP($A640,Table_ship_components[],COLUMN(AT:AT),0)</f>
        <v>0</v>
      </c>
      <c r="AU640" s="2" cm="1">
        <f t="array" ref="AU640">VLOOKUP($A640,Table_ship_components[],COLUMN(AU:AU),0)</f>
        <v>0</v>
      </c>
      <c r="AV640" s="2" cm="1">
        <f t="array" ref="AV640">VLOOKUP($A640,Table_ship_components[],COLUMN(AV:AV),0)</f>
        <v>0</v>
      </c>
      <c r="AW640" s="2" cm="1">
        <f t="array" ref="AW640">VLOOKUP($A640,Table_ship_components[],COLUMN(AW:AW),0)</f>
        <v>0</v>
      </c>
      <c r="AX640" s="2" cm="1">
        <f t="array" ref="AX640">VLOOKUP($A640,Table_ship_components[],COLUMN(AX:AX),0)</f>
        <v>0</v>
      </c>
      <c r="AY640" s="2" cm="1">
        <f t="array" ref="AY640">VLOOKUP($A640,Table_ship_components[],COLUMN(AY:AY),0)</f>
        <v>0</v>
      </c>
      <c r="AZ640" s="2" t="str" cm="1">
        <f t="array" ref="AZ640">VLOOKUP($A640,Table_ship_components[],COLUMN(AZ:AZ),0)</f>
        <v>C</v>
      </c>
      <c r="BA640" s="14" cm="1">
        <f t="array" ref="BA640">VLOOKUP($A640,Table_ship_components[],COLUMN(BA:BA),0)</f>
        <v>100000</v>
      </c>
      <c r="BB640" s="14" cm="1">
        <f t="array" ref="BB640">(VLOOKUP($A640,Table_ship_components[],COLUMN(BA:BA),0)+(W640*C640))</f>
        <v>100000</v>
      </c>
      <c r="BC640" s="2" cm="1">
        <f t="array" ref="BC640">VLOOKUP($A640,Table_ship_components[],COLUMN(BC:BC),0)</f>
        <v>0</v>
      </c>
      <c r="BD640" s="2" cm="1">
        <f t="array" ref="BD640">VLOOKUP($A640,Table_ship_components[],COLUMN(BD:BD),0)</f>
        <v>0</v>
      </c>
    </row>
    <row r="641" spans="1:56" outlineLevel="1" x14ac:dyDescent="0.35">
      <c r="A641" t="s">
        <v>288</v>
      </c>
      <c r="B641" t="str" cm="1">
        <f t="array" ref="B641">VLOOKUP($A641,Table_ship_components[],COLUMN(B:B),0)</f>
        <v>PICK A COMPONENT</v>
      </c>
      <c r="D641" cm="1">
        <f t="array" ref="D641">VLOOKUP($A641,Table_ship_components[],COLUMN(D:D),0)</f>
        <v>0</v>
      </c>
      <c r="E641" cm="1">
        <f t="array" ref="E641">ROUND(VLOOKUP($A641,Table_ship_components[],COLUMN(D:D),0)+(V641*C641),0)</f>
        <v>0</v>
      </c>
      <c r="F641" cm="1">
        <f t="array" ref="F641">VLOOKUP($A641,Table_ship_components[],COLUMN(F:F),0)</f>
        <v>0</v>
      </c>
      <c r="G641" cm="1">
        <f t="array" ref="G641">ROUND(VLOOKUP($A641,Table_ship_components[],COLUMN(G:G),0)+(X641*C641),0)</f>
        <v>0</v>
      </c>
      <c r="H641" cm="1">
        <f t="array" ref="H641">VLOOKUP($A641,Table_ship_components[],COLUMN(H:H),0)</f>
        <v>0</v>
      </c>
      <c r="I641" cm="1">
        <f t="array" ref="I641">VLOOKUP($A641,Table_ship_components[],COLUMN(I:I),0)</f>
        <v>0</v>
      </c>
      <c r="J641" cm="1">
        <f t="array" ref="J641">VLOOKUP($A641,Table_ship_components[],COLUMN(J:J),0)</f>
        <v>0</v>
      </c>
      <c r="K641" cm="1">
        <f t="array" ref="K641">VLOOKUP($A641,Table_ship_components[],COLUMN(K:K),0)</f>
        <v>0</v>
      </c>
      <c r="L641" cm="1">
        <f t="array" ref="L641">VLOOKUP($A641,Table_ship_components[],COLUMN(L:L),0)</f>
        <v>0</v>
      </c>
      <c r="M641" cm="1">
        <f t="array" ref="M641">VLOOKUP($A641,Table_ship_components[],COLUMN(M:M),0)</f>
        <v>0</v>
      </c>
      <c r="N641" cm="1">
        <f t="array" ref="N641">VLOOKUP($A641,Table_ship_components[],COLUMN(N:N),0)</f>
        <v>0</v>
      </c>
      <c r="O641" cm="1">
        <f t="array" ref="O641">VLOOKUP($A641,Table_ship_components[],COLUMN(O:O),0)</f>
        <v>0</v>
      </c>
      <c r="P641" cm="1">
        <f t="array" ref="P641">VLOOKUP($A641,Table_ship_components[],COLUMN(P:P),0)</f>
        <v>0</v>
      </c>
      <c r="Q641" cm="1">
        <f t="array" ref="Q641">VLOOKUP($A641,Table_ship_components[],COLUMN(Q:Q),0)</f>
        <v>0</v>
      </c>
      <c r="R641" cm="1">
        <f t="array" ref="R641">VLOOKUP($A641,Table_ship_components[],COLUMN(R:R),0)</f>
        <v>0</v>
      </c>
      <c r="S641" cm="1">
        <f t="array" ref="S641">VLOOKUP($A641,Table_ship_components[],COLUMN(S:S),0)</f>
        <v>0</v>
      </c>
      <c r="T641" cm="1">
        <f t="array" ref="T641">VLOOKUP($A641,Table_ship_components[],COLUMN(T:T),0)</f>
        <v>0</v>
      </c>
      <c r="U641" cm="1">
        <f t="array" ref="U641">VLOOKUP($A641,Table_ship_components[],COLUMN(U:U),0)</f>
        <v>0</v>
      </c>
      <c r="V641" cm="1">
        <f t="array" ref="V641">VLOOKUP($A641,Table_ship_components[],COLUMN(V:V),0)</f>
        <v>0</v>
      </c>
      <c r="W641" s="15" cm="1">
        <f t="array" ref="W641">VLOOKUP($A641,Table_ship_components[],COLUMN(W:W),0)</f>
        <v>0</v>
      </c>
      <c r="X641" cm="1">
        <f t="array" ref="X641">VLOOKUP($A641,Table_ship_components[],COLUMN(X:X),0)</f>
        <v>0</v>
      </c>
      <c r="Y641" cm="1">
        <f t="array" ref="Y641">VLOOKUP($A641,Table_ship_components[],COLUMN(Y:Y),0)</f>
        <v>0</v>
      </c>
      <c r="Z641" cm="1">
        <f t="array" ref="Z641">VLOOKUP($A641,Table_ship_components[],COLUMN(Z:Z),0)</f>
        <v>0</v>
      </c>
      <c r="AA641" cm="1">
        <f t="array" ref="AA641">VLOOKUP($A641,Table_ship_components[],COLUMN(AA:AA),0)*C641</f>
        <v>0</v>
      </c>
      <c r="AB641">
        <f t="shared" si="66"/>
        <v>0</v>
      </c>
      <c r="AC641" cm="1">
        <f t="array" ref="AC641">VLOOKUP($A641,Table_ship_components[],COLUMN(AC:AC),0)*C641</f>
        <v>0</v>
      </c>
      <c r="AD641" cm="1">
        <f t="array" ref="AD641">VLOOKUP($A641,Table_ship_components[],COLUMN(AD:AD),0)</f>
        <v>0</v>
      </c>
      <c r="AE641" cm="1">
        <f t="array" ref="AE641">VLOOKUP($A641,Table_ship_components[],COLUMN(AE:AE),0)</f>
        <v>0</v>
      </c>
      <c r="AF641" cm="1">
        <f t="array" ref="AF641">VLOOKUP($A641,Table_ship_components[],COLUMN(AF:AF),0)</f>
        <v>0</v>
      </c>
      <c r="AG641" cm="1">
        <f t="array" ref="AG641">VLOOKUP($A641,Table_ship_components[],COLUMN(AG:AG),0)</f>
        <v>0</v>
      </c>
      <c r="AH641" cm="1">
        <f t="array" ref="AH641">VLOOKUP($A641,Table_ship_components[],COLUMN(AH:AH),0)</f>
        <v>0</v>
      </c>
      <c r="AI641" cm="1">
        <f t="array" ref="AI641">VLOOKUP($A641,Table_ship_components[],COLUMN(AI:AI),0)</f>
        <v>0</v>
      </c>
      <c r="AJ641" cm="1">
        <f t="array" ref="AJ641">VLOOKUP($A641,Table_ship_components[],COLUMN(AJ:AJ),0)</f>
        <v>0</v>
      </c>
      <c r="AK641" cm="1">
        <f t="array" ref="AK641">VLOOKUP($A641,Table_ship_components[],COLUMN(AK:AK),0)</f>
        <v>0</v>
      </c>
      <c r="AL641" cm="1">
        <f t="array" ref="AL641">VLOOKUP($A641,Table_ship_components[],COLUMN(AL:AL),0)</f>
        <v>0</v>
      </c>
      <c r="AM641" cm="1">
        <f t="array" ref="AM641">VLOOKUP($A641,Table_ship_components[],COLUMN(AM:AM),0)</f>
        <v>0</v>
      </c>
      <c r="AN641" cm="1">
        <f t="array" ref="AN641">VLOOKUP($A641,Table_ship_components[],COLUMN(AN:AN),0)</f>
        <v>0</v>
      </c>
      <c r="AO641" cm="1">
        <f t="array" ref="AO641">VLOOKUP($A641,Table_ship_components[],COLUMN(AO:AO),0)</f>
        <v>0</v>
      </c>
      <c r="AP641" cm="1">
        <f t="array" ref="AP641">VLOOKUP($A641,Table_ship_components[],COLUMN(AP:AP),0)</f>
        <v>0</v>
      </c>
      <c r="AQ641" cm="1">
        <f t="array" ref="AQ641">VLOOKUP($A641,Table_ship_components[],COLUMN(AQ:AQ),0)</f>
        <v>0</v>
      </c>
      <c r="AR641" cm="1">
        <f t="array" ref="AR641">VLOOKUP($A641,Table_ship_components[],COLUMN(AR:AR),0)</f>
        <v>0</v>
      </c>
      <c r="AS641" cm="1">
        <f t="array" ref="AS641">VLOOKUP($A641,Table_ship_components[],COLUMN(AS:AS),0)</f>
        <v>0</v>
      </c>
      <c r="AT641" cm="1">
        <f t="array" ref="AT641">VLOOKUP($A641,Table_ship_components[],COLUMN(AT:AT),0)</f>
        <v>0</v>
      </c>
      <c r="AU641" s="2" cm="1">
        <f t="array" ref="AU641">VLOOKUP($A641,Table_ship_components[],COLUMN(AU:AU),0)</f>
        <v>0</v>
      </c>
      <c r="AV641" s="2" cm="1">
        <f t="array" ref="AV641">VLOOKUP($A641,Table_ship_components[],COLUMN(AV:AV),0)</f>
        <v>0</v>
      </c>
      <c r="AW641" s="2" cm="1">
        <f t="array" ref="AW641">VLOOKUP($A641,Table_ship_components[],COLUMN(AW:AW),0)</f>
        <v>0</v>
      </c>
      <c r="AX641" s="2" cm="1">
        <f t="array" ref="AX641">VLOOKUP($A641,Table_ship_components[],COLUMN(AX:AX),0)</f>
        <v>0</v>
      </c>
      <c r="AY641" s="2" cm="1">
        <f t="array" ref="AY641">VLOOKUP($A641,Table_ship_components[],COLUMN(AY:AY),0)</f>
        <v>0</v>
      </c>
      <c r="AZ641" s="2" t="str" cm="1">
        <f t="array" ref="AZ641">VLOOKUP($A641,Table_ship_components[],COLUMN(AZ:AZ),0)</f>
        <v>C</v>
      </c>
      <c r="BA641" s="14" cm="1">
        <f t="array" ref="BA641">VLOOKUP($A641,Table_ship_components[],COLUMN(BA:BA),0)</f>
        <v>0</v>
      </c>
      <c r="BB641" s="14" cm="1">
        <f t="array" ref="BB641">(VLOOKUP($A641,Table_ship_components[],COLUMN(BA:BA),0)+(W641*C641))</f>
        <v>0</v>
      </c>
      <c r="BC641" s="2" cm="1">
        <f t="array" ref="BC641">VLOOKUP($A641,Table_ship_components[],COLUMN(BC:BC),0)</f>
        <v>0</v>
      </c>
      <c r="BD641" s="2" cm="1">
        <f t="array" ref="BD641">VLOOKUP($A641,Table_ship_components[],COLUMN(BD:BD),0)</f>
        <v>0</v>
      </c>
    </row>
    <row r="642" spans="1:56" outlineLevel="1" x14ac:dyDescent="0.35">
      <c r="A642" t="s">
        <v>288</v>
      </c>
      <c r="B642" t="str" cm="1">
        <f t="array" ref="B642">VLOOKUP($A642,Table_ship_components[],COLUMN(B:B),0)</f>
        <v>PICK A COMPONENT</v>
      </c>
      <c r="D642" cm="1">
        <f t="array" ref="D642">VLOOKUP($A642,Table_ship_components[],COLUMN(D:D),0)</f>
        <v>0</v>
      </c>
      <c r="E642" cm="1">
        <f t="array" ref="E642">ROUND(VLOOKUP($A642,Table_ship_components[],COLUMN(D:D),0)+(V642*C642),0)</f>
        <v>0</v>
      </c>
      <c r="F642" cm="1">
        <f t="array" ref="F642">VLOOKUP($A642,Table_ship_components[],COLUMN(F:F),0)</f>
        <v>0</v>
      </c>
      <c r="G642" cm="1">
        <f t="array" ref="G642">ROUND(VLOOKUP($A642,Table_ship_components[],COLUMN(G:G),0)+(X642*C642),0)</f>
        <v>0</v>
      </c>
      <c r="H642" cm="1">
        <f t="array" ref="H642">VLOOKUP($A642,Table_ship_components[],COLUMN(H:H),0)</f>
        <v>0</v>
      </c>
      <c r="I642" cm="1">
        <f t="array" ref="I642">VLOOKUP($A642,Table_ship_components[],COLUMN(I:I),0)</f>
        <v>0</v>
      </c>
      <c r="J642" cm="1">
        <f t="array" ref="J642">VLOOKUP($A642,Table_ship_components[],COLUMN(J:J),0)</f>
        <v>0</v>
      </c>
      <c r="K642" cm="1">
        <f t="array" ref="K642">VLOOKUP($A642,Table_ship_components[],COLUMN(K:K),0)</f>
        <v>0</v>
      </c>
      <c r="L642" cm="1">
        <f t="array" ref="L642">VLOOKUP($A642,Table_ship_components[],COLUMN(L:L),0)</f>
        <v>0</v>
      </c>
      <c r="M642" cm="1">
        <f t="array" ref="M642">VLOOKUP($A642,Table_ship_components[],COLUMN(M:M),0)</f>
        <v>0</v>
      </c>
      <c r="N642" cm="1">
        <f t="array" ref="N642">VLOOKUP($A642,Table_ship_components[],COLUMN(N:N),0)</f>
        <v>0</v>
      </c>
      <c r="O642" cm="1">
        <f t="array" ref="O642">VLOOKUP($A642,Table_ship_components[],COLUMN(O:O),0)</f>
        <v>0</v>
      </c>
      <c r="P642" cm="1">
        <f t="array" ref="P642">VLOOKUP($A642,Table_ship_components[],COLUMN(P:P),0)</f>
        <v>0</v>
      </c>
      <c r="Q642" cm="1">
        <f t="array" ref="Q642">VLOOKUP($A642,Table_ship_components[],COLUMN(Q:Q),0)</f>
        <v>0</v>
      </c>
      <c r="R642" cm="1">
        <f t="array" ref="R642">VLOOKUP($A642,Table_ship_components[],COLUMN(R:R),0)</f>
        <v>0</v>
      </c>
      <c r="S642" cm="1">
        <f t="array" ref="S642">VLOOKUP($A642,Table_ship_components[],COLUMN(S:S),0)</f>
        <v>0</v>
      </c>
      <c r="T642" cm="1">
        <f t="array" ref="T642">VLOOKUP($A642,Table_ship_components[],COLUMN(T:T),0)</f>
        <v>0</v>
      </c>
      <c r="U642" cm="1">
        <f t="array" ref="U642">VLOOKUP($A642,Table_ship_components[],COLUMN(U:U),0)</f>
        <v>0</v>
      </c>
      <c r="V642" cm="1">
        <f t="array" ref="V642">VLOOKUP($A642,Table_ship_components[],COLUMN(V:V),0)</f>
        <v>0</v>
      </c>
      <c r="W642" s="15" cm="1">
        <f t="array" ref="W642">VLOOKUP($A642,Table_ship_components[],COLUMN(W:W),0)</f>
        <v>0</v>
      </c>
      <c r="X642" cm="1">
        <f t="array" ref="X642">VLOOKUP($A642,Table_ship_components[],COLUMN(X:X),0)</f>
        <v>0</v>
      </c>
      <c r="Y642" cm="1">
        <f t="array" ref="Y642">VLOOKUP($A642,Table_ship_components[],COLUMN(Y:Y),0)</f>
        <v>0</v>
      </c>
      <c r="Z642" cm="1">
        <f t="array" ref="Z642">VLOOKUP($A642,Table_ship_components[],COLUMN(Z:Z),0)</f>
        <v>0</v>
      </c>
      <c r="AA642" cm="1">
        <f t="array" ref="AA642">VLOOKUP($A642,Table_ship_components[],COLUMN(AA:AA),0)*C642</f>
        <v>0</v>
      </c>
      <c r="AB642">
        <f t="shared" si="66"/>
        <v>0</v>
      </c>
      <c r="AC642" cm="1">
        <f t="array" ref="AC642">VLOOKUP($A642,Table_ship_components[],COLUMN(AC:AC),0)*C642</f>
        <v>0</v>
      </c>
      <c r="AD642" cm="1">
        <f t="array" ref="AD642">VLOOKUP($A642,Table_ship_components[],COLUMN(AD:AD),0)</f>
        <v>0</v>
      </c>
      <c r="AE642" cm="1">
        <f t="array" ref="AE642">VLOOKUP($A642,Table_ship_components[],COLUMN(AE:AE),0)</f>
        <v>0</v>
      </c>
      <c r="AF642" cm="1">
        <f t="array" ref="AF642">VLOOKUP($A642,Table_ship_components[],COLUMN(AF:AF),0)</f>
        <v>0</v>
      </c>
      <c r="AG642" cm="1">
        <f t="array" ref="AG642">VLOOKUP($A642,Table_ship_components[],COLUMN(AG:AG),0)</f>
        <v>0</v>
      </c>
      <c r="AH642" cm="1">
        <f t="array" ref="AH642">VLOOKUP($A642,Table_ship_components[],COLUMN(AH:AH),0)</f>
        <v>0</v>
      </c>
      <c r="AI642" cm="1">
        <f t="array" ref="AI642">VLOOKUP($A642,Table_ship_components[],COLUMN(AI:AI),0)</f>
        <v>0</v>
      </c>
      <c r="AJ642" cm="1">
        <f t="array" ref="AJ642">VLOOKUP($A642,Table_ship_components[],COLUMN(AJ:AJ),0)</f>
        <v>0</v>
      </c>
      <c r="AK642" cm="1">
        <f t="array" ref="AK642">VLOOKUP($A642,Table_ship_components[],COLUMN(AK:AK),0)</f>
        <v>0</v>
      </c>
      <c r="AL642" cm="1">
        <f t="array" ref="AL642">VLOOKUP($A642,Table_ship_components[],COLUMN(AL:AL),0)</f>
        <v>0</v>
      </c>
      <c r="AM642" cm="1">
        <f t="array" ref="AM642">VLOOKUP($A642,Table_ship_components[],COLUMN(AM:AM),0)</f>
        <v>0</v>
      </c>
      <c r="AN642" cm="1">
        <f t="array" ref="AN642">VLOOKUP($A642,Table_ship_components[],COLUMN(AN:AN),0)</f>
        <v>0</v>
      </c>
      <c r="AO642" cm="1">
        <f t="array" ref="AO642">VLOOKUP($A642,Table_ship_components[],COLUMN(AO:AO),0)</f>
        <v>0</v>
      </c>
      <c r="AP642" cm="1">
        <f t="array" ref="AP642">VLOOKUP($A642,Table_ship_components[],COLUMN(AP:AP),0)</f>
        <v>0</v>
      </c>
      <c r="AQ642" cm="1">
        <f t="array" ref="AQ642">VLOOKUP($A642,Table_ship_components[],COLUMN(AQ:AQ),0)</f>
        <v>0</v>
      </c>
      <c r="AR642" cm="1">
        <f t="array" ref="AR642">VLOOKUP($A642,Table_ship_components[],COLUMN(AR:AR),0)</f>
        <v>0</v>
      </c>
      <c r="AS642" cm="1">
        <f t="array" ref="AS642">VLOOKUP($A642,Table_ship_components[],COLUMN(AS:AS),0)</f>
        <v>0</v>
      </c>
      <c r="AT642" cm="1">
        <f t="array" ref="AT642">VLOOKUP($A642,Table_ship_components[],COLUMN(AT:AT),0)</f>
        <v>0</v>
      </c>
      <c r="AU642" s="2" cm="1">
        <f t="array" ref="AU642">VLOOKUP($A642,Table_ship_components[],COLUMN(AU:AU),0)</f>
        <v>0</v>
      </c>
      <c r="AV642" s="2" cm="1">
        <f t="array" ref="AV642">VLOOKUP($A642,Table_ship_components[],COLUMN(AV:AV),0)</f>
        <v>0</v>
      </c>
      <c r="AW642" s="2" cm="1">
        <f t="array" ref="AW642">VLOOKUP($A642,Table_ship_components[],COLUMN(AW:AW),0)</f>
        <v>0</v>
      </c>
      <c r="AX642" s="2" cm="1">
        <f t="array" ref="AX642">VLOOKUP($A642,Table_ship_components[],COLUMN(AX:AX),0)</f>
        <v>0</v>
      </c>
      <c r="AY642" s="2" cm="1">
        <f t="array" ref="AY642">VLOOKUP($A642,Table_ship_components[],COLUMN(AY:AY),0)</f>
        <v>0</v>
      </c>
      <c r="AZ642" s="2" t="str" cm="1">
        <f t="array" ref="AZ642">VLOOKUP($A642,Table_ship_components[],COLUMN(AZ:AZ),0)</f>
        <v>C</v>
      </c>
      <c r="BA642" s="14" cm="1">
        <f t="array" ref="BA642">VLOOKUP($A642,Table_ship_components[],COLUMN(BA:BA),0)</f>
        <v>0</v>
      </c>
      <c r="BB642" s="14" cm="1">
        <f t="array" ref="BB642">(VLOOKUP($A642,Table_ship_components[],COLUMN(BA:BA),0)+(W642*C642))</f>
        <v>0</v>
      </c>
      <c r="BC642" s="2" cm="1">
        <f t="array" ref="BC642">VLOOKUP($A642,Table_ship_components[],COLUMN(BC:BC),0)</f>
        <v>0</v>
      </c>
      <c r="BD642" s="2" cm="1">
        <f t="array" ref="BD642">VLOOKUP($A642,Table_ship_components[],COLUMN(BD:BD),0)</f>
        <v>0</v>
      </c>
    </row>
    <row r="643" spans="1:56" outlineLevel="1" x14ac:dyDescent="0.35">
      <c r="A643" t="s">
        <v>288</v>
      </c>
      <c r="B643" t="str" cm="1">
        <f t="array" ref="B643">VLOOKUP($A643,Table_ship_components[],COLUMN(B:B),0)</f>
        <v>PICK A COMPONENT</v>
      </c>
      <c r="D643" cm="1">
        <f t="array" ref="D643">VLOOKUP($A643,Table_ship_components[],COLUMN(D:D),0)</f>
        <v>0</v>
      </c>
      <c r="E643" cm="1">
        <f t="array" ref="E643">ROUND(VLOOKUP($A643,Table_ship_components[],COLUMN(D:D),0)+(V643*C643),0)</f>
        <v>0</v>
      </c>
      <c r="F643" cm="1">
        <f t="array" ref="F643">VLOOKUP($A643,Table_ship_components[],COLUMN(F:F),0)</f>
        <v>0</v>
      </c>
      <c r="G643" cm="1">
        <f t="array" ref="G643">ROUND(VLOOKUP($A643,Table_ship_components[],COLUMN(G:G),0)+(X643*C643),0)</f>
        <v>0</v>
      </c>
      <c r="H643" cm="1">
        <f t="array" ref="H643">VLOOKUP($A643,Table_ship_components[],COLUMN(H:H),0)</f>
        <v>0</v>
      </c>
      <c r="I643" cm="1">
        <f t="array" ref="I643">VLOOKUP($A643,Table_ship_components[],COLUMN(I:I),0)</f>
        <v>0</v>
      </c>
      <c r="J643" cm="1">
        <f t="array" ref="J643">VLOOKUP($A643,Table_ship_components[],COLUMN(J:J),0)</f>
        <v>0</v>
      </c>
      <c r="K643" cm="1">
        <f t="array" ref="K643">VLOOKUP($A643,Table_ship_components[],COLUMN(K:K),0)</f>
        <v>0</v>
      </c>
      <c r="L643" cm="1">
        <f t="array" ref="L643">VLOOKUP($A643,Table_ship_components[],COLUMN(L:L),0)</f>
        <v>0</v>
      </c>
      <c r="M643" cm="1">
        <f t="array" ref="M643">VLOOKUP($A643,Table_ship_components[],COLUMN(M:M),0)</f>
        <v>0</v>
      </c>
      <c r="N643" cm="1">
        <f t="array" ref="N643">VLOOKUP($A643,Table_ship_components[],COLUMN(N:N),0)</f>
        <v>0</v>
      </c>
      <c r="O643" cm="1">
        <f t="array" ref="O643">VLOOKUP($A643,Table_ship_components[],COLUMN(O:O),0)</f>
        <v>0</v>
      </c>
      <c r="P643" cm="1">
        <f t="array" ref="P643">VLOOKUP($A643,Table_ship_components[],COLUMN(P:P),0)</f>
        <v>0</v>
      </c>
      <c r="Q643" cm="1">
        <f t="array" ref="Q643">VLOOKUP($A643,Table_ship_components[],COLUMN(Q:Q),0)</f>
        <v>0</v>
      </c>
      <c r="R643" cm="1">
        <f t="array" ref="R643">VLOOKUP($A643,Table_ship_components[],COLUMN(R:R),0)</f>
        <v>0</v>
      </c>
      <c r="S643" cm="1">
        <f t="array" ref="S643">VLOOKUP($A643,Table_ship_components[],COLUMN(S:S),0)</f>
        <v>0</v>
      </c>
      <c r="T643" cm="1">
        <f t="array" ref="T643">VLOOKUP($A643,Table_ship_components[],COLUMN(T:T),0)</f>
        <v>0</v>
      </c>
      <c r="U643" cm="1">
        <f t="array" ref="U643">VLOOKUP($A643,Table_ship_components[],COLUMN(U:U),0)</f>
        <v>0</v>
      </c>
      <c r="V643" cm="1">
        <f t="array" ref="V643">VLOOKUP($A643,Table_ship_components[],COLUMN(V:V),0)</f>
        <v>0</v>
      </c>
      <c r="W643" s="15" cm="1">
        <f t="array" ref="W643">VLOOKUP($A643,Table_ship_components[],COLUMN(W:W),0)</f>
        <v>0</v>
      </c>
      <c r="X643" cm="1">
        <f t="array" ref="X643">VLOOKUP($A643,Table_ship_components[],COLUMN(X:X),0)</f>
        <v>0</v>
      </c>
      <c r="Y643" cm="1">
        <f t="array" ref="Y643">VLOOKUP($A643,Table_ship_components[],COLUMN(Y:Y),0)</f>
        <v>0</v>
      </c>
      <c r="Z643" cm="1">
        <f t="array" ref="Z643">VLOOKUP($A643,Table_ship_components[],COLUMN(Z:Z),0)</f>
        <v>0</v>
      </c>
      <c r="AA643" cm="1">
        <f t="array" ref="AA643">VLOOKUP($A643,Table_ship_components[],COLUMN(AA:AA),0)*C643</f>
        <v>0</v>
      </c>
      <c r="AB643">
        <f t="shared" si="66"/>
        <v>0</v>
      </c>
      <c r="AC643" cm="1">
        <f t="array" ref="AC643">VLOOKUP($A643,Table_ship_components[],COLUMN(AC:AC),0)*C643</f>
        <v>0</v>
      </c>
      <c r="AD643" cm="1">
        <f t="array" ref="AD643">VLOOKUP($A643,Table_ship_components[],COLUMN(AD:AD),0)</f>
        <v>0</v>
      </c>
      <c r="AE643" cm="1">
        <f t="array" ref="AE643">VLOOKUP($A643,Table_ship_components[],COLUMN(AE:AE),0)</f>
        <v>0</v>
      </c>
      <c r="AF643" cm="1">
        <f t="array" ref="AF643">VLOOKUP($A643,Table_ship_components[],COLUMN(AF:AF),0)</f>
        <v>0</v>
      </c>
      <c r="AG643" cm="1">
        <f t="array" ref="AG643">VLOOKUP($A643,Table_ship_components[],COLUMN(AG:AG),0)</f>
        <v>0</v>
      </c>
      <c r="AH643" cm="1">
        <f t="array" ref="AH643">VLOOKUP($A643,Table_ship_components[],COLUMN(AH:AH),0)</f>
        <v>0</v>
      </c>
      <c r="AI643" cm="1">
        <f t="array" ref="AI643">VLOOKUP($A643,Table_ship_components[],COLUMN(AI:AI),0)</f>
        <v>0</v>
      </c>
      <c r="AJ643" cm="1">
        <f t="array" ref="AJ643">VLOOKUP($A643,Table_ship_components[],COLUMN(AJ:AJ),0)</f>
        <v>0</v>
      </c>
      <c r="AK643" cm="1">
        <f t="array" ref="AK643">VLOOKUP($A643,Table_ship_components[],COLUMN(AK:AK),0)</f>
        <v>0</v>
      </c>
      <c r="AL643" cm="1">
        <f t="array" ref="AL643">VLOOKUP($A643,Table_ship_components[],COLUMN(AL:AL),0)</f>
        <v>0</v>
      </c>
      <c r="AM643" cm="1">
        <f t="array" ref="AM643">VLOOKUP($A643,Table_ship_components[],COLUMN(AM:AM),0)</f>
        <v>0</v>
      </c>
      <c r="AN643" cm="1">
        <f t="array" ref="AN643">VLOOKUP($A643,Table_ship_components[],COLUMN(AN:AN),0)</f>
        <v>0</v>
      </c>
      <c r="AO643" cm="1">
        <f t="array" ref="AO643">VLOOKUP($A643,Table_ship_components[],COLUMN(AO:AO),0)</f>
        <v>0</v>
      </c>
      <c r="AP643" cm="1">
        <f t="array" ref="AP643">VLOOKUP($A643,Table_ship_components[],COLUMN(AP:AP),0)</f>
        <v>0</v>
      </c>
      <c r="AQ643" cm="1">
        <f t="array" ref="AQ643">VLOOKUP($A643,Table_ship_components[],COLUMN(AQ:AQ),0)</f>
        <v>0</v>
      </c>
      <c r="AR643" cm="1">
        <f t="array" ref="AR643">VLOOKUP($A643,Table_ship_components[],COLUMN(AR:AR),0)</f>
        <v>0</v>
      </c>
      <c r="AS643" cm="1">
        <f t="array" ref="AS643">VLOOKUP($A643,Table_ship_components[],COLUMN(AS:AS),0)</f>
        <v>0</v>
      </c>
      <c r="AT643" cm="1">
        <f t="array" ref="AT643">VLOOKUP($A643,Table_ship_components[],COLUMN(AT:AT),0)</f>
        <v>0</v>
      </c>
      <c r="AU643" s="2" cm="1">
        <f t="array" ref="AU643">VLOOKUP($A643,Table_ship_components[],COLUMN(AU:AU),0)</f>
        <v>0</v>
      </c>
      <c r="AV643" s="2" cm="1">
        <f t="array" ref="AV643">VLOOKUP($A643,Table_ship_components[],COLUMN(AV:AV),0)</f>
        <v>0</v>
      </c>
      <c r="AW643" s="2" cm="1">
        <f t="array" ref="AW643">VLOOKUP($A643,Table_ship_components[],COLUMN(AW:AW),0)</f>
        <v>0</v>
      </c>
      <c r="AX643" s="2" cm="1">
        <f t="array" ref="AX643">VLOOKUP($A643,Table_ship_components[],COLUMN(AX:AX),0)</f>
        <v>0</v>
      </c>
      <c r="AY643" s="2" cm="1">
        <f t="array" ref="AY643">VLOOKUP($A643,Table_ship_components[],COLUMN(AY:AY),0)</f>
        <v>0</v>
      </c>
      <c r="AZ643" s="2" t="str" cm="1">
        <f t="array" ref="AZ643">VLOOKUP($A643,Table_ship_components[],COLUMN(AZ:AZ),0)</f>
        <v>C</v>
      </c>
      <c r="BA643" s="14" cm="1">
        <f t="array" ref="BA643">VLOOKUP($A643,Table_ship_components[],COLUMN(BA:BA),0)</f>
        <v>0</v>
      </c>
      <c r="BB643" s="14" cm="1">
        <f t="array" ref="BB643">(VLOOKUP($A643,Table_ship_components[],COLUMN(BA:BA),0)+(W643*C643))</f>
        <v>0</v>
      </c>
      <c r="BC643" s="2" cm="1">
        <f t="array" ref="BC643">VLOOKUP($A643,Table_ship_components[],COLUMN(BC:BC),0)</f>
        <v>0</v>
      </c>
      <c r="BD643" s="2" cm="1">
        <f t="array" ref="BD643">VLOOKUP($A643,Table_ship_components[],COLUMN(BD:BD),0)</f>
        <v>0</v>
      </c>
    </row>
    <row r="644" spans="1:56" outlineLevel="1" x14ac:dyDescent="0.35">
      <c r="A644" t="s">
        <v>288</v>
      </c>
      <c r="B644" t="str" cm="1">
        <f t="array" ref="B644">VLOOKUP($A644,Table_ship_components[],COLUMN(B:B),0)</f>
        <v>PICK A COMPONENT</v>
      </c>
      <c r="D644" cm="1">
        <f t="array" ref="D644">VLOOKUP($A644,Table_ship_components[],COLUMN(D:D),0)</f>
        <v>0</v>
      </c>
      <c r="E644" cm="1">
        <f t="array" ref="E644">ROUND(VLOOKUP($A644,Table_ship_components[],COLUMN(D:D),0)+(V644*C644),0)</f>
        <v>0</v>
      </c>
      <c r="F644" cm="1">
        <f t="array" ref="F644">VLOOKUP($A644,Table_ship_components[],COLUMN(F:F),0)</f>
        <v>0</v>
      </c>
      <c r="G644" cm="1">
        <f t="array" ref="G644">ROUND(VLOOKUP($A644,Table_ship_components[],COLUMN(G:G),0)+(X644*C644),0)</f>
        <v>0</v>
      </c>
      <c r="H644" cm="1">
        <f t="array" ref="H644">VLOOKUP($A644,Table_ship_components[],COLUMN(H:H),0)</f>
        <v>0</v>
      </c>
      <c r="I644" cm="1">
        <f t="array" ref="I644">VLOOKUP($A644,Table_ship_components[],COLUMN(I:I),0)</f>
        <v>0</v>
      </c>
      <c r="J644" cm="1">
        <f t="array" ref="J644">VLOOKUP($A644,Table_ship_components[],COLUMN(J:J),0)</f>
        <v>0</v>
      </c>
      <c r="K644" cm="1">
        <f t="array" ref="K644">VLOOKUP($A644,Table_ship_components[],COLUMN(K:K),0)</f>
        <v>0</v>
      </c>
      <c r="L644" cm="1">
        <f t="array" ref="L644">VLOOKUP($A644,Table_ship_components[],COLUMN(L:L),0)</f>
        <v>0</v>
      </c>
      <c r="M644" cm="1">
        <f t="array" ref="M644">VLOOKUP($A644,Table_ship_components[],COLUMN(M:M),0)</f>
        <v>0</v>
      </c>
      <c r="N644" cm="1">
        <f t="array" ref="N644">VLOOKUP($A644,Table_ship_components[],COLUMN(N:N),0)</f>
        <v>0</v>
      </c>
      <c r="O644" cm="1">
        <f t="array" ref="O644">VLOOKUP($A644,Table_ship_components[],COLUMN(O:O),0)</f>
        <v>0</v>
      </c>
      <c r="P644" cm="1">
        <f t="array" ref="P644">VLOOKUP($A644,Table_ship_components[],COLUMN(P:P),0)</f>
        <v>0</v>
      </c>
      <c r="Q644" cm="1">
        <f t="array" ref="Q644">VLOOKUP($A644,Table_ship_components[],COLUMN(Q:Q),0)</f>
        <v>0</v>
      </c>
      <c r="R644" cm="1">
        <f t="array" ref="R644">VLOOKUP($A644,Table_ship_components[],COLUMN(R:R),0)</f>
        <v>0</v>
      </c>
      <c r="S644" cm="1">
        <f t="array" ref="S644">VLOOKUP($A644,Table_ship_components[],COLUMN(S:S),0)</f>
        <v>0</v>
      </c>
      <c r="T644" cm="1">
        <f t="array" ref="T644">VLOOKUP($A644,Table_ship_components[],COLUMN(T:T),0)</f>
        <v>0</v>
      </c>
      <c r="U644" cm="1">
        <f t="array" ref="U644">VLOOKUP($A644,Table_ship_components[],COLUMN(U:U),0)</f>
        <v>0</v>
      </c>
      <c r="V644" cm="1">
        <f t="array" ref="V644">VLOOKUP($A644,Table_ship_components[],COLUMN(V:V),0)</f>
        <v>0</v>
      </c>
      <c r="W644" s="15" cm="1">
        <f t="array" ref="W644">VLOOKUP($A644,Table_ship_components[],COLUMN(W:W),0)</f>
        <v>0</v>
      </c>
      <c r="X644" cm="1">
        <f t="array" ref="X644">VLOOKUP($A644,Table_ship_components[],COLUMN(X:X),0)</f>
        <v>0</v>
      </c>
      <c r="Y644" cm="1">
        <f t="array" ref="Y644">VLOOKUP($A644,Table_ship_components[],COLUMN(Y:Y),0)</f>
        <v>0</v>
      </c>
      <c r="Z644" cm="1">
        <f t="array" ref="Z644">VLOOKUP($A644,Table_ship_components[],COLUMN(Z:Z),0)</f>
        <v>0</v>
      </c>
      <c r="AA644" cm="1">
        <f t="array" ref="AA644">VLOOKUP($A644,Table_ship_components[],COLUMN(AA:AA),0)*C644</f>
        <v>0</v>
      </c>
      <c r="AB644">
        <f t="shared" si="66"/>
        <v>0</v>
      </c>
      <c r="AC644" cm="1">
        <f t="array" ref="AC644">VLOOKUP($A644,Table_ship_components[],COLUMN(AC:AC),0)*C644</f>
        <v>0</v>
      </c>
      <c r="AD644" cm="1">
        <f t="array" ref="AD644">VLOOKUP($A644,Table_ship_components[],COLUMN(AD:AD),0)</f>
        <v>0</v>
      </c>
      <c r="AE644" cm="1">
        <f t="array" ref="AE644">VLOOKUP($A644,Table_ship_components[],COLUMN(AE:AE),0)</f>
        <v>0</v>
      </c>
      <c r="AF644" cm="1">
        <f t="array" ref="AF644">VLOOKUP($A644,Table_ship_components[],COLUMN(AF:AF),0)</f>
        <v>0</v>
      </c>
      <c r="AG644" cm="1">
        <f t="array" ref="AG644">VLOOKUP($A644,Table_ship_components[],COLUMN(AG:AG),0)</f>
        <v>0</v>
      </c>
      <c r="AH644" cm="1">
        <f t="array" ref="AH644">VLOOKUP($A644,Table_ship_components[],COLUMN(AH:AH),0)</f>
        <v>0</v>
      </c>
      <c r="AI644" cm="1">
        <f t="array" ref="AI644">VLOOKUP($A644,Table_ship_components[],COLUMN(AI:AI),0)</f>
        <v>0</v>
      </c>
      <c r="AJ644" cm="1">
        <f t="array" ref="AJ644">VLOOKUP($A644,Table_ship_components[],COLUMN(AJ:AJ),0)</f>
        <v>0</v>
      </c>
      <c r="AK644" cm="1">
        <f t="array" ref="AK644">VLOOKUP($A644,Table_ship_components[],COLUMN(AK:AK),0)</f>
        <v>0</v>
      </c>
      <c r="AL644" cm="1">
        <f t="array" ref="AL644">VLOOKUP($A644,Table_ship_components[],COLUMN(AL:AL),0)</f>
        <v>0</v>
      </c>
      <c r="AM644" cm="1">
        <f t="array" ref="AM644">VLOOKUP($A644,Table_ship_components[],COLUMN(AM:AM),0)</f>
        <v>0</v>
      </c>
      <c r="AN644" cm="1">
        <f t="array" ref="AN644">VLOOKUP($A644,Table_ship_components[],COLUMN(AN:AN),0)</f>
        <v>0</v>
      </c>
      <c r="AO644" cm="1">
        <f t="array" ref="AO644">VLOOKUP($A644,Table_ship_components[],COLUMN(AO:AO),0)</f>
        <v>0</v>
      </c>
      <c r="AP644" cm="1">
        <f t="array" ref="AP644">VLOOKUP($A644,Table_ship_components[],COLUMN(AP:AP),0)</f>
        <v>0</v>
      </c>
      <c r="AQ644" cm="1">
        <f t="array" ref="AQ644">VLOOKUP($A644,Table_ship_components[],COLUMN(AQ:AQ),0)</f>
        <v>0</v>
      </c>
      <c r="AR644" cm="1">
        <f t="array" ref="AR644">VLOOKUP($A644,Table_ship_components[],COLUMN(AR:AR),0)</f>
        <v>0</v>
      </c>
      <c r="AS644" cm="1">
        <f t="array" ref="AS644">VLOOKUP($A644,Table_ship_components[],COLUMN(AS:AS),0)</f>
        <v>0</v>
      </c>
      <c r="AT644" cm="1">
        <f t="array" ref="AT644">VLOOKUP($A644,Table_ship_components[],COLUMN(AT:AT),0)</f>
        <v>0</v>
      </c>
      <c r="AU644" s="2" cm="1">
        <f t="array" ref="AU644">VLOOKUP($A644,Table_ship_components[],COLUMN(AU:AU),0)</f>
        <v>0</v>
      </c>
      <c r="AV644" s="2" cm="1">
        <f t="array" ref="AV644">VLOOKUP($A644,Table_ship_components[],COLUMN(AV:AV),0)</f>
        <v>0</v>
      </c>
      <c r="AW644" s="2" cm="1">
        <f t="array" ref="AW644">VLOOKUP($A644,Table_ship_components[],COLUMN(AW:AW),0)</f>
        <v>0</v>
      </c>
      <c r="AX644" s="2" cm="1">
        <f t="array" ref="AX644">VLOOKUP($A644,Table_ship_components[],COLUMN(AX:AX),0)</f>
        <v>0</v>
      </c>
      <c r="AY644" s="2" cm="1">
        <f t="array" ref="AY644">VLOOKUP($A644,Table_ship_components[],COLUMN(AY:AY),0)</f>
        <v>0</v>
      </c>
      <c r="AZ644" s="2" t="str" cm="1">
        <f t="array" ref="AZ644">VLOOKUP($A644,Table_ship_components[],COLUMN(AZ:AZ),0)</f>
        <v>C</v>
      </c>
      <c r="BA644" s="14" cm="1">
        <f t="array" ref="BA644">VLOOKUP($A644,Table_ship_components[],COLUMN(BA:BA),0)</f>
        <v>0</v>
      </c>
      <c r="BB644" s="14" cm="1">
        <f t="array" ref="BB644">(VLOOKUP($A644,Table_ship_components[],COLUMN(BA:BA),0)+(W644*C644))</f>
        <v>0</v>
      </c>
      <c r="BC644" s="2" cm="1">
        <f t="array" ref="BC644">VLOOKUP($A644,Table_ship_components[],COLUMN(BC:BC),0)</f>
        <v>0</v>
      </c>
      <c r="BD644" s="2" cm="1">
        <f t="array" ref="BD644">VLOOKUP($A644,Table_ship_components[],COLUMN(BD:BD),0)</f>
        <v>0</v>
      </c>
    </row>
    <row r="645" spans="1:56" outlineLevel="1" x14ac:dyDescent="0.35">
      <c r="A645" t="s">
        <v>288</v>
      </c>
      <c r="B645" t="str" cm="1">
        <f t="array" ref="B645">VLOOKUP($A645,Table_ship_components[],COLUMN(B:B),0)</f>
        <v>PICK A COMPONENT</v>
      </c>
      <c r="D645" cm="1">
        <f t="array" ref="D645">VLOOKUP($A645,Table_ship_components[],COLUMN(D:D),0)</f>
        <v>0</v>
      </c>
      <c r="E645" cm="1">
        <f t="array" ref="E645">ROUND(VLOOKUP($A645,Table_ship_components[],COLUMN(D:D),0)+(V645*C645),0)</f>
        <v>0</v>
      </c>
      <c r="F645" cm="1">
        <f t="array" ref="F645">VLOOKUP($A645,Table_ship_components[],COLUMN(F:F),0)</f>
        <v>0</v>
      </c>
      <c r="G645" cm="1">
        <f t="array" ref="G645">ROUND(VLOOKUP($A645,Table_ship_components[],COLUMN(G:G),0)+(X645*C645),0)</f>
        <v>0</v>
      </c>
      <c r="H645" cm="1">
        <f t="array" ref="H645">VLOOKUP($A645,Table_ship_components[],COLUMN(H:H),0)</f>
        <v>0</v>
      </c>
      <c r="I645" cm="1">
        <f t="array" ref="I645">VLOOKUP($A645,Table_ship_components[],COLUMN(I:I),0)</f>
        <v>0</v>
      </c>
      <c r="J645" cm="1">
        <f t="array" ref="J645">VLOOKUP($A645,Table_ship_components[],COLUMN(J:J),0)</f>
        <v>0</v>
      </c>
      <c r="K645" cm="1">
        <f t="array" ref="K645">VLOOKUP($A645,Table_ship_components[],COLUMN(K:K),0)</f>
        <v>0</v>
      </c>
      <c r="L645" cm="1">
        <f t="array" ref="L645">VLOOKUP($A645,Table_ship_components[],COLUMN(L:L),0)</f>
        <v>0</v>
      </c>
      <c r="M645" cm="1">
        <f t="array" ref="M645">VLOOKUP($A645,Table_ship_components[],COLUMN(M:M),0)</f>
        <v>0</v>
      </c>
      <c r="N645" cm="1">
        <f t="array" ref="N645">VLOOKUP($A645,Table_ship_components[],COLUMN(N:N),0)</f>
        <v>0</v>
      </c>
      <c r="O645" cm="1">
        <f t="array" ref="O645">VLOOKUP($A645,Table_ship_components[],COLUMN(O:O),0)</f>
        <v>0</v>
      </c>
      <c r="P645" cm="1">
        <f t="array" ref="P645">VLOOKUP($A645,Table_ship_components[],COLUMN(P:P),0)</f>
        <v>0</v>
      </c>
      <c r="Q645" cm="1">
        <f t="array" ref="Q645">VLOOKUP($A645,Table_ship_components[],COLUMN(Q:Q),0)</f>
        <v>0</v>
      </c>
      <c r="R645" cm="1">
        <f t="array" ref="R645">VLOOKUP($A645,Table_ship_components[],COLUMN(R:R),0)</f>
        <v>0</v>
      </c>
      <c r="S645" cm="1">
        <f t="array" ref="S645">VLOOKUP($A645,Table_ship_components[],COLUMN(S:S),0)</f>
        <v>0</v>
      </c>
      <c r="T645" cm="1">
        <f t="array" ref="T645">VLOOKUP($A645,Table_ship_components[],COLUMN(T:T),0)</f>
        <v>0</v>
      </c>
      <c r="U645" cm="1">
        <f t="array" ref="U645">VLOOKUP($A645,Table_ship_components[],COLUMN(U:U),0)</f>
        <v>0</v>
      </c>
      <c r="V645" cm="1">
        <f t="array" ref="V645">VLOOKUP($A645,Table_ship_components[],COLUMN(V:V),0)</f>
        <v>0</v>
      </c>
      <c r="W645" s="15" cm="1">
        <f t="array" ref="W645">VLOOKUP($A645,Table_ship_components[],COLUMN(W:W),0)</f>
        <v>0</v>
      </c>
      <c r="X645" cm="1">
        <f t="array" ref="X645">VLOOKUP($A645,Table_ship_components[],COLUMN(X:X),0)</f>
        <v>0</v>
      </c>
      <c r="Y645" cm="1">
        <f t="array" ref="Y645">VLOOKUP($A645,Table_ship_components[],COLUMN(Y:Y),0)</f>
        <v>0</v>
      </c>
      <c r="Z645" cm="1">
        <f t="array" ref="Z645">VLOOKUP($A645,Table_ship_components[],COLUMN(Z:Z),0)</f>
        <v>0</v>
      </c>
      <c r="AA645" cm="1">
        <f t="array" ref="AA645">VLOOKUP($A645,Table_ship_components[],COLUMN(AA:AA),0)*C645</f>
        <v>0</v>
      </c>
      <c r="AB645">
        <f t="shared" si="66"/>
        <v>0</v>
      </c>
      <c r="AC645" cm="1">
        <f t="array" ref="AC645">VLOOKUP($A645,Table_ship_components[],COLUMN(AC:AC),0)*C645</f>
        <v>0</v>
      </c>
      <c r="AD645" cm="1">
        <f t="array" ref="AD645">VLOOKUP($A645,Table_ship_components[],COLUMN(AD:AD),0)</f>
        <v>0</v>
      </c>
      <c r="AE645" cm="1">
        <f t="array" ref="AE645">VLOOKUP($A645,Table_ship_components[],COLUMN(AE:AE),0)</f>
        <v>0</v>
      </c>
      <c r="AF645" cm="1">
        <f t="array" ref="AF645">VLOOKUP($A645,Table_ship_components[],COLUMN(AF:AF),0)</f>
        <v>0</v>
      </c>
      <c r="AG645" cm="1">
        <f t="array" ref="AG645">VLOOKUP($A645,Table_ship_components[],COLUMN(AG:AG),0)</f>
        <v>0</v>
      </c>
      <c r="AH645" cm="1">
        <f t="array" ref="AH645">VLOOKUP($A645,Table_ship_components[],COLUMN(AH:AH),0)</f>
        <v>0</v>
      </c>
      <c r="AI645" cm="1">
        <f t="array" ref="AI645">VLOOKUP($A645,Table_ship_components[],COLUMN(AI:AI),0)</f>
        <v>0</v>
      </c>
      <c r="AJ645" cm="1">
        <f t="array" ref="AJ645">VLOOKUP($A645,Table_ship_components[],COLUMN(AJ:AJ),0)</f>
        <v>0</v>
      </c>
      <c r="AK645" cm="1">
        <f t="array" ref="AK645">VLOOKUP($A645,Table_ship_components[],COLUMN(AK:AK),0)</f>
        <v>0</v>
      </c>
      <c r="AL645" cm="1">
        <f t="array" ref="AL645">VLOOKUP($A645,Table_ship_components[],COLUMN(AL:AL),0)</f>
        <v>0</v>
      </c>
      <c r="AM645" cm="1">
        <f t="array" ref="AM645">VLOOKUP($A645,Table_ship_components[],COLUMN(AM:AM),0)</f>
        <v>0</v>
      </c>
      <c r="AN645" cm="1">
        <f t="array" ref="AN645">VLOOKUP($A645,Table_ship_components[],COLUMN(AN:AN),0)</f>
        <v>0</v>
      </c>
      <c r="AO645" cm="1">
        <f t="array" ref="AO645">VLOOKUP($A645,Table_ship_components[],COLUMN(AO:AO),0)</f>
        <v>0</v>
      </c>
      <c r="AP645" cm="1">
        <f t="array" ref="AP645">VLOOKUP($A645,Table_ship_components[],COLUMN(AP:AP),0)</f>
        <v>0</v>
      </c>
      <c r="AQ645" cm="1">
        <f t="array" ref="AQ645">VLOOKUP($A645,Table_ship_components[],COLUMN(AQ:AQ),0)</f>
        <v>0</v>
      </c>
      <c r="AR645" cm="1">
        <f t="array" ref="AR645">VLOOKUP($A645,Table_ship_components[],COLUMN(AR:AR),0)</f>
        <v>0</v>
      </c>
      <c r="AS645" cm="1">
        <f t="array" ref="AS645">VLOOKUP($A645,Table_ship_components[],COLUMN(AS:AS),0)</f>
        <v>0</v>
      </c>
      <c r="AT645" cm="1">
        <f t="array" ref="AT645">VLOOKUP($A645,Table_ship_components[],COLUMN(AT:AT),0)</f>
        <v>0</v>
      </c>
      <c r="AU645" s="2" cm="1">
        <f t="array" ref="AU645">VLOOKUP($A645,Table_ship_components[],COLUMN(AU:AU),0)</f>
        <v>0</v>
      </c>
      <c r="AV645" s="2" cm="1">
        <f t="array" ref="AV645">VLOOKUP($A645,Table_ship_components[],COLUMN(AV:AV),0)</f>
        <v>0</v>
      </c>
      <c r="AW645" s="2" cm="1">
        <f t="array" ref="AW645">VLOOKUP($A645,Table_ship_components[],COLUMN(AW:AW),0)</f>
        <v>0</v>
      </c>
      <c r="AX645" s="2" cm="1">
        <f t="array" ref="AX645">VLOOKUP($A645,Table_ship_components[],COLUMN(AX:AX),0)</f>
        <v>0</v>
      </c>
      <c r="AY645" s="2" cm="1">
        <f t="array" ref="AY645">VLOOKUP($A645,Table_ship_components[],COLUMN(AY:AY),0)</f>
        <v>0</v>
      </c>
      <c r="AZ645" s="2" t="str" cm="1">
        <f t="array" ref="AZ645">VLOOKUP($A645,Table_ship_components[],COLUMN(AZ:AZ),0)</f>
        <v>C</v>
      </c>
      <c r="BA645" s="14" cm="1">
        <f t="array" ref="BA645">VLOOKUP($A645,Table_ship_components[],COLUMN(BA:BA),0)</f>
        <v>0</v>
      </c>
      <c r="BB645" s="14" cm="1">
        <f t="array" ref="BB645">(VLOOKUP($A645,Table_ship_components[],COLUMN(BA:BA),0)+(W645*C645))</f>
        <v>0</v>
      </c>
      <c r="BC645" s="2" cm="1">
        <f t="array" ref="BC645">VLOOKUP($A645,Table_ship_components[],COLUMN(BC:BC),0)</f>
        <v>0</v>
      </c>
      <c r="BD645" s="2" cm="1">
        <f t="array" ref="BD645">VLOOKUP($A645,Table_ship_components[],COLUMN(BD:BD),0)</f>
        <v>0</v>
      </c>
    </row>
    <row r="646" spans="1:56" outlineLevel="1" x14ac:dyDescent="0.35">
      <c r="A646" t="s">
        <v>288</v>
      </c>
      <c r="B646" t="str" cm="1">
        <f t="array" ref="B646">VLOOKUP($A646,Table_ship_components[],COLUMN(B:B),0)</f>
        <v>PICK A COMPONENT</v>
      </c>
      <c r="D646" cm="1">
        <f t="array" ref="D646">VLOOKUP($A646,Table_ship_components[],COLUMN(D:D),0)</f>
        <v>0</v>
      </c>
      <c r="E646" cm="1">
        <f t="array" ref="E646">ROUND(VLOOKUP($A646,Table_ship_components[],COLUMN(D:D),0)+(V646*C646),0)</f>
        <v>0</v>
      </c>
      <c r="F646" cm="1">
        <f t="array" ref="F646">VLOOKUP($A646,Table_ship_components[],COLUMN(F:F),0)</f>
        <v>0</v>
      </c>
      <c r="G646" cm="1">
        <f t="array" ref="G646">ROUND(VLOOKUP($A646,Table_ship_components[],COLUMN(G:G),0)+(X646*C646),0)</f>
        <v>0</v>
      </c>
      <c r="H646" cm="1">
        <f t="array" ref="H646">VLOOKUP($A646,Table_ship_components[],COLUMN(H:H),0)</f>
        <v>0</v>
      </c>
      <c r="I646" cm="1">
        <f t="array" ref="I646">VLOOKUP($A646,Table_ship_components[],COLUMN(I:I),0)</f>
        <v>0</v>
      </c>
      <c r="J646" cm="1">
        <f t="array" ref="J646">VLOOKUP($A646,Table_ship_components[],COLUMN(J:J),0)</f>
        <v>0</v>
      </c>
      <c r="K646" cm="1">
        <f t="array" ref="K646">VLOOKUP($A646,Table_ship_components[],COLUMN(K:K),0)</f>
        <v>0</v>
      </c>
      <c r="L646" cm="1">
        <f t="array" ref="L646">VLOOKUP($A646,Table_ship_components[],COLUMN(L:L),0)</f>
        <v>0</v>
      </c>
      <c r="M646" cm="1">
        <f t="array" ref="M646">VLOOKUP($A646,Table_ship_components[],COLUMN(M:M),0)</f>
        <v>0</v>
      </c>
      <c r="N646" cm="1">
        <f t="array" ref="N646">VLOOKUP($A646,Table_ship_components[],COLUMN(N:N),0)</f>
        <v>0</v>
      </c>
      <c r="O646" cm="1">
        <f t="array" ref="O646">VLOOKUP($A646,Table_ship_components[],COLUMN(O:O),0)</f>
        <v>0</v>
      </c>
      <c r="P646" cm="1">
        <f t="array" ref="P646">VLOOKUP($A646,Table_ship_components[],COLUMN(P:P),0)</f>
        <v>0</v>
      </c>
      <c r="Q646" cm="1">
        <f t="array" ref="Q646">VLOOKUP($A646,Table_ship_components[],COLUMN(Q:Q),0)</f>
        <v>0</v>
      </c>
      <c r="R646" cm="1">
        <f t="array" ref="R646">VLOOKUP($A646,Table_ship_components[],COLUMN(R:R),0)</f>
        <v>0</v>
      </c>
      <c r="S646" cm="1">
        <f t="array" ref="S646">VLOOKUP($A646,Table_ship_components[],COLUMN(S:S),0)</f>
        <v>0</v>
      </c>
      <c r="T646" cm="1">
        <f t="array" ref="T646">VLOOKUP($A646,Table_ship_components[],COLUMN(T:T),0)</f>
        <v>0</v>
      </c>
      <c r="U646" cm="1">
        <f t="array" ref="U646">VLOOKUP($A646,Table_ship_components[],COLUMN(U:U),0)</f>
        <v>0</v>
      </c>
      <c r="V646" cm="1">
        <f t="array" ref="V646">VLOOKUP($A646,Table_ship_components[],COLUMN(V:V),0)</f>
        <v>0</v>
      </c>
      <c r="W646" s="15" cm="1">
        <f t="array" ref="W646">VLOOKUP($A646,Table_ship_components[],COLUMN(W:W),0)</f>
        <v>0</v>
      </c>
      <c r="X646" cm="1">
        <f t="array" ref="X646">VLOOKUP($A646,Table_ship_components[],COLUMN(X:X),0)</f>
        <v>0</v>
      </c>
      <c r="Y646" cm="1">
        <f t="array" ref="Y646">VLOOKUP($A646,Table_ship_components[],COLUMN(Y:Y),0)</f>
        <v>0</v>
      </c>
      <c r="Z646" cm="1">
        <f t="array" ref="Z646">VLOOKUP($A646,Table_ship_components[],COLUMN(Z:Z),0)</f>
        <v>0</v>
      </c>
      <c r="AA646" cm="1">
        <f t="array" ref="AA646">VLOOKUP($A646,Table_ship_components[],COLUMN(AA:AA),0)*C646</f>
        <v>0</v>
      </c>
      <c r="AB646">
        <f t="shared" si="66"/>
        <v>0</v>
      </c>
      <c r="AC646" cm="1">
        <f t="array" ref="AC646">VLOOKUP($A646,Table_ship_components[],COLUMN(AC:AC),0)*C646</f>
        <v>0</v>
      </c>
      <c r="AD646" cm="1">
        <f t="array" ref="AD646">VLOOKUP($A646,Table_ship_components[],COLUMN(AD:AD),0)</f>
        <v>0</v>
      </c>
      <c r="AE646" cm="1">
        <f t="array" ref="AE646">VLOOKUP($A646,Table_ship_components[],COLUMN(AE:AE),0)</f>
        <v>0</v>
      </c>
      <c r="AF646" cm="1">
        <f t="array" ref="AF646">VLOOKUP($A646,Table_ship_components[],COLUMN(AF:AF),0)</f>
        <v>0</v>
      </c>
      <c r="AG646" cm="1">
        <f t="array" ref="AG646">VLOOKUP($A646,Table_ship_components[],COLUMN(AG:AG),0)</f>
        <v>0</v>
      </c>
      <c r="AH646" cm="1">
        <f t="array" ref="AH646">VLOOKUP($A646,Table_ship_components[],COLUMN(AH:AH),0)</f>
        <v>0</v>
      </c>
      <c r="AI646" cm="1">
        <f t="array" ref="AI646">VLOOKUP($A646,Table_ship_components[],COLUMN(AI:AI),0)</f>
        <v>0</v>
      </c>
      <c r="AJ646" cm="1">
        <f t="array" ref="AJ646">VLOOKUP($A646,Table_ship_components[],COLUMN(AJ:AJ),0)</f>
        <v>0</v>
      </c>
      <c r="AK646" cm="1">
        <f t="array" ref="AK646">VLOOKUP($A646,Table_ship_components[],COLUMN(AK:AK),0)</f>
        <v>0</v>
      </c>
      <c r="AL646" cm="1">
        <f t="array" ref="AL646">VLOOKUP($A646,Table_ship_components[],COLUMN(AL:AL),0)</f>
        <v>0</v>
      </c>
      <c r="AM646" cm="1">
        <f t="array" ref="AM646">VLOOKUP($A646,Table_ship_components[],COLUMN(AM:AM),0)</f>
        <v>0</v>
      </c>
      <c r="AN646" cm="1">
        <f t="array" ref="AN646">VLOOKUP($A646,Table_ship_components[],COLUMN(AN:AN),0)</f>
        <v>0</v>
      </c>
      <c r="AO646" cm="1">
        <f t="array" ref="AO646">VLOOKUP($A646,Table_ship_components[],COLUMN(AO:AO),0)</f>
        <v>0</v>
      </c>
      <c r="AP646" cm="1">
        <f t="array" ref="AP646">VLOOKUP($A646,Table_ship_components[],COLUMN(AP:AP),0)</f>
        <v>0</v>
      </c>
      <c r="AQ646" cm="1">
        <f t="array" ref="AQ646">VLOOKUP($A646,Table_ship_components[],COLUMN(AQ:AQ),0)</f>
        <v>0</v>
      </c>
      <c r="AR646" cm="1">
        <f t="array" ref="AR646">VLOOKUP($A646,Table_ship_components[],COLUMN(AR:AR),0)</f>
        <v>0</v>
      </c>
      <c r="AS646" cm="1">
        <f t="array" ref="AS646">VLOOKUP($A646,Table_ship_components[],COLUMN(AS:AS),0)</f>
        <v>0</v>
      </c>
      <c r="AT646" cm="1">
        <f t="array" ref="AT646">VLOOKUP($A646,Table_ship_components[],COLUMN(AT:AT),0)</f>
        <v>0</v>
      </c>
      <c r="AU646" s="2" cm="1">
        <f t="array" ref="AU646">VLOOKUP($A646,Table_ship_components[],COLUMN(AU:AU),0)</f>
        <v>0</v>
      </c>
      <c r="AV646" s="2" cm="1">
        <f t="array" ref="AV646">VLOOKUP($A646,Table_ship_components[],COLUMN(AV:AV),0)</f>
        <v>0</v>
      </c>
      <c r="AW646" s="2" cm="1">
        <f t="array" ref="AW646">VLOOKUP($A646,Table_ship_components[],COLUMN(AW:AW),0)</f>
        <v>0</v>
      </c>
      <c r="AX646" s="2" cm="1">
        <f t="array" ref="AX646">VLOOKUP($A646,Table_ship_components[],COLUMN(AX:AX),0)</f>
        <v>0</v>
      </c>
      <c r="AY646" s="2" cm="1">
        <f t="array" ref="AY646">VLOOKUP($A646,Table_ship_components[],COLUMN(AY:AY),0)</f>
        <v>0</v>
      </c>
      <c r="AZ646" s="2" t="str" cm="1">
        <f t="array" ref="AZ646">VLOOKUP($A646,Table_ship_components[],COLUMN(AZ:AZ),0)</f>
        <v>C</v>
      </c>
      <c r="BA646" s="14" cm="1">
        <f t="array" ref="BA646">VLOOKUP($A646,Table_ship_components[],COLUMN(BA:BA),0)</f>
        <v>0</v>
      </c>
      <c r="BB646" s="14" cm="1">
        <f t="array" ref="BB646">(VLOOKUP($A646,Table_ship_components[],COLUMN(BA:BA),0)+(W646*C646))</f>
        <v>0</v>
      </c>
      <c r="BC646" s="2" cm="1">
        <f t="array" ref="BC646">VLOOKUP($A646,Table_ship_components[],COLUMN(BC:BC),0)</f>
        <v>0</v>
      </c>
      <c r="BD646" s="2" cm="1">
        <f t="array" ref="BD646">VLOOKUP($A646,Table_ship_components[],COLUMN(BD:BD),0)</f>
        <v>0</v>
      </c>
    </row>
    <row r="647" spans="1:56" outlineLevel="1" x14ac:dyDescent="0.35">
      <c r="A647" t="s">
        <v>288</v>
      </c>
      <c r="B647" t="str" cm="1">
        <f t="array" ref="B647">VLOOKUP($A647,Table_ship_components[],COLUMN(B:B),0)</f>
        <v>PICK A COMPONENT</v>
      </c>
      <c r="D647" cm="1">
        <f t="array" ref="D647">VLOOKUP($A647,Table_ship_components[],COLUMN(D:D),0)</f>
        <v>0</v>
      </c>
      <c r="E647" cm="1">
        <f t="array" ref="E647">ROUND(VLOOKUP($A647,Table_ship_components[],COLUMN(D:D),0)+(V647*C647),0)</f>
        <v>0</v>
      </c>
      <c r="F647" cm="1">
        <f t="array" ref="F647">VLOOKUP($A647,Table_ship_components[],COLUMN(F:F),0)</f>
        <v>0</v>
      </c>
      <c r="G647" cm="1">
        <f t="array" ref="G647">ROUND(VLOOKUP($A647,Table_ship_components[],COLUMN(G:G),0)+(X647*C647),0)</f>
        <v>0</v>
      </c>
      <c r="H647" cm="1">
        <f t="array" ref="H647">VLOOKUP($A647,Table_ship_components[],COLUMN(H:H),0)</f>
        <v>0</v>
      </c>
      <c r="I647" cm="1">
        <f t="array" ref="I647">VLOOKUP($A647,Table_ship_components[],COLUMN(I:I),0)</f>
        <v>0</v>
      </c>
      <c r="J647" cm="1">
        <f t="array" ref="J647">VLOOKUP($A647,Table_ship_components[],COLUMN(J:J),0)</f>
        <v>0</v>
      </c>
      <c r="K647" cm="1">
        <f t="array" ref="K647">VLOOKUP($A647,Table_ship_components[],COLUMN(K:K),0)</f>
        <v>0</v>
      </c>
      <c r="L647" cm="1">
        <f t="array" ref="L647">VLOOKUP($A647,Table_ship_components[],COLUMN(L:L),0)</f>
        <v>0</v>
      </c>
      <c r="M647" cm="1">
        <f t="array" ref="M647">VLOOKUP($A647,Table_ship_components[],COLUMN(M:M),0)</f>
        <v>0</v>
      </c>
      <c r="N647" cm="1">
        <f t="array" ref="N647">VLOOKUP($A647,Table_ship_components[],COLUMN(N:N),0)</f>
        <v>0</v>
      </c>
      <c r="O647" cm="1">
        <f t="array" ref="O647">VLOOKUP($A647,Table_ship_components[],COLUMN(O:O),0)</f>
        <v>0</v>
      </c>
      <c r="P647" cm="1">
        <f t="array" ref="P647">VLOOKUP($A647,Table_ship_components[],COLUMN(P:P),0)</f>
        <v>0</v>
      </c>
      <c r="Q647" cm="1">
        <f t="array" ref="Q647">VLOOKUP($A647,Table_ship_components[],COLUMN(Q:Q),0)</f>
        <v>0</v>
      </c>
      <c r="R647" cm="1">
        <f t="array" ref="R647">VLOOKUP($A647,Table_ship_components[],COLUMN(R:R),0)</f>
        <v>0</v>
      </c>
      <c r="S647" cm="1">
        <f t="array" ref="S647">VLOOKUP($A647,Table_ship_components[],COLUMN(S:S),0)</f>
        <v>0</v>
      </c>
      <c r="T647" cm="1">
        <f t="array" ref="T647">VLOOKUP($A647,Table_ship_components[],COLUMN(T:T),0)</f>
        <v>0</v>
      </c>
      <c r="U647" cm="1">
        <f t="array" ref="U647">VLOOKUP($A647,Table_ship_components[],COLUMN(U:U),0)</f>
        <v>0</v>
      </c>
      <c r="V647" cm="1">
        <f t="array" ref="V647">VLOOKUP($A647,Table_ship_components[],COLUMN(V:V),0)</f>
        <v>0</v>
      </c>
      <c r="W647" s="15" cm="1">
        <f t="array" ref="W647">VLOOKUP($A647,Table_ship_components[],COLUMN(W:W),0)</f>
        <v>0</v>
      </c>
      <c r="X647" cm="1">
        <f t="array" ref="X647">VLOOKUP($A647,Table_ship_components[],COLUMN(X:X),0)</f>
        <v>0</v>
      </c>
      <c r="Y647" cm="1">
        <f t="array" ref="Y647">VLOOKUP($A647,Table_ship_components[],COLUMN(Y:Y),0)</f>
        <v>0</v>
      </c>
      <c r="Z647" cm="1">
        <f t="array" ref="Z647">VLOOKUP($A647,Table_ship_components[],COLUMN(Z:Z),0)</f>
        <v>0</v>
      </c>
      <c r="AA647" cm="1">
        <f t="array" ref="AA647">VLOOKUP($A647,Table_ship_components[],COLUMN(AA:AA),0)*C647</f>
        <v>0</v>
      </c>
      <c r="AB647">
        <f t="shared" si="66"/>
        <v>0</v>
      </c>
      <c r="AC647" cm="1">
        <f t="array" ref="AC647">VLOOKUP($A647,Table_ship_components[],COLUMN(AC:AC),0)*C647</f>
        <v>0</v>
      </c>
      <c r="AD647" cm="1">
        <f t="array" ref="AD647">VLOOKUP($A647,Table_ship_components[],COLUMN(AD:AD),0)</f>
        <v>0</v>
      </c>
      <c r="AE647" cm="1">
        <f t="array" ref="AE647">VLOOKUP($A647,Table_ship_components[],COLUMN(AE:AE),0)</f>
        <v>0</v>
      </c>
      <c r="AF647" cm="1">
        <f t="array" ref="AF647">VLOOKUP($A647,Table_ship_components[],COLUMN(AF:AF),0)</f>
        <v>0</v>
      </c>
      <c r="AG647" cm="1">
        <f t="array" ref="AG647">VLOOKUP($A647,Table_ship_components[],COLUMN(AG:AG),0)</f>
        <v>0</v>
      </c>
      <c r="AH647" cm="1">
        <f t="array" ref="AH647">VLOOKUP($A647,Table_ship_components[],COLUMN(AH:AH),0)</f>
        <v>0</v>
      </c>
      <c r="AI647" cm="1">
        <f t="array" ref="AI647">VLOOKUP($A647,Table_ship_components[],COLUMN(AI:AI),0)</f>
        <v>0</v>
      </c>
      <c r="AJ647" cm="1">
        <f t="array" ref="AJ647">VLOOKUP($A647,Table_ship_components[],COLUMN(AJ:AJ),0)</f>
        <v>0</v>
      </c>
      <c r="AK647" cm="1">
        <f t="array" ref="AK647">VLOOKUP($A647,Table_ship_components[],COLUMN(AK:AK),0)</f>
        <v>0</v>
      </c>
      <c r="AL647" cm="1">
        <f t="array" ref="AL647">VLOOKUP($A647,Table_ship_components[],COLUMN(AL:AL),0)</f>
        <v>0</v>
      </c>
      <c r="AM647" cm="1">
        <f t="array" ref="AM647">VLOOKUP($A647,Table_ship_components[],COLUMN(AM:AM),0)</f>
        <v>0</v>
      </c>
      <c r="AN647" cm="1">
        <f t="array" ref="AN647">VLOOKUP($A647,Table_ship_components[],COLUMN(AN:AN),0)</f>
        <v>0</v>
      </c>
      <c r="AO647" cm="1">
        <f t="array" ref="AO647">VLOOKUP($A647,Table_ship_components[],COLUMN(AO:AO),0)</f>
        <v>0</v>
      </c>
      <c r="AP647" cm="1">
        <f t="array" ref="AP647">VLOOKUP($A647,Table_ship_components[],COLUMN(AP:AP),0)</f>
        <v>0</v>
      </c>
      <c r="AQ647" cm="1">
        <f t="array" ref="AQ647">VLOOKUP($A647,Table_ship_components[],COLUMN(AQ:AQ),0)</f>
        <v>0</v>
      </c>
      <c r="AR647" cm="1">
        <f t="array" ref="AR647">VLOOKUP($A647,Table_ship_components[],COLUMN(AR:AR),0)</f>
        <v>0</v>
      </c>
      <c r="AS647" cm="1">
        <f t="array" ref="AS647">VLOOKUP($A647,Table_ship_components[],COLUMN(AS:AS),0)</f>
        <v>0</v>
      </c>
      <c r="AT647" cm="1">
        <f t="array" ref="AT647">VLOOKUP($A647,Table_ship_components[],COLUMN(AT:AT),0)</f>
        <v>0</v>
      </c>
      <c r="AU647" s="2" cm="1">
        <f t="array" ref="AU647">VLOOKUP($A647,Table_ship_components[],COLUMN(AU:AU),0)</f>
        <v>0</v>
      </c>
      <c r="AV647" s="2" cm="1">
        <f t="array" ref="AV647">VLOOKUP($A647,Table_ship_components[],COLUMN(AV:AV),0)</f>
        <v>0</v>
      </c>
      <c r="AW647" s="2" cm="1">
        <f t="array" ref="AW647">VLOOKUP($A647,Table_ship_components[],COLUMN(AW:AW),0)</f>
        <v>0</v>
      </c>
      <c r="AX647" s="2" cm="1">
        <f t="array" ref="AX647">VLOOKUP($A647,Table_ship_components[],COLUMN(AX:AX),0)</f>
        <v>0</v>
      </c>
      <c r="AY647" s="2" cm="1">
        <f t="array" ref="AY647">VLOOKUP($A647,Table_ship_components[],COLUMN(AY:AY),0)</f>
        <v>0</v>
      </c>
      <c r="AZ647" s="2" t="str" cm="1">
        <f t="array" ref="AZ647">VLOOKUP($A647,Table_ship_components[],COLUMN(AZ:AZ),0)</f>
        <v>C</v>
      </c>
      <c r="BA647" s="14" cm="1">
        <f t="array" ref="BA647">VLOOKUP($A647,Table_ship_components[],COLUMN(BA:BA),0)</f>
        <v>0</v>
      </c>
      <c r="BB647" s="14" cm="1">
        <f t="array" ref="BB647">(VLOOKUP($A647,Table_ship_components[],COLUMN(BA:BA),0)+(W647*C647))</f>
        <v>0</v>
      </c>
      <c r="BC647" s="2" cm="1">
        <f t="array" ref="BC647">VLOOKUP($A647,Table_ship_components[],COLUMN(BC:BC),0)</f>
        <v>0</v>
      </c>
      <c r="BD647" s="2" cm="1">
        <f t="array" ref="BD647">VLOOKUP($A647,Table_ship_components[],COLUMN(BD:BD),0)</f>
        <v>0</v>
      </c>
    </row>
    <row r="648" spans="1:56" outlineLevel="1" x14ac:dyDescent="0.35">
      <c r="A648" t="s">
        <v>288</v>
      </c>
      <c r="B648" t="str" cm="1">
        <f t="array" ref="B648">VLOOKUP($A648,Table_ship_components[],COLUMN(B:B),0)</f>
        <v>PICK A COMPONENT</v>
      </c>
      <c r="D648" cm="1">
        <f t="array" ref="D648">VLOOKUP($A648,Table_ship_components[],COLUMN(D:D),0)</f>
        <v>0</v>
      </c>
      <c r="E648" cm="1">
        <f t="array" ref="E648">ROUND(VLOOKUP($A648,Table_ship_components[],COLUMN(D:D),0)+(V648*C648),0)</f>
        <v>0</v>
      </c>
      <c r="F648" cm="1">
        <f t="array" ref="F648">VLOOKUP($A648,Table_ship_components[],COLUMN(F:F),0)</f>
        <v>0</v>
      </c>
      <c r="G648" cm="1">
        <f t="array" ref="G648">ROUND(VLOOKUP($A648,Table_ship_components[],COLUMN(G:G),0)+(X648*C648),0)</f>
        <v>0</v>
      </c>
      <c r="H648" cm="1">
        <f t="array" ref="H648">VLOOKUP($A648,Table_ship_components[],COLUMN(H:H),0)</f>
        <v>0</v>
      </c>
      <c r="I648" cm="1">
        <f t="array" ref="I648">VLOOKUP($A648,Table_ship_components[],COLUMN(I:I),0)</f>
        <v>0</v>
      </c>
      <c r="J648" cm="1">
        <f t="array" ref="J648">VLOOKUP($A648,Table_ship_components[],COLUMN(J:J),0)</f>
        <v>0</v>
      </c>
      <c r="K648" cm="1">
        <f t="array" ref="K648">VLOOKUP($A648,Table_ship_components[],COLUMN(K:K),0)</f>
        <v>0</v>
      </c>
      <c r="L648" cm="1">
        <f t="array" ref="L648">VLOOKUP($A648,Table_ship_components[],COLUMN(L:L),0)</f>
        <v>0</v>
      </c>
      <c r="M648" cm="1">
        <f t="array" ref="M648">VLOOKUP($A648,Table_ship_components[],COLUMN(M:M),0)</f>
        <v>0</v>
      </c>
      <c r="N648" cm="1">
        <f t="array" ref="N648">VLOOKUP($A648,Table_ship_components[],COLUMN(N:N),0)</f>
        <v>0</v>
      </c>
      <c r="O648" cm="1">
        <f t="array" ref="O648">VLOOKUP($A648,Table_ship_components[],COLUMN(O:O),0)</f>
        <v>0</v>
      </c>
      <c r="P648" cm="1">
        <f t="array" ref="P648">VLOOKUP($A648,Table_ship_components[],COLUMN(P:P),0)</f>
        <v>0</v>
      </c>
      <c r="Q648" cm="1">
        <f t="array" ref="Q648">VLOOKUP($A648,Table_ship_components[],COLUMN(Q:Q),0)</f>
        <v>0</v>
      </c>
      <c r="R648" cm="1">
        <f t="array" ref="R648">VLOOKUP($A648,Table_ship_components[],COLUMN(R:R),0)</f>
        <v>0</v>
      </c>
      <c r="S648" cm="1">
        <f t="array" ref="S648">VLOOKUP($A648,Table_ship_components[],COLUMN(S:S),0)</f>
        <v>0</v>
      </c>
      <c r="T648" cm="1">
        <f t="array" ref="T648">VLOOKUP($A648,Table_ship_components[],COLUMN(T:T),0)</f>
        <v>0</v>
      </c>
      <c r="U648" cm="1">
        <f t="array" ref="U648">VLOOKUP($A648,Table_ship_components[],COLUMN(U:U),0)</f>
        <v>0</v>
      </c>
      <c r="V648" cm="1">
        <f t="array" ref="V648">VLOOKUP($A648,Table_ship_components[],COLUMN(V:V),0)</f>
        <v>0</v>
      </c>
      <c r="W648" s="15" cm="1">
        <f t="array" ref="W648">VLOOKUP($A648,Table_ship_components[],COLUMN(W:W),0)</f>
        <v>0</v>
      </c>
      <c r="X648" cm="1">
        <f t="array" ref="X648">VLOOKUP($A648,Table_ship_components[],COLUMN(X:X),0)</f>
        <v>0</v>
      </c>
      <c r="Y648" cm="1">
        <f t="array" ref="Y648">VLOOKUP($A648,Table_ship_components[],COLUMN(Y:Y),0)</f>
        <v>0</v>
      </c>
      <c r="Z648" cm="1">
        <f t="array" ref="Z648">VLOOKUP($A648,Table_ship_components[],COLUMN(Z:Z),0)</f>
        <v>0</v>
      </c>
      <c r="AA648" cm="1">
        <f t="array" ref="AA648">VLOOKUP($A648,Table_ship_components[],COLUMN(AA:AA),0)*C648</f>
        <v>0</v>
      </c>
      <c r="AB648">
        <f>IF(A648="CARGOSPACE_0-ALL_0-UNIVERSAL",C648,0)</f>
        <v>0</v>
      </c>
      <c r="AC648" cm="1">
        <f t="array" ref="AC648">VLOOKUP($A648,Table_ship_components[],COLUMN(AC:AC),0)*C648</f>
        <v>0</v>
      </c>
      <c r="AD648" cm="1">
        <f t="array" ref="AD648">VLOOKUP($A648,Table_ship_components[],COLUMN(AD:AD),0)</f>
        <v>0</v>
      </c>
      <c r="AE648" cm="1">
        <f t="array" ref="AE648">VLOOKUP($A648,Table_ship_components[],COLUMN(AE:AE),0)</f>
        <v>0</v>
      </c>
      <c r="AF648" cm="1">
        <f t="array" ref="AF648">VLOOKUP($A648,Table_ship_components[],COLUMN(AF:AF),0)</f>
        <v>0</v>
      </c>
      <c r="AG648" cm="1">
        <f t="array" ref="AG648">VLOOKUP($A648,Table_ship_components[],COLUMN(AG:AG),0)</f>
        <v>0</v>
      </c>
      <c r="AH648" cm="1">
        <f t="array" ref="AH648">VLOOKUP($A648,Table_ship_components[],COLUMN(AH:AH),0)</f>
        <v>0</v>
      </c>
      <c r="AI648" cm="1">
        <f t="array" ref="AI648">VLOOKUP($A648,Table_ship_components[],COLUMN(AI:AI),0)</f>
        <v>0</v>
      </c>
      <c r="AJ648" cm="1">
        <f t="array" ref="AJ648">VLOOKUP($A648,Table_ship_components[],COLUMN(AJ:AJ),0)</f>
        <v>0</v>
      </c>
      <c r="AK648" cm="1">
        <f t="array" ref="AK648">VLOOKUP($A648,Table_ship_components[],COLUMN(AK:AK),0)</f>
        <v>0</v>
      </c>
      <c r="AL648" cm="1">
        <f t="array" ref="AL648">VLOOKUP($A648,Table_ship_components[],COLUMN(AL:AL),0)</f>
        <v>0</v>
      </c>
      <c r="AM648" cm="1">
        <f t="array" ref="AM648">VLOOKUP($A648,Table_ship_components[],COLUMN(AM:AM),0)</f>
        <v>0</v>
      </c>
      <c r="AN648" cm="1">
        <f t="array" ref="AN648">VLOOKUP($A648,Table_ship_components[],COLUMN(AN:AN),0)</f>
        <v>0</v>
      </c>
      <c r="AO648" cm="1">
        <f t="array" ref="AO648">VLOOKUP($A648,Table_ship_components[],COLUMN(AO:AO),0)</f>
        <v>0</v>
      </c>
      <c r="AP648" cm="1">
        <f t="array" ref="AP648">VLOOKUP($A648,Table_ship_components[],COLUMN(AP:AP),0)</f>
        <v>0</v>
      </c>
      <c r="AQ648" cm="1">
        <f t="array" ref="AQ648">VLOOKUP($A648,Table_ship_components[],COLUMN(AQ:AQ),0)</f>
        <v>0</v>
      </c>
      <c r="AR648" cm="1">
        <f t="array" ref="AR648">VLOOKUP($A648,Table_ship_components[],COLUMN(AR:AR),0)</f>
        <v>0</v>
      </c>
      <c r="AS648" cm="1">
        <f t="array" ref="AS648">VLOOKUP($A648,Table_ship_components[],COLUMN(AS:AS),0)</f>
        <v>0</v>
      </c>
      <c r="AT648" cm="1">
        <f t="array" ref="AT648">VLOOKUP($A648,Table_ship_components[],COLUMN(AT:AT),0)</f>
        <v>0</v>
      </c>
      <c r="AU648" s="2" cm="1">
        <f t="array" ref="AU648">VLOOKUP($A648,Table_ship_components[],COLUMN(AU:AU),0)</f>
        <v>0</v>
      </c>
      <c r="AV648" s="2" cm="1">
        <f t="array" ref="AV648">VLOOKUP($A648,Table_ship_components[],COLUMN(AV:AV),0)</f>
        <v>0</v>
      </c>
      <c r="AW648" s="2" cm="1">
        <f t="array" ref="AW648">VLOOKUP($A648,Table_ship_components[],COLUMN(AW:AW),0)</f>
        <v>0</v>
      </c>
      <c r="AX648" s="2" cm="1">
        <f t="array" ref="AX648">VLOOKUP($A648,Table_ship_components[],COLUMN(AX:AX),0)</f>
        <v>0</v>
      </c>
      <c r="AY648" s="2" cm="1">
        <f t="array" ref="AY648">VLOOKUP($A648,Table_ship_components[],COLUMN(AY:AY),0)</f>
        <v>0</v>
      </c>
      <c r="AZ648" s="2" t="str" cm="1">
        <f t="array" ref="AZ648">VLOOKUP($A648,Table_ship_components[],COLUMN(AZ:AZ),0)</f>
        <v>C</v>
      </c>
      <c r="BA648" s="14" cm="1">
        <f t="array" ref="BA648">VLOOKUP($A648,Table_ship_components[],COLUMN(BA:BA),0)</f>
        <v>0</v>
      </c>
      <c r="BB648" s="14" cm="1">
        <f t="array" ref="BB648">(VLOOKUP($A648,Table_ship_components[],COLUMN(BA:BA),0)+(W648*C648))</f>
        <v>0</v>
      </c>
      <c r="BC648" s="2" cm="1">
        <f t="array" ref="BC648">VLOOKUP($A648,Table_ship_components[],COLUMN(BC:BC),0)</f>
        <v>0</v>
      </c>
      <c r="BD648" s="2" cm="1">
        <f t="array" ref="BD648">VLOOKUP($A648,Table_ship_components[],COLUMN(BD:BD),0)</f>
        <v>0</v>
      </c>
    </row>
    <row r="649" spans="1:56" outlineLevel="1" x14ac:dyDescent="0.35">
      <c r="A649" s="18" t="s">
        <v>425</v>
      </c>
      <c r="B649" s="19" t="str">
        <f>CONCATENATE("SIZE ",(SUM(E650:E657)),"/",AY627,"  POWER ",(SUM(G650:G657)))</f>
        <v>SIZE 10/10  POWER 5</v>
      </c>
      <c r="AU649" s="2"/>
      <c r="AV649" s="2"/>
      <c r="AW649" s="2"/>
      <c r="AX649" s="2"/>
      <c r="AY649" s="2"/>
      <c r="AZ649" s="2"/>
      <c r="BA649" s="14"/>
      <c r="BB649" s="14"/>
      <c r="BC649" s="2"/>
      <c r="BD649" s="2"/>
    </row>
    <row r="650" spans="1:56" outlineLevel="1" x14ac:dyDescent="0.35">
      <c r="A650" t="s">
        <v>323</v>
      </c>
      <c r="B650" t="str" cm="1">
        <f t="array" ref="B650">VLOOKUP($A650,Table_ship_components[],COLUMN(B:B),0)</f>
        <v>extra large fixed weapon mount</v>
      </c>
      <c r="D650" cm="1">
        <f t="array" ref="D650">VLOOKUP($A650,Table_ship_components[],COLUMN(D:D),0)</f>
        <v>3</v>
      </c>
      <c r="E650" cm="1">
        <f t="array" ref="E650">ROUND(VLOOKUP($A650,Table_ship_components[],COLUMN(D:D),0)+(V650*C650),0)</f>
        <v>3</v>
      </c>
      <c r="F650" cm="1">
        <f t="array" ref="F650">VLOOKUP($A650,Table_ship_components[],COLUMN(F:F),0)</f>
        <v>0</v>
      </c>
      <c r="G650" cm="1">
        <f t="array" ref="G650">ROUND(VLOOKUP($A650,Table_ship_components[],COLUMN(G:G),0)+(X650*C650),0)</f>
        <v>0</v>
      </c>
      <c r="H650" cm="1">
        <f t="array" ref="H650">VLOOKUP($A650,Table_ship_components[],COLUMN(H:H),0)</f>
        <v>0</v>
      </c>
      <c r="I650" cm="1">
        <f t="array" ref="I650">VLOOKUP($A650,Table_ship_components[],COLUMN(I:I),0)</f>
        <v>0</v>
      </c>
      <c r="J650" cm="1">
        <f t="array" ref="J650">VLOOKUP($A650,Table_ship_components[],COLUMN(J:J),0)</f>
        <v>0</v>
      </c>
      <c r="K650" cm="1">
        <f t="array" ref="K650">VLOOKUP($A650,Table_ship_components[],COLUMN(K:K),0)</f>
        <v>0</v>
      </c>
      <c r="L650" cm="1">
        <f t="array" ref="L650">VLOOKUP($A650,Table_ship_components[],COLUMN(L:L),0)</f>
        <v>0</v>
      </c>
      <c r="M650" cm="1">
        <f t="array" ref="M650">VLOOKUP($A650,Table_ship_components[],COLUMN(M:M),0)</f>
        <v>1</v>
      </c>
      <c r="N650" cm="1">
        <f t="array" ref="N650">VLOOKUP($A650,Table_ship_components[],COLUMN(N:N),0)</f>
        <v>1</v>
      </c>
      <c r="O650" cm="1">
        <f t="array" ref="O650">VLOOKUP($A650,Table_ship_components[],COLUMN(O:O),0)</f>
        <v>1</v>
      </c>
      <c r="P650" cm="1">
        <f t="array" ref="P650">VLOOKUP($A650,Table_ship_components[],COLUMN(P:P),0)</f>
        <v>1</v>
      </c>
      <c r="Q650" cm="1">
        <f t="array" ref="Q650">VLOOKUP($A650,Table_ship_components[],COLUMN(Q:Q),0)</f>
        <v>1</v>
      </c>
      <c r="R650" cm="1">
        <f t="array" ref="R650">VLOOKUP($A650,Table_ship_components[],COLUMN(R:R),0)</f>
        <v>1</v>
      </c>
      <c r="S650" cm="1">
        <f t="array" ref="S650">VLOOKUP($A650,Table_ship_components[],COLUMN(S:S),0)</f>
        <v>1</v>
      </c>
      <c r="T650" cm="1">
        <f t="array" ref="T650">VLOOKUP($A650,Table_ship_components[],COLUMN(T:T),0)</f>
        <v>1</v>
      </c>
      <c r="U650" cm="1">
        <f t="array" ref="U650">VLOOKUP($A650,Table_ship_components[],COLUMN(U:U),0)</f>
        <v>0</v>
      </c>
      <c r="V650" cm="1">
        <f t="array" ref="V650">VLOOKUP($A650,Table_ship_components[],COLUMN(V:V),0)</f>
        <v>0</v>
      </c>
      <c r="W650" s="15" cm="1">
        <f t="array" ref="W650">VLOOKUP($A650,Table_ship_components[],COLUMN(W:W),0)</f>
        <v>0</v>
      </c>
      <c r="X650" cm="1">
        <f t="array" ref="X650">VLOOKUP($A650,Table_ship_components[],COLUMN(X:X),0)</f>
        <v>0</v>
      </c>
      <c r="Y650" cm="1">
        <f t="array" ref="Y650">VLOOKUP($A650,Table_ship_components[],COLUMN(Y:Y),0)</f>
        <v>0</v>
      </c>
      <c r="Z650" cm="1">
        <f t="array" ref="Z650">VLOOKUP($A650,Table_ship_components[],COLUMN(Z:Z),0)</f>
        <v>0</v>
      </c>
      <c r="AA650" cm="1">
        <f t="array" ref="AA650">VLOOKUP($A650,Table_ship_components[],COLUMN(AA:AA),0)*C650</f>
        <v>0</v>
      </c>
      <c r="AB650">
        <f t="shared" ref="AB650:AB657" si="67">IF(A650="CARGOSPACE_0-ALL_0-UNIVERSAL",C650,0)</f>
        <v>0</v>
      </c>
      <c r="AC650" cm="1">
        <f t="array" ref="AC650">VLOOKUP($A650,Table_ship_components[],COLUMN(AC:AC),0)*C650</f>
        <v>0</v>
      </c>
      <c r="AD650" cm="1">
        <f t="array" ref="AD650">VLOOKUP($A650,Table_ship_components[],COLUMN(AD:AD),0)</f>
        <v>0</v>
      </c>
      <c r="AE650" cm="1">
        <f t="array" ref="AE650">VLOOKUP($A650,Table_ship_components[],COLUMN(AE:AE),0)</f>
        <v>0</v>
      </c>
      <c r="AF650" cm="1">
        <f t="array" ref="AF650">VLOOKUP($A650,Table_ship_components[],COLUMN(AF:AF),0)</f>
        <v>0</v>
      </c>
      <c r="AG650" cm="1">
        <f t="array" ref="AG650">VLOOKUP($A650,Table_ship_components[],COLUMN(AG:AG),0)</f>
        <v>0</v>
      </c>
      <c r="AH650" cm="1">
        <f t="array" ref="AH650">VLOOKUP($A650,Table_ship_components[],COLUMN(AH:AH),0)</f>
        <v>0</v>
      </c>
      <c r="AI650" cm="1">
        <f t="array" ref="AI650">VLOOKUP($A650,Table_ship_components[],COLUMN(AI:AI),0)</f>
        <v>0</v>
      </c>
      <c r="AJ650" cm="1">
        <f t="array" ref="AJ650">VLOOKUP($A650,Table_ship_components[],COLUMN(AJ:AJ),0)</f>
        <v>0</v>
      </c>
      <c r="AK650" cm="1">
        <f t="array" ref="AK650">VLOOKUP($A650,Table_ship_components[],COLUMN(AK:AK),0)</f>
        <v>0</v>
      </c>
      <c r="AL650" cm="1">
        <f t="array" ref="AL650">VLOOKUP($A650,Table_ship_components[],COLUMN(AL:AL),0)</f>
        <v>0</v>
      </c>
      <c r="AM650" cm="1">
        <f t="array" ref="AM650">VLOOKUP($A650,Table_ship_components[],COLUMN(AM:AM),0)</f>
        <v>0</v>
      </c>
      <c r="AN650" cm="1">
        <f t="array" ref="AN650">VLOOKUP($A650,Table_ship_components[],COLUMN(AN:AN),0)</f>
        <v>0</v>
      </c>
      <c r="AO650" cm="1">
        <f t="array" ref="AO650">VLOOKUP($A650,Table_ship_components[],COLUMN(AO:AO),0)</f>
        <v>0</v>
      </c>
      <c r="AP650" cm="1">
        <f t="array" ref="AP650">VLOOKUP($A650,Table_ship_components[],COLUMN(AP:AP),0)</f>
        <v>0</v>
      </c>
      <c r="AQ650" cm="1">
        <f t="array" ref="AQ650">VLOOKUP($A650,Table_ship_components[],COLUMN(AQ:AQ),0)</f>
        <v>0</v>
      </c>
      <c r="AR650" cm="1">
        <f t="array" ref="AR650">VLOOKUP($A650,Table_ship_components[],COLUMN(AR:AR),0)</f>
        <v>0</v>
      </c>
      <c r="AS650" cm="1">
        <f t="array" ref="AS650">VLOOKUP($A650,Table_ship_components[],COLUMN(AS:AS),0)</f>
        <v>0</v>
      </c>
      <c r="AT650" cm="1">
        <f t="array" ref="AT650">VLOOKUP($A650,Table_ship_components[],COLUMN(AT:AT),0)</f>
        <v>0</v>
      </c>
      <c r="AU650" s="2" cm="1">
        <f t="array" ref="AU650">VLOOKUP($A650,Table_ship_components[],COLUMN(AU:AU),0)</f>
        <v>0</v>
      </c>
      <c r="AV650" s="2" cm="1">
        <f t="array" ref="AV650">VLOOKUP($A650,Table_ship_components[],COLUMN(AV:AV),0)</f>
        <v>0</v>
      </c>
      <c r="AW650" s="2" cm="1">
        <f t="array" ref="AW650">VLOOKUP($A650,Table_ship_components[],COLUMN(AW:AW),0)</f>
        <v>0</v>
      </c>
      <c r="AX650" s="2" cm="1">
        <f t="array" ref="AX650">VLOOKUP($A650,Table_ship_components[],COLUMN(AX:AX),0)</f>
        <v>0</v>
      </c>
      <c r="AY650" s="2" cm="1">
        <f t="array" ref="AY650">VLOOKUP($A650,Table_ship_components[],COLUMN(AY:AY),0)</f>
        <v>0</v>
      </c>
      <c r="AZ650" s="2" t="str" cm="1">
        <f t="array" ref="AZ650">VLOOKUP($A650,Table_ship_components[],COLUMN(AZ:AZ),0)</f>
        <v>C</v>
      </c>
      <c r="BA650" s="14" cm="1">
        <f t="array" ref="BA650">VLOOKUP($A650,Table_ship_components[],COLUMN(BA:BA),0)</f>
        <v>100000</v>
      </c>
      <c r="BB650" s="14" cm="1">
        <f t="array" ref="BB650">(VLOOKUP($A650,Table_ship_components[],COLUMN(BA:BA),0)+(W650*C650))</f>
        <v>100000</v>
      </c>
      <c r="BC650" s="2" cm="1">
        <f t="array" ref="BC650">VLOOKUP($A650,Table_ship_components[],COLUMN(BC:BC),0)</f>
        <v>0</v>
      </c>
      <c r="BD650" s="2" cm="1">
        <f t="array" ref="BD650">VLOOKUP($A650,Table_ship_components[],COLUMN(BD:BD),0)</f>
        <v>0</v>
      </c>
    </row>
    <row r="651" spans="1:56" outlineLevel="1" x14ac:dyDescent="0.35">
      <c r="A651" t="s">
        <v>323</v>
      </c>
      <c r="B651" t="str" cm="1">
        <f t="array" ref="B651">VLOOKUP($A651,Table_ship_components[],COLUMN(B:B),0)</f>
        <v>extra large fixed weapon mount</v>
      </c>
      <c r="D651" cm="1">
        <f t="array" ref="D651">VLOOKUP($A651,Table_ship_components[],COLUMN(D:D),0)</f>
        <v>3</v>
      </c>
      <c r="E651" cm="1">
        <f t="array" ref="E651">ROUND(VLOOKUP($A651,Table_ship_components[],COLUMN(D:D),0)+(V651*C651),0)</f>
        <v>3</v>
      </c>
      <c r="F651" cm="1">
        <f t="array" ref="F651">VLOOKUP($A651,Table_ship_components[],COLUMN(F:F),0)</f>
        <v>0</v>
      </c>
      <c r="G651" cm="1">
        <f t="array" ref="G651">ROUND(VLOOKUP($A651,Table_ship_components[],COLUMN(G:G),0)+(X651*C651),0)</f>
        <v>0</v>
      </c>
      <c r="H651" cm="1">
        <f t="array" ref="H651">VLOOKUP($A651,Table_ship_components[],COLUMN(H:H),0)</f>
        <v>0</v>
      </c>
      <c r="I651" cm="1">
        <f t="array" ref="I651">VLOOKUP($A651,Table_ship_components[],COLUMN(I:I),0)</f>
        <v>0</v>
      </c>
      <c r="J651" cm="1">
        <f t="array" ref="J651">VLOOKUP($A651,Table_ship_components[],COLUMN(J:J),0)</f>
        <v>0</v>
      </c>
      <c r="K651" cm="1">
        <f t="array" ref="K651">VLOOKUP($A651,Table_ship_components[],COLUMN(K:K),0)</f>
        <v>0</v>
      </c>
      <c r="L651" cm="1">
        <f t="array" ref="L651">VLOOKUP($A651,Table_ship_components[],COLUMN(L:L),0)</f>
        <v>0</v>
      </c>
      <c r="M651" cm="1">
        <f t="array" ref="M651">VLOOKUP($A651,Table_ship_components[],COLUMN(M:M),0)</f>
        <v>1</v>
      </c>
      <c r="N651" cm="1">
        <f t="array" ref="N651">VLOOKUP($A651,Table_ship_components[],COLUMN(N:N),0)</f>
        <v>1</v>
      </c>
      <c r="O651" cm="1">
        <f t="array" ref="O651">VLOOKUP($A651,Table_ship_components[],COLUMN(O:O),0)</f>
        <v>1</v>
      </c>
      <c r="P651" cm="1">
        <f t="array" ref="P651">VLOOKUP($A651,Table_ship_components[],COLUMN(P:P),0)</f>
        <v>1</v>
      </c>
      <c r="Q651" cm="1">
        <f t="array" ref="Q651">VLOOKUP($A651,Table_ship_components[],COLUMN(Q:Q),0)</f>
        <v>1</v>
      </c>
      <c r="R651" cm="1">
        <f t="array" ref="R651">VLOOKUP($A651,Table_ship_components[],COLUMN(R:R),0)</f>
        <v>1</v>
      </c>
      <c r="S651" cm="1">
        <f t="array" ref="S651">VLOOKUP($A651,Table_ship_components[],COLUMN(S:S),0)</f>
        <v>1</v>
      </c>
      <c r="T651" cm="1">
        <f t="array" ref="T651">VLOOKUP($A651,Table_ship_components[],COLUMN(T:T),0)</f>
        <v>1</v>
      </c>
      <c r="U651" cm="1">
        <f t="array" ref="U651">VLOOKUP($A651,Table_ship_components[],COLUMN(U:U),0)</f>
        <v>0</v>
      </c>
      <c r="V651" cm="1">
        <f t="array" ref="V651">VLOOKUP($A651,Table_ship_components[],COLUMN(V:V),0)</f>
        <v>0</v>
      </c>
      <c r="W651" s="15" cm="1">
        <f t="array" ref="W651">VLOOKUP($A651,Table_ship_components[],COLUMN(W:W),0)</f>
        <v>0</v>
      </c>
      <c r="X651" cm="1">
        <f t="array" ref="X651">VLOOKUP($A651,Table_ship_components[],COLUMN(X:X),0)</f>
        <v>0</v>
      </c>
      <c r="Y651" cm="1">
        <f t="array" ref="Y651">VLOOKUP($A651,Table_ship_components[],COLUMN(Y:Y),0)</f>
        <v>0</v>
      </c>
      <c r="Z651" cm="1">
        <f t="array" ref="Z651">VLOOKUP($A651,Table_ship_components[],COLUMN(Z:Z),0)</f>
        <v>0</v>
      </c>
      <c r="AA651" cm="1">
        <f t="array" ref="AA651">VLOOKUP($A651,Table_ship_components[],COLUMN(AA:AA),0)*C651</f>
        <v>0</v>
      </c>
      <c r="AB651">
        <f t="shared" si="67"/>
        <v>0</v>
      </c>
      <c r="AC651" cm="1">
        <f t="array" ref="AC651">VLOOKUP($A651,Table_ship_components[],COLUMN(AC:AC),0)*C651</f>
        <v>0</v>
      </c>
      <c r="AD651" cm="1">
        <f t="array" ref="AD651">VLOOKUP($A651,Table_ship_components[],COLUMN(AD:AD),0)</f>
        <v>0</v>
      </c>
      <c r="AE651" cm="1">
        <f t="array" ref="AE651">VLOOKUP($A651,Table_ship_components[],COLUMN(AE:AE),0)</f>
        <v>0</v>
      </c>
      <c r="AF651" cm="1">
        <f t="array" ref="AF651">VLOOKUP($A651,Table_ship_components[],COLUMN(AF:AF),0)</f>
        <v>0</v>
      </c>
      <c r="AG651" cm="1">
        <f t="array" ref="AG651">VLOOKUP($A651,Table_ship_components[],COLUMN(AG:AG),0)</f>
        <v>0</v>
      </c>
      <c r="AH651" cm="1">
        <f t="array" ref="AH651">VLOOKUP($A651,Table_ship_components[],COLUMN(AH:AH),0)</f>
        <v>0</v>
      </c>
      <c r="AI651" cm="1">
        <f t="array" ref="AI651">VLOOKUP($A651,Table_ship_components[],COLUMN(AI:AI),0)</f>
        <v>0</v>
      </c>
      <c r="AJ651" cm="1">
        <f t="array" ref="AJ651">VLOOKUP($A651,Table_ship_components[],COLUMN(AJ:AJ),0)</f>
        <v>0</v>
      </c>
      <c r="AK651" cm="1">
        <f t="array" ref="AK651">VLOOKUP($A651,Table_ship_components[],COLUMN(AK:AK),0)</f>
        <v>0</v>
      </c>
      <c r="AL651" cm="1">
        <f t="array" ref="AL651">VLOOKUP($A651,Table_ship_components[],COLUMN(AL:AL),0)</f>
        <v>0</v>
      </c>
      <c r="AM651" cm="1">
        <f t="array" ref="AM651">VLOOKUP($A651,Table_ship_components[],COLUMN(AM:AM),0)</f>
        <v>0</v>
      </c>
      <c r="AN651" cm="1">
        <f t="array" ref="AN651">VLOOKUP($A651,Table_ship_components[],COLUMN(AN:AN),0)</f>
        <v>0</v>
      </c>
      <c r="AO651" cm="1">
        <f t="array" ref="AO651">VLOOKUP($A651,Table_ship_components[],COLUMN(AO:AO),0)</f>
        <v>0</v>
      </c>
      <c r="AP651" cm="1">
        <f t="array" ref="AP651">VLOOKUP($A651,Table_ship_components[],COLUMN(AP:AP),0)</f>
        <v>0</v>
      </c>
      <c r="AQ651" cm="1">
        <f t="array" ref="AQ651">VLOOKUP($A651,Table_ship_components[],COLUMN(AQ:AQ),0)</f>
        <v>0</v>
      </c>
      <c r="AR651" cm="1">
        <f t="array" ref="AR651">VLOOKUP($A651,Table_ship_components[],COLUMN(AR:AR),0)</f>
        <v>0</v>
      </c>
      <c r="AS651" cm="1">
        <f t="array" ref="AS651">VLOOKUP($A651,Table_ship_components[],COLUMN(AS:AS),0)</f>
        <v>0</v>
      </c>
      <c r="AT651" cm="1">
        <f t="array" ref="AT651">VLOOKUP($A651,Table_ship_components[],COLUMN(AT:AT),0)</f>
        <v>0</v>
      </c>
      <c r="AU651" s="2" cm="1">
        <f t="array" ref="AU651">VLOOKUP($A651,Table_ship_components[],COLUMN(AU:AU),0)</f>
        <v>0</v>
      </c>
      <c r="AV651" s="2" cm="1">
        <f t="array" ref="AV651">VLOOKUP($A651,Table_ship_components[],COLUMN(AV:AV),0)</f>
        <v>0</v>
      </c>
      <c r="AW651" s="2" cm="1">
        <f t="array" ref="AW651">VLOOKUP($A651,Table_ship_components[],COLUMN(AW:AW),0)</f>
        <v>0</v>
      </c>
      <c r="AX651" s="2" cm="1">
        <f t="array" ref="AX651">VLOOKUP($A651,Table_ship_components[],COLUMN(AX:AX),0)</f>
        <v>0</v>
      </c>
      <c r="AY651" s="2" cm="1">
        <f t="array" ref="AY651">VLOOKUP($A651,Table_ship_components[],COLUMN(AY:AY),0)</f>
        <v>0</v>
      </c>
      <c r="AZ651" s="2" t="str" cm="1">
        <f t="array" ref="AZ651">VLOOKUP($A651,Table_ship_components[],COLUMN(AZ:AZ),0)</f>
        <v>C</v>
      </c>
      <c r="BA651" s="14" cm="1">
        <f t="array" ref="BA651">VLOOKUP($A651,Table_ship_components[],COLUMN(BA:BA),0)</f>
        <v>100000</v>
      </c>
      <c r="BB651" s="14" cm="1">
        <f t="array" ref="BB651">(VLOOKUP($A651,Table_ship_components[],COLUMN(BA:BA),0)+(W651*C651))</f>
        <v>100000</v>
      </c>
      <c r="BC651" s="2" cm="1">
        <f t="array" ref="BC651">VLOOKUP($A651,Table_ship_components[],COLUMN(BC:BC),0)</f>
        <v>0</v>
      </c>
      <c r="BD651" s="2" cm="1">
        <f t="array" ref="BD651">VLOOKUP($A651,Table_ship_components[],COLUMN(BD:BD),0)</f>
        <v>0</v>
      </c>
    </row>
    <row r="652" spans="1:56" outlineLevel="1" x14ac:dyDescent="0.35">
      <c r="A652" t="s">
        <v>640</v>
      </c>
      <c r="B652" t="str" cm="1">
        <f t="array" ref="B652">VLOOKUP($A652,Table_ship_components[],COLUMN(B:B),0)</f>
        <v>med speed drone combat engine</v>
      </c>
      <c r="D652" cm="1">
        <f t="array" ref="D652">VLOOKUP($A652,Table_ship_components[],COLUMN(D:D),0)</f>
        <v>4</v>
      </c>
      <c r="E652" cm="1">
        <f t="array" ref="E652">ROUND(VLOOKUP($A652,Table_ship_components[],COLUMN(D:D),0)+(V652*C652),0)</f>
        <v>4</v>
      </c>
      <c r="F652" cm="1">
        <f t="array" ref="F652">VLOOKUP($A652,Table_ship_components[],COLUMN(F:F),0)</f>
        <v>5</v>
      </c>
      <c r="G652" cm="1">
        <f t="array" ref="G652">ROUND(VLOOKUP($A652,Table_ship_components[],COLUMN(G:G),0)+(X652*C652),0)</f>
        <v>5</v>
      </c>
      <c r="H652" cm="1">
        <f t="array" ref="H652">VLOOKUP($A652,Table_ship_components[],COLUMN(H:H),0)</f>
        <v>0</v>
      </c>
      <c r="I652" cm="1">
        <f t="array" ref="I652">VLOOKUP($A652,Table_ship_components[],COLUMN(I:I),0)</f>
        <v>0</v>
      </c>
      <c r="J652" cm="1">
        <f t="array" ref="J652">VLOOKUP($A652,Table_ship_components[],COLUMN(J:J),0)</f>
        <v>0</v>
      </c>
      <c r="K652" cm="1">
        <f t="array" ref="K652">VLOOKUP($A652,Table_ship_components[],COLUMN(K:K),0)</f>
        <v>0</v>
      </c>
      <c r="L652" cm="1">
        <f t="array" ref="L652">VLOOKUP($A652,Table_ship_components[],COLUMN(L:L),0)</f>
        <v>0</v>
      </c>
      <c r="M652" cm="1">
        <f t="array" ref="M652">VLOOKUP($A652,Table_ship_components[],COLUMN(M:M),0)</f>
        <v>1</v>
      </c>
      <c r="N652" cm="1">
        <f t="array" ref="N652">VLOOKUP($A652,Table_ship_components[],COLUMN(N:N),0)</f>
        <v>0</v>
      </c>
      <c r="O652" cm="1">
        <f t="array" ref="O652">VLOOKUP($A652,Table_ship_components[],COLUMN(O:O),0)</f>
        <v>0</v>
      </c>
      <c r="P652" cm="1">
        <f t="array" ref="P652">VLOOKUP($A652,Table_ship_components[],COLUMN(P:P),0)</f>
        <v>0</v>
      </c>
      <c r="Q652" cm="1">
        <f t="array" ref="Q652">VLOOKUP($A652,Table_ship_components[],COLUMN(Q:Q),0)</f>
        <v>0</v>
      </c>
      <c r="R652" cm="1">
        <f t="array" ref="R652">VLOOKUP($A652,Table_ship_components[],COLUMN(R:R),0)</f>
        <v>0</v>
      </c>
      <c r="S652" cm="1">
        <f t="array" ref="S652">VLOOKUP($A652,Table_ship_components[],COLUMN(S:S),0)</f>
        <v>0</v>
      </c>
      <c r="T652" cm="1">
        <f t="array" ref="T652">VLOOKUP($A652,Table_ship_components[],COLUMN(T:T),0)</f>
        <v>0</v>
      </c>
      <c r="U652" cm="1">
        <f t="array" ref="U652">VLOOKUP($A652,Table_ship_components[],COLUMN(U:U),0)</f>
        <v>0</v>
      </c>
      <c r="V652" cm="1">
        <f t="array" ref="V652">VLOOKUP($A652,Table_ship_components[],COLUMN(V:V),0)</f>
        <v>0</v>
      </c>
      <c r="W652" s="15" cm="1">
        <f t="array" ref="W652">VLOOKUP($A652,Table_ship_components[],COLUMN(W:W),0)</f>
        <v>0</v>
      </c>
      <c r="X652" cm="1">
        <f t="array" ref="X652">VLOOKUP($A652,Table_ship_components[],COLUMN(X:X),0)</f>
        <v>0</v>
      </c>
      <c r="Y652" cm="1">
        <f t="array" ref="Y652">VLOOKUP($A652,Table_ship_components[],COLUMN(Y:Y),0)</f>
        <v>0</v>
      </c>
      <c r="Z652" cm="1">
        <f t="array" ref="Z652">VLOOKUP($A652,Table_ship_components[],COLUMN(Z:Z),0)</f>
        <v>0</v>
      </c>
      <c r="AA652" cm="1">
        <f t="array" ref="AA652">VLOOKUP($A652,Table_ship_components[],COLUMN(AA:AA),0)*C652</f>
        <v>0</v>
      </c>
      <c r="AB652">
        <f t="shared" si="67"/>
        <v>0</v>
      </c>
      <c r="AC652" cm="1">
        <f t="array" ref="AC652">VLOOKUP($A652,Table_ship_components[],COLUMN(AC:AC),0)*C652</f>
        <v>0</v>
      </c>
      <c r="AD652" cm="1">
        <f t="array" ref="AD652">VLOOKUP($A652,Table_ship_components[],COLUMN(AD:AD),0)</f>
        <v>0</v>
      </c>
      <c r="AE652" cm="1">
        <f t="array" ref="AE652">VLOOKUP($A652,Table_ship_components[],COLUMN(AE:AE),0)</f>
        <v>0</v>
      </c>
      <c r="AF652" cm="1">
        <f t="array" ref="AF652">VLOOKUP($A652,Table_ship_components[],COLUMN(AF:AF),0)</f>
        <v>0</v>
      </c>
      <c r="AG652" cm="1">
        <f t="array" ref="AG652">VLOOKUP($A652,Table_ship_components[],COLUMN(AG:AG),0)</f>
        <v>0</v>
      </c>
      <c r="AH652" cm="1">
        <f t="array" ref="AH652">VLOOKUP($A652,Table_ship_components[],COLUMN(AH:AH),0)</f>
        <v>0</v>
      </c>
      <c r="AI652" cm="1">
        <f t="array" ref="AI652">VLOOKUP($A652,Table_ship_components[],COLUMN(AI:AI),0)</f>
        <v>0</v>
      </c>
      <c r="AJ652" cm="1">
        <f t="array" ref="AJ652">VLOOKUP($A652,Table_ship_components[],COLUMN(AJ:AJ),0)</f>
        <v>0</v>
      </c>
      <c r="AK652" cm="1">
        <f t="array" ref="AK652">VLOOKUP($A652,Table_ship_components[],COLUMN(AK:AK),0)</f>
        <v>0</v>
      </c>
      <c r="AL652" cm="1">
        <f t="array" ref="AL652">VLOOKUP($A652,Table_ship_components[],COLUMN(AL:AL),0)</f>
        <v>2</v>
      </c>
      <c r="AM652" cm="1">
        <f t="array" ref="AM652">VLOOKUP($A652,Table_ship_components[],COLUMN(AM:AM),0)</f>
        <v>0</v>
      </c>
      <c r="AN652" cm="1">
        <f t="array" ref="AN652">VLOOKUP($A652,Table_ship_components[],COLUMN(AN:AN),0)</f>
        <v>0</v>
      </c>
      <c r="AO652" cm="1">
        <f t="array" ref="AO652">VLOOKUP($A652,Table_ship_components[],COLUMN(AO:AO),0)</f>
        <v>0</v>
      </c>
      <c r="AP652" cm="1">
        <f t="array" ref="AP652">VLOOKUP($A652,Table_ship_components[],COLUMN(AP:AP),0)</f>
        <v>0</v>
      </c>
      <c r="AQ652" cm="1">
        <f t="array" ref="AQ652">VLOOKUP($A652,Table_ship_components[],COLUMN(AQ:AQ),0)</f>
        <v>0</v>
      </c>
      <c r="AR652" cm="1">
        <f t="array" ref="AR652">VLOOKUP($A652,Table_ship_components[],COLUMN(AR:AR),0)</f>
        <v>0</v>
      </c>
      <c r="AS652" cm="1">
        <f t="array" ref="AS652">VLOOKUP($A652,Table_ship_components[],COLUMN(AS:AS),0)</f>
        <v>0</v>
      </c>
      <c r="AT652" cm="1">
        <f t="array" ref="AT652">VLOOKUP($A652,Table_ship_components[],COLUMN(AT:AT),0)</f>
        <v>0</v>
      </c>
      <c r="AU652" s="2" cm="1">
        <f t="array" ref="AU652">VLOOKUP($A652,Table_ship_components[],COLUMN(AU:AU),0)</f>
        <v>2</v>
      </c>
      <c r="AV652" s="2" cm="1">
        <f t="array" ref="AV652">VLOOKUP($A652,Table_ship_components[],COLUMN(AV:AV),0)</f>
        <v>0</v>
      </c>
      <c r="AW652" s="2" cm="1">
        <f t="array" ref="AW652">VLOOKUP($A652,Table_ship_components[],COLUMN(AW:AW),0)</f>
        <v>0</v>
      </c>
      <c r="AX652" s="2" cm="1">
        <f t="array" ref="AX652">VLOOKUP($A652,Table_ship_components[],COLUMN(AX:AX),0)</f>
        <v>0</v>
      </c>
      <c r="AY652" s="2" cm="1">
        <f t="array" ref="AY652">VLOOKUP($A652,Table_ship_components[],COLUMN(AY:AY),0)</f>
        <v>0</v>
      </c>
      <c r="AZ652" s="2" t="str" cm="1">
        <f t="array" ref="AZ652">VLOOKUP($A652,Table_ship_components[],COLUMN(AZ:AZ),0)</f>
        <v>C</v>
      </c>
      <c r="BA652" s="14" cm="1">
        <f t="array" ref="BA652">VLOOKUP($A652,Table_ship_components[],COLUMN(BA:BA),0)</f>
        <v>300000</v>
      </c>
      <c r="BB652" s="14" cm="1">
        <f t="array" ref="BB652">(VLOOKUP($A652,Table_ship_components[],COLUMN(BA:BA),0)+(W652*C652))</f>
        <v>300000</v>
      </c>
      <c r="BC652" s="2" cm="1">
        <f t="array" ref="BC652">VLOOKUP($A652,Table_ship_components[],COLUMN(BC:BC),0)</f>
        <v>0</v>
      </c>
      <c r="BD652" s="2" cm="1">
        <f t="array" ref="BD652">VLOOKUP($A652,Table_ship_components[],COLUMN(BD:BD),0)</f>
        <v>0</v>
      </c>
    </row>
    <row r="653" spans="1:56" outlineLevel="1" x14ac:dyDescent="0.35">
      <c r="A653" t="s">
        <v>288</v>
      </c>
      <c r="B653" t="str" cm="1">
        <f t="array" ref="B653">VLOOKUP($A653,Table_ship_components[],COLUMN(B:B),0)</f>
        <v>PICK A COMPONENT</v>
      </c>
      <c r="D653" cm="1">
        <f t="array" ref="D653">VLOOKUP($A653,Table_ship_components[],COLUMN(D:D),0)</f>
        <v>0</v>
      </c>
      <c r="E653" cm="1">
        <f t="array" ref="E653">ROUND(VLOOKUP($A653,Table_ship_components[],COLUMN(D:D),0)+(V653*C653),0)</f>
        <v>0</v>
      </c>
      <c r="F653" cm="1">
        <f t="array" ref="F653">VLOOKUP($A653,Table_ship_components[],COLUMN(F:F),0)</f>
        <v>0</v>
      </c>
      <c r="G653" cm="1">
        <f t="array" ref="G653">ROUND(VLOOKUP($A653,Table_ship_components[],COLUMN(G:G),0)+(X653*C653),0)</f>
        <v>0</v>
      </c>
      <c r="H653" cm="1">
        <f t="array" ref="H653">VLOOKUP($A653,Table_ship_components[],COLUMN(H:H),0)</f>
        <v>0</v>
      </c>
      <c r="I653" cm="1">
        <f t="array" ref="I653">VLOOKUP($A653,Table_ship_components[],COLUMN(I:I),0)</f>
        <v>0</v>
      </c>
      <c r="J653" cm="1">
        <f t="array" ref="J653">VLOOKUP($A653,Table_ship_components[],COLUMN(J:J),0)</f>
        <v>0</v>
      </c>
      <c r="K653" cm="1">
        <f t="array" ref="K653">VLOOKUP($A653,Table_ship_components[],COLUMN(K:K),0)</f>
        <v>0</v>
      </c>
      <c r="L653" cm="1">
        <f t="array" ref="L653">VLOOKUP($A653,Table_ship_components[],COLUMN(L:L),0)</f>
        <v>0</v>
      </c>
      <c r="M653" cm="1">
        <f t="array" ref="M653">VLOOKUP($A653,Table_ship_components[],COLUMN(M:M),0)</f>
        <v>0</v>
      </c>
      <c r="N653" cm="1">
        <f t="array" ref="N653">VLOOKUP($A653,Table_ship_components[],COLUMN(N:N),0)</f>
        <v>0</v>
      </c>
      <c r="O653" cm="1">
        <f t="array" ref="O653">VLOOKUP($A653,Table_ship_components[],COLUMN(O:O),0)</f>
        <v>0</v>
      </c>
      <c r="P653" cm="1">
        <f t="array" ref="P653">VLOOKUP($A653,Table_ship_components[],COLUMN(P:P),0)</f>
        <v>0</v>
      </c>
      <c r="Q653" cm="1">
        <f t="array" ref="Q653">VLOOKUP($A653,Table_ship_components[],COLUMN(Q:Q),0)</f>
        <v>0</v>
      </c>
      <c r="R653" cm="1">
        <f t="array" ref="R653">VLOOKUP($A653,Table_ship_components[],COLUMN(R:R),0)</f>
        <v>0</v>
      </c>
      <c r="S653" cm="1">
        <f t="array" ref="S653">VLOOKUP($A653,Table_ship_components[],COLUMN(S:S),0)</f>
        <v>0</v>
      </c>
      <c r="T653" cm="1">
        <f t="array" ref="T653">VLOOKUP($A653,Table_ship_components[],COLUMN(T:T),0)</f>
        <v>0</v>
      </c>
      <c r="U653" cm="1">
        <f t="array" ref="U653">VLOOKUP($A653,Table_ship_components[],COLUMN(U:U),0)</f>
        <v>0</v>
      </c>
      <c r="V653" cm="1">
        <f t="array" ref="V653">VLOOKUP($A653,Table_ship_components[],COLUMN(V:V),0)</f>
        <v>0</v>
      </c>
      <c r="W653" s="15" cm="1">
        <f t="array" ref="W653">VLOOKUP($A653,Table_ship_components[],COLUMN(W:W),0)</f>
        <v>0</v>
      </c>
      <c r="X653" cm="1">
        <f t="array" ref="X653">VLOOKUP($A653,Table_ship_components[],COLUMN(X:X),0)</f>
        <v>0</v>
      </c>
      <c r="Y653" cm="1">
        <f t="array" ref="Y653">VLOOKUP($A653,Table_ship_components[],COLUMN(Y:Y),0)</f>
        <v>0</v>
      </c>
      <c r="Z653" cm="1">
        <f t="array" ref="Z653">VLOOKUP($A653,Table_ship_components[],COLUMN(Z:Z),0)</f>
        <v>0</v>
      </c>
      <c r="AA653" cm="1">
        <f t="array" ref="AA653">VLOOKUP($A653,Table_ship_components[],COLUMN(AA:AA),0)*C653</f>
        <v>0</v>
      </c>
      <c r="AB653">
        <f t="shared" si="67"/>
        <v>0</v>
      </c>
      <c r="AC653" cm="1">
        <f t="array" ref="AC653">VLOOKUP($A653,Table_ship_components[],COLUMN(AC:AC),0)*C653</f>
        <v>0</v>
      </c>
      <c r="AD653" cm="1">
        <f t="array" ref="AD653">VLOOKUP($A653,Table_ship_components[],COLUMN(AD:AD),0)</f>
        <v>0</v>
      </c>
      <c r="AE653" cm="1">
        <f t="array" ref="AE653">VLOOKUP($A653,Table_ship_components[],COLUMN(AE:AE),0)</f>
        <v>0</v>
      </c>
      <c r="AF653" cm="1">
        <f t="array" ref="AF653">VLOOKUP($A653,Table_ship_components[],COLUMN(AF:AF),0)</f>
        <v>0</v>
      </c>
      <c r="AG653" cm="1">
        <f t="array" ref="AG653">VLOOKUP($A653,Table_ship_components[],COLUMN(AG:AG),0)</f>
        <v>0</v>
      </c>
      <c r="AH653" cm="1">
        <f t="array" ref="AH653">VLOOKUP($A653,Table_ship_components[],COLUMN(AH:AH),0)</f>
        <v>0</v>
      </c>
      <c r="AI653" cm="1">
        <f t="array" ref="AI653">VLOOKUP($A653,Table_ship_components[],COLUMN(AI:AI),0)</f>
        <v>0</v>
      </c>
      <c r="AJ653" cm="1">
        <f t="array" ref="AJ653">VLOOKUP($A653,Table_ship_components[],COLUMN(AJ:AJ),0)</f>
        <v>0</v>
      </c>
      <c r="AK653" cm="1">
        <f t="array" ref="AK653">VLOOKUP($A653,Table_ship_components[],COLUMN(AK:AK),0)</f>
        <v>0</v>
      </c>
      <c r="AL653" cm="1">
        <f t="array" ref="AL653">VLOOKUP($A653,Table_ship_components[],COLUMN(AL:AL),0)</f>
        <v>0</v>
      </c>
      <c r="AM653" cm="1">
        <f t="array" ref="AM653">VLOOKUP($A653,Table_ship_components[],COLUMN(AM:AM),0)</f>
        <v>0</v>
      </c>
      <c r="AN653" cm="1">
        <f t="array" ref="AN653">VLOOKUP($A653,Table_ship_components[],COLUMN(AN:AN),0)</f>
        <v>0</v>
      </c>
      <c r="AO653" cm="1">
        <f t="array" ref="AO653">VLOOKUP($A653,Table_ship_components[],COLUMN(AO:AO),0)</f>
        <v>0</v>
      </c>
      <c r="AP653" cm="1">
        <f t="array" ref="AP653">VLOOKUP($A653,Table_ship_components[],COLUMN(AP:AP),0)</f>
        <v>0</v>
      </c>
      <c r="AQ653" cm="1">
        <f t="array" ref="AQ653">VLOOKUP($A653,Table_ship_components[],COLUMN(AQ:AQ),0)</f>
        <v>0</v>
      </c>
      <c r="AR653" cm="1">
        <f t="array" ref="AR653">VLOOKUP($A653,Table_ship_components[],COLUMN(AR:AR),0)</f>
        <v>0</v>
      </c>
      <c r="AS653" cm="1">
        <f t="array" ref="AS653">VLOOKUP($A653,Table_ship_components[],COLUMN(AS:AS),0)</f>
        <v>0</v>
      </c>
      <c r="AT653" cm="1">
        <f t="array" ref="AT653">VLOOKUP($A653,Table_ship_components[],COLUMN(AT:AT),0)</f>
        <v>0</v>
      </c>
      <c r="AU653" s="2" cm="1">
        <f t="array" ref="AU653">VLOOKUP($A653,Table_ship_components[],COLUMN(AU:AU),0)</f>
        <v>0</v>
      </c>
      <c r="AV653" s="2" cm="1">
        <f t="array" ref="AV653">VLOOKUP($A653,Table_ship_components[],COLUMN(AV:AV),0)</f>
        <v>0</v>
      </c>
      <c r="AW653" s="2" cm="1">
        <f t="array" ref="AW653">VLOOKUP($A653,Table_ship_components[],COLUMN(AW:AW),0)</f>
        <v>0</v>
      </c>
      <c r="AX653" s="2" cm="1">
        <f t="array" ref="AX653">VLOOKUP($A653,Table_ship_components[],COLUMN(AX:AX),0)</f>
        <v>0</v>
      </c>
      <c r="AY653" s="2" cm="1">
        <f t="array" ref="AY653">VLOOKUP($A653,Table_ship_components[],COLUMN(AY:AY),0)</f>
        <v>0</v>
      </c>
      <c r="AZ653" s="2" t="str" cm="1">
        <f t="array" ref="AZ653">VLOOKUP($A653,Table_ship_components[],COLUMN(AZ:AZ),0)</f>
        <v>C</v>
      </c>
      <c r="BA653" s="14" cm="1">
        <f t="array" ref="BA653">VLOOKUP($A653,Table_ship_components[],COLUMN(BA:BA),0)</f>
        <v>0</v>
      </c>
      <c r="BB653" s="14" cm="1">
        <f t="array" ref="BB653">(VLOOKUP($A653,Table_ship_components[],COLUMN(BA:BA),0)+(W653*C653))</f>
        <v>0</v>
      </c>
      <c r="BC653" s="2" cm="1">
        <f t="array" ref="BC653">VLOOKUP($A653,Table_ship_components[],COLUMN(BC:BC),0)</f>
        <v>0</v>
      </c>
      <c r="BD653" s="2" cm="1">
        <f t="array" ref="BD653">VLOOKUP($A653,Table_ship_components[],COLUMN(BD:BD),0)</f>
        <v>0</v>
      </c>
    </row>
    <row r="654" spans="1:56" outlineLevel="1" x14ac:dyDescent="0.35">
      <c r="A654" t="s">
        <v>288</v>
      </c>
      <c r="B654" t="str" cm="1">
        <f t="array" ref="B654">VLOOKUP($A654,Table_ship_components[],COLUMN(B:B),0)</f>
        <v>PICK A COMPONENT</v>
      </c>
      <c r="D654" cm="1">
        <f t="array" ref="D654">VLOOKUP($A654,Table_ship_components[],COLUMN(D:D),0)</f>
        <v>0</v>
      </c>
      <c r="E654" cm="1">
        <f t="array" ref="E654">ROUND(VLOOKUP($A654,Table_ship_components[],COLUMN(D:D),0)+(V654*C654),0)</f>
        <v>0</v>
      </c>
      <c r="F654" cm="1">
        <f t="array" ref="F654">VLOOKUP($A654,Table_ship_components[],COLUMN(F:F),0)</f>
        <v>0</v>
      </c>
      <c r="G654" cm="1">
        <f t="array" ref="G654">ROUND(VLOOKUP($A654,Table_ship_components[],COLUMN(G:G),0)+(X654*C654),0)</f>
        <v>0</v>
      </c>
      <c r="H654" cm="1">
        <f t="array" ref="H654">VLOOKUP($A654,Table_ship_components[],COLUMN(H:H),0)</f>
        <v>0</v>
      </c>
      <c r="I654" cm="1">
        <f t="array" ref="I654">VLOOKUP($A654,Table_ship_components[],COLUMN(I:I),0)</f>
        <v>0</v>
      </c>
      <c r="J654" cm="1">
        <f t="array" ref="J654">VLOOKUP($A654,Table_ship_components[],COLUMN(J:J),0)</f>
        <v>0</v>
      </c>
      <c r="K654" cm="1">
        <f t="array" ref="K654">VLOOKUP($A654,Table_ship_components[],COLUMN(K:K),0)</f>
        <v>0</v>
      </c>
      <c r="L654" cm="1">
        <f t="array" ref="L654">VLOOKUP($A654,Table_ship_components[],COLUMN(L:L),0)</f>
        <v>0</v>
      </c>
      <c r="M654" cm="1">
        <f t="array" ref="M654">VLOOKUP($A654,Table_ship_components[],COLUMN(M:M),0)</f>
        <v>0</v>
      </c>
      <c r="N654" cm="1">
        <f t="array" ref="N654">VLOOKUP($A654,Table_ship_components[],COLUMN(N:N),0)</f>
        <v>0</v>
      </c>
      <c r="O654" cm="1">
        <f t="array" ref="O654">VLOOKUP($A654,Table_ship_components[],COLUMN(O:O),0)</f>
        <v>0</v>
      </c>
      <c r="P654" cm="1">
        <f t="array" ref="P654">VLOOKUP($A654,Table_ship_components[],COLUMN(P:P),0)</f>
        <v>0</v>
      </c>
      <c r="Q654" cm="1">
        <f t="array" ref="Q654">VLOOKUP($A654,Table_ship_components[],COLUMN(Q:Q),0)</f>
        <v>0</v>
      </c>
      <c r="R654" cm="1">
        <f t="array" ref="R654">VLOOKUP($A654,Table_ship_components[],COLUMN(R:R),0)</f>
        <v>0</v>
      </c>
      <c r="S654" cm="1">
        <f t="array" ref="S654">VLOOKUP($A654,Table_ship_components[],COLUMN(S:S),0)</f>
        <v>0</v>
      </c>
      <c r="T654" cm="1">
        <f t="array" ref="T654">VLOOKUP($A654,Table_ship_components[],COLUMN(T:T),0)</f>
        <v>0</v>
      </c>
      <c r="U654" cm="1">
        <f t="array" ref="U654">VLOOKUP($A654,Table_ship_components[],COLUMN(U:U),0)</f>
        <v>0</v>
      </c>
      <c r="V654" cm="1">
        <f t="array" ref="V654">VLOOKUP($A654,Table_ship_components[],COLUMN(V:V),0)</f>
        <v>0</v>
      </c>
      <c r="W654" s="15" cm="1">
        <f t="array" ref="W654">VLOOKUP($A654,Table_ship_components[],COLUMN(W:W),0)</f>
        <v>0</v>
      </c>
      <c r="X654" cm="1">
        <f t="array" ref="X654">VLOOKUP($A654,Table_ship_components[],COLUMN(X:X),0)</f>
        <v>0</v>
      </c>
      <c r="Y654" cm="1">
        <f t="array" ref="Y654">VLOOKUP($A654,Table_ship_components[],COLUMN(Y:Y),0)</f>
        <v>0</v>
      </c>
      <c r="Z654" cm="1">
        <f t="array" ref="Z654">VLOOKUP($A654,Table_ship_components[],COLUMN(Z:Z),0)</f>
        <v>0</v>
      </c>
      <c r="AA654" cm="1">
        <f t="array" ref="AA654">VLOOKUP($A654,Table_ship_components[],COLUMN(AA:AA),0)*C654</f>
        <v>0</v>
      </c>
      <c r="AB654">
        <f t="shared" si="67"/>
        <v>0</v>
      </c>
      <c r="AC654" cm="1">
        <f t="array" ref="AC654">VLOOKUP($A654,Table_ship_components[],COLUMN(AC:AC),0)*C654</f>
        <v>0</v>
      </c>
      <c r="AD654" cm="1">
        <f t="array" ref="AD654">VLOOKUP($A654,Table_ship_components[],COLUMN(AD:AD),0)</f>
        <v>0</v>
      </c>
      <c r="AE654" cm="1">
        <f t="array" ref="AE654">VLOOKUP($A654,Table_ship_components[],COLUMN(AE:AE),0)</f>
        <v>0</v>
      </c>
      <c r="AF654" cm="1">
        <f t="array" ref="AF654">VLOOKUP($A654,Table_ship_components[],COLUMN(AF:AF),0)</f>
        <v>0</v>
      </c>
      <c r="AG654" cm="1">
        <f t="array" ref="AG654">VLOOKUP($A654,Table_ship_components[],COLUMN(AG:AG),0)</f>
        <v>0</v>
      </c>
      <c r="AH654" cm="1">
        <f t="array" ref="AH654">VLOOKUP($A654,Table_ship_components[],COLUMN(AH:AH),0)</f>
        <v>0</v>
      </c>
      <c r="AI654" cm="1">
        <f t="array" ref="AI654">VLOOKUP($A654,Table_ship_components[],COLUMN(AI:AI),0)</f>
        <v>0</v>
      </c>
      <c r="AJ654" cm="1">
        <f t="array" ref="AJ654">VLOOKUP($A654,Table_ship_components[],COLUMN(AJ:AJ),0)</f>
        <v>0</v>
      </c>
      <c r="AK654" cm="1">
        <f t="array" ref="AK654">VLOOKUP($A654,Table_ship_components[],COLUMN(AK:AK),0)</f>
        <v>0</v>
      </c>
      <c r="AL654" cm="1">
        <f t="array" ref="AL654">VLOOKUP($A654,Table_ship_components[],COLUMN(AL:AL),0)</f>
        <v>0</v>
      </c>
      <c r="AM654" cm="1">
        <f t="array" ref="AM654">VLOOKUP($A654,Table_ship_components[],COLUMN(AM:AM),0)</f>
        <v>0</v>
      </c>
      <c r="AN654" cm="1">
        <f t="array" ref="AN654">VLOOKUP($A654,Table_ship_components[],COLUMN(AN:AN),0)</f>
        <v>0</v>
      </c>
      <c r="AO654" cm="1">
        <f t="array" ref="AO654">VLOOKUP($A654,Table_ship_components[],COLUMN(AO:AO),0)</f>
        <v>0</v>
      </c>
      <c r="AP654" cm="1">
        <f t="array" ref="AP654">VLOOKUP($A654,Table_ship_components[],COLUMN(AP:AP),0)</f>
        <v>0</v>
      </c>
      <c r="AQ654" cm="1">
        <f t="array" ref="AQ654">VLOOKUP($A654,Table_ship_components[],COLUMN(AQ:AQ),0)</f>
        <v>0</v>
      </c>
      <c r="AR654" cm="1">
        <f t="array" ref="AR654">VLOOKUP($A654,Table_ship_components[],COLUMN(AR:AR),0)</f>
        <v>0</v>
      </c>
      <c r="AS654" cm="1">
        <f t="array" ref="AS654">VLOOKUP($A654,Table_ship_components[],COLUMN(AS:AS),0)</f>
        <v>0</v>
      </c>
      <c r="AT654" cm="1">
        <f t="array" ref="AT654">VLOOKUP($A654,Table_ship_components[],COLUMN(AT:AT),0)</f>
        <v>0</v>
      </c>
      <c r="AU654" s="2" cm="1">
        <f t="array" ref="AU654">VLOOKUP($A654,Table_ship_components[],COLUMN(AU:AU),0)</f>
        <v>0</v>
      </c>
      <c r="AV654" s="2" cm="1">
        <f t="array" ref="AV654">VLOOKUP($A654,Table_ship_components[],COLUMN(AV:AV),0)</f>
        <v>0</v>
      </c>
      <c r="AW654" s="2" cm="1">
        <f t="array" ref="AW654">VLOOKUP($A654,Table_ship_components[],COLUMN(AW:AW),0)</f>
        <v>0</v>
      </c>
      <c r="AX654" s="2" cm="1">
        <f t="array" ref="AX654">VLOOKUP($A654,Table_ship_components[],COLUMN(AX:AX),0)</f>
        <v>0</v>
      </c>
      <c r="AY654" s="2" cm="1">
        <f t="array" ref="AY654">VLOOKUP($A654,Table_ship_components[],COLUMN(AY:AY),0)</f>
        <v>0</v>
      </c>
      <c r="AZ654" s="2" t="str" cm="1">
        <f t="array" ref="AZ654">VLOOKUP($A654,Table_ship_components[],COLUMN(AZ:AZ),0)</f>
        <v>C</v>
      </c>
      <c r="BA654" s="14" cm="1">
        <f t="array" ref="BA654">VLOOKUP($A654,Table_ship_components[],COLUMN(BA:BA),0)</f>
        <v>0</v>
      </c>
      <c r="BB654" s="14" cm="1">
        <f t="array" ref="BB654">(VLOOKUP($A654,Table_ship_components[],COLUMN(BA:BA),0)+(W654*C654))</f>
        <v>0</v>
      </c>
      <c r="BC654" s="2" cm="1">
        <f t="array" ref="BC654">VLOOKUP($A654,Table_ship_components[],COLUMN(BC:BC),0)</f>
        <v>0</v>
      </c>
      <c r="BD654" s="2" cm="1">
        <f t="array" ref="BD654">VLOOKUP($A654,Table_ship_components[],COLUMN(BD:BD),0)</f>
        <v>0</v>
      </c>
    </row>
    <row r="655" spans="1:56" outlineLevel="1" x14ac:dyDescent="0.35">
      <c r="A655" t="s">
        <v>288</v>
      </c>
      <c r="B655" t="str" cm="1">
        <f t="array" ref="B655">VLOOKUP($A655,Table_ship_components[],COLUMN(B:B),0)</f>
        <v>PICK A COMPONENT</v>
      </c>
      <c r="D655" cm="1">
        <f t="array" ref="D655">VLOOKUP($A655,Table_ship_components[],COLUMN(D:D),0)</f>
        <v>0</v>
      </c>
      <c r="E655" cm="1">
        <f t="array" ref="E655">ROUND(VLOOKUP($A655,Table_ship_components[],COLUMN(D:D),0)+(V655*C655),0)</f>
        <v>0</v>
      </c>
      <c r="F655" cm="1">
        <f t="array" ref="F655">VLOOKUP($A655,Table_ship_components[],COLUMN(F:F),0)</f>
        <v>0</v>
      </c>
      <c r="G655" cm="1">
        <f t="array" ref="G655">ROUND(VLOOKUP($A655,Table_ship_components[],COLUMN(G:G),0)+(X655*C655),0)</f>
        <v>0</v>
      </c>
      <c r="H655" cm="1">
        <f t="array" ref="H655">VLOOKUP($A655,Table_ship_components[],COLUMN(H:H),0)</f>
        <v>0</v>
      </c>
      <c r="I655" cm="1">
        <f t="array" ref="I655">VLOOKUP($A655,Table_ship_components[],COLUMN(I:I),0)</f>
        <v>0</v>
      </c>
      <c r="J655" cm="1">
        <f t="array" ref="J655">VLOOKUP($A655,Table_ship_components[],COLUMN(J:J),0)</f>
        <v>0</v>
      </c>
      <c r="K655" cm="1">
        <f t="array" ref="K655">VLOOKUP($A655,Table_ship_components[],COLUMN(K:K),0)</f>
        <v>0</v>
      </c>
      <c r="L655" cm="1">
        <f t="array" ref="L655">VLOOKUP($A655,Table_ship_components[],COLUMN(L:L),0)</f>
        <v>0</v>
      </c>
      <c r="M655" cm="1">
        <f t="array" ref="M655">VLOOKUP($A655,Table_ship_components[],COLUMN(M:M),0)</f>
        <v>0</v>
      </c>
      <c r="N655" cm="1">
        <f t="array" ref="N655">VLOOKUP($A655,Table_ship_components[],COLUMN(N:N),0)</f>
        <v>0</v>
      </c>
      <c r="O655" cm="1">
        <f t="array" ref="O655">VLOOKUP($A655,Table_ship_components[],COLUMN(O:O),0)</f>
        <v>0</v>
      </c>
      <c r="P655" cm="1">
        <f t="array" ref="P655">VLOOKUP($A655,Table_ship_components[],COLUMN(P:P),0)</f>
        <v>0</v>
      </c>
      <c r="Q655" cm="1">
        <f t="array" ref="Q655">VLOOKUP($A655,Table_ship_components[],COLUMN(Q:Q),0)</f>
        <v>0</v>
      </c>
      <c r="R655" cm="1">
        <f t="array" ref="R655">VLOOKUP($A655,Table_ship_components[],COLUMN(R:R),0)</f>
        <v>0</v>
      </c>
      <c r="S655" cm="1">
        <f t="array" ref="S655">VLOOKUP($A655,Table_ship_components[],COLUMN(S:S),0)</f>
        <v>0</v>
      </c>
      <c r="T655" cm="1">
        <f t="array" ref="T655">VLOOKUP($A655,Table_ship_components[],COLUMN(T:T),0)</f>
        <v>0</v>
      </c>
      <c r="U655" cm="1">
        <f t="array" ref="U655">VLOOKUP($A655,Table_ship_components[],COLUMN(U:U),0)</f>
        <v>0</v>
      </c>
      <c r="V655" cm="1">
        <f t="array" ref="V655">VLOOKUP($A655,Table_ship_components[],COLUMN(V:V),0)</f>
        <v>0</v>
      </c>
      <c r="W655" s="15" cm="1">
        <f t="array" ref="W655">VLOOKUP($A655,Table_ship_components[],COLUMN(W:W),0)</f>
        <v>0</v>
      </c>
      <c r="X655" cm="1">
        <f t="array" ref="X655">VLOOKUP($A655,Table_ship_components[],COLUMN(X:X),0)</f>
        <v>0</v>
      </c>
      <c r="Y655" cm="1">
        <f t="array" ref="Y655">VLOOKUP($A655,Table_ship_components[],COLUMN(Y:Y),0)</f>
        <v>0</v>
      </c>
      <c r="Z655" cm="1">
        <f t="array" ref="Z655">VLOOKUP($A655,Table_ship_components[],COLUMN(Z:Z),0)</f>
        <v>0</v>
      </c>
      <c r="AA655" cm="1">
        <f t="array" ref="AA655">VLOOKUP($A655,Table_ship_components[],COLUMN(AA:AA),0)*C655</f>
        <v>0</v>
      </c>
      <c r="AB655">
        <f t="shared" si="67"/>
        <v>0</v>
      </c>
      <c r="AC655" cm="1">
        <f t="array" ref="AC655">VLOOKUP($A655,Table_ship_components[],COLUMN(AC:AC),0)*C655</f>
        <v>0</v>
      </c>
      <c r="AD655" cm="1">
        <f t="array" ref="AD655">VLOOKUP($A655,Table_ship_components[],COLUMN(AD:AD),0)</f>
        <v>0</v>
      </c>
      <c r="AE655" cm="1">
        <f t="array" ref="AE655">VLOOKUP($A655,Table_ship_components[],COLUMN(AE:AE),0)</f>
        <v>0</v>
      </c>
      <c r="AF655" cm="1">
        <f t="array" ref="AF655">VLOOKUP($A655,Table_ship_components[],COLUMN(AF:AF),0)</f>
        <v>0</v>
      </c>
      <c r="AG655" cm="1">
        <f t="array" ref="AG655">VLOOKUP($A655,Table_ship_components[],COLUMN(AG:AG),0)</f>
        <v>0</v>
      </c>
      <c r="AH655" cm="1">
        <f t="array" ref="AH655">VLOOKUP($A655,Table_ship_components[],COLUMN(AH:AH),0)</f>
        <v>0</v>
      </c>
      <c r="AI655" cm="1">
        <f t="array" ref="AI655">VLOOKUP($A655,Table_ship_components[],COLUMN(AI:AI),0)</f>
        <v>0</v>
      </c>
      <c r="AJ655" cm="1">
        <f t="array" ref="AJ655">VLOOKUP($A655,Table_ship_components[],COLUMN(AJ:AJ),0)</f>
        <v>0</v>
      </c>
      <c r="AK655" cm="1">
        <f t="array" ref="AK655">VLOOKUP($A655,Table_ship_components[],COLUMN(AK:AK),0)</f>
        <v>0</v>
      </c>
      <c r="AL655" cm="1">
        <f t="array" ref="AL655">VLOOKUP($A655,Table_ship_components[],COLUMN(AL:AL),0)</f>
        <v>0</v>
      </c>
      <c r="AM655" cm="1">
        <f t="array" ref="AM655">VLOOKUP($A655,Table_ship_components[],COLUMN(AM:AM),0)</f>
        <v>0</v>
      </c>
      <c r="AN655" cm="1">
        <f t="array" ref="AN655">VLOOKUP($A655,Table_ship_components[],COLUMN(AN:AN),0)</f>
        <v>0</v>
      </c>
      <c r="AO655" cm="1">
        <f t="array" ref="AO655">VLOOKUP($A655,Table_ship_components[],COLUMN(AO:AO),0)</f>
        <v>0</v>
      </c>
      <c r="AP655" cm="1">
        <f t="array" ref="AP655">VLOOKUP($A655,Table_ship_components[],COLUMN(AP:AP),0)</f>
        <v>0</v>
      </c>
      <c r="AQ655" cm="1">
        <f t="array" ref="AQ655">VLOOKUP($A655,Table_ship_components[],COLUMN(AQ:AQ),0)</f>
        <v>0</v>
      </c>
      <c r="AR655" cm="1">
        <f t="array" ref="AR655">VLOOKUP($A655,Table_ship_components[],COLUMN(AR:AR),0)</f>
        <v>0</v>
      </c>
      <c r="AS655" cm="1">
        <f t="array" ref="AS655">VLOOKUP($A655,Table_ship_components[],COLUMN(AS:AS),0)</f>
        <v>0</v>
      </c>
      <c r="AT655" cm="1">
        <f t="array" ref="AT655">VLOOKUP($A655,Table_ship_components[],COLUMN(AT:AT),0)</f>
        <v>0</v>
      </c>
      <c r="AU655" s="2" cm="1">
        <f t="array" ref="AU655">VLOOKUP($A655,Table_ship_components[],COLUMN(AU:AU),0)</f>
        <v>0</v>
      </c>
      <c r="AV655" s="2" cm="1">
        <f t="array" ref="AV655">VLOOKUP($A655,Table_ship_components[],COLUMN(AV:AV),0)</f>
        <v>0</v>
      </c>
      <c r="AW655" s="2" cm="1">
        <f t="array" ref="AW655">VLOOKUP($A655,Table_ship_components[],COLUMN(AW:AW),0)</f>
        <v>0</v>
      </c>
      <c r="AX655" s="2" cm="1">
        <f t="array" ref="AX655">VLOOKUP($A655,Table_ship_components[],COLUMN(AX:AX),0)</f>
        <v>0</v>
      </c>
      <c r="AY655" s="2" cm="1">
        <f t="array" ref="AY655">VLOOKUP($A655,Table_ship_components[],COLUMN(AY:AY),0)</f>
        <v>0</v>
      </c>
      <c r="AZ655" s="2" t="str" cm="1">
        <f t="array" ref="AZ655">VLOOKUP($A655,Table_ship_components[],COLUMN(AZ:AZ),0)</f>
        <v>C</v>
      </c>
      <c r="BA655" s="14" cm="1">
        <f t="array" ref="BA655">VLOOKUP($A655,Table_ship_components[],COLUMN(BA:BA),0)</f>
        <v>0</v>
      </c>
      <c r="BB655" s="14" cm="1">
        <f t="array" ref="BB655">(VLOOKUP($A655,Table_ship_components[],COLUMN(BA:BA),0)+(W655*C655))</f>
        <v>0</v>
      </c>
      <c r="BC655" s="2" cm="1">
        <f t="array" ref="BC655">VLOOKUP($A655,Table_ship_components[],COLUMN(BC:BC),0)</f>
        <v>0</v>
      </c>
      <c r="BD655" s="2" cm="1">
        <f t="array" ref="BD655">VLOOKUP($A655,Table_ship_components[],COLUMN(BD:BD),0)</f>
        <v>0</v>
      </c>
    </row>
    <row r="656" spans="1:56" outlineLevel="1" x14ac:dyDescent="0.35">
      <c r="A656" t="s">
        <v>288</v>
      </c>
      <c r="B656" t="str" cm="1">
        <f t="array" ref="B656">VLOOKUP($A656,Table_ship_components[],COLUMN(B:B),0)</f>
        <v>PICK A COMPONENT</v>
      </c>
      <c r="D656" cm="1">
        <f t="array" ref="D656">VLOOKUP($A656,Table_ship_components[],COLUMN(D:D),0)</f>
        <v>0</v>
      </c>
      <c r="E656" cm="1">
        <f t="array" ref="E656">ROUND(VLOOKUP($A656,Table_ship_components[],COLUMN(D:D),0)+(V656*C656),0)</f>
        <v>0</v>
      </c>
      <c r="F656" cm="1">
        <f t="array" ref="F656">VLOOKUP($A656,Table_ship_components[],COLUMN(F:F),0)</f>
        <v>0</v>
      </c>
      <c r="G656" cm="1">
        <f t="array" ref="G656">ROUND(VLOOKUP($A656,Table_ship_components[],COLUMN(G:G),0)+(X656*C656),0)</f>
        <v>0</v>
      </c>
      <c r="H656" cm="1">
        <f t="array" ref="H656">VLOOKUP($A656,Table_ship_components[],COLUMN(H:H),0)</f>
        <v>0</v>
      </c>
      <c r="I656" cm="1">
        <f t="array" ref="I656">VLOOKUP($A656,Table_ship_components[],COLUMN(I:I),0)</f>
        <v>0</v>
      </c>
      <c r="J656" cm="1">
        <f t="array" ref="J656">VLOOKUP($A656,Table_ship_components[],COLUMN(J:J),0)</f>
        <v>0</v>
      </c>
      <c r="K656" cm="1">
        <f t="array" ref="K656">VLOOKUP($A656,Table_ship_components[],COLUMN(K:K),0)</f>
        <v>0</v>
      </c>
      <c r="L656" cm="1">
        <f t="array" ref="L656">VLOOKUP($A656,Table_ship_components[],COLUMN(L:L),0)</f>
        <v>0</v>
      </c>
      <c r="M656" cm="1">
        <f t="array" ref="M656">VLOOKUP($A656,Table_ship_components[],COLUMN(M:M),0)</f>
        <v>0</v>
      </c>
      <c r="N656" cm="1">
        <f t="array" ref="N656">VLOOKUP($A656,Table_ship_components[],COLUMN(N:N),0)</f>
        <v>0</v>
      </c>
      <c r="O656" cm="1">
        <f t="array" ref="O656">VLOOKUP($A656,Table_ship_components[],COLUMN(O:O),0)</f>
        <v>0</v>
      </c>
      <c r="P656" cm="1">
        <f t="array" ref="P656">VLOOKUP($A656,Table_ship_components[],COLUMN(P:P),0)</f>
        <v>0</v>
      </c>
      <c r="Q656" cm="1">
        <f t="array" ref="Q656">VLOOKUP($A656,Table_ship_components[],COLUMN(Q:Q),0)</f>
        <v>0</v>
      </c>
      <c r="R656" cm="1">
        <f t="array" ref="R656">VLOOKUP($A656,Table_ship_components[],COLUMN(R:R),0)</f>
        <v>0</v>
      </c>
      <c r="S656" cm="1">
        <f t="array" ref="S656">VLOOKUP($A656,Table_ship_components[],COLUMN(S:S),0)</f>
        <v>0</v>
      </c>
      <c r="T656" cm="1">
        <f t="array" ref="T656">VLOOKUP($A656,Table_ship_components[],COLUMN(T:T),0)</f>
        <v>0</v>
      </c>
      <c r="U656" cm="1">
        <f t="array" ref="U656">VLOOKUP($A656,Table_ship_components[],COLUMN(U:U),0)</f>
        <v>0</v>
      </c>
      <c r="V656" cm="1">
        <f t="array" ref="V656">VLOOKUP($A656,Table_ship_components[],COLUMN(V:V),0)</f>
        <v>0</v>
      </c>
      <c r="W656" s="15" cm="1">
        <f t="array" ref="W656">VLOOKUP($A656,Table_ship_components[],COLUMN(W:W),0)</f>
        <v>0</v>
      </c>
      <c r="X656" cm="1">
        <f t="array" ref="X656">VLOOKUP($A656,Table_ship_components[],COLUMN(X:X),0)</f>
        <v>0</v>
      </c>
      <c r="Y656" cm="1">
        <f t="array" ref="Y656">VLOOKUP($A656,Table_ship_components[],COLUMN(Y:Y),0)</f>
        <v>0</v>
      </c>
      <c r="Z656" cm="1">
        <f t="array" ref="Z656">VLOOKUP($A656,Table_ship_components[],COLUMN(Z:Z),0)</f>
        <v>0</v>
      </c>
      <c r="AA656" cm="1">
        <f t="array" ref="AA656">VLOOKUP($A656,Table_ship_components[],COLUMN(AA:AA),0)*C656</f>
        <v>0</v>
      </c>
      <c r="AB656">
        <f t="shared" si="67"/>
        <v>0</v>
      </c>
      <c r="AC656" cm="1">
        <f t="array" ref="AC656">VLOOKUP($A656,Table_ship_components[],COLUMN(AC:AC),0)*C656</f>
        <v>0</v>
      </c>
      <c r="AD656" cm="1">
        <f t="array" ref="AD656">VLOOKUP($A656,Table_ship_components[],COLUMN(AD:AD),0)</f>
        <v>0</v>
      </c>
      <c r="AE656" cm="1">
        <f t="array" ref="AE656">VLOOKUP($A656,Table_ship_components[],COLUMN(AE:AE),0)</f>
        <v>0</v>
      </c>
      <c r="AF656" cm="1">
        <f t="array" ref="AF656">VLOOKUP($A656,Table_ship_components[],COLUMN(AF:AF),0)</f>
        <v>0</v>
      </c>
      <c r="AG656" cm="1">
        <f t="array" ref="AG656">VLOOKUP($A656,Table_ship_components[],COLUMN(AG:AG),0)</f>
        <v>0</v>
      </c>
      <c r="AH656" cm="1">
        <f t="array" ref="AH656">VLOOKUP($A656,Table_ship_components[],COLUMN(AH:AH),0)</f>
        <v>0</v>
      </c>
      <c r="AI656" cm="1">
        <f t="array" ref="AI656">VLOOKUP($A656,Table_ship_components[],COLUMN(AI:AI),0)</f>
        <v>0</v>
      </c>
      <c r="AJ656" cm="1">
        <f t="array" ref="AJ656">VLOOKUP($A656,Table_ship_components[],COLUMN(AJ:AJ),0)</f>
        <v>0</v>
      </c>
      <c r="AK656" cm="1">
        <f t="array" ref="AK656">VLOOKUP($A656,Table_ship_components[],COLUMN(AK:AK),0)</f>
        <v>0</v>
      </c>
      <c r="AL656" cm="1">
        <f t="array" ref="AL656">VLOOKUP($A656,Table_ship_components[],COLUMN(AL:AL),0)</f>
        <v>0</v>
      </c>
      <c r="AM656" cm="1">
        <f t="array" ref="AM656">VLOOKUP($A656,Table_ship_components[],COLUMN(AM:AM),0)</f>
        <v>0</v>
      </c>
      <c r="AN656" cm="1">
        <f t="array" ref="AN656">VLOOKUP($A656,Table_ship_components[],COLUMN(AN:AN),0)</f>
        <v>0</v>
      </c>
      <c r="AO656" cm="1">
        <f t="array" ref="AO656">VLOOKUP($A656,Table_ship_components[],COLUMN(AO:AO),0)</f>
        <v>0</v>
      </c>
      <c r="AP656" cm="1">
        <f t="array" ref="AP656">VLOOKUP($A656,Table_ship_components[],COLUMN(AP:AP),0)</f>
        <v>0</v>
      </c>
      <c r="AQ656" cm="1">
        <f t="array" ref="AQ656">VLOOKUP($A656,Table_ship_components[],COLUMN(AQ:AQ),0)</f>
        <v>0</v>
      </c>
      <c r="AR656" cm="1">
        <f t="array" ref="AR656">VLOOKUP($A656,Table_ship_components[],COLUMN(AR:AR),0)</f>
        <v>0</v>
      </c>
      <c r="AS656" cm="1">
        <f t="array" ref="AS656">VLOOKUP($A656,Table_ship_components[],COLUMN(AS:AS),0)</f>
        <v>0</v>
      </c>
      <c r="AT656" cm="1">
        <f t="array" ref="AT656">VLOOKUP($A656,Table_ship_components[],COLUMN(AT:AT),0)</f>
        <v>0</v>
      </c>
      <c r="AU656" s="2" cm="1">
        <f t="array" ref="AU656">VLOOKUP($A656,Table_ship_components[],COLUMN(AU:AU),0)</f>
        <v>0</v>
      </c>
      <c r="AV656" s="2" cm="1">
        <f t="array" ref="AV656">VLOOKUP($A656,Table_ship_components[],COLUMN(AV:AV),0)</f>
        <v>0</v>
      </c>
      <c r="AW656" s="2" cm="1">
        <f t="array" ref="AW656">VLOOKUP($A656,Table_ship_components[],COLUMN(AW:AW),0)</f>
        <v>0</v>
      </c>
      <c r="AX656" s="2" cm="1">
        <f t="array" ref="AX656">VLOOKUP($A656,Table_ship_components[],COLUMN(AX:AX),0)</f>
        <v>0</v>
      </c>
      <c r="AY656" s="2" cm="1">
        <f t="array" ref="AY656">VLOOKUP($A656,Table_ship_components[],COLUMN(AY:AY),0)</f>
        <v>0</v>
      </c>
      <c r="AZ656" s="2" t="str" cm="1">
        <f t="array" ref="AZ656">VLOOKUP($A656,Table_ship_components[],COLUMN(AZ:AZ),0)</f>
        <v>C</v>
      </c>
      <c r="BA656" s="14" cm="1">
        <f t="array" ref="BA656">VLOOKUP($A656,Table_ship_components[],COLUMN(BA:BA),0)</f>
        <v>0</v>
      </c>
      <c r="BB656" s="14" cm="1">
        <f t="array" ref="BB656">(VLOOKUP($A656,Table_ship_components[],COLUMN(BA:BA),0)+(W656*C656))</f>
        <v>0</v>
      </c>
      <c r="BC656" s="2" cm="1">
        <f t="array" ref="BC656">VLOOKUP($A656,Table_ship_components[],COLUMN(BC:BC),0)</f>
        <v>0</v>
      </c>
      <c r="BD656" s="2" cm="1">
        <f t="array" ref="BD656">VLOOKUP($A656,Table_ship_components[],COLUMN(BD:BD),0)</f>
        <v>0</v>
      </c>
    </row>
    <row r="657" spans="1:56" outlineLevel="1" x14ac:dyDescent="0.35">
      <c r="A657" t="s">
        <v>288</v>
      </c>
      <c r="B657" t="str" cm="1">
        <f t="array" ref="B657">VLOOKUP($A657,Table_ship_components[],COLUMN(B:B),0)</f>
        <v>PICK A COMPONENT</v>
      </c>
      <c r="D657" cm="1">
        <f t="array" ref="D657">VLOOKUP($A657,Table_ship_components[],COLUMN(D:D),0)</f>
        <v>0</v>
      </c>
      <c r="E657" cm="1">
        <f t="array" ref="E657">ROUND(VLOOKUP($A657,Table_ship_components[],COLUMN(D:D),0)+(V657*C657),0)</f>
        <v>0</v>
      </c>
      <c r="F657" cm="1">
        <f t="array" ref="F657">VLOOKUP($A657,Table_ship_components[],COLUMN(F:F),0)</f>
        <v>0</v>
      </c>
      <c r="G657" cm="1">
        <f t="array" ref="G657">ROUND(VLOOKUP($A657,Table_ship_components[],COLUMN(G:G),0)+(X657*C657),0)</f>
        <v>0</v>
      </c>
      <c r="H657" cm="1">
        <f t="array" ref="H657">VLOOKUP($A657,Table_ship_components[],COLUMN(H:H),0)</f>
        <v>0</v>
      </c>
      <c r="I657" cm="1">
        <f t="array" ref="I657">VLOOKUP($A657,Table_ship_components[],COLUMN(I:I),0)</f>
        <v>0</v>
      </c>
      <c r="J657" cm="1">
        <f t="array" ref="J657">VLOOKUP($A657,Table_ship_components[],COLUMN(J:J),0)</f>
        <v>0</v>
      </c>
      <c r="K657" cm="1">
        <f t="array" ref="K657">VLOOKUP($A657,Table_ship_components[],COLUMN(K:K),0)</f>
        <v>0</v>
      </c>
      <c r="L657" cm="1">
        <f t="array" ref="L657">VLOOKUP($A657,Table_ship_components[],COLUMN(L:L),0)</f>
        <v>0</v>
      </c>
      <c r="M657" cm="1">
        <f t="array" ref="M657">VLOOKUP($A657,Table_ship_components[],COLUMN(M:M),0)</f>
        <v>0</v>
      </c>
      <c r="N657" cm="1">
        <f t="array" ref="N657">VLOOKUP($A657,Table_ship_components[],COLUMN(N:N),0)</f>
        <v>0</v>
      </c>
      <c r="O657" cm="1">
        <f t="array" ref="O657">VLOOKUP($A657,Table_ship_components[],COLUMN(O:O),0)</f>
        <v>0</v>
      </c>
      <c r="P657" cm="1">
        <f t="array" ref="P657">VLOOKUP($A657,Table_ship_components[],COLUMN(P:P),0)</f>
        <v>0</v>
      </c>
      <c r="Q657" cm="1">
        <f t="array" ref="Q657">VLOOKUP($A657,Table_ship_components[],COLUMN(Q:Q),0)</f>
        <v>0</v>
      </c>
      <c r="R657" cm="1">
        <f t="array" ref="R657">VLOOKUP($A657,Table_ship_components[],COLUMN(R:R),0)</f>
        <v>0</v>
      </c>
      <c r="S657" cm="1">
        <f t="array" ref="S657">VLOOKUP($A657,Table_ship_components[],COLUMN(S:S),0)</f>
        <v>0</v>
      </c>
      <c r="T657" cm="1">
        <f t="array" ref="T657">VLOOKUP($A657,Table_ship_components[],COLUMN(T:T),0)</f>
        <v>0</v>
      </c>
      <c r="U657" cm="1">
        <f t="array" ref="U657">VLOOKUP($A657,Table_ship_components[],COLUMN(U:U),0)</f>
        <v>0</v>
      </c>
      <c r="V657" cm="1">
        <f t="array" ref="V657">VLOOKUP($A657,Table_ship_components[],COLUMN(V:V),0)</f>
        <v>0</v>
      </c>
      <c r="W657" s="15" cm="1">
        <f t="array" ref="W657">VLOOKUP($A657,Table_ship_components[],COLUMN(W:W),0)</f>
        <v>0</v>
      </c>
      <c r="X657" cm="1">
        <f t="array" ref="X657">VLOOKUP($A657,Table_ship_components[],COLUMN(X:X),0)</f>
        <v>0</v>
      </c>
      <c r="Y657" cm="1">
        <f t="array" ref="Y657">VLOOKUP($A657,Table_ship_components[],COLUMN(Y:Y),0)</f>
        <v>0</v>
      </c>
      <c r="Z657" cm="1">
        <f t="array" ref="Z657">VLOOKUP($A657,Table_ship_components[],COLUMN(Z:Z),0)</f>
        <v>0</v>
      </c>
      <c r="AA657" cm="1">
        <f t="array" ref="AA657">VLOOKUP($A657,Table_ship_components[],COLUMN(AA:AA),0)*C657</f>
        <v>0</v>
      </c>
      <c r="AB657">
        <f t="shared" si="67"/>
        <v>0</v>
      </c>
      <c r="AC657" cm="1">
        <f t="array" ref="AC657">VLOOKUP($A657,Table_ship_components[],COLUMN(AC:AC),0)*C657</f>
        <v>0</v>
      </c>
      <c r="AD657" cm="1">
        <f t="array" ref="AD657">VLOOKUP($A657,Table_ship_components[],COLUMN(AD:AD),0)</f>
        <v>0</v>
      </c>
      <c r="AE657" cm="1">
        <f t="array" ref="AE657">VLOOKUP($A657,Table_ship_components[],COLUMN(AE:AE),0)</f>
        <v>0</v>
      </c>
      <c r="AF657" cm="1">
        <f t="array" ref="AF657">VLOOKUP($A657,Table_ship_components[],COLUMN(AF:AF),0)</f>
        <v>0</v>
      </c>
      <c r="AG657" cm="1">
        <f t="array" ref="AG657">VLOOKUP($A657,Table_ship_components[],COLUMN(AG:AG),0)</f>
        <v>0</v>
      </c>
      <c r="AH657" cm="1">
        <f t="array" ref="AH657">VLOOKUP($A657,Table_ship_components[],COLUMN(AH:AH),0)</f>
        <v>0</v>
      </c>
      <c r="AI657" cm="1">
        <f t="array" ref="AI657">VLOOKUP($A657,Table_ship_components[],COLUMN(AI:AI),0)</f>
        <v>0</v>
      </c>
      <c r="AJ657" cm="1">
        <f t="array" ref="AJ657">VLOOKUP($A657,Table_ship_components[],COLUMN(AJ:AJ),0)</f>
        <v>0</v>
      </c>
      <c r="AK657" cm="1">
        <f t="array" ref="AK657">VLOOKUP($A657,Table_ship_components[],COLUMN(AK:AK),0)</f>
        <v>0</v>
      </c>
      <c r="AL657" cm="1">
        <f t="array" ref="AL657">VLOOKUP($A657,Table_ship_components[],COLUMN(AL:AL),0)</f>
        <v>0</v>
      </c>
      <c r="AM657" cm="1">
        <f t="array" ref="AM657">VLOOKUP($A657,Table_ship_components[],COLUMN(AM:AM),0)</f>
        <v>0</v>
      </c>
      <c r="AN657" cm="1">
        <f t="array" ref="AN657">VLOOKUP($A657,Table_ship_components[],COLUMN(AN:AN),0)</f>
        <v>0</v>
      </c>
      <c r="AO657" cm="1">
        <f t="array" ref="AO657">VLOOKUP($A657,Table_ship_components[],COLUMN(AO:AO),0)</f>
        <v>0</v>
      </c>
      <c r="AP657" cm="1">
        <f t="array" ref="AP657">VLOOKUP($A657,Table_ship_components[],COLUMN(AP:AP),0)</f>
        <v>0</v>
      </c>
      <c r="AQ657" cm="1">
        <f t="array" ref="AQ657">VLOOKUP($A657,Table_ship_components[],COLUMN(AQ:AQ),0)</f>
        <v>0</v>
      </c>
      <c r="AR657" cm="1">
        <f t="array" ref="AR657">VLOOKUP($A657,Table_ship_components[],COLUMN(AR:AR),0)</f>
        <v>0</v>
      </c>
      <c r="AS657" cm="1">
        <f t="array" ref="AS657">VLOOKUP($A657,Table_ship_components[],COLUMN(AS:AS),0)</f>
        <v>0</v>
      </c>
      <c r="AT657" cm="1">
        <f t="array" ref="AT657">VLOOKUP($A657,Table_ship_components[],COLUMN(AT:AT),0)</f>
        <v>0</v>
      </c>
      <c r="AU657" s="2" cm="1">
        <f t="array" ref="AU657">VLOOKUP($A657,Table_ship_components[],COLUMN(AU:AU),0)</f>
        <v>0</v>
      </c>
      <c r="AV657" s="2" cm="1">
        <f t="array" ref="AV657">VLOOKUP($A657,Table_ship_components[],COLUMN(AV:AV),0)</f>
        <v>0</v>
      </c>
      <c r="AW657" s="2" cm="1">
        <f t="array" ref="AW657">VLOOKUP($A657,Table_ship_components[],COLUMN(AW:AW),0)</f>
        <v>0</v>
      </c>
      <c r="AX657" s="2" cm="1">
        <f t="array" ref="AX657">VLOOKUP($A657,Table_ship_components[],COLUMN(AX:AX),0)</f>
        <v>0</v>
      </c>
      <c r="AY657" s="2" cm="1">
        <f t="array" ref="AY657">VLOOKUP($A657,Table_ship_components[],COLUMN(AY:AY),0)</f>
        <v>0</v>
      </c>
      <c r="AZ657" s="2" t="str" cm="1">
        <f t="array" ref="AZ657">VLOOKUP($A657,Table_ship_components[],COLUMN(AZ:AZ),0)</f>
        <v>C</v>
      </c>
      <c r="BA657" s="14" cm="1">
        <f t="array" ref="BA657">VLOOKUP($A657,Table_ship_components[],COLUMN(BA:BA),0)</f>
        <v>0</v>
      </c>
      <c r="BB657" s="14" cm="1">
        <f t="array" ref="BB657">(VLOOKUP($A657,Table_ship_components[],COLUMN(BA:BA),0)+(W657*C657))</f>
        <v>0</v>
      </c>
      <c r="BC657" s="2" cm="1">
        <f t="array" ref="BC657">VLOOKUP($A657,Table_ship_components[],COLUMN(BC:BC),0)</f>
        <v>0</v>
      </c>
      <c r="BD657" s="2" cm="1">
        <f t="array" ref="BD657">VLOOKUP($A657,Table_ship_components[],COLUMN(BD:BD),0)</f>
        <v>0</v>
      </c>
    </row>
    <row r="658" spans="1:56" ht="15" outlineLevel="1" thickBot="1" x14ac:dyDescent="0.4">
      <c r="D658" s="32"/>
      <c r="E658" s="32">
        <f>SUM(E627:E657)</f>
        <v>25</v>
      </c>
      <c r="F658" s="32"/>
      <c r="G658" s="32">
        <f t="shared" ref="G658:L658" si="68">SUM(G627:G657)</f>
        <v>13</v>
      </c>
      <c r="H658" s="32">
        <f t="shared" si="68"/>
        <v>0</v>
      </c>
      <c r="I658" s="32">
        <f t="shared" si="68"/>
        <v>25</v>
      </c>
      <c r="J658" s="32">
        <f t="shared" si="68"/>
        <v>0</v>
      </c>
      <c r="K658" s="32">
        <f t="shared" si="68"/>
        <v>20</v>
      </c>
      <c r="L658" s="32">
        <f t="shared" si="68"/>
        <v>4</v>
      </c>
      <c r="M658" s="32"/>
      <c r="N658" s="32"/>
      <c r="O658" s="32"/>
      <c r="P658" s="32"/>
      <c r="Q658" s="32"/>
      <c r="R658" s="32"/>
      <c r="S658" s="32"/>
      <c r="T658" s="32"/>
      <c r="U658" s="32"/>
      <c r="V658" s="32"/>
      <c r="W658" s="32"/>
      <c r="X658" s="32"/>
      <c r="Y658" s="32">
        <f t="shared" ref="Y658:AY658" si="69">SUM(Y627:Y657)</f>
        <v>0</v>
      </c>
      <c r="Z658" s="32">
        <f t="shared" si="69"/>
        <v>0</v>
      </c>
      <c r="AA658" s="32">
        <f t="shared" si="69"/>
        <v>0</v>
      </c>
      <c r="AB658" s="32">
        <f t="shared" si="69"/>
        <v>0</v>
      </c>
      <c r="AC658" s="32">
        <f t="shared" si="69"/>
        <v>0</v>
      </c>
      <c r="AD658" s="32">
        <f t="shared" si="69"/>
        <v>0</v>
      </c>
      <c r="AE658" s="32">
        <f t="shared" si="69"/>
        <v>0</v>
      </c>
      <c r="AF658" s="32">
        <f t="shared" si="69"/>
        <v>0</v>
      </c>
      <c r="AG658" s="32">
        <f t="shared" si="69"/>
        <v>0</v>
      </c>
      <c r="AH658" s="32">
        <f t="shared" si="69"/>
        <v>100</v>
      </c>
      <c r="AI658" s="32">
        <f t="shared" si="69"/>
        <v>0</v>
      </c>
      <c r="AJ658" s="32">
        <f t="shared" si="69"/>
        <v>0</v>
      </c>
      <c r="AK658" s="32">
        <f t="shared" si="69"/>
        <v>0</v>
      </c>
      <c r="AL658" s="32">
        <f t="shared" si="69"/>
        <v>2</v>
      </c>
      <c r="AM658" s="32">
        <f t="shared" si="69"/>
        <v>1</v>
      </c>
      <c r="AN658" s="32">
        <f t="shared" si="69"/>
        <v>5</v>
      </c>
      <c r="AO658" s="32">
        <f t="shared" si="69"/>
        <v>4</v>
      </c>
      <c r="AP658" s="32">
        <f t="shared" si="69"/>
        <v>5</v>
      </c>
      <c r="AQ658" s="32">
        <f t="shared" si="69"/>
        <v>0</v>
      </c>
      <c r="AR658" s="32">
        <f t="shared" si="69"/>
        <v>3</v>
      </c>
      <c r="AS658" s="32">
        <f t="shared" si="69"/>
        <v>1</v>
      </c>
      <c r="AT658" s="32">
        <f t="shared" si="69"/>
        <v>2</v>
      </c>
      <c r="AU658" s="32">
        <f t="shared" si="69"/>
        <v>4</v>
      </c>
      <c r="AV658" s="32">
        <f t="shared" si="69"/>
        <v>25</v>
      </c>
      <c r="AW658" s="32">
        <f t="shared" si="69"/>
        <v>10</v>
      </c>
      <c r="AX658" s="32">
        <f t="shared" si="69"/>
        <v>5</v>
      </c>
      <c r="AY658" s="32">
        <f t="shared" si="69"/>
        <v>10</v>
      </c>
      <c r="AZ658" s="32"/>
      <c r="BA658" s="33">
        <f>SUM(BA627:BA657)</f>
        <v>1625000</v>
      </c>
      <c r="BB658" s="33">
        <f>SUM(BB627:BB657)</f>
        <v>1625000</v>
      </c>
      <c r="BC658" s="32"/>
      <c r="BD658" s="32"/>
    </row>
    <row r="659" spans="1:56" ht="19" outlineLevel="1" thickTop="1" x14ac:dyDescent="0.45">
      <c r="A659" s="35" t="s">
        <v>691</v>
      </c>
      <c r="B659" s="34">
        <f>BB658</f>
        <v>1625000</v>
      </c>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7"/>
      <c r="BB659" s="37"/>
      <c r="BC659" s="36"/>
      <c r="BD659" s="36"/>
    </row>
    <row r="660" spans="1:56" ht="21" x14ac:dyDescent="0.5">
      <c r="A660" s="38" t="s">
        <v>166</v>
      </c>
      <c r="B660" s="38" t="s">
        <v>7</v>
      </c>
    </row>
    <row r="661" spans="1:56" outlineLevel="1" x14ac:dyDescent="0.35">
      <c r="A661" t="s">
        <v>729</v>
      </c>
      <c r="B661" t="str" cm="1">
        <f t="array" ref="B661">VLOOKUP($A661,Table_ship_components[],COLUMN(B:B),0)</f>
        <v>cargo drone template</v>
      </c>
      <c r="D661" cm="1">
        <f t="array" ref="D661">VLOOKUP($A661,Table_ship_components[],COLUMN(D:D),0)</f>
        <v>0</v>
      </c>
      <c r="E661" cm="1">
        <f t="array" ref="E661">(VLOOKUP($A661,Table_ship_components[],COLUMN(D:D),0)+(V661*C661))</f>
        <v>0</v>
      </c>
      <c r="F661" cm="1">
        <f t="array" ref="F661">VLOOKUP($A661,Table_ship_components[],COLUMN(F:F),0)</f>
        <v>0</v>
      </c>
      <c r="G661" cm="1">
        <f t="array" ref="G661">(VLOOKUP($A661,Table_ship_components[],COLUMN(G:G),0)+(X661*C661))</f>
        <v>0</v>
      </c>
      <c r="H661" cm="1">
        <f t="array" ref="H661">VLOOKUP($A661,Table_ship_components[],COLUMN(H:H),0)</f>
        <v>0</v>
      </c>
      <c r="I661" cm="1">
        <f t="array" ref="I661">VLOOKUP($A661,Table_ship_components[],COLUMN(I:I),0)</f>
        <v>0</v>
      </c>
      <c r="J661" cm="1">
        <f t="array" ref="J661">VLOOKUP($A661,Table_ship_components[],COLUMN(J:J),0)</f>
        <v>0</v>
      </c>
      <c r="K661" cm="1">
        <f t="array" ref="K661">VLOOKUP($A661,Table_ship_components[],COLUMN(K:K),0)</f>
        <v>0</v>
      </c>
      <c r="L661" cm="1">
        <f t="array" ref="L661">VLOOKUP($A661,Table_ship_components[],COLUMN(L:L),0)</f>
        <v>0</v>
      </c>
      <c r="M661" cm="1">
        <f t="array" ref="M661">VLOOKUP($A661,Table_ship_components[],COLUMN(M:M),0)</f>
        <v>0</v>
      </c>
      <c r="N661" cm="1">
        <f t="array" ref="N661">VLOOKUP($A661,Table_ship_components[],COLUMN(N:N),0)</f>
        <v>0</v>
      </c>
      <c r="O661" cm="1">
        <f t="array" ref="O661">VLOOKUP($A661,Table_ship_components[],COLUMN(O:O),0)</f>
        <v>0</v>
      </c>
      <c r="P661" cm="1">
        <f t="array" ref="P661">VLOOKUP($A661,Table_ship_components[],COLUMN(P:P),0)</f>
        <v>0</v>
      </c>
      <c r="Q661" cm="1">
        <f t="array" ref="Q661">VLOOKUP($A661,Table_ship_components[],COLUMN(Q:Q),0)</f>
        <v>0</v>
      </c>
      <c r="R661" cm="1">
        <f t="array" ref="R661">VLOOKUP($A661,Table_ship_components[],COLUMN(R:R),0)</f>
        <v>0</v>
      </c>
      <c r="S661" cm="1">
        <f t="array" ref="S661">VLOOKUP($A661,Table_ship_components[],COLUMN(S:S),0)</f>
        <v>0</v>
      </c>
      <c r="T661" cm="1">
        <f t="array" ref="T661">VLOOKUP($A661,Table_ship_components[],COLUMN(T:T),0)</f>
        <v>0</v>
      </c>
      <c r="U661" cm="1">
        <f t="array" ref="U661">VLOOKUP($A661,Table_ship_components[],COLUMN(U:U),0)</f>
        <v>0</v>
      </c>
      <c r="V661" cm="1">
        <f t="array" ref="V661">VLOOKUP($A661,Table_ship_components[],COLUMN(V:V),0)</f>
        <v>0</v>
      </c>
      <c r="W661" s="15" cm="1">
        <f t="array" ref="W661">VLOOKUP($A661,Table_ship_components[],COLUMN(W:W),0)</f>
        <v>0</v>
      </c>
      <c r="X661" cm="1">
        <f t="array" ref="X661">VLOOKUP($A661,Table_ship_components[],COLUMN(X:X),0)</f>
        <v>0</v>
      </c>
      <c r="Y661" cm="1">
        <f t="array" ref="Y661">VLOOKUP($A661,Table_ship_components[],COLUMN(Y:Y),0)</f>
        <v>0</v>
      </c>
      <c r="Z661" cm="1">
        <f t="array" ref="Z661">VLOOKUP($A661,Table_ship_components[],COLUMN(Z:Z),0)</f>
        <v>0</v>
      </c>
      <c r="AA661" cm="1">
        <f t="array" ref="AA661">VLOOKUP($A661,Table_ship_components[],COLUMN(AA:AA),0)</f>
        <v>0</v>
      </c>
      <c r="AB661" cm="1">
        <f t="array" ref="AB661">VLOOKUP($A661,Table_ship_components[],COLUMN(AB:AB),0)</f>
        <v>0</v>
      </c>
      <c r="AC661" cm="1">
        <f t="array" ref="AC661">VLOOKUP($A661,Table_ship_components[],COLUMN(AC:AC),0)</f>
        <v>0</v>
      </c>
      <c r="AD661" cm="1">
        <f t="array" ref="AD661">VLOOKUP($A661,Table_ship_components[],COLUMN(AD:AD),0)</f>
        <v>0</v>
      </c>
      <c r="AE661" cm="1">
        <f t="array" ref="AE661">VLOOKUP($A661,Table_ship_components[],COLUMN(AE:AE),0)</f>
        <v>0</v>
      </c>
      <c r="AF661" cm="1">
        <f t="array" ref="AF661">VLOOKUP($A661,Table_ship_components[],COLUMN(AF:AF),0)</f>
        <v>0</v>
      </c>
      <c r="AG661" cm="1">
        <f t="array" ref="AG661">VLOOKUP($A661,Table_ship_components[],COLUMN(AG:AG),0)</f>
        <v>0</v>
      </c>
      <c r="AH661" cm="1">
        <f t="array" ref="AH661">VLOOKUP($A661,Table_ship_components[],COLUMN(AH:AH),0)</f>
        <v>0</v>
      </c>
      <c r="AI661" cm="1">
        <f t="array" ref="AI661">VLOOKUP($A661,Table_ship_components[],COLUMN(AI:AI),0)</f>
        <v>0</v>
      </c>
      <c r="AJ661" cm="1">
        <f t="array" ref="AJ661">VLOOKUP($A661,Table_ship_components[],COLUMN(AJ:AJ),0)</f>
        <v>0</v>
      </c>
      <c r="AK661" cm="1">
        <f t="array" ref="AK661">VLOOKUP($A661,Table_ship_components[],COLUMN(AK:AK),0)</f>
        <v>0</v>
      </c>
      <c r="AL661" cm="1">
        <f t="array" ref="AL661">VLOOKUP($A661,Table_ship_components[],COLUMN(AL:AL),0)</f>
        <v>0</v>
      </c>
      <c r="AM661" cm="1">
        <f t="array" ref="AM661">VLOOKUP($A661,Table_ship_components[],COLUMN(AM:AM),0)</f>
        <v>1</v>
      </c>
      <c r="AN661" cm="1">
        <f t="array" ref="AN661">VLOOKUP($A661,Table_ship_components[],COLUMN(AN:AN),0)</f>
        <v>5</v>
      </c>
      <c r="AO661" cm="1">
        <f t="array" ref="AO661">VLOOKUP($A661,Table_ship_components[],COLUMN(AO:AO),0)</f>
        <v>2</v>
      </c>
      <c r="AP661" cm="1">
        <f t="array" ref="AP661">VLOOKUP($A661,Table_ship_components[],COLUMN(AP:AP),0)</f>
        <v>5</v>
      </c>
      <c r="AQ661" cm="1">
        <f t="array" ref="AQ661">VLOOKUP($A661,Table_ship_components[],COLUMN(AQ:AQ),0)</f>
        <v>0</v>
      </c>
      <c r="AR661" cm="1">
        <f t="array" ref="AR661">VLOOKUP($A661,Table_ship_components[],COLUMN(AR:AR),0)</f>
        <v>3</v>
      </c>
      <c r="AS661" cm="1">
        <f t="array" ref="AS661">VLOOKUP($A661,Table_ship_components[],COLUMN(AS:AS),0)</f>
        <v>2</v>
      </c>
      <c r="AT661" cm="1">
        <f t="array" ref="AT661">VLOOKUP($A661,Table_ship_components[],COLUMN(AT:AT),0)</f>
        <v>2</v>
      </c>
      <c r="AU661" s="2" cm="1">
        <f t="array" ref="AU661">VLOOKUP($A661,Table_ship_components[],COLUMN(AU:AU),0)</f>
        <v>3</v>
      </c>
      <c r="AV661" s="2" cm="1">
        <f t="array" ref="AV661">VLOOKUP($A661,Table_ship_components[],COLUMN(AV:AV),0)</f>
        <v>25</v>
      </c>
      <c r="AW661" s="2" cm="1">
        <f t="array" ref="AW661">VLOOKUP($A661,Table_ship_components[],COLUMN(AW:AW),0)</f>
        <v>5</v>
      </c>
      <c r="AX661" s="2" cm="1">
        <f t="array" ref="AX661">VLOOKUP($A661,Table_ship_components[],COLUMN(AX:AX),0)</f>
        <v>0</v>
      </c>
      <c r="AY661" s="2" cm="1">
        <f t="array" ref="AY661">VLOOKUP($A661,Table_ship_components[],COLUMN(AY:AY),0)</f>
        <v>20</v>
      </c>
      <c r="AZ661" s="2" t="str" cm="1">
        <f t="array" ref="AZ661">VLOOKUP($A661,Table_ship_components[],COLUMN(AZ:AZ),0)</f>
        <v>C</v>
      </c>
      <c r="BA661" s="14" cm="1">
        <f t="array" ref="BA661">VLOOKUP($A661,Table_ship_components[],COLUMN(BA:BA),0)</f>
        <v>260000</v>
      </c>
      <c r="BB661" s="14" cm="1">
        <f t="array" ref="BB661">(VLOOKUP($A661,Table_ship_components[],COLUMN(BA:BA),0)+(W661*C661))</f>
        <v>260000</v>
      </c>
      <c r="BC661" s="2" cm="1">
        <f t="array" ref="BC661">VLOOKUP($A661,Table_ship_components[],COLUMN(BC:BC),0)</f>
        <v>0</v>
      </c>
      <c r="BD661" s="2" cm="1">
        <f t="array" ref="BD661">VLOOKUP($A661,Table_ship_components[],COLUMN(BD:BD),0)</f>
        <v>0</v>
      </c>
    </row>
    <row r="662" spans="1:56" outlineLevel="1" x14ac:dyDescent="0.35"/>
    <row r="663" spans="1:56" outlineLevel="1" x14ac:dyDescent="0.35">
      <c r="A663" s="40" t="str">
        <f>CONCATENATE("LIFE SUPPORT VALID : ",IF((SUM(Z692:AA692)&lt;=AC692),"YES","NO"))</f>
        <v>LIFE SUPPORT VALID : YES</v>
      </c>
      <c r="B663" s="39" t="str">
        <f>CONCATENATE("TOTAL SIZE ",(SUM(E665:E691))," TOTAL POWER ",(SUM(G665:G691))," / ",(SUM(I665:I691)))</f>
        <v>TOTAL SIZE 25 TOTAL POWER 7 / 15</v>
      </c>
    </row>
    <row r="664" spans="1:56" outlineLevel="1" x14ac:dyDescent="0.35">
      <c r="A664" s="18" t="s">
        <v>423</v>
      </c>
      <c r="B664" s="19" t="str">
        <f>CONCATENATE("SIZE ",(SUM(E665:E670)),"/", AW661,"  POWER ",(SUM(G665:G670)),)</f>
        <v>SIZE 5/5  POWER 0</v>
      </c>
      <c r="C664" s="31" t="s">
        <v>521</v>
      </c>
    </row>
    <row r="665" spans="1:56" outlineLevel="1" x14ac:dyDescent="0.35">
      <c r="A665" t="s">
        <v>543</v>
      </c>
      <c r="B665" t="str" cm="1">
        <f t="array" ref="B665">VLOOKUP($A665,Table_ship_components[],COLUMN(B:B),0)</f>
        <v>low output drone power plant</v>
      </c>
      <c r="D665" cm="1">
        <f t="array" ref="D665">VLOOKUP($A665,Table_ship_components[],COLUMN(D:D),0)</f>
        <v>5</v>
      </c>
      <c r="E665" cm="1">
        <f t="array" ref="E665">ROUND(VLOOKUP($A665,Table_ship_components[],COLUMN(D:D),0)+(V665*C665),0)</f>
        <v>5</v>
      </c>
      <c r="F665" cm="1">
        <f t="array" ref="F665">VLOOKUP($A665,Table_ship_components[],COLUMN(F:F),0)</f>
        <v>0</v>
      </c>
      <c r="G665" cm="1">
        <f t="array" ref="G665">ROUND(VLOOKUP($A665,Table_ship_components[],COLUMN(G:G),0)+(X665*C665),0)</f>
        <v>0</v>
      </c>
      <c r="H665" cm="1">
        <f t="array" ref="H665">VLOOKUP($A665,Table_ship_components[],COLUMN(H:H),0)</f>
        <v>0</v>
      </c>
      <c r="I665" cm="1">
        <f t="array" ref="I665">VLOOKUP($A665,Table_ship_components[],COLUMN(I:I),0)</f>
        <v>15</v>
      </c>
      <c r="J665" cm="1">
        <f t="array" ref="J665">VLOOKUP($A665,Table_ship_components[],COLUMN(J:J),0)</f>
        <v>0</v>
      </c>
      <c r="K665" cm="1">
        <f t="array" ref="K665">VLOOKUP($A665,Table_ship_components[],COLUMN(K:K),0)</f>
        <v>0</v>
      </c>
      <c r="L665" cm="1">
        <f t="array" ref="L665">VLOOKUP($A665,Table_ship_components[],COLUMN(L:L),0)</f>
        <v>0</v>
      </c>
      <c r="M665" cm="1">
        <f t="array" ref="M665">VLOOKUP($A665,Table_ship_components[],COLUMN(M:M),0)</f>
        <v>1</v>
      </c>
      <c r="N665" cm="1">
        <f t="array" ref="N665">VLOOKUP($A665,Table_ship_components[],COLUMN(N:N),0)</f>
        <v>0</v>
      </c>
      <c r="O665" cm="1">
        <f t="array" ref="O665">VLOOKUP($A665,Table_ship_components[],COLUMN(O:O),0)</f>
        <v>0</v>
      </c>
      <c r="P665" cm="1">
        <f t="array" ref="P665">VLOOKUP($A665,Table_ship_components[],COLUMN(P:P),0)</f>
        <v>0</v>
      </c>
      <c r="Q665" cm="1">
        <f t="array" ref="Q665">VLOOKUP($A665,Table_ship_components[],COLUMN(Q:Q),0)</f>
        <v>0</v>
      </c>
      <c r="R665" cm="1">
        <f t="array" ref="R665">VLOOKUP($A665,Table_ship_components[],COLUMN(R:R),0)</f>
        <v>0</v>
      </c>
      <c r="S665" cm="1">
        <f t="array" ref="S665">VLOOKUP($A665,Table_ship_components[],COLUMN(S:S),0)</f>
        <v>0</v>
      </c>
      <c r="T665" cm="1">
        <f t="array" ref="T665">VLOOKUP($A665,Table_ship_components[],COLUMN(T:T),0)</f>
        <v>0</v>
      </c>
      <c r="U665" cm="1">
        <f t="array" ref="U665">VLOOKUP($A665,Table_ship_components[],COLUMN(U:U),0)</f>
        <v>0</v>
      </c>
      <c r="V665" cm="1">
        <f t="array" ref="V665">VLOOKUP($A665,Table_ship_components[],COLUMN(V:V),0)</f>
        <v>0</v>
      </c>
      <c r="W665" s="15" cm="1">
        <f t="array" ref="W665">VLOOKUP($A665,Table_ship_components[],COLUMN(W:W),0)</f>
        <v>0</v>
      </c>
      <c r="X665" cm="1">
        <f t="array" ref="X665">VLOOKUP($A665,Table_ship_components[],COLUMN(X:X),0)</f>
        <v>0</v>
      </c>
      <c r="Y665" cm="1">
        <f t="array" ref="Y665">VLOOKUP($A665,Table_ship_components[],COLUMN(Y:Y),0)</f>
        <v>0</v>
      </c>
      <c r="Z665" cm="1">
        <f t="array" ref="Z665">VLOOKUP($A665,Table_ship_components[],COLUMN(Z:Z),0)</f>
        <v>0</v>
      </c>
      <c r="AA665" cm="1">
        <f t="array" ref="AA665">VLOOKUP($A665,Table_ship_components[],COLUMN(AA:AA),0)*C665</f>
        <v>0</v>
      </c>
      <c r="AB665">
        <f>IF(A665="CARGOSPACE_0-ALL_0-UNIVERSAL",C665,0)</f>
        <v>0</v>
      </c>
      <c r="AC665" cm="1">
        <f t="array" ref="AC665">VLOOKUP($A665,Table_ship_components[],COLUMN(AC:AC),0)*C665</f>
        <v>0</v>
      </c>
      <c r="AD665" cm="1">
        <f t="array" ref="AD665">VLOOKUP($A665,Table_ship_components[],COLUMN(AD:AD),0)</f>
        <v>0</v>
      </c>
      <c r="AE665" cm="1">
        <f t="array" ref="AE665">VLOOKUP($A665,Table_ship_components[],COLUMN(AE:AE),0)</f>
        <v>0</v>
      </c>
      <c r="AF665" cm="1">
        <f t="array" ref="AF665">VLOOKUP($A665,Table_ship_components[],COLUMN(AF:AF),0)</f>
        <v>0</v>
      </c>
      <c r="AG665" cm="1">
        <f t="array" ref="AG665">VLOOKUP($A665,Table_ship_components[],COLUMN(AG:AG),0)</f>
        <v>0</v>
      </c>
      <c r="AH665" cm="1">
        <f t="array" ref="AH665">VLOOKUP($A665,Table_ship_components[],COLUMN(AH:AH),0)</f>
        <v>0</v>
      </c>
      <c r="AI665" cm="1">
        <f t="array" ref="AI665">VLOOKUP($A665,Table_ship_components[],COLUMN(AI:AI),0)</f>
        <v>0</v>
      </c>
      <c r="AJ665" cm="1">
        <f t="array" ref="AJ665">VLOOKUP($A665,Table_ship_components[],COLUMN(AJ:AJ),0)</f>
        <v>0</v>
      </c>
      <c r="AK665" cm="1">
        <f t="array" ref="AK665">VLOOKUP($A665,Table_ship_components[],COLUMN(AK:AK),0)</f>
        <v>0</v>
      </c>
      <c r="AL665" cm="1">
        <f t="array" ref="AL665">VLOOKUP($A665,Table_ship_components[],COLUMN(AL:AL),0)</f>
        <v>0</v>
      </c>
      <c r="AM665" cm="1">
        <f t="array" ref="AM665">VLOOKUP($A665,Table_ship_components[],COLUMN(AM:AM),0)</f>
        <v>0</v>
      </c>
      <c r="AN665" cm="1">
        <f t="array" ref="AN665">VLOOKUP($A665,Table_ship_components[],COLUMN(AN:AN),0)</f>
        <v>0</v>
      </c>
      <c r="AO665" cm="1">
        <f t="array" ref="AO665">VLOOKUP($A665,Table_ship_components[],COLUMN(AO:AO),0)</f>
        <v>0</v>
      </c>
      <c r="AP665" cm="1">
        <f t="array" ref="AP665">VLOOKUP($A665,Table_ship_components[],COLUMN(AP:AP),0)</f>
        <v>0</v>
      </c>
      <c r="AQ665" cm="1">
        <f t="array" ref="AQ665">VLOOKUP($A665,Table_ship_components[],COLUMN(AQ:AQ),0)</f>
        <v>0</v>
      </c>
      <c r="AR665" cm="1">
        <f t="array" ref="AR665">VLOOKUP($A665,Table_ship_components[],COLUMN(AR:AR),0)</f>
        <v>0</v>
      </c>
      <c r="AS665" cm="1">
        <f t="array" ref="AS665">VLOOKUP($A665,Table_ship_components[],COLUMN(AS:AS),0)</f>
        <v>0</v>
      </c>
      <c r="AT665" cm="1">
        <f t="array" ref="AT665">VLOOKUP($A665,Table_ship_components[],COLUMN(AT:AT),0)</f>
        <v>-1</v>
      </c>
      <c r="AU665" s="2" cm="1">
        <f t="array" ref="AU665">VLOOKUP($A665,Table_ship_components[],COLUMN(AU:AU),0)</f>
        <v>0</v>
      </c>
      <c r="AV665" s="2" cm="1">
        <f t="array" ref="AV665">VLOOKUP($A665,Table_ship_components[],COLUMN(AV:AV),0)</f>
        <v>0</v>
      </c>
      <c r="AW665" s="2" cm="1">
        <f t="array" ref="AW665">VLOOKUP($A665,Table_ship_components[],COLUMN(AW:AW),0)</f>
        <v>0</v>
      </c>
      <c r="AX665" s="2" cm="1">
        <f t="array" ref="AX665">VLOOKUP($A665,Table_ship_components[],COLUMN(AX:AX),0)</f>
        <v>0</v>
      </c>
      <c r="AY665" s="2" cm="1">
        <f t="array" ref="AY665">VLOOKUP($A665,Table_ship_components[],COLUMN(AY:AY),0)</f>
        <v>0</v>
      </c>
      <c r="AZ665" s="2" t="str" cm="1">
        <f t="array" ref="AZ665">VLOOKUP($A665,Table_ship_components[],COLUMN(AZ:AZ),0)</f>
        <v>C</v>
      </c>
      <c r="BA665" s="14" cm="1">
        <f t="array" ref="BA665">VLOOKUP($A665,Table_ship_components[],COLUMN(BA:BA),0)</f>
        <v>75000</v>
      </c>
      <c r="BB665" s="14" cm="1">
        <f t="array" ref="BB665">(VLOOKUP($A665,Table_ship_components[],COLUMN(BA:BA),0)+(W665*C665))</f>
        <v>75000</v>
      </c>
      <c r="BC665" s="2" cm="1">
        <f t="array" ref="BC665">VLOOKUP($A665,Table_ship_components[],COLUMN(BC:BC),0)</f>
        <v>0</v>
      </c>
      <c r="BD665" s="2" cm="1">
        <f t="array" ref="BD665">VLOOKUP($A665,Table_ship_components[],COLUMN(BD:BD),0)</f>
        <v>0</v>
      </c>
    </row>
    <row r="666" spans="1:56" outlineLevel="1" x14ac:dyDescent="0.35">
      <c r="A666" t="s">
        <v>288</v>
      </c>
      <c r="B666" t="str" cm="1">
        <f t="array" ref="B666">VLOOKUP($A666,Table_ship_components[],COLUMN(B:B),0)</f>
        <v>PICK A COMPONENT</v>
      </c>
      <c r="D666" cm="1">
        <f t="array" ref="D666">VLOOKUP($A666,Table_ship_components[],COLUMN(D:D),0)</f>
        <v>0</v>
      </c>
      <c r="E666" cm="1">
        <f t="array" ref="E666">ROUND(VLOOKUP($A666,Table_ship_components[],COLUMN(D:D),0)+(V666*C666),0)</f>
        <v>0</v>
      </c>
      <c r="F666" cm="1">
        <f t="array" ref="F666">VLOOKUP($A666,Table_ship_components[],COLUMN(F:F),0)</f>
        <v>0</v>
      </c>
      <c r="G666" cm="1">
        <f t="array" ref="G666">ROUND(VLOOKUP($A666,Table_ship_components[],COLUMN(G:G),0)+(X666*C666),0)</f>
        <v>0</v>
      </c>
      <c r="H666" cm="1">
        <f t="array" ref="H666">VLOOKUP($A666,Table_ship_components[],COLUMN(H:H),0)</f>
        <v>0</v>
      </c>
      <c r="I666" cm="1">
        <f t="array" ref="I666">VLOOKUP($A666,Table_ship_components[],COLUMN(I:I),0)</f>
        <v>0</v>
      </c>
      <c r="J666" cm="1">
        <f t="array" ref="J666">VLOOKUP($A666,Table_ship_components[],COLUMN(J:J),0)</f>
        <v>0</v>
      </c>
      <c r="K666" cm="1">
        <f t="array" ref="K666">VLOOKUP($A666,Table_ship_components[],COLUMN(K:K),0)</f>
        <v>0</v>
      </c>
      <c r="L666" cm="1">
        <f t="array" ref="L666">VLOOKUP($A666,Table_ship_components[],COLUMN(L:L),0)</f>
        <v>0</v>
      </c>
      <c r="M666" cm="1">
        <f t="array" ref="M666">VLOOKUP($A666,Table_ship_components[],COLUMN(M:M),0)</f>
        <v>0</v>
      </c>
      <c r="N666" cm="1">
        <f t="array" ref="N666">VLOOKUP($A666,Table_ship_components[],COLUMN(N:N),0)</f>
        <v>0</v>
      </c>
      <c r="O666" cm="1">
        <f t="array" ref="O666">VLOOKUP($A666,Table_ship_components[],COLUMN(O:O),0)</f>
        <v>0</v>
      </c>
      <c r="P666" cm="1">
        <f t="array" ref="P666">VLOOKUP($A666,Table_ship_components[],COLUMN(P:P),0)</f>
        <v>0</v>
      </c>
      <c r="Q666" cm="1">
        <f t="array" ref="Q666">VLOOKUP($A666,Table_ship_components[],COLUMN(Q:Q),0)</f>
        <v>0</v>
      </c>
      <c r="R666" cm="1">
        <f t="array" ref="R666">VLOOKUP($A666,Table_ship_components[],COLUMN(R:R),0)</f>
        <v>0</v>
      </c>
      <c r="S666" cm="1">
        <f t="array" ref="S666">VLOOKUP($A666,Table_ship_components[],COLUMN(S:S),0)</f>
        <v>0</v>
      </c>
      <c r="T666" cm="1">
        <f t="array" ref="T666">VLOOKUP($A666,Table_ship_components[],COLUMN(T:T),0)</f>
        <v>0</v>
      </c>
      <c r="U666" cm="1">
        <f t="array" ref="U666">VLOOKUP($A666,Table_ship_components[],COLUMN(U:U),0)</f>
        <v>0</v>
      </c>
      <c r="V666" cm="1">
        <f t="array" ref="V666">VLOOKUP($A666,Table_ship_components[],COLUMN(V:V),0)</f>
        <v>0</v>
      </c>
      <c r="W666" s="15" cm="1">
        <f t="array" ref="W666">VLOOKUP($A666,Table_ship_components[],COLUMN(W:W),0)</f>
        <v>0</v>
      </c>
      <c r="X666" cm="1">
        <f t="array" ref="X666">VLOOKUP($A666,Table_ship_components[],COLUMN(X:X),0)</f>
        <v>0</v>
      </c>
      <c r="Y666" cm="1">
        <f t="array" ref="Y666">VLOOKUP($A666,Table_ship_components[],COLUMN(Y:Y),0)</f>
        <v>0</v>
      </c>
      <c r="Z666" cm="1">
        <f t="array" ref="Z666">VLOOKUP($A666,Table_ship_components[],COLUMN(Z:Z),0)</f>
        <v>0</v>
      </c>
      <c r="AA666" cm="1">
        <f t="array" ref="AA666">VLOOKUP($A666,Table_ship_components[],COLUMN(AA:AA),0)*C666</f>
        <v>0</v>
      </c>
      <c r="AB666">
        <f t="shared" ref="AB666:AB670" si="70">IF(A666="CARGOSPACE_0-ALL_0-UNIVERSAL",C666,0)</f>
        <v>0</v>
      </c>
      <c r="AC666" cm="1">
        <f t="array" ref="AC666">VLOOKUP($A666,Table_ship_components[],COLUMN(AC:AC),0)*C666</f>
        <v>0</v>
      </c>
      <c r="AD666" cm="1">
        <f t="array" ref="AD666">VLOOKUP($A666,Table_ship_components[],COLUMN(AD:AD),0)</f>
        <v>0</v>
      </c>
      <c r="AE666" cm="1">
        <f t="array" ref="AE666">VLOOKUP($A666,Table_ship_components[],COLUMN(AE:AE),0)</f>
        <v>0</v>
      </c>
      <c r="AF666" cm="1">
        <f t="array" ref="AF666">VLOOKUP($A666,Table_ship_components[],COLUMN(AF:AF),0)</f>
        <v>0</v>
      </c>
      <c r="AG666" cm="1">
        <f t="array" ref="AG666">VLOOKUP($A666,Table_ship_components[],COLUMN(AG:AG),0)</f>
        <v>0</v>
      </c>
      <c r="AH666" cm="1">
        <f t="array" ref="AH666">VLOOKUP($A666,Table_ship_components[],COLUMN(AH:AH),0)</f>
        <v>0</v>
      </c>
      <c r="AI666" cm="1">
        <f t="array" ref="AI666">VLOOKUP($A666,Table_ship_components[],COLUMN(AI:AI),0)</f>
        <v>0</v>
      </c>
      <c r="AJ666" cm="1">
        <f t="array" ref="AJ666">VLOOKUP($A666,Table_ship_components[],COLUMN(AJ:AJ),0)</f>
        <v>0</v>
      </c>
      <c r="AK666" cm="1">
        <f t="array" ref="AK666">VLOOKUP($A666,Table_ship_components[],COLUMN(AK:AK),0)</f>
        <v>0</v>
      </c>
      <c r="AL666" cm="1">
        <f t="array" ref="AL666">VLOOKUP($A666,Table_ship_components[],COLUMN(AL:AL),0)</f>
        <v>0</v>
      </c>
      <c r="AM666" cm="1">
        <f t="array" ref="AM666">VLOOKUP($A666,Table_ship_components[],COLUMN(AM:AM),0)</f>
        <v>0</v>
      </c>
      <c r="AN666" cm="1">
        <f t="array" ref="AN666">VLOOKUP($A666,Table_ship_components[],COLUMN(AN:AN),0)</f>
        <v>0</v>
      </c>
      <c r="AO666" cm="1">
        <f t="array" ref="AO666">VLOOKUP($A666,Table_ship_components[],COLUMN(AO:AO),0)</f>
        <v>0</v>
      </c>
      <c r="AP666" cm="1">
        <f t="array" ref="AP666">VLOOKUP($A666,Table_ship_components[],COLUMN(AP:AP),0)</f>
        <v>0</v>
      </c>
      <c r="AQ666" cm="1">
        <f t="array" ref="AQ666">VLOOKUP($A666,Table_ship_components[],COLUMN(AQ:AQ),0)</f>
        <v>0</v>
      </c>
      <c r="AR666" cm="1">
        <f t="array" ref="AR666">VLOOKUP($A666,Table_ship_components[],COLUMN(AR:AR),0)</f>
        <v>0</v>
      </c>
      <c r="AS666" cm="1">
        <f t="array" ref="AS666">VLOOKUP($A666,Table_ship_components[],COLUMN(AS:AS),0)</f>
        <v>0</v>
      </c>
      <c r="AT666" cm="1">
        <f t="array" ref="AT666">VLOOKUP($A666,Table_ship_components[],COLUMN(AT:AT),0)</f>
        <v>0</v>
      </c>
      <c r="AU666" s="2" cm="1">
        <f t="array" ref="AU666">VLOOKUP($A666,Table_ship_components[],COLUMN(AU:AU),0)</f>
        <v>0</v>
      </c>
      <c r="AV666" s="2" cm="1">
        <f t="array" ref="AV666">VLOOKUP($A666,Table_ship_components[],COLUMN(AV:AV),0)</f>
        <v>0</v>
      </c>
      <c r="AW666" s="2" cm="1">
        <f t="array" ref="AW666">VLOOKUP($A666,Table_ship_components[],COLUMN(AW:AW),0)</f>
        <v>0</v>
      </c>
      <c r="AX666" s="2" cm="1">
        <f t="array" ref="AX666">VLOOKUP($A666,Table_ship_components[],COLUMN(AX:AX),0)</f>
        <v>0</v>
      </c>
      <c r="AY666" s="2" cm="1">
        <f t="array" ref="AY666">VLOOKUP($A666,Table_ship_components[],COLUMN(AY:AY),0)</f>
        <v>0</v>
      </c>
      <c r="AZ666" s="2" t="str" cm="1">
        <f t="array" ref="AZ666">VLOOKUP($A666,Table_ship_components[],COLUMN(AZ:AZ),0)</f>
        <v>C</v>
      </c>
      <c r="BA666" s="14" cm="1">
        <f t="array" ref="BA666">VLOOKUP($A666,Table_ship_components[],COLUMN(BA:BA),0)</f>
        <v>0</v>
      </c>
      <c r="BB666" s="14" cm="1">
        <f t="array" ref="BB666">(VLOOKUP($A666,Table_ship_components[],COLUMN(BA:BA),0)+(W666*C666))</f>
        <v>0</v>
      </c>
      <c r="BC666" s="2" cm="1">
        <f t="array" ref="BC666">VLOOKUP($A666,Table_ship_components[],COLUMN(BC:BC),0)</f>
        <v>0</v>
      </c>
      <c r="BD666" s="2" cm="1">
        <f t="array" ref="BD666">VLOOKUP($A666,Table_ship_components[],COLUMN(BD:BD),0)</f>
        <v>0</v>
      </c>
    </row>
    <row r="667" spans="1:56" outlineLevel="1" x14ac:dyDescent="0.35">
      <c r="A667" t="s">
        <v>288</v>
      </c>
      <c r="B667" t="str" cm="1">
        <f t="array" ref="B667">VLOOKUP($A667,Table_ship_components[],COLUMN(B:B),0)</f>
        <v>PICK A COMPONENT</v>
      </c>
      <c r="D667" cm="1">
        <f t="array" ref="D667">VLOOKUP($A667,Table_ship_components[],COLUMN(D:D),0)</f>
        <v>0</v>
      </c>
      <c r="E667" cm="1">
        <f t="array" ref="E667">ROUND(VLOOKUP($A667,Table_ship_components[],COLUMN(D:D),0)+(V667*C667),0)</f>
        <v>0</v>
      </c>
      <c r="F667" cm="1">
        <f t="array" ref="F667">VLOOKUP($A667,Table_ship_components[],COLUMN(F:F),0)</f>
        <v>0</v>
      </c>
      <c r="G667" cm="1">
        <f t="array" ref="G667">ROUND(VLOOKUP($A667,Table_ship_components[],COLUMN(G:G),0)+(X667*C667),0)</f>
        <v>0</v>
      </c>
      <c r="H667" cm="1">
        <f t="array" ref="H667">VLOOKUP($A667,Table_ship_components[],COLUMN(H:H),0)</f>
        <v>0</v>
      </c>
      <c r="I667" cm="1">
        <f t="array" ref="I667">VLOOKUP($A667,Table_ship_components[],COLUMN(I:I),0)</f>
        <v>0</v>
      </c>
      <c r="J667" cm="1">
        <f t="array" ref="J667">VLOOKUP($A667,Table_ship_components[],COLUMN(J:J),0)</f>
        <v>0</v>
      </c>
      <c r="K667" cm="1">
        <f t="array" ref="K667">VLOOKUP($A667,Table_ship_components[],COLUMN(K:K),0)</f>
        <v>0</v>
      </c>
      <c r="L667" cm="1">
        <f t="array" ref="L667">VLOOKUP($A667,Table_ship_components[],COLUMN(L:L),0)</f>
        <v>0</v>
      </c>
      <c r="M667" cm="1">
        <f t="array" ref="M667">VLOOKUP($A667,Table_ship_components[],COLUMN(M:M),0)</f>
        <v>0</v>
      </c>
      <c r="N667" cm="1">
        <f t="array" ref="N667">VLOOKUP($A667,Table_ship_components[],COLUMN(N:N),0)</f>
        <v>0</v>
      </c>
      <c r="O667" cm="1">
        <f t="array" ref="O667">VLOOKUP($A667,Table_ship_components[],COLUMN(O:O),0)</f>
        <v>0</v>
      </c>
      <c r="P667" cm="1">
        <f t="array" ref="P667">VLOOKUP($A667,Table_ship_components[],COLUMN(P:P),0)</f>
        <v>0</v>
      </c>
      <c r="Q667" cm="1">
        <f t="array" ref="Q667">VLOOKUP($A667,Table_ship_components[],COLUMN(Q:Q),0)</f>
        <v>0</v>
      </c>
      <c r="R667" cm="1">
        <f t="array" ref="R667">VLOOKUP($A667,Table_ship_components[],COLUMN(R:R),0)</f>
        <v>0</v>
      </c>
      <c r="S667" cm="1">
        <f t="array" ref="S667">VLOOKUP($A667,Table_ship_components[],COLUMN(S:S),0)</f>
        <v>0</v>
      </c>
      <c r="T667" cm="1">
        <f t="array" ref="T667">VLOOKUP($A667,Table_ship_components[],COLUMN(T:T),0)</f>
        <v>0</v>
      </c>
      <c r="U667" cm="1">
        <f t="array" ref="U667">VLOOKUP($A667,Table_ship_components[],COLUMN(U:U),0)</f>
        <v>0</v>
      </c>
      <c r="V667" cm="1">
        <f t="array" ref="V667">VLOOKUP($A667,Table_ship_components[],COLUMN(V:V),0)</f>
        <v>0</v>
      </c>
      <c r="W667" s="15" cm="1">
        <f t="array" ref="W667">VLOOKUP($A667,Table_ship_components[],COLUMN(W:W),0)</f>
        <v>0</v>
      </c>
      <c r="X667" cm="1">
        <f t="array" ref="X667">VLOOKUP($A667,Table_ship_components[],COLUMN(X:X),0)</f>
        <v>0</v>
      </c>
      <c r="Y667" cm="1">
        <f t="array" ref="Y667">VLOOKUP($A667,Table_ship_components[],COLUMN(Y:Y),0)</f>
        <v>0</v>
      </c>
      <c r="Z667" cm="1">
        <f t="array" ref="Z667">VLOOKUP($A667,Table_ship_components[],COLUMN(Z:Z),0)</f>
        <v>0</v>
      </c>
      <c r="AA667" cm="1">
        <f t="array" ref="AA667">VLOOKUP($A667,Table_ship_components[],COLUMN(AA:AA),0)*C667</f>
        <v>0</v>
      </c>
      <c r="AB667">
        <f t="shared" si="70"/>
        <v>0</v>
      </c>
      <c r="AC667" cm="1">
        <f t="array" ref="AC667">VLOOKUP($A667,Table_ship_components[],COLUMN(AC:AC),0)*C667</f>
        <v>0</v>
      </c>
      <c r="AD667" cm="1">
        <f t="array" ref="AD667">VLOOKUP($A667,Table_ship_components[],COLUMN(AD:AD),0)</f>
        <v>0</v>
      </c>
      <c r="AE667" cm="1">
        <f t="array" ref="AE667">VLOOKUP($A667,Table_ship_components[],COLUMN(AE:AE),0)</f>
        <v>0</v>
      </c>
      <c r="AF667" cm="1">
        <f t="array" ref="AF667">VLOOKUP($A667,Table_ship_components[],COLUMN(AF:AF),0)</f>
        <v>0</v>
      </c>
      <c r="AG667" cm="1">
        <f t="array" ref="AG667">VLOOKUP($A667,Table_ship_components[],COLUMN(AG:AG),0)</f>
        <v>0</v>
      </c>
      <c r="AH667" cm="1">
        <f t="array" ref="AH667">VLOOKUP($A667,Table_ship_components[],COLUMN(AH:AH),0)</f>
        <v>0</v>
      </c>
      <c r="AI667" cm="1">
        <f t="array" ref="AI667">VLOOKUP($A667,Table_ship_components[],COLUMN(AI:AI),0)</f>
        <v>0</v>
      </c>
      <c r="AJ667" cm="1">
        <f t="array" ref="AJ667">VLOOKUP($A667,Table_ship_components[],COLUMN(AJ:AJ),0)</f>
        <v>0</v>
      </c>
      <c r="AK667" cm="1">
        <f t="array" ref="AK667">VLOOKUP($A667,Table_ship_components[],COLUMN(AK:AK),0)</f>
        <v>0</v>
      </c>
      <c r="AL667" cm="1">
        <f t="array" ref="AL667">VLOOKUP($A667,Table_ship_components[],COLUMN(AL:AL),0)</f>
        <v>0</v>
      </c>
      <c r="AM667" cm="1">
        <f t="array" ref="AM667">VLOOKUP($A667,Table_ship_components[],COLUMN(AM:AM),0)</f>
        <v>0</v>
      </c>
      <c r="AN667" cm="1">
        <f t="array" ref="AN667">VLOOKUP($A667,Table_ship_components[],COLUMN(AN:AN),0)</f>
        <v>0</v>
      </c>
      <c r="AO667" cm="1">
        <f t="array" ref="AO667">VLOOKUP($A667,Table_ship_components[],COLUMN(AO:AO),0)</f>
        <v>0</v>
      </c>
      <c r="AP667" cm="1">
        <f t="array" ref="AP667">VLOOKUP($A667,Table_ship_components[],COLUMN(AP:AP),0)</f>
        <v>0</v>
      </c>
      <c r="AQ667" cm="1">
        <f t="array" ref="AQ667">VLOOKUP($A667,Table_ship_components[],COLUMN(AQ:AQ),0)</f>
        <v>0</v>
      </c>
      <c r="AR667" cm="1">
        <f t="array" ref="AR667">VLOOKUP($A667,Table_ship_components[],COLUMN(AR:AR),0)</f>
        <v>0</v>
      </c>
      <c r="AS667" cm="1">
        <f t="array" ref="AS667">VLOOKUP($A667,Table_ship_components[],COLUMN(AS:AS),0)</f>
        <v>0</v>
      </c>
      <c r="AT667" cm="1">
        <f t="array" ref="AT667">VLOOKUP($A667,Table_ship_components[],COLUMN(AT:AT),0)</f>
        <v>0</v>
      </c>
      <c r="AU667" s="2" cm="1">
        <f t="array" ref="AU667">VLOOKUP($A667,Table_ship_components[],COLUMN(AU:AU),0)</f>
        <v>0</v>
      </c>
      <c r="AV667" s="2" cm="1">
        <f t="array" ref="AV667">VLOOKUP($A667,Table_ship_components[],COLUMN(AV:AV),0)</f>
        <v>0</v>
      </c>
      <c r="AW667" s="2" cm="1">
        <f t="array" ref="AW667">VLOOKUP($A667,Table_ship_components[],COLUMN(AW:AW),0)</f>
        <v>0</v>
      </c>
      <c r="AX667" s="2" cm="1">
        <f t="array" ref="AX667">VLOOKUP($A667,Table_ship_components[],COLUMN(AX:AX),0)</f>
        <v>0</v>
      </c>
      <c r="AY667" s="2" cm="1">
        <f t="array" ref="AY667">VLOOKUP($A667,Table_ship_components[],COLUMN(AY:AY),0)</f>
        <v>0</v>
      </c>
      <c r="AZ667" s="2" t="str" cm="1">
        <f t="array" ref="AZ667">VLOOKUP($A667,Table_ship_components[],COLUMN(AZ:AZ),0)</f>
        <v>C</v>
      </c>
      <c r="BA667" s="14" cm="1">
        <f t="array" ref="BA667">VLOOKUP($A667,Table_ship_components[],COLUMN(BA:BA),0)</f>
        <v>0</v>
      </c>
      <c r="BB667" s="14" cm="1">
        <f t="array" ref="BB667">(VLOOKUP($A667,Table_ship_components[],COLUMN(BA:BA),0)+(W667*C667))</f>
        <v>0</v>
      </c>
      <c r="BC667" s="2" cm="1">
        <f t="array" ref="BC667">VLOOKUP($A667,Table_ship_components[],COLUMN(BC:BC),0)</f>
        <v>0</v>
      </c>
      <c r="BD667" s="2" cm="1">
        <f t="array" ref="BD667">VLOOKUP($A667,Table_ship_components[],COLUMN(BD:BD),0)</f>
        <v>0</v>
      </c>
    </row>
    <row r="668" spans="1:56" outlineLevel="1" x14ac:dyDescent="0.35">
      <c r="A668" t="s">
        <v>288</v>
      </c>
      <c r="B668" t="str" cm="1">
        <f t="array" ref="B668">VLOOKUP($A668,Table_ship_components[],COLUMN(B:B),0)</f>
        <v>PICK A COMPONENT</v>
      </c>
      <c r="D668" cm="1">
        <f t="array" ref="D668">VLOOKUP($A668,Table_ship_components[],COLUMN(D:D),0)</f>
        <v>0</v>
      </c>
      <c r="E668" cm="1">
        <f t="array" ref="E668">ROUND(VLOOKUP($A668,Table_ship_components[],COLUMN(D:D),0)+(V668*C668),0)</f>
        <v>0</v>
      </c>
      <c r="F668" cm="1">
        <f t="array" ref="F668">VLOOKUP($A668,Table_ship_components[],COLUMN(F:F),0)</f>
        <v>0</v>
      </c>
      <c r="G668" cm="1">
        <f t="array" ref="G668">ROUND(VLOOKUP($A668,Table_ship_components[],COLUMN(G:G),0)+(X668*C668),0)</f>
        <v>0</v>
      </c>
      <c r="H668" cm="1">
        <f t="array" ref="H668">VLOOKUP($A668,Table_ship_components[],COLUMN(H:H),0)</f>
        <v>0</v>
      </c>
      <c r="I668" cm="1">
        <f t="array" ref="I668">VLOOKUP($A668,Table_ship_components[],COLUMN(I:I),0)</f>
        <v>0</v>
      </c>
      <c r="J668" cm="1">
        <f t="array" ref="J668">VLOOKUP($A668,Table_ship_components[],COLUMN(J:J),0)</f>
        <v>0</v>
      </c>
      <c r="K668" cm="1">
        <f t="array" ref="K668">VLOOKUP($A668,Table_ship_components[],COLUMN(K:K),0)</f>
        <v>0</v>
      </c>
      <c r="L668" cm="1">
        <f t="array" ref="L668">VLOOKUP($A668,Table_ship_components[],COLUMN(L:L),0)</f>
        <v>0</v>
      </c>
      <c r="M668" cm="1">
        <f t="array" ref="M668">VLOOKUP($A668,Table_ship_components[],COLUMN(M:M),0)</f>
        <v>0</v>
      </c>
      <c r="N668" cm="1">
        <f t="array" ref="N668">VLOOKUP($A668,Table_ship_components[],COLUMN(N:N),0)</f>
        <v>0</v>
      </c>
      <c r="O668" cm="1">
        <f t="array" ref="O668">VLOOKUP($A668,Table_ship_components[],COLUMN(O:O),0)</f>
        <v>0</v>
      </c>
      <c r="P668" cm="1">
        <f t="array" ref="P668">VLOOKUP($A668,Table_ship_components[],COLUMN(P:P),0)</f>
        <v>0</v>
      </c>
      <c r="Q668" cm="1">
        <f t="array" ref="Q668">VLOOKUP($A668,Table_ship_components[],COLUMN(Q:Q),0)</f>
        <v>0</v>
      </c>
      <c r="R668" cm="1">
        <f t="array" ref="R668">VLOOKUP($A668,Table_ship_components[],COLUMN(R:R),0)</f>
        <v>0</v>
      </c>
      <c r="S668" cm="1">
        <f t="array" ref="S668">VLOOKUP($A668,Table_ship_components[],COLUMN(S:S),0)</f>
        <v>0</v>
      </c>
      <c r="T668" cm="1">
        <f t="array" ref="T668">VLOOKUP($A668,Table_ship_components[],COLUMN(T:T),0)</f>
        <v>0</v>
      </c>
      <c r="U668" cm="1">
        <f t="array" ref="U668">VLOOKUP($A668,Table_ship_components[],COLUMN(U:U),0)</f>
        <v>0</v>
      </c>
      <c r="V668" cm="1">
        <f t="array" ref="V668">VLOOKUP($A668,Table_ship_components[],COLUMN(V:V),0)</f>
        <v>0</v>
      </c>
      <c r="W668" s="15" cm="1">
        <f t="array" ref="W668">VLOOKUP($A668,Table_ship_components[],COLUMN(W:W),0)</f>
        <v>0</v>
      </c>
      <c r="X668" cm="1">
        <f t="array" ref="X668">VLOOKUP($A668,Table_ship_components[],COLUMN(X:X),0)</f>
        <v>0</v>
      </c>
      <c r="Y668" cm="1">
        <f t="array" ref="Y668">VLOOKUP($A668,Table_ship_components[],COLUMN(Y:Y),0)</f>
        <v>0</v>
      </c>
      <c r="Z668" cm="1">
        <f t="array" ref="Z668">VLOOKUP($A668,Table_ship_components[],COLUMN(Z:Z),0)</f>
        <v>0</v>
      </c>
      <c r="AA668" cm="1">
        <f t="array" ref="AA668">VLOOKUP($A668,Table_ship_components[],COLUMN(AA:AA),0)*C668</f>
        <v>0</v>
      </c>
      <c r="AB668">
        <f t="shared" si="70"/>
        <v>0</v>
      </c>
      <c r="AC668" cm="1">
        <f t="array" ref="AC668">VLOOKUP($A668,Table_ship_components[],COLUMN(AC:AC),0)*C668</f>
        <v>0</v>
      </c>
      <c r="AD668" cm="1">
        <f t="array" ref="AD668">VLOOKUP($A668,Table_ship_components[],COLUMN(AD:AD),0)</f>
        <v>0</v>
      </c>
      <c r="AE668" cm="1">
        <f t="array" ref="AE668">VLOOKUP($A668,Table_ship_components[],COLUMN(AE:AE),0)</f>
        <v>0</v>
      </c>
      <c r="AF668" cm="1">
        <f t="array" ref="AF668">VLOOKUP($A668,Table_ship_components[],COLUMN(AF:AF),0)</f>
        <v>0</v>
      </c>
      <c r="AG668" cm="1">
        <f t="array" ref="AG668">VLOOKUP($A668,Table_ship_components[],COLUMN(AG:AG),0)</f>
        <v>0</v>
      </c>
      <c r="AH668" cm="1">
        <f t="array" ref="AH668">VLOOKUP($A668,Table_ship_components[],COLUMN(AH:AH),0)</f>
        <v>0</v>
      </c>
      <c r="AI668" cm="1">
        <f t="array" ref="AI668">VLOOKUP($A668,Table_ship_components[],COLUMN(AI:AI),0)</f>
        <v>0</v>
      </c>
      <c r="AJ668" cm="1">
        <f t="array" ref="AJ668">VLOOKUP($A668,Table_ship_components[],COLUMN(AJ:AJ),0)</f>
        <v>0</v>
      </c>
      <c r="AK668" cm="1">
        <f t="array" ref="AK668">VLOOKUP($A668,Table_ship_components[],COLUMN(AK:AK),0)</f>
        <v>0</v>
      </c>
      <c r="AL668" cm="1">
        <f t="array" ref="AL668">VLOOKUP($A668,Table_ship_components[],COLUMN(AL:AL),0)</f>
        <v>0</v>
      </c>
      <c r="AM668" cm="1">
        <f t="array" ref="AM668">VLOOKUP($A668,Table_ship_components[],COLUMN(AM:AM),0)</f>
        <v>0</v>
      </c>
      <c r="AN668" cm="1">
        <f t="array" ref="AN668">VLOOKUP($A668,Table_ship_components[],COLUMN(AN:AN),0)</f>
        <v>0</v>
      </c>
      <c r="AO668" cm="1">
        <f t="array" ref="AO668">VLOOKUP($A668,Table_ship_components[],COLUMN(AO:AO),0)</f>
        <v>0</v>
      </c>
      <c r="AP668" cm="1">
        <f t="array" ref="AP668">VLOOKUP($A668,Table_ship_components[],COLUMN(AP:AP),0)</f>
        <v>0</v>
      </c>
      <c r="AQ668" cm="1">
        <f t="array" ref="AQ668">VLOOKUP($A668,Table_ship_components[],COLUMN(AQ:AQ),0)</f>
        <v>0</v>
      </c>
      <c r="AR668" cm="1">
        <f t="array" ref="AR668">VLOOKUP($A668,Table_ship_components[],COLUMN(AR:AR),0)</f>
        <v>0</v>
      </c>
      <c r="AS668" cm="1">
        <f t="array" ref="AS668">VLOOKUP($A668,Table_ship_components[],COLUMN(AS:AS),0)</f>
        <v>0</v>
      </c>
      <c r="AT668" cm="1">
        <f t="array" ref="AT668">VLOOKUP($A668,Table_ship_components[],COLUMN(AT:AT),0)</f>
        <v>0</v>
      </c>
      <c r="AU668" s="2" cm="1">
        <f t="array" ref="AU668">VLOOKUP($A668,Table_ship_components[],COLUMN(AU:AU),0)</f>
        <v>0</v>
      </c>
      <c r="AV668" s="2" cm="1">
        <f t="array" ref="AV668">VLOOKUP($A668,Table_ship_components[],COLUMN(AV:AV),0)</f>
        <v>0</v>
      </c>
      <c r="AW668" s="2" cm="1">
        <f t="array" ref="AW668">VLOOKUP($A668,Table_ship_components[],COLUMN(AW:AW),0)</f>
        <v>0</v>
      </c>
      <c r="AX668" s="2" cm="1">
        <f t="array" ref="AX668">VLOOKUP($A668,Table_ship_components[],COLUMN(AX:AX),0)</f>
        <v>0</v>
      </c>
      <c r="AY668" s="2" cm="1">
        <f t="array" ref="AY668">VLOOKUP($A668,Table_ship_components[],COLUMN(AY:AY),0)</f>
        <v>0</v>
      </c>
      <c r="AZ668" s="2" t="str" cm="1">
        <f t="array" ref="AZ668">VLOOKUP($A668,Table_ship_components[],COLUMN(AZ:AZ),0)</f>
        <v>C</v>
      </c>
      <c r="BA668" s="14" cm="1">
        <f t="array" ref="BA668">VLOOKUP($A668,Table_ship_components[],COLUMN(BA:BA),0)</f>
        <v>0</v>
      </c>
      <c r="BB668" s="14" cm="1">
        <f t="array" ref="BB668">(VLOOKUP($A668,Table_ship_components[],COLUMN(BA:BA),0)+(W668*C668))</f>
        <v>0</v>
      </c>
      <c r="BC668" s="2" cm="1">
        <f t="array" ref="BC668">VLOOKUP($A668,Table_ship_components[],COLUMN(BC:BC),0)</f>
        <v>0</v>
      </c>
      <c r="BD668" s="2" cm="1">
        <f t="array" ref="BD668">VLOOKUP($A668,Table_ship_components[],COLUMN(BD:BD),0)</f>
        <v>0</v>
      </c>
    </row>
    <row r="669" spans="1:56" outlineLevel="1" x14ac:dyDescent="0.35">
      <c r="A669" t="s">
        <v>288</v>
      </c>
      <c r="B669" t="str" cm="1">
        <f t="array" ref="B669">VLOOKUP($A669,Table_ship_components[],COLUMN(B:B),0)</f>
        <v>PICK A COMPONENT</v>
      </c>
      <c r="C669" s="2">
        <v>1</v>
      </c>
      <c r="D669" cm="1">
        <f t="array" ref="D669">VLOOKUP($A669,Table_ship_components[],COLUMN(D:D),0)</f>
        <v>0</v>
      </c>
      <c r="E669" cm="1">
        <f t="array" ref="E669">ROUND(VLOOKUP($A669,Table_ship_components[],COLUMN(D:D),0)+(V669*C669),0)</f>
        <v>0</v>
      </c>
      <c r="F669" cm="1">
        <f t="array" ref="F669">VLOOKUP($A669,Table_ship_components[],COLUMN(F:F),0)</f>
        <v>0</v>
      </c>
      <c r="G669" cm="1">
        <f t="array" ref="G669">ROUND(VLOOKUP($A669,Table_ship_components[],COLUMN(G:G),0)+(X669*C669),0)</f>
        <v>0</v>
      </c>
      <c r="H669" cm="1">
        <f t="array" ref="H669">VLOOKUP($A669,Table_ship_components[],COLUMN(H:H),0)</f>
        <v>0</v>
      </c>
      <c r="I669" cm="1">
        <f t="array" ref="I669">VLOOKUP($A669,Table_ship_components[],COLUMN(I:I),0)</f>
        <v>0</v>
      </c>
      <c r="J669" cm="1">
        <f t="array" ref="J669">VLOOKUP($A669,Table_ship_components[],COLUMN(J:J),0)</f>
        <v>0</v>
      </c>
      <c r="K669" cm="1">
        <f t="array" ref="K669">VLOOKUP($A669,Table_ship_components[],COLUMN(K:K),0)</f>
        <v>0</v>
      </c>
      <c r="L669" cm="1">
        <f t="array" ref="L669">VLOOKUP($A669,Table_ship_components[],COLUMN(L:L),0)</f>
        <v>0</v>
      </c>
      <c r="M669" cm="1">
        <f t="array" ref="M669">VLOOKUP($A669,Table_ship_components[],COLUMN(M:M),0)</f>
        <v>0</v>
      </c>
      <c r="N669" cm="1">
        <f t="array" ref="N669">VLOOKUP($A669,Table_ship_components[],COLUMN(N:N),0)</f>
        <v>0</v>
      </c>
      <c r="O669" cm="1">
        <f t="array" ref="O669">VLOOKUP($A669,Table_ship_components[],COLUMN(O:O),0)</f>
        <v>0</v>
      </c>
      <c r="P669" cm="1">
        <f t="array" ref="P669">VLOOKUP($A669,Table_ship_components[],COLUMN(P:P),0)</f>
        <v>0</v>
      </c>
      <c r="Q669" cm="1">
        <f t="array" ref="Q669">VLOOKUP($A669,Table_ship_components[],COLUMN(Q:Q),0)</f>
        <v>0</v>
      </c>
      <c r="R669" cm="1">
        <f t="array" ref="R669">VLOOKUP($A669,Table_ship_components[],COLUMN(R:R),0)</f>
        <v>0</v>
      </c>
      <c r="S669" cm="1">
        <f t="array" ref="S669">VLOOKUP($A669,Table_ship_components[],COLUMN(S:S),0)</f>
        <v>0</v>
      </c>
      <c r="T669" cm="1">
        <f t="array" ref="T669">VLOOKUP($A669,Table_ship_components[],COLUMN(T:T),0)</f>
        <v>0</v>
      </c>
      <c r="U669" cm="1">
        <f t="array" ref="U669">VLOOKUP($A669,Table_ship_components[],COLUMN(U:U),0)</f>
        <v>0</v>
      </c>
      <c r="V669" cm="1">
        <f t="array" ref="V669">VLOOKUP($A669,Table_ship_components[],COLUMN(V:V),0)</f>
        <v>0</v>
      </c>
      <c r="W669" s="15" cm="1">
        <f t="array" ref="W669">VLOOKUP($A669,Table_ship_components[],COLUMN(W:W),0)</f>
        <v>0</v>
      </c>
      <c r="X669" cm="1">
        <f t="array" ref="X669">VLOOKUP($A669,Table_ship_components[],COLUMN(X:X),0)</f>
        <v>0</v>
      </c>
      <c r="Y669" cm="1">
        <f t="array" ref="Y669">VLOOKUP($A669,Table_ship_components[],COLUMN(Y:Y),0)</f>
        <v>0</v>
      </c>
      <c r="Z669" cm="1">
        <f t="array" ref="Z669">VLOOKUP($A669,Table_ship_components[],COLUMN(Z:Z),0)</f>
        <v>0</v>
      </c>
      <c r="AA669" cm="1">
        <f t="array" ref="AA669">VLOOKUP($A669,Table_ship_components[],COLUMN(AA:AA),0)*C669</f>
        <v>0</v>
      </c>
      <c r="AB669">
        <f t="shared" si="70"/>
        <v>0</v>
      </c>
      <c r="AC669" cm="1">
        <f t="array" ref="AC669">VLOOKUP($A669,Table_ship_components[],COLUMN(AC:AC),0)*C669</f>
        <v>0</v>
      </c>
      <c r="AD669" cm="1">
        <f t="array" ref="AD669">VLOOKUP($A669,Table_ship_components[],COLUMN(AD:AD),0)</f>
        <v>0</v>
      </c>
      <c r="AE669" cm="1">
        <f t="array" ref="AE669">VLOOKUP($A669,Table_ship_components[],COLUMN(AE:AE),0)</f>
        <v>0</v>
      </c>
      <c r="AF669" cm="1">
        <f t="array" ref="AF669">VLOOKUP($A669,Table_ship_components[],COLUMN(AF:AF),0)</f>
        <v>0</v>
      </c>
      <c r="AG669" cm="1">
        <f t="array" ref="AG669">VLOOKUP($A669,Table_ship_components[],COLUMN(AG:AG),0)</f>
        <v>0</v>
      </c>
      <c r="AH669" cm="1">
        <f t="array" ref="AH669">VLOOKUP($A669,Table_ship_components[],COLUMN(AH:AH),0)</f>
        <v>0</v>
      </c>
      <c r="AI669" cm="1">
        <f t="array" ref="AI669">VLOOKUP($A669,Table_ship_components[],COLUMN(AI:AI),0)</f>
        <v>0</v>
      </c>
      <c r="AJ669" cm="1">
        <f t="array" ref="AJ669">VLOOKUP($A669,Table_ship_components[],COLUMN(AJ:AJ),0)</f>
        <v>0</v>
      </c>
      <c r="AK669" cm="1">
        <f t="array" ref="AK669">VLOOKUP($A669,Table_ship_components[],COLUMN(AK:AK),0)</f>
        <v>0</v>
      </c>
      <c r="AL669" cm="1">
        <f t="array" ref="AL669">VLOOKUP($A669,Table_ship_components[],COLUMN(AL:AL),0)</f>
        <v>0</v>
      </c>
      <c r="AM669" cm="1">
        <f t="array" ref="AM669">VLOOKUP($A669,Table_ship_components[],COLUMN(AM:AM),0)</f>
        <v>0</v>
      </c>
      <c r="AN669" cm="1">
        <f t="array" ref="AN669">VLOOKUP($A669,Table_ship_components[],COLUMN(AN:AN),0)</f>
        <v>0</v>
      </c>
      <c r="AO669" cm="1">
        <f t="array" ref="AO669">VLOOKUP($A669,Table_ship_components[],COLUMN(AO:AO),0)</f>
        <v>0</v>
      </c>
      <c r="AP669" cm="1">
        <f t="array" ref="AP669">VLOOKUP($A669,Table_ship_components[],COLUMN(AP:AP),0)</f>
        <v>0</v>
      </c>
      <c r="AQ669" cm="1">
        <f t="array" ref="AQ669">VLOOKUP($A669,Table_ship_components[],COLUMN(AQ:AQ),0)</f>
        <v>0</v>
      </c>
      <c r="AR669" cm="1">
        <f t="array" ref="AR669">VLOOKUP($A669,Table_ship_components[],COLUMN(AR:AR),0)</f>
        <v>0</v>
      </c>
      <c r="AS669" cm="1">
        <f t="array" ref="AS669">VLOOKUP($A669,Table_ship_components[],COLUMN(AS:AS),0)</f>
        <v>0</v>
      </c>
      <c r="AT669" cm="1">
        <f t="array" ref="AT669">VLOOKUP($A669,Table_ship_components[],COLUMN(AT:AT),0)</f>
        <v>0</v>
      </c>
      <c r="AU669" s="2" cm="1">
        <f t="array" ref="AU669">VLOOKUP($A669,Table_ship_components[],COLUMN(AU:AU),0)</f>
        <v>0</v>
      </c>
      <c r="AV669" s="2" cm="1">
        <f t="array" ref="AV669">VLOOKUP($A669,Table_ship_components[],COLUMN(AV:AV),0)</f>
        <v>0</v>
      </c>
      <c r="AW669" s="2" cm="1">
        <f t="array" ref="AW669">VLOOKUP($A669,Table_ship_components[],COLUMN(AW:AW),0)</f>
        <v>0</v>
      </c>
      <c r="AX669" s="2" cm="1">
        <f t="array" ref="AX669">VLOOKUP($A669,Table_ship_components[],COLUMN(AX:AX),0)</f>
        <v>0</v>
      </c>
      <c r="AY669" s="2" cm="1">
        <f t="array" ref="AY669">VLOOKUP($A669,Table_ship_components[],COLUMN(AY:AY),0)</f>
        <v>0</v>
      </c>
      <c r="AZ669" s="2" t="str" cm="1">
        <f t="array" ref="AZ669">VLOOKUP($A669,Table_ship_components[],COLUMN(AZ:AZ),0)</f>
        <v>C</v>
      </c>
      <c r="BA669" s="14" cm="1">
        <f t="array" ref="BA669">VLOOKUP($A669,Table_ship_components[],COLUMN(BA:BA),0)</f>
        <v>0</v>
      </c>
      <c r="BB669" s="14" cm="1">
        <f t="array" ref="BB669">(VLOOKUP($A669,Table_ship_components[],COLUMN(BA:BA),0)+(W669*C669))</f>
        <v>0</v>
      </c>
      <c r="BC669" s="2" cm="1">
        <f t="array" ref="BC669">VLOOKUP($A669,Table_ship_components[],COLUMN(BC:BC),0)</f>
        <v>0</v>
      </c>
      <c r="BD669" s="2" cm="1">
        <f t="array" ref="BD669">VLOOKUP($A669,Table_ship_components[],COLUMN(BD:BD),0)</f>
        <v>0</v>
      </c>
    </row>
    <row r="670" spans="1:56" outlineLevel="1" x14ac:dyDescent="0.35">
      <c r="A670" t="s">
        <v>288</v>
      </c>
      <c r="B670" t="str" cm="1">
        <f t="array" ref="B670">VLOOKUP($A670,Table_ship_components[],COLUMN(B:B),0)</f>
        <v>PICK A COMPONENT</v>
      </c>
      <c r="C670" s="2">
        <v>1</v>
      </c>
      <c r="D670" cm="1">
        <f t="array" ref="D670">VLOOKUP($A670,Table_ship_components[],COLUMN(D:D),0)</f>
        <v>0</v>
      </c>
      <c r="E670" cm="1">
        <f t="array" ref="E670">ROUND(VLOOKUP($A670,Table_ship_components[],COLUMN(D:D),0)+(V670*C670),0)</f>
        <v>0</v>
      </c>
      <c r="F670" cm="1">
        <f t="array" ref="F670">VLOOKUP($A670,Table_ship_components[],COLUMN(F:F),0)</f>
        <v>0</v>
      </c>
      <c r="G670" cm="1">
        <f t="array" ref="G670">ROUND(VLOOKUP($A670,Table_ship_components[],COLUMN(G:G),0)+(X670*C670),0)</f>
        <v>0</v>
      </c>
      <c r="H670" cm="1">
        <f t="array" ref="H670">VLOOKUP($A670,Table_ship_components[],COLUMN(H:H),0)</f>
        <v>0</v>
      </c>
      <c r="I670" cm="1">
        <f t="array" ref="I670">VLOOKUP($A670,Table_ship_components[],COLUMN(I:I),0)</f>
        <v>0</v>
      </c>
      <c r="J670" cm="1">
        <f t="array" ref="J670">VLOOKUP($A670,Table_ship_components[],COLUMN(J:J),0)</f>
        <v>0</v>
      </c>
      <c r="K670" cm="1">
        <f t="array" ref="K670">VLOOKUP($A670,Table_ship_components[],COLUMN(K:K),0)</f>
        <v>0</v>
      </c>
      <c r="L670" cm="1">
        <f t="array" ref="L670">VLOOKUP($A670,Table_ship_components[],COLUMN(L:L),0)</f>
        <v>0</v>
      </c>
      <c r="M670" cm="1">
        <f t="array" ref="M670">VLOOKUP($A670,Table_ship_components[],COLUMN(M:M),0)</f>
        <v>0</v>
      </c>
      <c r="N670" cm="1">
        <f t="array" ref="N670">VLOOKUP($A670,Table_ship_components[],COLUMN(N:N),0)</f>
        <v>0</v>
      </c>
      <c r="O670" cm="1">
        <f t="array" ref="O670">VLOOKUP($A670,Table_ship_components[],COLUMN(O:O),0)</f>
        <v>0</v>
      </c>
      <c r="P670" cm="1">
        <f t="array" ref="P670">VLOOKUP($A670,Table_ship_components[],COLUMN(P:P),0)</f>
        <v>0</v>
      </c>
      <c r="Q670" cm="1">
        <f t="array" ref="Q670">VLOOKUP($A670,Table_ship_components[],COLUMN(Q:Q),0)</f>
        <v>0</v>
      </c>
      <c r="R670" cm="1">
        <f t="array" ref="R670">VLOOKUP($A670,Table_ship_components[],COLUMN(R:R),0)</f>
        <v>0</v>
      </c>
      <c r="S670" cm="1">
        <f t="array" ref="S670">VLOOKUP($A670,Table_ship_components[],COLUMN(S:S),0)</f>
        <v>0</v>
      </c>
      <c r="T670" cm="1">
        <f t="array" ref="T670">VLOOKUP($A670,Table_ship_components[],COLUMN(T:T),0)</f>
        <v>0</v>
      </c>
      <c r="U670" cm="1">
        <f t="array" ref="U670">VLOOKUP($A670,Table_ship_components[],COLUMN(U:U),0)</f>
        <v>0</v>
      </c>
      <c r="V670" cm="1">
        <f t="array" ref="V670">VLOOKUP($A670,Table_ship_components[],COLUMN(V:V),0)</f>
        <v>0</v>
      </c>
      <c r="W670" s="15" cm="1">
        <f t="array" ref="W670">VLOOKUP($A670,Table_ship_components[],COLUMN(W:W),0)</f>
        <v>0</v>
      </c>
      <c r="X670" cm="1">
        <f t="array" ref="X670">VLOOKUP($A670,Table_ship_components[],COLUMN(X:X),0)</f>
        <v>0</v>
      </c>
      <c r="Y670" cm="1">
        <f t="array" ref="Y670">VLOOKUP($A670,Table_ship_components[],COLUMN(Y:Y),0)</f>
        <v>0</v>
      </c>
      <c r="Z670" cm="1">
        <f t="array" ref="Z670">VLOOKUP($A670,Table_ship_components[],COLUMN(Z:Z),0)</f>
        <v>0</v>
      </c>
      <c r="AA670" cm="1">
        <f t="array" ref="AA670">VLOOKUP($A670,Table_ship_components[],COLUMN(AA:AA),0)*C670</f>
        <v>0</v>
      </c>
      <c r="AB670">
        <f t="shared" si="70"/>
        <v>0</v>
      </c>
      <c r="AC670" cm="1">
        <f t="array" ref="AC670">VLOOKUP($A670,Table_ship_components[],COLUMN(AC:AC),0)*C670</f>
        <v>0</v>
      </c>
      <c r="AD670" cm="1">
        <f t="array" ref="AD670">VLOOKUP($A670,Table_ship_components[],COLUMN(AD:AD),0)</f>
        <v>0</v>
      </c>
      <c r="AE670" cm="1">
        <f t="array" ref="AE670">VLOOKUP($A670,Table_ship_components[],COLUMN(AE:AE),0)</f>
        <v>0</v>
      </c>
      <c r="AF670" cm="1">
        <f t="array" ref="AF670">VLOOKUP($A670,Table_ship_components[],COLUMN(AF:AF),0)</f>
        <v>0</v>
      </c>
      <c r="AG670" cm="1">
        <f t="array" ref="AG670">VLOOKUP($A670,Table_ship_components[],COLUMN(AG:AG),0)</f>
        <v>0</v>
      </c>
      <c r="AH670" cm="1">
        <f t="array" ref="AH670">VLOOKUP($A670,Table_ship_components[],COLUMN(AH:AH),0)</f>
        <v>0</v>
      </c>
      <c r="AI670" cm="1">
        <f t="array" ref="AI670">VLOOKUP($A670,Table_ship_components[],COLUMN(AI:AI),0)</f>
        <v>0</v>
      </c>
      <c r="AJ670" cm="1">
        <f t="array" ref="AJ670">VLOOKUP($A670,Table_ship_components[],COLUMN(AJ:AJ),0)</f>
        <v>0</v>
      </c>
      <c r="AK670" cm="1">
        <f t="array" ref="AK670">VLOOKUP($A670,Table_ship_components[],COLUMN(AK:AK),0)</f>
        <v>0</v>
      </c>
      <c r="AL670" cm="1">
        <f t="array" ref="AL670">VLOOKUP($A670,Table_ship_components[],COLUMN(AL:AL),0)</f>
        <v>0</v>
      </c>
      <c r="AM670" cm="1">
        <f t="array" ref="AM670">VLOOKUP($A670,Table_ship_components[],COLUMN(AM:AM),0)</f>
        <v>0</v>
      </c>
      <c r="AN670" cm="1">
        <f t="array" ref="AN670">VLOOKUP($A670,Table_ship_components[],COLUMN(AN:AN),0)</f>
        <v>0</v>
      </c>
      <c r="AO670" cm="1">
        <f t="array" ref="AO670">VLOOKUP($A670,Table_ship_components[],COLUMN(AO:AO),0)</f>
        <v>0</v>
      </c>
      <c r="AP670" cm="1">
        <f t="array" ref="AP670">VLOOKUP($A670,Table_ship_components[],COLUMN(AP:AP),0)</f>
        <v>0</v>
      </c>
      <c r="AQ670" cm="1">
        <f t="array" ref="AQ670">VLOOKUP($A670,Table_ship_components[],COLUMN(AQ:AQ),0)</f>
        <v>0</v>
      </c>
      <c r="AR670" cm="1">
        <f t="array" ref="AR670">VLOOKUP($A670,Table_ship_components[],COLUMN(AR:AR),0)</f>
        <v>0</v>
      </c>
      <c r="AS670" cm="1">
        <f t="array" ref="AS670">VLOOKUP($A670,Table_ship_components[],COLUMN(AS:AS),0)</f>
        <v>0</v>
      </c>
      <c r="AT670" cm="1">
        <f t="array" ref="AT670">VLOOKUP($A670,Table_ship_components[],COLUMN(AT:AT),0)</f>
        <v>0</v>
      </c>
      <c r="AU670" s="2" cm="1">
        <f t="array" ref="AU670">VLOOKUP($A670,Table_ship_components[],COLUMN(AU:AU),0)</f>
        <v>0</v>
      </c>
      <c r="AV670" s="2" cm="1">
        <f t="array" ref="AV670">VLOOKUP($A670,Table_ship_components[],COLUMN(AV:AV),0)</f>
        <v>0</v>
      </c>
      <c r="AW670" s="2" cm="1">
        <f t="array" ref="AW670">VLOOKUP($A670,Table_ship_components[],COLUMN(AW:AW),0)</f>
        <v>0</v>
      </c>
      <c r="AX670" s="2" cm="1">
        <f t="array" ref="AX670">VLOOKUP($A670,Table_ship_components[],COLUMN(AX:AX),0)</f>
        <v>0</v>
      </c>
      <c r="AY670" s="2" cm="1">
        <f t="array" ref="AY670">VLOOKUP($A670,Table_ship_components[],COLUMN(AY:AY),0)</f>
        <v>0</v>
      </c>
      <c r="AZ670" s="2" t="str" cm="1">
        <f t="array" ref="AZ670">VLOOKUP($A670,Table_ship_components[],COLUMN(AZ:AZ),0)</f>
        <v>C</v>
      </c>
      <c r="BA670" s="14" cm="1">
        <f t="array" ref="BA670">VLOOKUP($A670,Table_ship_components[],COLUMN(BA:BA),0)</f>
        <v>0</v>
      </c>
      <c r="BB670" s="14" cm="1">
        <f t="array" ref="BB670">(VLOOKUP($A670,Table_ship_components[],COLUMN(BA:BA),0)+(W670*C670))</f>
        <v>0</v>
      </c>
      <c r="BC670" s="2" cm="1">
        <f t="array" ref="BC670">VLOOKUP($A670,Table_ship_components[],COLUMN(BC:BC),0)</f>
        <v>0</v>
      </c>
      <c r="BD670" s="2" cm="1">
        <f t="array" ref="BD670">VLOOKUP($A670,Table_ship_components[],COLUMN(BD:BD),0)</f>
        <v>0</v>
      </c>
    </row>
    <row r="671" spans="1:56" outlineLevel="1" x14ac:dyDescent="0.35">
      <c r="A671" s="18" t="s">
        <v>424</v>
      </c>
      <c r="B671" s="19" t="str">
        <f>CONCATENATE("SIZE ",(SUM(E672:E682)),"/",AX661,"  POWER ",(SUM(G672:G682)))</f>
        <v>SIZE 0/0  POWER 0</v>
      </c>
      <c r="AU671" s="2"/>
      <c r="AV671" s="2"/>
      <c r="AW671" s="2"/>
      <c r="AX671" s="2"/>
      <c r="AY671" s="2"/>
      <c r="AZ671" s="2"/>
      <c r="BA671" s="14"/>
      <c r="BB671" s="14"/>
      <c r="BC671" s="2"/>
      <c r="BD671" s="2"/>
    </row>
    <row r="672" spans="1:56" outlineLevel="1" x14ac:dyDescent="0.35">
      <c r="A672" t="s">
        <v>288</v>
      </c>
      <c r="B672" t="str" cm="1">
        <f t="array" ref="B672">VLOOKUP($A672,Table_ship_components[],COLUMN(B:B),0)</f>
        <v>PICK A COMPONENT</v>
      </c>
      <c r="D672" cm="1">
        <f t="array" ref="D672">VLOOKUP($A672,Table_ship_components[],COLUMN(D:D),0)</f>
        <v>0</v>
      </c>
      <c r="E672" cm="1">
        <f t="array" ref="E672">ROUND(VLOOKUP($A672,Table_ship_components[],COLUMN(D:D),0)+(V672*C672),0)</f>
        <v>0</v>
      </c>
      <c r="F672" cm="1">
        <f t="array" ref="F672">VLOOKUP($A672,Table_ship_components[],COLUMN(F:F),0)</f>
        <v>0</v>
      </c>
      <c r="G672" cm="1">
        <f t="array" ref="G672">ROUND(VLOOKUP($A672,Table_ship_components[],COLUMN(G:G),0)+(X672*C672),0)</f>
        <v>0</v>
      </c>
      <c r="H672" cm="1">
        <f t="array" ref="H672">VLOOKUP($A672,Table_ship_components[],COLUMN(H:H),0)</f>
        <v>0</v>
      </c>
      <c r="I672" cm="1">
        <f t="array" ref="I672">VLOOKUP($A672,Table_ship_components[],COLUMN(I:I),0)</f>
        <v>0</v>
      </c>
      <c r="J672" cm="1">
        <f t="array" ref="J672">VLOOKUP($A672,Table_ship_components[],COLUMN(J:J),0)</f>
        <v>0</v>
      </c>
      <c r="K672" cm="1">
        <f t="array" ref="K672">VLOOKUP($A672,Table_ship_components[],COLUMN(K:K),0)</f>
        <v>0</v>
      </c>
      <c r="L672" cm="1">
        <f t="array" ref="L672">VLOOKUP($A672,Table_ship_components[],COLUMN(L:L),0)</f>
        <v>0</v>
      </c>
      <c r="M672" cm="1">
        <f t="array" ref="M672">VLOOKUP($A672,Table_ship_components[],COLUMN(M:M),0)</f>
        <v>0</v>
      </c>
      <c r="N672" cm="1">
        <f t="array" ref="N672">VLOOKUP($A672,Table_ship_components[],COLUMN(N:N),0)</f>
        <v>0</v>
      </c>
      <c r="O672" cm="1">
        <f t="array" ref="O672">VLOOKUP($A672,Table_ship_components[],COLUMN(O:O),0)</f>
        <v>0</v>
      </c>
      <c r="P672" cm="1">
        <f t="array" ref="P672">VLOOKUP($A672,Table_ship_components[],COLUMN(P:P),0)</f>
        <v>0</v>
      </c>
      <c r="Q672" cm="1">
        <f t="array" ref="Q672">VLOOKUP($A672,Table_ship_components[],COLUMN(Q:Q),0)</f>
        <v>0</v>
      </c>
      <c r="R672" cm="1">
        <f t="array" ref="R672">VLOOKUP($A672,Table_ship_components[],COLUMN(R:R),0)</f>
        <v>0</v>
      </c>
      <c r="S672" cm="1">
        <f t="array" ref="S672">VLOOKUP($A672,Table_ship_components[],COLUMN(S:S),0)</f>
        <v>0</v>
      </c>
      <c r="T672" cm="1">
        <f t="array" ref="T672">VLOOKUP($A672,Table_ship_components[],COLUMN(T:T),0)</f>
        <v>0</v>
      </c>
      <c r="U672" cm="1">
        <f t="array" ref="U672">VLOOKUP($A672,Table_ship_components[],COLUMN(U:U),0)</f>
        <v>0</v>
      </c>
      <c r="V672" cm="1">
        <f t="array" ref="V672">VLOOKUP($A672,Table_ship_components[],COLUMN(V:V),0)</f>
        <v>0</v>
      </c>
      <c r="W672" s="15" cm="1">
        <f t="array" ref="W672">VLOOKUP($A672,Table_ship_components[],COLUMN(W:W),0)</f>
        <v>0</v>
      </c>
      <c r="X672" cm="1">
        <f t="array" ref="X672">VLOOKUP($A672,Table_ship_components[],COLUMN(X:X),0)</f>
        <v>0</v>
      </c>
      <c r="Y672" cm="1">
        <f t="array" ref="Y672">VLOOKUP($A672,Table_ship_components[],COLUMN(Y:Y),0)</f>
        <v>0</v>
      </c>
      <c r="Z672" cm="1">
        <f t="array" ref="Z672">VLOOKUP($A672,Table_ship_components[],COLUMN(Z:Z),0)</f>
        <v>0</v>
      </c>
      <c r="AA672" cm="1">
        <f t="array" ref="AA672">VLOOKUP($A672,Table_ship_components[],COLUMN(AA:AA),0)*C672</f>
        <v>0</v>
      </c>
      <c r="AB672">
        <f t="shared" ref="AB672:AB681" si="71">IF(A672="CARGOSPACE_0-ALL_0-UNIVERSAL",C672,0)</f>
        <v>0</v>
      </c>
      <c r="AC672" cm="1">
        <f t="array" ref="AC672">VLOOKUP($A672,Table_ship_components[],COLUMN(AC:AC),0)*C672</f>
        <v>0</v>
      </c>
      <c r="AD672" cm="1">
        <f t="array" ref="AD672">VLOOKUP($A672,Table_ship_components[],COLUMN(AD:AD),0)</f>
        <v>0</v>
      </c>
      <c r="AE672" cm="1">
        <f t="array" ref="AE672">VLOOKUP($A672,Table_ship_components[],COLUMN(AE:AE),0)</f>
        <v>0</v>
      </c>
      <c r="AF672" cm="1">
        <f t="array" ref="AF672">VLOOKUP($A672,Table_ship_components[],COLUMN(AF:AF),0)</f>
        <v>0</v>
      </c>
      <c r="AG672" cm="1">
        <f t="array" ref="AG672">VLOOKUP($A672,Table_ship_components[],COLUMN(AG:AG),0)</f>
        <v>0</v>
      </c>
      <c r="AH672" cm="1">
        <f t="array" ref="AH672">VLOOKUP($A672,Table_ship_components[],COLUMN(AH:AH),0)</f>
        <v>0</v>
      </c>
      <c r="AI672" cm="1">
        <f t="array" ref="AI672">VLOOKUP($A672,Table_ship_components[],COLUMN(AI:AI),0)</f>
        <v>0</v>
      </c>
      <c r="AJ672" cm="1">
        <f t="array" ref="AJ672">VLOOKUP($A672,Table_ship_components[],COLUMN(AJ:AJ),0)</f>
        <v>0</v>
      </c>
      <c r="AK672" cm="1">
        <f t="array" ref="AK672">VLOOKUP($A672,Table_ship_components[],COLUMN(AK:AK),0)</f>
        <v>0</v>
      </c>
      <c r="AL672" cm="1">
        <f t="array" ref="AL672">VLOOKUP($A672,Table_ship_components[],COLUMN(AL:AL),0)</f>
        <v>0</v>
      </c>
      <c r="AM672" cm="1">
        <f t="array" ref="AM672">VLOOKUP($A672,Table_ship_components[],COLUMN(AM:AM),0)</f>
        <v>0</v>
      </c>
      <c r="AN672" cm="1">
        <f t="array" ref="AN672">VLOOKUP($A672,Table_ship_components[],COLUMN(AN:AN),0)</f>
        <v>0</v>
      </c>
      <c r="AO672" cm="1">
        <f t="array" ref="AO672">VLOOKUP($A672,Table_ship_components[],COLUMN(AO:AO),0)</f>
        <v>0</v>
      </c>
      <c r="AP672" cm="1">
        <f t="array" ref="AP672">VLOOKUP($A672,Table_ship_components[],COLUMN(AP:AP),0)</f>
        <v>0</v>
      </c>
      <c r="AQ672" cm="1">
        <f t="array" ref="AQ672">VLOOKUP($A672,Table_ship_components[],COLUMN(AQ:AQ),0)</f>
        <v>0</v>
      </c>
      <c r="AR672" cm="1">
        <f t="array" ref="AR672">VLOOKUP($A672,Table_ship_components[],COLUMN(AR:AR),0)</f>
        <v>0</v>
      </c>
      <c r="AS672" cm="1">
        <f t="array" ref="AS672">VLOOKUP($A672,Table_ship_components[],COLUMN(AS:AS),0)</f>
        <v>0</v>
      </c>
      <c r="AT672" cm="1">
        <f t="array" ref="AT672">VLOOKUP($A672,Table_ship_components[],COLUMN(AT:AT),0)</f>
        <v>0</v>
      </c>
      <c r="AU672" s="2" cm="1">
        <f t="array" ref="AU672">VLOOKUP($A672,Table_ship_components[],COLUMN(AU:AU),0)</f>
        <v>0</v>
      </c>
      <c r="AV672" s="2" cm="1">
        <f t="array" ref="AV672">VLOOKUP($A672,Table_ship_components[],COLUMN(AV:AV),0)</f>
        <v>0</v>
      </c>
      <c r="AW672" s="2" cm="1">
        <f t="array" ref="AW672">VLOOKUP($A672,Table_ship_components[],COLUMN(AW:AW),0)</f>
        <v>0</v>
      </c>
      <c r="AX672" s="2" cm="1">
        <f t="array" ref="AX672">VLOOKUP($A672,Table_ship_components[],COLUMN(AX:AX),0)</f>
        <v>0</v>
      </c>
      <c r="AY672" s="2" cm="1">
        <f t="array" ref="AY672">VLOOKUP($A672,Table_ship_components[],COLUMN(AY:AY),0)</f>
        <v>0</v>
      </c>
      <c r="AZ672" s="2" t="str" cm="1">
        <f t="array" ref="AZ672">VLOOKUP($A672,Table_ship_components[],COLUMN(AZ:AZ),0)</f>
        <v>C</v>
      </c>
      <c r="BA672" s="14" cm="1">
        <f t="array" ref="BA672">VLOOKUP($A672,Table_ship_components[],COLUMN(BA:BA),0)</f>
        <v>0</v>
      </c>
      <c r="BB672" s="14" cm="1">
        <f t="array" ref="BB672">(VLOOKUP($A672,Table_ship_components[],COLUMN(BA:BA),0)+(W672*C672))</f>
        <v>0</v>
      </c>
      <c r="BC672" s="2" cm="1">
        <f t="array" ref="BC672">VLOOKUP($A672,Table_ship_components[],COLUMN(BC:BC),0)</f>
        <v>0</v>
      </c>
      <c r="BD672" s="2" cm="1">
        <f t="array" ref="BD672">VLOOKUP($A672,Table_ship_components[],COLUMN(BD:BD),0)</f>
        <v>0</v>
      </c>
    </row>
    <row r="673" spans="1:56" outlineLevel="1" x14ac:dyDescent="0.35">
      <c r="A673" t="s">
        <v>288</v>
      </c>
      <c r="B673" t="str" cm="1">
        <f t="array" ref="B673">VLOOKUP($A673,Table_ship_components[],COLUMN(B:B),0)</f>
        <v>PICK A COMPONENT</v>
      </c>
      <c r="D673" cm="1">
        <f t="array" ref="D673">VLOOKUP($A673,Table_ship_components[],COLUMN(D:D),0)</f>
        <v>0</v>
      </c>
      <c r="E673" cm="1">
        <f t="array" ref="E673">ROUND(VLOOKUP($A673,Table_ship_components[],COLUMN(D:D),0)+(V673*C673),0)</f>
        <v>0</v>
      </c>
      <c r="F673" cm="1">
        <f t="array" ref="F673">VLOOKUP($A673,Table_ship_components[],COLUMN(F:F),0)</f>
        <v>0</v>
      </c>
      <c r="G673" cm="1">
        <f t="array" ref="G673">ROUND(VLOOKUP($A673,Table_ship_components[],COLUMN(G:G),0)+(X673*C673),0)</f>
        <v>0</v>
      </c>
      <c r="H673" cm="1">
        <f t="array" ref="H673">VLOOKUP($A673,Table_ship_components[],COLUMN(H:H),0)</f>
        <v>0</v>
      </c>
      <c r="I673" cm="1">
        <f t="array" ref="I673">VLOOKUP($A673,Table_ship_components[],COLUMN(I:I),0)</f>
        <v>0</v>
      </c>
      <c r="J673" cm="1">
        <f t="array" ref="J673">VLOOKUP($A673,Table_ship_components[],COLUMN(J:J),0)</f>
        <v>0</v>
      </c>
      <c r="K673" cm="1">
        <f t="array" ref="K673">VLOOKUP($A673,Table_ship_components[],COLUMN(K:K),0)</f>
        <v>0</v>
      </c>
      <c r="L673" cm="1">
        <f t="array" ref="L673">VLOOKUP($A673,Table_ship_components[],COLUMN(L:L),0)</f>
        <v>0</v>
      </c>
      <c r="M673" cm="1">
        <f t="array" ref="M673">VLOOKUP($A673,Table_ship_components[],COLUMN(M:M),0)</f>
        <v>0</v>
      </c>
      <c r="N673" cm="1">
        <f t="array" ref="N673">VLOOKUP($A673,Table_ship_components[],COLUMN(N:N),0)</f>
        <v>0</v>
      </c>
      <c r="O673" cm="1">
        <f t="array" ref="O673">VLOOKUP($A673,Table_ship_components[],COLUMN(O:O),0)</f>
        <v>0</v>
      </c>
      <c r="P673" cm="1">
        <f t="array" ref="P673">VLOOKUP($A673,Table_ship_components[],COLUMN(P:P),0)</f>
        <v>0</v>
      </c>
      <c r="Q673" cm="1">
        <f t="array" ref="Q673">VLOOKUP($A673,Table_ship_components[],COLUMN(Q:Q),0)</f>
        <v>0</v>
      </c>
      <c r="R673" cm="1">
        <f t="array" ref="R673">VLOOKUP($A673,Table_ship_components[],COLUMN(R:R),0)</f>
        <v>0</v>
      </c>
      <c r="S673" cm="1">
        <f t="array" ref="S673">VLOOKUP($A673,Table_ship_components[],COLUMN(S:S),0)</f>
        <v>0</v>
      </c>
      <c r="T673" cm="1">
        <f t="array" ref="T673">VLOOKUP($A673,Table_ship_components[],COLUMN(T:T),0)</f>
        <v>0</v>
      </c>
      <c r="U673" cm="1">
        <f t="array" ref="U673">VLOOKUP($A673,Table_ship_components[],COLUMN(U:U),0)</f>
        <v>0</v>
      </c>
      <c r="V673" cm="1">
        <f t="array" ref="V673">VLOOKUP($A673,Table_ship_components[],COLUMN(V:V),0)</f>
        <v>0</v>
      </c>
      <c r="W673" s="15" cm="1">
        <f t="array" ref="W673">VLOOKUP($A673,Table_ship_components[],COLUMN(W:W),0)</f>
        <v>0</v>
      </c>
      <c r="X673" cm="1">
        <f t="array" ref="X673">VLOOKUP($A673,Table_ship_components[],COLUMN(X:X),0)</f>
        <v>0</v>
      </c>
      <c r="Y673" cm="1">
        <f t="array" ref="Y673">VLOOKUP($A673,Table_ship_components[],COLUMN(Y:Y),0)</f>
        <v>0</v>
      </c>
      <c r="Z673" cm="1">
        <f t="array" ref="Z673">VLOOKUP($A673,Table_ship_components[],COLUMN(Z:Z),0)</f>
        <v>0</v>
      </c>
      <c r="AA673" cm="1">
        <f t="array" ref="AA673">VLOOKUP($A673,Table_ship_components[],COLUMN(AA:AA),0)*C673</f>
        <v>0</v>
      </c>
      <c r="AB673">
        <f t="shared" si="71"/>
        <v>0</v>
      </c>
      <c r="AC673" cm="1">
        <f t="array" ref="AC673">VLOOKUP($A673,Table_ship_components[],COLUMN(AC:AC),0)*C673</f>
        <v>0</v>
      </c>
      <c r="AD673" cm="1">
        <f t="array" ref="AD673">VLOOKUP($A673,Table_ship_components[],COLUMN(AD:AD),0)</f>
        <v>0</v>
      </c>
      <c r="AE673" cm="1">
        <f t="array" ref="AE673">VLOOKUP($A673,Table_ship_components[],COLUMN(AE:AE),0)</f>
        <v>0</v>
      </c>
      <c r="AF673" cm="1">
        <f t="array" ref="AF673">VLOOKUP($A673,Table_ship_components[],COLUMN(AF:AF),0)</f>
        <v>0</v>
      </c>
      <c r="AG673" cm="1">
        <f t="array" ref="AG673">VLOOKUP($A673,Table_ship_components[],COLUMN(AG:AG),0)</f>
        <v>0</v>
      </c>
      <c r="AH673" cm="1">
        <f t="array" ref="AH673">VLOOKUP($A673,Table_ship_components[],COLUMN(AH:AH),0)</f>
        <v>0</v>
      </c>
      <c r="AI673" cm="1">
        <f t="array" ref="AI673">VLOOKUP($A673,Table_ship_components[],COLUMN(AI:AI),0)</f>
        <v>0</v>
      </c>
      <c r="AJ673" cm="1">
        <f t="array" ref="AJ673">VLOOKUP($A673,Table_ship_components[],COLUMN(AJ:AJ),0)</f>
        <v>0</v>
      </c>
      <c r="AK673" cm="1">
        <f t="array" ref="AK673">VLOOKUP($A673,Table_ship_components[],COLUMN(AK:AK),0)</f>
        <v>0</v>
      </c>
      <c r="AL673" cm="1">
        <f t="array" ref="AL673">VLOOKUP($A673,Table_ship_components[],COLUMN(AL:AL),0)</f>
        <v>0</v>
      </c>
      <c r="AM673" cm="1">
        <f t="array" ref="AM673">VLOOKUP($A673,Table_ship_components[],COLUMN(AM:AM),0)</f>
        <v>0</v>
      </c>
      <c r="AN673" cm="1">
        <f t="array" ref="AN673">VLOOKUP($A673,Table_ship_components[],COLUMN(AN:AN),0)</f>
        <v>0</v>
      </c>
      <c r="AO673" cm="1">
        <f t="array" ref="AO673">VLOOKUP($A673,Table_ship_components[],COLUMN(AO:AO),0)</f>
        <v>0</v>
      </c>
      <c r="AP673" cm="1">
        <f t="array" ref="AP673">VLOOKUP($A673,Table_ship_components[],COLUMN(AP:AP),0)</f>
        <v>0</v>
      </c>
      <c r="AQ673" cm="1">
        <f t="array" ref="AQ673">VLOOKUP($A673,Table_ship_components[],COLUMN(AQ:AQ),0)</f>
        <v>0</v>
      </c>
      <c r="AR673" cm="1">
        <f t="array" ref="AR673">VLOOKUP($A673,Table_ship_components[],COLUMN(AR:AR),0)</f>
        <v>0</v>
      </c>
      <c r="AS673" cm="1">
        <f t="array" ref="AS673">VLOOKUP($A673,Table_ship_components[],COLUMN(AS:AS),0)</f>
        <v>0</v>
      </c>
      <c r="AT673" cm="1">
        <f t="array" ref="AT673">VLOOKUP($A673,Table_ship_components[],COLUMN(AT:AT),0)</f>
        <v>0</v>
      </c>
      <c r="AU673" s="2" cm="1">
        <f t="array" ref="AU673">VLOOKUP($A673,Table_ship_components[],COLUMN(AU:AU),0)</f>
        <v>0</v>
      </c>
      <c r="AV673" s="2" cm="1">
        <f t="array" ref="AV673">VLOOKUP($A673,Table_ship_components[],COLUMN(AV:AV),0)</f>
        <v>0</v>
      </c>
      <c r="AW673" s="2" cm="1">
        <f t="array" ref="AW673">VLOOKUP($A673,Table_ship_components[],COLUMN(AW:AW),0)</f>
        <v>0</v>
      </c>
      <c r="AX673" s="2" cm="1">
        <f t="array" ref="AX673">VLOOKUP($A673,Table_ship_components[],COLUMN(AX:AX),0)</f>
        <v>0</v>
      </c>
      <c r="AY673" s="2" cm="1">
        <f t="array" ref="AY673">VLOOKUP($A673,Table_ship_components[],COLUMN(AY:AY),0)</f>
        <v>0</v>
      </c>
      <c r="AZ673" s="2" t="str" cm="1">
        <f t="array" ref="AZ673">VLOOKUP($A673,Table_ship_components[],COLUMN(AZ:AZ),0)</f>
        <v>C</v>
      </c>
      <c r="BA673" s="14" cm="1">
        <f t="array" ref="BA673">VLOOKUP($A673,Table_ship_components[],COLUMN(BA:BA),0)</f>
        <v>0</v>
      </c>
      <c r="BB673" s="14" cm="1">
        <f t="array" ref="BB673">(VLOOKUP($A673,Table_ship_components[],COLUMN(BA:BA),0)+(W673*C673))</f>
        <v>0</v>
      </c>
      <c r="BC673" s="2" cm="1">
        <f t="array" ref="BC673">VLOOKUP($A673,Table_ship_components[],COLUMN(BC:BC),0)</f>
        <v>0</v>
      </c>
      <c r="BD673" s="2" cm="1">
        <f t="array" ref="BD673">VLOOKUP($A673,Table_ship_components[],COLUMN(BD:BD),0)</f>
        <v>0</v>
      </c>
    </row>
    <row r="674" spans="1:56" outlineLevel="1" x14ac:dyDescent="0.35">
      <c r="A674" t="s">
        <v>288</v>
      </c>
      <c r="B674" t="str" cm="1">
        <f t="array" ref="B674">VLOOKUP($A674,Table_ship_components[],COLUMN(B:B),0)</f>
        <v>PICK A COMPONENT</v>
      </c>
      <c r="D674" cm="1">
        <f t="array" ref="D674">VLOOKUP($A674,Table_ship_components[],COLUMN(D:D),0)</f>
        <v>0</v>
      </c>
      <c r="E674" cm="1">
        <f t="array" ref="E674">ROUND(VLOOKUP($A674,Table_ship_components[],COLUMN(D:D),0)+(V674*C674),0)</f>
        <v>0</v>
      </c>
      <c r="F674" cm="1">
        <f t="array" ref="F674">VLOOKUP($A674,Table_ship_components[],COLUMN(F:F),0)</f>
        <v>0</v>
      </c>
      <c r="G674" cm="1">
        <f t="array" ref="G674">ROUND(VLOOKUP($A674,Table_ship_components[],COLUMN(G:G),0)+(X674*C674),0)</f>
        <v>0</v>
      </c>
      <c r="H674" cm="1">
        <f t="array" ref="H674">VLOOKUP($A674,Table_ship_components[],COLUMN(H:H),0)</f>
        <v>0</v>
      </c>
      <c r="I674" cm="1">
        <f t="array" ref="I674">VLOOKUP($A674,Table_ship_components[],COLUMN(I:I),0)</f>
        <v>0</v>
      </c>
      <c r="J674" cm="1">
        <f t="array" ref="J674">VLOOKUP($A674,Table_ship_components[],COLUMN(J:J),0)</f>
        <v>0</v>
      </c>
      <c r="K674" cm="1">
        <f t="array" ref="K674">VLOOKUP($A674,Table_ship_components[],COLUMN(K:K),0)</f>
        <v>0</v>
      </c>
      <c r="L674" cm="1">
        <f t="array" ref="L674">VLOOKUP($A674,Table_ship_components[],COLUMN(L:L),0)</f>
        <v>0</v>
      </c>
      <c r="M674" cm="1">
        <f t="array" ref="M674">VLOOKUP($A674,Table_ship_components[],COLUMN(M:M),0)</f>
        <v>0</v>
      </c>
      <c r="N674" cm="1">
        <f t="array" ref="N674">VLOOKUP($A674,Table_ship_components[],COLUMN(N:N),0)</f>
        <v>0</v>
      </c>
      <c r="O674" cm="1">
        <f t="array" ref="O674">VLOOKUP($A674,Table_ship_components[],COLUMN(O:O),0)</f>
        <v>0</v>
      </c>
      <c r="P674" cm="1">
        <f t="array" ref="P674">VLOOKUP($A674,Table_ship_components[],COLUMN(P:P),0)</f>
        <v>0</v>
      </c>
      <c r="Q674" cm="1">
        <f t="array" ref="Q674">VLOOKUP($A674,Table_ship_components[],COLUMN(Q:Q),0)</f>
        <v>0</v>
      </c>
      <c r="R674" cm="1">
        <f t="array" ref="R674">VLOOKUP($A674,Table_ship_components[],COLUMN(R:R),0)</f>
        <v>0</v>
      </c>
      <c r="S674" cm="1">
        <f t="array" ref="S674">VLOOKUP($A674,Table_ship_components[],COLUMN(S:S),0)</f>
        <v>0</v>
      </c>
      <c r="T674" cm="1">
        <f t="array" ref="T674">VLOOKUP($A674,Table_ship_components[],COLUMN(T:T),0)</f>
        <v>0</v>
      </c>
      <c r="U674" cm="1">
        <f t="array" ref="U674">VLOOKUP($A674,Table_ship_components[],COLUMN(U:U),0)</f>
        <v>0</v>
      </c>
      <c r="V674" cm="1">
        <f t="array" ref="V674">VLOOKUP($A674,Table_ship_components[],COLUMN(V:V),0)</f>
        <v>0</v>
      </c>
      <c r="W674" s="15" cm="1">
        <f t="array" ref="W674">VLOOKUP($A674,Table_ship_components[],COLUMN(W:W),0)</f>
        <v>0</v>
      </c>
      <c r="X674" cm="1">
        <f t="array" ref="X674">VLOOKUP($A674,Table_ship_components[],COLUMN(X:X),0)</f>
        <v>0</v>
      </c>
      <c r="Y674" cm="1">
        <f t="array" ref="Y674">VLOOKUP($A674,Table_ship_components[],COLUMN(Y:Y),0)</f>
        <v>0</v>
      </c>
      <c r="Z674" cm="1">
        <f t="array" ref="Z674">VLOOKUP($A674,Table_ship_components[],COLUMN(Z:Z),0)</f>
        <v>0</v>
      </c>
      <c r="AA674" cm="1">
        <f t="array" ref="AA674">VLOOKUP($A674,Table_ship_components[],COLUMN(AA:AA),0)*C674</f>
        <v>0</v>
      </c>
      <c r="AB674">
        <f t="shared" si="71"/>
        <v>0</v>
      </c>
      <c r="AC674" cm="1">
        <f t="array" ref="AC674">VLOOKUP($A674,Table_ship_components[],COLUMN(AC:AC),0)*C674</f>
        <v>0</v>
      </c>
      <c r="AD674" cm="1">
        <f t="array" ref="AD674">VLOOKUP($A674,Table_ship_components[],COLUMN(AD:AD),0)</f>
        <v>0</v>
      </c>
      <c r="AE674" cm="1">
        <f t="array" ref="AE674">VLOOKUP($A674,Table_ship_components[],COLUMN(AE:AE),0)</f>
        <v>0</v>
      </c>
      <c r="AF674" cm="1">
        <f t="array" ref="AF674">VLOOKUP($A674,Table_ship_components[],COLUMN(AF:AF),0)</f>
        <v>0</v>
      </c>
      <c r="AG674" cm="1">
        <f t="array" ref="AG674">VLOOKUP($A674,Table_ship_components[],COLUMN(AG:AG),0)</f>
        <v>0</v>
      </c>
      <c r="AH674" cm="1">
        <f t="array" ref="AH674">VLOOKUP($A674,Table_ship_components[],COLUMN(AH:AH),0)</f>
        <v>0</v>
      </c>
      <c r="AI674" cm="1">
        <f t="array" ref="AI674">VLOOKUP($A674,Table_ship_components[],COLUMN(AI:AI),0)</f>
        <v>0</v>
      </c>
      <c r="AJ674" cm="1">
        <f t="array" ref="AJ674">VLOOKUP($A674,Table_ship_components[],COLUMN(AJ:AJ),0)</f>
        <v>0</v>
      </c>
      <c r="AK674" cm="1">
        <f t="array" ref="AK674">VLOOKUP($A674,Table_ship_components[],COLUMN(AK:AK),0)</f>
        <v>0</v>
      </c>
      <c r="AL674" cm="1">
        <f t="array" ref="AL674">VLOOKUP($A674,Table_ship_components[],COLUMN(AL:AL),0)</f>
        <v>0</v>
      </c>
      <c r="AM674" cm="1">
        <f t="array" ref="AM674">VLOOKUP($A674,Table_ship_components[],COLUMN(AM:AM),0)</f>
        <v>0</v>
      </c>
      <c r="AN674" cm="1">
        <f t="array" ref="AN674">VLOOKUP($A674,Table_ship_components[],COLUMN(AN:AN),0)</f>
        <v>0</v>
      </c>
      <c r="AO674" cm="1">
        <f t="array" ref="AO674">VLOOKUP($A674,Table_ship_components[],COLUMN(AO:AO),0)</f>
        <v>0</v>
      </c>
      <c r="AP674" cm="1">
        <f t="array" ref="AP674">VLOOKUP($A674,Table_ship_components[],COLUMN(AP:AP),0)</f>
        <v>0</v>
      </c>
      <c r="AQ674" cm="1">
        <f t="array" ref="AQ674">VLOOKUP($A674,Table_ship_components[],COLUMN(AQ:AQ),0)</f>
        <v>0</v>
      </c>
      <c r="AR674" cm="1">
        <f t="array" ref="AR674">VLOOKUP($A674,Table_ship_components[],COLUMN(AR:AR),0)</f>
        <v>0</v>
      </c>
      <c r="AS674" cm="1">
        <f t="array" ref="AS674">VLOOKUP($A674,Table_ship_components[],COLUMN(AS:AS),0)</f>
        <v>0</v>
      </c>
      <c r="AT674" cm="1">
        <f t="array" ref="AT674">VLOOKUP($A674,Table_ship_components[],COLUMN(AT:AT),0)</f>
        <v>0</v>
      </c>
      <c r="AU674" s="2" cm="1">
        <f t="array" ref="AU674">VLOOKUP($A674,Table_ship_components[],COLUMN(AU:AU),0)</f>
        <v>0</v>
      </c>
      <c r="AV674" s="2" cm="1">
        <f t="array" ref="AV674">VLOOKUP($A674,Table_ship_components[],COLUMN(AV:AV),0)</f>
        <v>0</v>
      </c>
      <c r="AW674" s="2" cm="1">
        <f t="array" ref="AW674">VLOOKUP($A674,Table_ship_components[],COLUMN(AW:AW),0)</f>
        <v>0</v>
      </c>
      <c r="AX674" s="2" cm="1">
        <f t="array" ref="AX674">VLOOKUP($A674,Table_ship_components[],COLUMN(AX:AX),0)</f>
        <v>0</v>
      </c>
      <c r="AY674" s="2" cm="1">
        <f t="array" ref="AY674">VLOOKUP($A674,Table_ship_components[],COLUMN(AY:AY),0)</f>
        <v>0</v>
      </c>
      <c r="AZ674" s="2" t="str" cm="1">
        <f t="array" ref="AZ674">VLOOKUP($A674,Table_ship_components[],COLUMN(AZ:AZ),0)</f>
        <v>C</v>
      </c>
      <c r="BA674" s="14" cm="1">
        <f t="array" ref="BA674">VLOOKUP($A674,Table_ship_components[],COLUMN(BA:BA),0)</f>
        <v>0</v>
      </c>
      <c r="BB674" s="14" cm="1">
        <f t="array" ref="BB674">(VLOOKUP($A674,Table_ship_components[],COLUMN(BA:BA),0)+(W674*C674))</f>
        <v>0</v>
      </c>
      <c r="BC674" s="2" cm="1">
        <f t="array" ref="BC674">VLOOKUP($A674,Table_ship_components[],COLUMN(BC:BC),0)</f>
        <v>0</v>
      </c>
      <c r="BD674" s="2" cm="1">
        <f t="array" ref="BD674">VLOOKUP($A674,Table_ship_components[],COLUMN(BD:BD),0)</f>
        <v>0</v>
      </c>
    </row>
    <row r="675" spans="1:56" outlineLevel="1" x14ac:dyDescent="0.35">
      <c r="A675" t="s">
        <v>288</v>
      </c>
      <c r="B675" t="str" cm="1">
        <f t="array" ref="B675">VLOOKUP($A675,Table_ship_components[],COLUMN(B:B),0)</f>
        <v>PICK A COMPONENT</v>
      </c>
      <c r="D675" cm="1">
        <f t="array" ref="D675">VLOOKUP($A675,Table_ship_components[],COLUMN(D:D),0)</f>
        <v>0</v>
      </c>
      <c r="E675" cm="1">
        <f t="array" ref="E675">ROUND(VLOOKUP($A675,Table_ship_components[],COLUMN(D:D),0)+(V675*C675),0)</f>
        <v>0</v>
      </c>
      <c r="F675" cm="1">
        <f t="array" ref="F675">VLOOKUP($A675,Table_ship_components[],COLUMN(F:F),0)</f>
        <v>0</v>
      </c>
      <c r="G675" cm="1">
        <f t="array" ref="G675">ROUND(VLOOKUP($A675,Table_ship_components[],COLUMN(G:G),0)+(X675*C675),0)</f>
        <v>0</v>
      </c>
      <c r="H675" cm="1">
        <f t="array" ref="H675">VLOOKUP($A675,Table_ship_components[],COLUMN(H:H),0)</f>
        <v>0</v>
      </c>
      <c r="I675" cm="1">
        <f t="array" ref="I675">VLOOKUP($A675,Table_ship_components[],COLUMN(I:I),0)</f>
        <v>0</v>
      </c>
      <c r="J675" cm="1">
        <f t="array" ref="J675">VLOOKUP($A675,Table_ship_components[],COLUMN(J:J),0)</f>
        <v>0</v>
      </c>
      <c r="K675" cm="1">
        <f t="array" ref="K675">VLOOKUP($A675,Table_ship_components[],COLUMN(K:K),0)</f>
        <v>0</v>
      </c>
      <c r="L675" cm="1">
        <f t="array" ref="L675">VLOOKUP($A675,Table_ship_components[],COLUMN(L:L),0)</f>
        <v>0</v>
      </c>
      <c r="M675" cm="1">
        <f t="array" ref="M675">VLOOKUP($A675,Table_ship_components[],COLUMN(M:M),0)</f>
        <v>0</v>
      </c>
      <c r="N675" cm="1">
        <f t="array" ref="N675">VLOOKUP($A675,Table_ship_components[],COLUMN(N:N),0)</f>
        <v>0</v>
      </c>
      <c r="O675" cm="1">
        <f t="array" ref="O675">VLOOKUP($A675,Table_ship_components[],COLUMN(O:O),0)</f>
        <v>0</v>
      </c>
      <c r="P675" cm="1">
        <f t="array" ref="P675">VLOOKUP($A675,Table_ship_components[],COLUMN(P:P),0)</f>
        <v>0</v>
      </c>
      <c r="Q675" cm="1">
        <f t="array" ref="Q675">VLOOKUP($A675,Table_ship_components[],COLUMN(Q:Q),0)</f>
        <v>0</v>
      </c>
      <c r="R675" cm="1">
        <f t="array" ref="R675">VLOOKUP($A675,Table_ship_components[],COLUMN(R:R),0)</f>
        <v>0</v>
      </c>
      <c r="S675" cm="1">
        <f t="array" ref="S675">VLOOKUP($A675,Table_ship_components[],COLUMN(S:S),0)</f>
        <v>0</v>
      </c>
      <c r="T675" cm="1">
        <f t="array" ref="T675">VLOOKUP($A675,Table_ship_components[],COLUMN(T:T),0)</f>
        <v>0</v>
      </c>
      <c r="U675" cm="1">
        <f t="array" ref="U675">VLOOKUP($A675,Table_ship_components[],COLUMN(U:U),0)</f>
        <v>0</v>
      </c>
      <c r="V675" cm="1">
        <f t="array" ref="V675">VLOOKUP($A675,Table_ship_components[],COLUMN(V:V),0)</f>
        <v>0</v>
      </c>
      <c r="W675" s="15" cm="1">
        <f t="array" ref="W675">VLOOKUP($A675,Table_ship_components[],COLUMN(W:W),0)</f>
        <v>0</v>
      </c>
      <c r="X675" cm="1">
        <f t="array" ref="X675">VLOOKUP($A675,Table_ship_components[],COLUMN(X:X),0)</f>
        <v>0</v>
      </c>
      <c r="Y675" cm="1">
        <f t="array" ref="Y675">VLOOKUP($A675,Table_ship_components[],COLUMN(Y:Y),0)</f>
        <v>0</v>
      </c>
      <c r="Z675" cm="1">
        <f t="array" ref="Z675">VLOOKUP($A675,Table_ship_components[],COLUMN(Z:Z),0)</f>
        <v>0</v>
      </c>
      <c r="AA675" cm="1">
        <f t="array" ref="AA675">VLOOKUP($A675,Table_ship_components[],COLUMN(AA:AA),0)*C675</f>
        <v>0</v>
      </c>
      <c r="AB675">
        <f t="shared" si="71"/>
        <v>0</v>
      </c>
      <c r="AC675" cm="1">
        <f t="array" ref="AC675">VLOOKUP($A675,Table_ship_components[],COLUMN(AC:AC),0)*C675</f>
        <v>0</v>
      </c>
      <c r="AD675" cm="1">
        <f t="array" ref="AD675">VLOOKUP($A675,Table_ship_components[],COLUMN(AD:AD),0)</f>
        <v>0</v>
      </c>
      <c r="AE675" cm="1">
        <f t="array" ref="AE675">VLOOKUP($A675,Table_ship_components[],COLUMN(AE:AE),0)</f>
        <v>0</v>
      </c>
      <c r="AF675" cm="1">
        <f t="array" ref="AF675">VLOOKUP($A675,Table_ship_components[],COLUMN(AF:AF),0)</f>
        <v>0</v>
      </c>
      <c r="AG675" cm="1">
        <f t="array" ref="AG675">VLOOKUP($A675,Table_ship_components[],COLUMN(AG:AG),0)</f>
        <v>0</v>
      </c>
      <c r="AH675" cm="1">
        <f t="array" ref="AH675">VLOOKUP($A675,Table_ship_components[],COLUMN(AH:AH),0)</f>
        <v>0</v>
      </c>
      <c r="AI675" cm="1">
        <f t="array" ref="AI675">VLOOKUP($A675,Table_ship_components[],COLUMN(AI:AI),0)</f>
        <v>0</v>
      </c>
      <c r="AJ675" cm="1">
        <f t="array" ref="AJ675">VLOOKUP($A675,Table_ship_components[],COLUMN(AJ:AJ),0)</f>
        <v>0</v>
      </c>
      <c r="AK675" cm="1">
        <f t="array" ref="AK675">VLOOKUP($A675,Table_ship_components[],COLUMN(AK:AK),0)</f>
        <v>0</v>
      </c>
      <c r="AL675" cm="1">
        <f t="array" ref="AL675">VLOOKUP($A675,Table_ship_components[],COLUMN(AL:AL),0)</f>
        <v>0</v>
      </c>
      <c r="AM675" cm="1">
        <f t="array" ref="AM675">VLOOKUP($A675,Table_ship_components[],COLUMN(AM:AM),0)</f>
        <v>0</v>
      </c>
      <c r="AN675" cm="1">
        <f t="array" ref="AN675">VLOOKUP($A675,Table_ship_components[],COLUMN(AN:AN),0)</f>
        <v>0</v>
      </c>
      <c r="AO675" cm="1">
        <f t="array" ref="AO675">VLOOKUP($A675,Table_ship_components[],COLUMN(AO:AO),0)</f>
        <v>0</v>
      </c>
      <c r="AP675" cm="1">
        <f t="array" ref="AP675">VLOOKUP($A675,Table_ship_components[],COLUMN(AP:AP),0)</f>
        <v>0</v>
      </c>
      <c r="AQ675" cm="1">
        <f t="array" ref="AQ675">VLOOKUP($A675,Table_ship_components[],COLUMN(AQ:AQ),0)</f>
        <v>0</v>
      </c>
      <c r="AR675" cm="1">
        <f t="array" ref="AR675">VLOOKUP($A675,Table_ship_components[],COLUMN(AR:AR),0)</f>
        <v>0</v>
      </c>
      <c r="AS675" cm="1">
        <f t="array" ref="AS675">VLOOKUP($A675,Table_ship_components[],COLUMN(AS:AS),0)</f>
        <v>0</v>
      </c>
      <c r="AT675" cm="1">
        <f t="array" ref="AT675">VLOOKUP($A675,Table_ship_components[],COLUMN(AT:AT),0)</f>
        <v>0</v>
      </c>
      <c r="AU675" s="2" cm="1">
        <f t="array" ref="AU675">VLOOKUP($A675,Table_ship_components[],COLUMN(AU:AU),0)</f>
        <v>0</v>
      </c>
      <c r="AV675" s="2" cm="1">
        <f t="array" ref="AV675">VLOOKUP($A675,Table_ship_components[],COLUMN(AV:AV),0)</f>
        <v>0</v>
      </c>
      <c r="AW675" s="2" cm="1">
        <f t="array" ref="AW675">VLOOKUP($A675,Table_ship_components[],COLUMN(AW:AW),0)</f>
        <v>0</v>
      </c>
      <c r="AX675" s="2" cm="1">
        <f t="array" ref="AX675">VLOOKUP($A675,Table_ship_components[],COLUMN(AX:AX),0)</f>
        <v>0</v>
      </c>
      <c r="AY675" s="2" cm="1">
        <f t="array" ref="AY675">VLOOKUP($A675,Table_ship_components[],COLUMN(AY:AY),0)</f>
        <v>0</v>
      </c>
      <c r="AZ675" s="2" t="str" cm="1">
        <f t="array" ref="AZ675">VLOOKUP($A675,Table_ship_components[],COLUMN(AZ:AZ),0)</f>
        <v>C</v>
      </c>
      <c r="BA675" s="14" cm="1">
        <f t="array" ref="BA675">VLOOKUP($A675,Table_ship_components[],COLUMN(BA:BA),0)</f>
        <v>0</v>
      </c>
      <c r="BB675" s="14" cm="1">
        <f t="array" ref="BB675">(VLOOKUP($A675,Table_ship_components[],COLUMN(BA:BA),0)+(W675*C675))</f>
        <v>0</v>
      </c>
      <c r="BC675" s="2" cm="1">
        <f t="array" ref="BC675">VLOOKUP($A675,Table_ship_components[],COLUMN(BC:BC),0)</f>
        <v>0</v>
      </c>
      <c r="BD675" s="2" cm="1">
        <f t="array" ref="BD675">VLOOKUP($A675,Table_ship_components[],COLUMN(BD:BD),0)</f>
        <v>0</v>
      </c>
    </row>
    <row r="676" spans="1:56" outlineLevel="1" x14ac:dyDescent="0.35">
      <c r="A676" t="s">
        <v>288</v>
      </c>
      <c r="B676" t="str" cm="1">
        <f t="array" ref="B676">VLOOKUP($A676,Table_ship_components[],COLUMN(B:B),0)</f>
        <v>PICK A COMPONENT</v>
      </c>
      <c r="D676" cm="1">
        <f t="array" ref="D676">VLOOKUP($A676,Table_ship_components[],COLUMN(D:D),0)</f>
        <v>0</v>
      </c>
      <c r="E676" cm="1">
        <f t="array" ref="E676">ROUND(VLOOKUP($A676,Table_ship_components[],COLUMN(D:D),0)+(V676*C676),0)</f>
        <v>0</v>
      </c>
      <c r="F676" cm="1">
        <f t="array" ref="F676">VLOOKUP($A676,Table_ship_components[],COLUMN(F:F),0)</f>
        <v>0</v>
      </c>
      <c r="G676" cm="1">
        <f t="array" ref="G676">ROUND(VLOOKUP($A676,Table_ship_components[],COLUMN(G:G),0)+(X676*C676),0)</f>
        <v>0</v>
      </c>
      <c r="H676" cm="1">
        <f t="array" ref="H676">VLOOKUP($A676,Table_ship_components[],COLUMN(H:H),0)</f>
        <v>0</v>
      </c>
      <c r="I676" cm="1">
        <f t="array" ref="I676">VLOOKUP($A676,Table_ship_components[],COLUMN(I:I),0)</f>
        <v>0</v>
      </c>
      <c r="J676" cm="1">
        <f t="array" ref="J676">VLOOKUP($A676,Table_ship_components[],COLUMN(J:J),0)</f>
        <v>0</v>
      </c>
      <c r="K676" cm="1">
        <f t="array" ref="K676">VLOOKUP($A676,Table_ship_components[],COLUMN(K:K),0)</f>
        <v>0</v>
      </c>
      <c r="L676" cm="1">
        <f t="array" ref="L676">VLOOKUP($A676,Table_ship_components[],COLUMN(L:L),0)</f>
        <v>0</v>
      </c>
      <c r="M676" cm="1">
        <f t="array" ref="M676">VLOOKUP($A676,Table_ship_components[],COLUMN(M:M),0)</f>
        <v>0</v>
      </c>
      <c r="N676" cm="1">
        <f t="array" ref="N676">VLOOKUP($A676,Table_ship_components[],COLUMN(N:N),0)</f>
        <v>0</v>
      </c>
      <c r="O676" cm="1">
        <f t="array" ref="O676">VLOOKUP($A676,Table_ship_components[],COLUMN(O:O),0)</f>
        <v>0</v>
      </c>
      <c r="P676" cm="1">
        <f t="array" ref="P676">VLOOKUP($A676,Table_ship_components[],COLUMN(P:P),0)</f>
        <v>0</v>
      </c>
      <c r="Q676" cm="1">
        <f t="array" ref="Q676">VLOOKUP($A676,Table_ship_components[],COLUMN(Q:Q),0)</f>
        <v>0</v>
      </c>
      <c r="R676" cm="1">
        <f t="array" ref="R676">VLOOKUP($A676,Table_ship_components[],COLUMN(R:R),0)</f>
        <v>0</v>
      </c>
      <c r="S676" cm="1">
        <f t="array" ref="S676">VLOOKUP($A676,Table_ship_components[],COLUMN(S:S),0)</f>
        <v>0</v>
      </c>
      <c r="T676" cm="1">
        <f t="array" ref="T676">VLOOKUP($A676,Table_ship_components[],COLUMN(T:T),0)</f>
        <v>0</v>
      </c>
      <c r="U676" cm="1">
        <f t="array" ref="U676">VLOOKUP($A676,Table_ship_components[],COLUMN(U:U),0)</f>
        <v>0</v>
      </c>
      <c r="V676" cm="1">
        <f t="array" ref="V676">VLOOKUP($A676,Table_ship_components[],COLUMN(V:V),0)</f>
        <v>0</v>
      </c>
      <c r="W676" s="15" cm="1">
        <f t="array" ref="W676">VLOOKUP($A676,Table_ship_components[],COLUMN(W:W),0)</f>
        <v>0</v>
      </c>
      <c r="X676" cm="1">
        <f t="array" ref="X676">VLOOKUP($A676,Table_ship_components[],COLUMN(X:X),0)</f>
        <v>0</v>
      </c>
      <c r="Y676" cm="1">
        <f t="array" ref="Y676">VLOOKUP($A676,Table_ship_components[],COLUMN(Y:Y),0)</f>
        <v>0</v>
      </c>
      <c r="Z676" cm="1">
        <f t="array" ref="Z676">VLOOKUP($A676,Table_ship_components[],COLUMN(Z:Z),0)</f>
        <v>0</v>
      </c>
      <c r="AA676" cm="1">
        <f t="array" ref="AA676">VLOOKUP($A676,Table_ship_components[],COLUMN(AA:AA),0)*C676</f>
        <v>0</v>
      </c>
      <c r="AB676">
        <f t="shared" si="71"/>
        <v>0</v>
      </c>
      <c r="AC676" cm="1">
        <f t="array" ref="AC676">VLOOKUP($A676,Table_ship_components[],COLUMN(AC:AC),0)*C676</f>
        <v>0</v>
      </c>
      <c r="AD676" cm="1">
        <f t="array" ref="AD676">VLOOKUP($A676,Table_ship_components[],COLUMN(AD:AD),0)</f>
        <v>0</v>
      </c>
      <c r="AE676" cm="1">
        <f t="array" ref="AE676">VLOOKUP($A676,Table_ship_components[],COLUMN(AE:AE),0)</f>
        <v>0</v>
      </c>
      <c r="AF676" cm="1">
        <f t="array" ref="AF676">VLOOKUP($A676,Table_ship_components[],COLUMN(AF:AF),0)</f>
        <v>0</v>
      </c>
      <c r="AG676" cm="1">
        <f t="array" ref="AG676">VLOOKUP($A676,Table_ship_components[],COLUMN(AG:AG),0)</f>
        <v>0</v>
      </c>
      <c r="AH676" cm="1">
        <f t="array" ref="AH676">VLOOKUP($A676,Table_ship_components[],COLUMN(AH:AH),0)</f>
        <v>0</v>
      </c>
      <c r="AI676" cm="1">
        <f t="array" ref="AI676">VLOOKUP($A676,Table_ship_components[],COLUMN(AI:AI),0)</f>
        <v>0</v>
      </c>
      <c r="AJ676" cm="1">
        <f t="array" ref="AJ676">VLOOKUP($A676,Table_ship_components[],COLUMN(AJ:AJ),0)</f>
        <v>0</v>
      </c>
      <c r="AK676" cm="1">
        <f t="array" ref="AK676">VLOOKUP($A676,Table_ship_components[],COLUMN(AK:AK),0)</f>
        <v>0</v>
      </c>
      <c r="AL676" cm="1">
        <f t="array" ref="AL676">VLOOKUP($A676,Table_ship_components[],COLUMN(AL:AL),0)</f>
        <v>0</v>
      </c>
      <c r="AM676" cm="1">
        <f t="array" ref="AM676">VLOOKUP($A676,Table_ship_components[],COLUMN(AM:AM),0)</f>
        <v>0</v>
      </c>
      <c r="AN676" cm="1">
        <f t="array" ref="AN676">VLOOKUP($A676,Table_ship_components[],COLUMN(AN:AN),0)</f>
        <v>0</v>
      </c>
      <c r="AO676" cm="1">
        <f t="array" ref="AO676">VLOOKUP($A676,Table_ship_components[],COLUMN(AO:AO),0)</f>
        <v>0</v>
      </c>
      <c r="AP676" cm="1">
        <f t="array" ref="AP676">VLOOKUP($A676,Table_ship_components[],COLUMN(AP:AP),0)</f>
        <v>0</v>
      </c>
      <c r="AQ676" cm="1">
        <f t="array" ref="AQ676">VLOOKUP($A676,Table_ship_components[],COLUMN(AQ:AQ),0)</f>
        <v>0</v>
      </c>
      <c r="AR676" cm="1">
        <f t="array" ref="AR676">VLOOKUP($A676,Table_ship_components[],COLUMN(AR:AR),0)</f>
        <v>0</v>
      </c>
      <c r="AS676" cm="1">
        <f t="array" ref="AS676">VLOOKUP($A676,Table_ship_components[],COLUMN(AS:AS),0)</f>
        <v>0</v>
      </c>
      <c r="AT676" cm="1">
        <f t="array" ref="AT676">VLOOKUP($A676,Table_ship_components[],COLUMN(AT:AT),0)</f>
        <v>0</v>
      </c>
      <c r="AU676" s="2" cm="1">
        <f t="array" ref="AU676">VLOOKUP($A676,Table_ship_components[],COLUMN(AU:AU),0)</f>
        <v>0</v>
      </c>
      <c r="AV676" s="2" cm="1">
        <f t="array" ref="AV676">VLOOKUP($A676,Table_ship_components[],COLUMN(AV:AV),0)</f>
        <v>0</v>
      </c>
      <c r="AW676" s="2" cm="1">
        <f t="array" ref="AW676">VLOOKUP($A676,Table_ship_components[],COLUMN(AW:AW),0)</f>
        <v>0</v>
      </c>
      <c r="AX676" s="2" cm="1">
        <f t="array" ref="AX676">VLOOKUP($A676,Table_ship_components[],COLUMN(AX:AX),0)</f>
        <v>0</v>
      </c>
      <c r="AY676" s="2" cm="1">
        <f t="array" ref="AY676">VLOOKUP($A676,Table_ship_components[],COLUMN(AY:AY),0)</f>
        <v>0</v>
      </c>
      <c r="AZ676" s="2" t="str" cm="1">
        <f t="array" ref="AZ676">VLOOKUP($A676,Table_ship_components[],COLUMN(AZ:AZ),0)</f>
        <v>C</v>
      </c>
      <c r="BA676" s="14" cm="1">
        <f t="array" ref="BA676">VLOOKUP($A676,Table_ship_components[],COLUMN(BA:BA),0)</f>
        <v>0</v>
      </c>
      <c r="BB676" s="14" cm="1">
        <f t="array" ref="BB676">(VLOOKUP($A676,Table_ship_components[],COLUMN(BA:BA),0)+(W676*C676))</f>
        <v>0</v>
      </c>
      <c r="BC676" s="2" cm="1">
        <f t="array" ref="BC676">VLOOKUP($A676,Table_ship_components[],COLUMN(BC:BC),0)</f>
        <v>0</v>
      </c>
      <c r="BD676" s="2" cm="1">
        <f t="array" ref="BD676">VLOOKUP($A676,Table_ship_components[],COLUMN(BD:BD),0)</f>
        <v>0</v>
      </c>
    </row>
    <row r="677" spans="1:56" outlineLevel="1" x14ac:dyDescent="0.35">
      <c r="A677" t="s">
        <v>288</v>
      </c>
      <c r="B677" t="str" cm="1">
        <f t="array" ref="B677">VLOOKUP($A677,Table_ship_components[],COLUMN(B:B),0)</f>
        <v>PICK A COMPONENT</v>
      </c>
      <c r="D677" cm="1">
        <f t="array" ref="D677">VLOOKUP($A677,Table_ship_components[],COLUMN(D:D),0)</f>
        <v>0</v>
      </c>
      <c r="E677" cm="1">
        <f t="array" ref="E677">ROUND(VLOOKUP($A677,Table_ship_components[],COLUMN(D:D),0)+(V677*C677),0)</f>
        <v>0</v>
      </c>
      <c r="F677" cm="1">
        <f t="array" ref="F677">VLOOKUP($A677,Table_ship_components[],COLUMN(F:F),0)</f>
        <v>0</v>
      </c>
      <c r="G677" cm="1">
        <f t="array" ref="G677">ROUND(VLOOKUP($A677,Table_ship_components[],COLUMN(G:G),0)+(X677*C677),0)</f>
        <v>0</v>
      </c>
      <c r="H677" cm="1">
        <f t="array" ref="H677">VLOOKUP($A677,Table_ship_components[],COLUMN(H:H),0)</f>
        <v>0</v>
      </c>
      <c r="I677" cm="1">
        <f t="array" ref="I677">VLOOKUP($A677,Table_ship_components[],COLUMN(I:I),0)</f>
        <v>0</v>
      </c>
      <c r="J677" cm="1">
        <f t="array" ref="J677">VLOOKUP($A677,Table_ship_components[],COLUMN(J:J),0)</f>
        <v>0</v>
      </c>
      <c r="K677" cm="1">
        <f t="array" ref="K677">VLOOKUP($A677,Table_ship_components[],COLUMN(K:K),0)</f>
        <v>0</v>
      </c>
      <c r="L677" cm="1">
        <f t="array" ref="L677">VLOOKUP($A677,Table_ship_components[],COLUMN(L:L),0)</f>
        <v>0</v>
      </c>
      <c r="M677" cm="1">
        <f t="array" ref="M677">VLOOKUP($A677,Table_ship_components[],COLUMN(M:M),0)</f>
        <v>0</v>
      </c>
      <c r="N677" cm="1">
        <f t="array" ref="N677">VLOOKUP($A677,Table_ship_components[],COLUMN(N:N),0)</f>
        <v>0</v>
      </c>
      <c r="O677" cm="1">
        <f t="array" ref="O677">VLOOKUP($A677,Table_ship_components[],COLUMN(O:O),0)</f>
        <v>0</v>
      </c>
      <c r="P677" cm="1">
        <f t="array" ref="P677">VLOOKUP($A677,Table_ship_components[],COLUMN(P:P),0)</f>
        <v>0</v>
      </c>
      <c r="Q677" cm="1">
        <f t="array" ref="Q677">VLOOKUP($A677,Table_ship_components[],COLUMN(Q:Q),0)</f>
        <v>0</v>
      </c>
      <c r="R677" cm="1">
        <f t="array" ref="R677">VLOOKUP($A677,Table_ship_components[],COLUMN(R:R),0)</f>
        <v>0</v>
      </c>
      <c r="S677" cm="1">
        <f t="array" ref="S677">VLOOKUP($A677,Table_ship_components[],COLUMN(S:S),0)</f>
        <v>0</v>
      </c>
      <c r="T677" cm="1">
        <f t="array" ref="T677">VLOOKUP($A677,Table_ship_components[],COLUMN(T:T),0)</f>
        <v>0</v>
      </c>
      <c r="U677" cm="1">
        <f t="array" ref="U677">VLOOKUP($A677,Table_ship_components[],COLUMN(U:U),0)</f>
        <v>0</v>
      </c>
      <c r="V677" cm="1">
        <f t="array" ref="V677">VLOOKUP($A677,Table_ship_components[],COLUMN(V:V),0)</f>
        <v>0</v>
      </c>
      <c r="W677" s="15" cm="1">
        <f t="array" ref="W677">VLOOKUP($A677,Table_ship_components[],COLUMN(W:W),0)</f>
        <v>0</v>
      </c>
      <c r="X677" cm="1">
        <f t="array" ref="X677">VLOOKUP($A677,Table_ship_components[],COLUMN(X:X),0)</f>
        <v>0</v>
      </c>
      <c r="Y677" cm="1">
        <f t="array" ref="Y677">VLOOKUP($A677,Table_ship_components[],COLUMN(Y:Y),0)</f>
        <v>0</v>
      </c>
      <c r="Z677" cm="1">
        <f t="array" ref="Z677">VLOOKUP($A677,Table_ship_components[],COLUMN(Z:Z),0)</f>
        <v>0</v>
      </c>
      <c r="AA677" cm="1">
        <f t="array" ref="AA677">VLOOKUP($A677,Table_ship_components[],COLUMN(AA:AA),0)*C677</f>
        <v>0</v>
      </c>
      <c r="AB677">
        <f t="shared" si="71"/>
        <v>0</v>
      </c>
      <c r="AC677" cm="1">
        <f t="array" ref="AC677">VLOOKUP($A677,Table_ship_components[],COLUMN(AC:AC),0)*C677</f>
        <v>0</v>
      </c>
      <c r="AD677" cm="1">
        <f t="array" ref="AD677">VLOOKUP($A677,Table_ship_components[],COLUMN(AD:AD),0)</f>
        <v>0</v>
      </c>
      <c r="AE677" cm="1">
        <f t="array" ref="AE677">VLOOKUP($A677,Table_ship_components[],COLUMN(AE:AE),0)</f>
        <v>0</v>
      </c>
      <c r="AF677" cm="1">
        <f t="array" ref="AF677">VLOOKUP($A677,Table_ship_components[],COLUMN(AF:AF),0)</f>
        <v>0</v>
      </c>
      <c r="AG677" cm="1">
        <f t="array" ref="AG677">VLOOKUP($A677,Table_ship_components[],COLUMN(AG:AG),0)</f>
        <v>0</v>
      </c>
      <c r="AH677" cm="1">
        <f t="array" ref="AH677">VLOOKUP($A677,Table_ship_components[],COLUMN(AH:AH),0)</f>
        <v>0</v>
      </c>
      <c r="AI677" cm="1">
        <f t="array" ref="AI677">VLOOKUP($A677,Table_ship_components[],COLUMN(AI:AI),0)</f>
        <v>0</v>
      </c>
      <c r="AJ677" cm="1">
        <f t="array" ref="AJ677">VLOOKUP($A677,Table_ship_components[],COLUMN(AJ:AJ),0)</f>
        <v>0</v>
      </c>
      <c r="AK677" cm="1">
        <f t="array" ref="AK677">VLOOKUP($A677,Table_ship_components[],COLUMN(AK:AK),0)</f>
        <v>0</v>
      </c>
      <c r="AL677" cm="1">
        <f t="array" ref="AL677">VLOOKUP($A677,Table_ship_components[],COLUMN(AL:AL),0)</f>
        <v>0</v>
      </c>
      <c r="AM677" cm="1">
        <f t="array" ref="AM677">VLOOKUP($A677,Table_ship_components[],COLUMN(AM:AM),0)</f>
        <v>0</v>
      </c>
      <c r="AN677" cm="1">
        <f t="array" ref="AN677">VLOOKUP($A677,Table_ship_components[],COLUMN(AN:AN),0)</f>
        <v>0</v>
      </c>
      <c r="AO677" cm="1">
        <f t="array" ref="AO677">VLOOKUP($A677,Table_ship_components[],COLUMN(AO:AO),0)</f>
        <v>0</v>
      </c>
      <c r="AP677" cm="1">
        <f t="array" ref="AP677">VLOOKUP($A677,Table_ship_components[],COLUMN(AP:AP),0)</f>
        <v>0</v>
      </c>
      <c r="AQ677" cm="1">
        <f t="array" ref="AQ677">VLOOKUP($A677,Table_ship_components[],COLUMN(AQ:AQ),0)</f>
        <v>0</v>
      </c>
      <c r="AR677" cm="1">
        <f t="array" ref="AR677">VLOOKUP($A677,Table_ship_components[],COLUMN(AR:AR),0)</f>
        <v>0</v>
      </c>
      <c r="AS677" cm="1">
        <f t="array" ref="AS677">VLOOKUP($A677,Table_ship_components[],COLUMN(AS:AS),0)</f>
        <v>0</v>
      </c>
      <c r="AT677" cm="1">
        <f t="array" ref="AT677">VLOOKUP($A677,Table_ship_components[],COLUMN(AT:AT),0)</f>
        <v>0</v>
      </c>
      <c r="AU677" s="2" cm="1">
        <f t="array" ref="AU677">VLOOKUP($A677,Table_ship_components[],COLUMN(AU:AU),0)</f>
        <v>0</v>
      </c>
      <c r="AV677" s="2" cm="1">
        <f t="array" ref="AV677">VLOOKUP($A677,Table_ship_components[],COLUMN(AV:AV),0)</f>
        <v>0</v>
      </c>
      <c r="AW677" s="2" cm="1">
        <f t="array" ref="AW677">VLOOKUP($A677,Table_ship_components[],COLUMN(AW:AW),0)</f>
        <v>0</v>
      </c>
      <c r="AX677" s="2" cm="1">
        <f t="array" ref="AX677">VLOOKUP($A677,Table_ship_components[],COLUMN(AX:AX),0)</f>
        <v>0</v>
      </c>
      <c r="AY677" s="2" cm="1">
        <f t="array" ref="AY677">VLOOKUP($A677,Table_ship_components[],COLUMN(AY:AY),0)</f>
        <v>0</v>
      </c>
      <c r="AZ677" s="2" t="str" cm="1">
        <f t="array" ref="AZ677">VLOOKUP($A677,Table_ship_components[],COLUMN(AZ:AZ),0)</f>
        <v>C</v>
      </c>
      <c r="BA677" s="14" cm="1">
        <f t="array" ref="BA677">VLOOKUP($A677,Table_ship_components[],COLUMN(BA:BA),0)</f>
        <v>0</v>
      </c>
      <c r="BB677" s="14" cm="1">
        <f t="array" ref="BB677">(VLOOKUP($A677,Table_ship_components[],COLUMN(BA:BA),0)+(W677*C677))</f>
        <v>0</v>
      </c>
      <c r="BC677" s="2" cm="1">
        <f t="array" ref="BC677">VLOOKUP($A677,Table_ship_components[],COLUMN(BC:BC),0)</f>
        <v>0</v>
      </c>
      <c r="BD677" s="2" cm="1">
        <f t="array" ref="BD677">VLOOKUP($A677,Table_ship_components[],COLUMN(BD:BD),0)</f>
        <v>0</v>
      </c>
    </row>
    <row r="678" spans="1:56" outlineLevel="1" x14ac:dyDescent="0.35">
      <c r="A678" t="s">
        <v>288</v>
      </c>
      <c r="B678" t="str" cm="1">
        <f t="array" ref="B678">VLOOKUP($A678,Table_ship_components[],COLUMN(B:B),0)</f>
        <v>PICK A COMPONENT</v>
      </c>
      <c r="D678" cm="1">
        <f t="array" ref="D678">VLOOKUP($A678,Table_ship_components[],COLUMN(D:D),0)</f>
        <v>0</v>
      </c>
      <c r="E678" cm="1">
        <f t="array" ref="E678">ROUND(VLOOKUP($A678,Table_ship_components[],COLUMN(D:D),0)+(V678*C678),0)</f>
        <v>0</v>
      </c>
      <c r="F678" cm="1">
        <f t="array" ref="F678">VLOOKUP($A678,Table_ship_components[],COLUMN(F:F),0)</f>
        <v>0</v>
      </c>
      <c r="G678" cm="1">
        <f t="array" ref="G678">ROUND(VLOOKUP($A678,Table_ship_components[],COLUMN(G:G),0)+(X678*C678),0)</f>
        <v>0</v>
      </c>
      <c r="H678" cm="1">
        <f t="array" ref="H678">VLOOKUP($A678,Table_ship_components[],COLUMN(H:H),0)</f>
        <v>0</v>
      </c>
      <c r="I678" cm="1">
        <f t="array" ref="I678">VLOOKUP($A678,Table_ship_components[],COLUMN(I:I),0)</f>
        <v>0</v>
      </c>
      <c r="J678" cm="1">
        <f t="array" ref="J678">VLOOKUP($A678,Table_ship_components[],COLUMN(J:J),0)</f>
        <v>0</v>
      </c>
      <c r="K678" cm="1">
        <f t="array" ref="K678">VLOOKUP($A678,Table_ship_components[],COLUMN(K:K),0)</f>
        <v>0</v>
      </c>
      <c r="L678" cm="1">
        <f t="array" ref="L678">VLOOKUP($A678,Table_ship_components[],COLUMN(L:L),0)</f>
        <v>0</v>
      </c>
      <c r="M678" cm="1">
        <f t="array" ref="M678">VLOOKUP($A678,Table_ship_components[],COLUMN(M:M),0)</f>
        <v>0</v>
      </c>
      <c r="N678" cm="1">
        <f t="array" ref="N678">VLOOKUP($A678,Table_ship_components[],COLUMN(N:N),0)</f>
        <v>0</v>
      </c>
      <c r="O678" cm="1">
        <f t="array" ref="O678">VLOOKUP($A678,Table_ship_components[],COLUMN(O:O),0)</f>
        <v>0</v>
      </c>
      <c r="P678" cm="1">
        <f t="array" ref="P678">VLOOKUP($A678,Table_ship_components[],COLUMN(P:P),0)</f>
        <v>0</v>
      </c>
      <c r="Q678" cm="1">
        <f t="array" ref="Q678">VLOOKUP($A678,Table_ship_components[],COLUMN(Q:Q),0)</f>
        <v>0</v>
      </c>
      <c r="R678" cm="1">
        <f t="array" ref="R678">VLOOKUP($A678,Table_ship_components[],COLUMN(R:R),0)</f>
        <v>0</v>
      </c>
      <c r="S678" cm="1">
        <f t="array" ref="S678">VLOOKUP($A678,Table_ship_components[],COLUMN(S:S),0)</f>
        <v>0</v>
      </c>
      <c r="T678" cm="1">
        <f t="array" ref="T678">VLOOKUP($A678,Table_ship_components[],COLUMN(T:T),0)</f>
        <v>0</v>
      </c>
      <c r="U678" cm="1">
        <f t="array" ref="U678">VLOOKUP($A678,Table_ship_components[],COLUMN(U:U),0)</f>
        <v>0</v>
      </c>
      <c r="V678" cm="1">
        <f t="array" ref="V678">VLOOKUP($A678,Table_ship_components[],COLUMN(V:V),0)</f>
        <v>0</v>
      </c>
      <c r="W678" s="15" cm="1">
        <f t="array" ref="W678">VLOOKUP($A678,Table_ship_components[],COLUMN(W:W),0)</f>
        <v>0</v>
      </c>
      <c r="X678" cm="1">
        <f t="array" ref="X678">VLOOKUP($A678,Table_ship_components[],COLUMN(X:X),0)</f>
        <v>0</v>
      </c>
      <c r="Y678" cm="1">
        <f t="array" ref="Y678">VLOOKUP($A678,Table_ship_components[],COLUMN(Y:Y),0)</f>
        <v>0</v>
      </c>
      <c r="Z678" cm="1">
        <f t="array" ref="Z678">VLOOKUP($A678,Table_ship_components[],COLUMN(Z:Z),0)</f>
        <v>0</v>
      </c>
      <c r="AA678" cm="1">
        <f t="array" ref="AA678">VLOOKUP($A678,Table_ship_components[],COLUMN(AA:AA),0)*C678</f>
        <v>0</v>
      </c>
      <c r="AB678">
        <f t="shared" si="71"/>
        <v>0</v>
      </c>
      <c r="AC678" cm="1">
        <f t="array" ref="AC678">VLOOKUP($A678,Table_ship_components[],COLUMN(AC:AC),0)*C678</f>
        <v>0</v>
      </c>
      <c r="AD678" cm="1">
        <f t="array" ref="AD678">VLOOKUP($A678,Table_ship_components[],COLUMN(AD:AD),0)</f>
        <v>0</v>
      </c>
      <c r="AE678" cm="1">
        <f t="array" ref="AE678">VLOOKUP($A678,Table_ship_components[],COLUMN(AE:AE),0)</f>
        <v>0</v>
      </c>
      <c r="AF678" cm="1">
        <f t="array" ref="AF678">VLOOKUP($A678,Table_ship_components[],COLUMN(AF:AF),0)</f>
        <v>0</v>
      </c>
      <c r="AG678" cm="1">
        <f t="array" ref="AG678">VLOOKUP($A678,Table_ship_components[],COLUMN(AG:AG),0)</f>
        <v>0</v>
      </c>
      <c r="AH678" cm="1">
        <f t="array" ref="AH678">VLOOKUP($A678,Table_ship_components[],COLUMN(AH:AH),0)</f>
        <v>0</v>
      </c>
      <c r="AI678" cm="1">
        <f t="array" ref="AI678">VLOOKUP($A678,Table_ship_components[],COLUMN(AI:AI),0)</f>
        <v>0</v>
      </c>
      <c r="AJ678" cm="1">
        <f t="array" ref="AJ678">VLOOKUP($A678,Table_ship_components[],COLUMN(AJ:AJ),0)</f>
        <v>0</v>
      </c>
      <c r="AK678" cm="1">
        <f t="array" ref="AK678">VLOOKUP($A678,Table_ship_components[],COLUMN(AK:AK),0)</f>
        <v>0</v>
      </c>
      <c r="AL678" cm="1">
        <f t="array" ref="AL678">VLOOKUP($A678,Table_ship_components[],COLUMN(AL:AL),0)</f>
        <v>0</v>
      </c>
      <c r="AM678" cm="1">
        <f t="array" ref="AM678">VLOOKUP($A678,Table_ship_components[],COLUMN(AM:AM),0)</f>
        <v>0</v>
      </c>
      <c r="AN678" cm="1">
        <f t="array" ref="AN678">VLOOKUP($A678,Table_ship_components[],COLUMN(AN:AN),0)</f>
        <v>0</v>
      </c>
      <c r="AO678" cm="1">
        <f t="array" ref="AO678">VLOOKUP($A678,Table_ship_components[],COLUMN(AO:AO),0)</f>
        <v>0</v>
      </c>
      <c r="AP678" cm="1">
        <f t="array" ref="AP678">VLOOKUP($A678,Table_ship_components[],COLUMN(AP:AP),0)</f>
        <v>0</v>
      </c>
      <c r="AQ678" cm="1">
        <f t="array" ref="AQ678">VLOOKUP($A678,Table_ship_components[],COLUMN(AQ:AQ),0)</f>
        <v>0</v>
      </c>
      <c r="AR678" cm="1">
        <f t="array" ref="AR678">VLOOKUP($A678,Table_ship_components[],COLUMN(AR:AR),0)</f>
        <v>0</v>
      </c>
      <c r="AS678" cm="1">
        <f t="array" ref="AS678">VLOOKUP($A678,Table_ship_components[],COLUMN(AS:AS),0)</f>
        <v>0</v>
      </c>
      <c r="AT678" cm="1">
        <f t="array" ref="AT678">VLOOKUP($A678,Table_ship_components[],COLUMN(AT:AT),0)</f>
        <v>0</v>
      </c>
      <c r="AU678" s="2" cm="1">
        <f t="array" ref="AU678">VLOOKUP($A678,Table_ship_components[],COLUMN(AU:AU),0)</f>
        <v>0</v>
      </c>
      <c r="AV678" s="2" cm="1">
        <f t="array" ref="AV678">VLOOKUP($A678,Table_ship_components[],COLUMN(AV:AV),0)</f>
        <v>0</v>
      </c>
      <c r="AW678" s="2" cm="1">
        <f t="array" ref="AW678">VLOOKUP($A678,Table_ship_components[],COLUMN(AW:AW),0)</f>
        <v>0</v>
      </c>
      <c r="AX678" s="2" cm="1">
        <f t="array" ref="AX678">VLOOKUP($A678,Table_ship_components[],COLUMN(AX:AX),0)</f>
        <v>0</v>
      </c>
      <c r="AY678" s="2" cm="1">
        <f t="array" ref="AY678">VLOOKUP($A678,Table_ship_components[],COLUMN(AY:AY),0)</f>
        <v>0</v>
      </c>
      <c r="AZ678" s="2" t="str" cm="1">
        <f t="array" ref="AZ678">VLOOKUP($A678,Table_ship_components[],COLUMN(AZ:AZ),0)</f>
        <v>C</v>
      </c>
      <c r="BA678" s="14" cm="1">
        <f t="array" ref="BA678">VLOOKUP($A678,Table_ship_components[],COLUMN(BA:BA),0)</f>
        <v>0</v>
      </c>
      <c r="BB678" s="14" cm="1">
        <f t="array" ref="BB678">(VLOOKUP($A678,Table_ship_components[],COLUMN(BA:BA),0)+(W678*C678))</f>
        <v>0</v>
      </c>
      <c r="BC678" s="2" cm="1">
        <f t="array" ref="BC678">VLOOKUP($A678,Table_ship_components[],COLUMN(BC:BC),0)</f>
        <v>0</v>
      </c>
      <c r="BD678" s="2" cm="1">
        <f t="array" ref="BD678">VLOOKUP($A678,Table_ship_components[],COLUMN(BD:BD),0)</f>
        <v>0</v>
      </c>
    </row>
    <row r="679" spans="1:56" outlineLevel="1" x14ac:dyDescent="0.35">
      <c r="A679" t="s">
        <v>288</v>
      </c>
      <c r="B679" t="str" cm="1">
        <f t="array" ref="B679">VLOOKUP($A679,Table_ship_components[],COLUMN(B:B),0)</f>
        <v>PICK A COMPONENT</v>
      </c>
      <c r="D679" cm="1">
        <f t="array" ref="D679">VLOOKUP($A679,Table_ship_components[],COLUMN(D:D),0)</f>
        <v>0</v>
      </c>
      <c r="E679" cm="1">
        <f t="array" ref="E679">ROUND(VLOOKUP($A679,Table_ship_components[],COLUMN(D:D),0)+(V679*C679),0)</f>
        <v>0</v>
      </c>
      <c r="F679" cm="1">
        <f t="array" ref="F679">VLOOKUP($A679,Table_ship_components[],COLUMN(F:F),0)</f>
        <v>0</v>
      </c>
      <c r="G679" cm="1">
        <f t="array" ref="G679">ROUND(VLOOKUP($A679,Table_ship_components[],COLUMN(G:G),0)+(X679*C679),0)</f>
        <v>0</v>
      </c>
      <c r="H679" cm="1">
        <f t="array" ref="H679">VLOOKUP($A679,Table_ship_components[],COLUMN(H:H),0)</f>
        <v>0</v>
      </c>
      <c r="I679" cm="1">
        <f t="array" ref="I679">VLOOKUP($A679,Table_ship_components[],COLUMN(I:I),0)</f>
        <v>0</v>
      </c>
      <c r="J679" cm="1">
        <f t="array" ref="J679">VLOOKUP($A679,Table_ship_components[],COLUMN(J:J),0)</f>
        <v>0</v>
      </c>
      <c r="K679" cm="1">
        <f t="array" ref="K679">VLOOKUP($A679,Table_ship_components[],COLUMN(K:K),0)</f>
        <v>0</v>
      </c>
      <c r="L679" cm="1">
        <f t="array" ref="L679">VLOOKUP($A679,Table_ship_components[],COLUMN(L:L),0)</f>
        <v>0</v>
      </c>
      <c r="M679" cm="1">
        <f t="array" ref="M679">VLOOKUP($A679,Table_ship_components[],COLUMN(M:M),0)</f>
        <v>0</v>
      </c>
      <c r="N679" cm="1">
        <f t="array" ref="N679">VLOOKUP($A679,Table_ship_components[],COLUMN(N:N),0)</f>
        <v>0</v>
      </c>
      <c r="O679" cm="1">
        <f t="array" ref="O679">VLOOKUP($A679,Table_ship_components[],COLUMN(O:O),0)</f>
        <v>0</v>
      </c>
      <c r="P679" cm="1">
        <f t="array" ref="P679">VLOOKUP($A679,Table_ship_components[],COLUMN(P:P),0)</f>
        <v>0</v>
      </c>
      <c r="Q679" cm="1">
        <f t="array" ref="Q679">VLOOKUP($A679,Table_ship_components[],COLUMN(Q:Q),0)</f>
        <v>0</v>
      </c>
      <c r="R679" cm="1">
        <f t="array" ref="R679">VLOOKUP($A679,Table_ship_components[],COLUMN(R:R),0)</f>
        <v>0</v>
      </c>
      <c r="S679" cm="1">
        <f t="array" ref="S679">VLOOKUP($A679,Table_ship_components[],COLUMN(S:S),0)</f>
        <v>0</v>
      </c>
      <c r="T679" cm="1">
        <f t="array" ref="T679">VLOOKUP($A679,Table_ship_components[],COLUMN(T:T),0)</f>
        <v>0</v>
      </c>
      <c r="U679" cm="1">
        <f t="array" ref="U679">VLOOKUP($A679,Table_ship_components[],COLUMN(U:U),0)</f>
        <v>0</v>
      </c>
      <c r="V679" cm="1">
        <f t="array" ref="V679">VLOOKUP($A679,Table_ship_components[],COLUMN(V:V),0)</f>
        <v>0</v>
      </c>
      <c r="W679" s="15" cm="1">
        <f t="array" ref="W679">VLOOKUP($A679,Table_ship_components[],COLUMN(W:W),0)</f>
        <v>0</v>
      </c>
      <c r="X679" cm="1">
        <f t="array" ref="X679">VLOOKUP($A679,Table_ship_components[],COLUMN(X:X),0)</f>
        <v>0</v>
      </c>
      <c r="Y679" cm="1">
        <f t="array" ref="Y679">VLOOKUP($A679,Table_ship_components[],COLUMN(Y:Y),0)</f>
        <v>0</v>
      </c>
      <c r="Z679" cm="1">
        <f t="array" ref="Z679">VLOOKUP($A679,Table_ship_components[],COLUMN(Z:Z),0)</f>
        <v>0</v>
      </c>
      <c r="AA679" cm="1">
        <f t="array" ref="AA679">VLOOKUP($A679,Table_ship_components[],COLUMN(AA:AA),0)*C679</f>
        <v>0</v>
      </c>
      <c r="AB679">
        <f t="shared" si="71"/>
        <v>0</v>
      </c>
      <c r="AC679" cm="1">
        <f t="array" ref="AC679">VLOOKUP($A679,Table_ship_components[],COLUMN(AC:AC),0)*C679</f>
        <v>0</v>
      </c>
      <c r="AD679" cm="1">
        <f t="array" ref="AD679">VLOOKUP($A679,Table_ship_components[],COLUMN(AD:AD),0)</f>
        <v>0</v>
      </c>
      <c r="AE679" cm="1">
        <f t="array" ref="AE679">VLOOKUP($A679,Table_ship_components[],COLUMN(AE:AE),0)</f>
        <v>0</v>
      </c>
      <c r="AF679" cm="1">
        <f t="array" ref="AF679">VLOOKUP($A679,Table_ship_components[],COLUMN(AF:AF),0)</f>
        <v>0</v>
      </c>
      <c r="AG679" cm="1">
        <f t="array" ref="AG679">VLOOKUP($A679,Table_ship_components[],COLUMN(AG:AG),0)</f>
        <v>0</v>
      </c>
      <c r="AH679" cm="1">
        <f t="array" ref="AH679">VLOOKUP($A679,Table_ship_components[],COLUMN(AH:AH),0)</f>
        <v>0</v>
      </c>
      <c r="AI679" cm="1">
        <f t="array" ref="AI679">VLOOKUP($A679,Table_ship_components[],COLUMN(AI:AI),0)</f>
        <v>0</v>
      </c>
      <c r="AJ679" cm="1">
        <f t="array" ref="AJ679">VLOOKUP($A679,Table_ship_components[],COLUMN(AJ:AJ),0)</f>
        <v>0</v>
      </c>
      <c r="AK679" cm="1">
        <f t="array" ref="AK679">VLOOKUP($A679,Table_ship_components[],COLUMN(AK:AK),0)</f>
        <v>0</v>
      </c>
      <c r="AL679" cm="1">
        <f t="array" ref="AL679">VLOOKUP($A679,Table_ship_components[],COLUMN(AL:AL),0)</f>
        <v>0</v>
      </c>
      <c r="AM679" cm="1">
        <f t="array" ref="AM679">VLOOKUP($A679,Table_ship_components[],COLUMN(AM:AM),0)</f>
        <v>0</v>
      </c>
      <c r="AN679" cm="1">
        <f t="array" ref="AN679">VLOOKUP($A679,Table_ship_components[],COLUMN(AN:AN),0)</f>
        <v>0</v>
      </c>
      <c r="AO679" cm="1">
        <f t="array" ref="AO679">VLOOKUP($A679,Table_ship_components[],COLUMN(AO:AO),0)</f>
        <v>0</v>
      </c>
      <c r="AP679" cm="1">
        <f t="array" ref="AP679">VLOOKUP($A679,Table_ship_components[],COLUMN(AP:AP),0)</f>
        <v>0</v>
      </c>
      <c r="AQ679" cm="1">
        <f t="array" ref="AQ679">VLOOKUP($A679,Table_ship_components[],COLUMN(AQ:AQ),0)</f>
        <v>0</v>
      </c>
      <c r="AR679" cm="1">
        <f t="array" ref="AR679">VLOOKUP($A679,Table_ship_components[],COLUMN(AR:AR),0)</f>
        <v>0</v>
      </c>
      <c r="AS679" cm="1">
        <f t="array" ref="AS679">VLOOKUP($A679,Table_ship_components[],COLUMN(AS:AS),0)</f>
        <v>0</v>
      </c>
      <c r="AT679" cm="1">
        <f t="array" ref="AT679">VLOOKUP($A679,Table_ship_components[],COLUMN(AT:AT),0)</f>
        <v>0</v>
      </c>
      <c r="AU679" s="2" cm="1">
        <f t="array" ref="AU679">VLOOKUP($A679,Table_ship_components[],COLUMN(AU:AU),0)</f>
        <v>0</v>
      </c>
      <c r="AV679" s="2" cm="1">
        <f t="array" ref="AV679">VLOOKUP($A679,Table_ship_components[],COLUMN(AV:AV),0)</f>
        <v>0</v>
      </c>
      <c r="AW679" s="2" cm="1">
        <f t="array" ref="AW679">VLOOKUP($A679,Table_ship_components[],COLUMN(AW:AW),0)</f>
        <v>0</v>
      </c>
      <c r="AX679" s="2" cm="1">
        <f t="array" ref="AX679">VLOOKUP($A679,Table_ship_components[],COLUMN(AX:AX),0)</f>
        <v>0</v>
      </c>
      <c r="AY679" s="2" cm="1">
        <f t="array" ref="AY679">VLOOKUP($A679,Table_ship_components[],COLUMN(AY:AY),0)</f>
        <v>0</v>
      </c>
      <c r="AZ679" s="2" t="str" cm="1">
        <f t="array" ref="AZ679">VLOOKUP($A679,Table_ship_components[],COLUMN(AZ:AZ),0)</f>
        <v>C</v>
      </c>
      <c r="BA679" s="14" cm="1">
        <f t="array" ref="BA679">VLOOKUP($A679,Table_ship_components[],COLUMN(BA:BA),0)</f>
        <v>0</v>
      </c>
      <c r="BB679" s="14" cm="1">
        <f t="array" ref="BB679">(VLOOKUP($A679,Table_ship_components[],COLUMN(BA:BA),0)+(W679*C679))</f>
        <v>0</v>
      </c>
      <c r="BC679" s="2" cm="1">
        <f t="array" ref="BC679">VLOOKUP($A679,Table_ship_components[],COLUMN(BC:BC),0)</f>
        <v>0</v>
      </c>
      <c r="BD679" s="2" cm="1">
        <f t="array" ref="BD679">VLOOKUP($A679,Table_ship_components[],COLUMN(BD:BD),0)</f>
        <v>0</v>
      </c>
    </row>
    <row r="680" spans="1:56" outlineLevel="1" x14ac:dyDescent="0.35">
      <c r="A680" t="s">
        <v>288</v>
      </c>
      <c r="B680" t="str" cm="1">
        <f t="array" ref="B680">VLOOKUP($A680,Table_ship_components[],COLUMN(B:B),0)</f>
        <v>PICK A COMPONENT</v>
      </c>
      <c r="D680" cm="1">
        <f t="array" ref="D680">VLOOKUP($A680,Table_ship_components[],COLUMN(D:D),0)</f>
        <v>0</v>
      </c>
      <c r="E680" cm="1">
        <f t="array" ref="E680">ROUND(VLOOKUP($A680,Table_ship_components[],COLUMN(D:D),0)+(V680*C680),0)</f>
        <v>0</v>
      </c>
      <c r="F680" cm="1">
        <f t="array" ref="F680">VLOOKUP($A680,Table_ship_components[],COLUMN(F:F),0)</f>
        <v>0</v>
      </c>
      <c r="G680" cm="1">
        <f t="array" ref="G680">ROUND(VLOOKUP($A680,Table_ship_components[],COLUMN(G:G),0)+(X680*C680),0)</f>
        <v>0</v>
      </c>
      <c r="H680" cm="1">
        <f t="array" ref="H680">VLOOKUP($A680,Table_ship_components[],COLUMN(H:H),0)</f>
        <v>0</v>
      </c>
      <c r="I680" cm="1">
        <f t="array" ref="I680">VLOOKUP($A680,Table_ship_components[],COLUMN(I:I),0)</f>
        <v>0</v>
      </c>
      <c r="J680" cm="1">
        <f t="array" ref="J680">VLOOKUP($A680,Table_ship_components[],COLUMN(J:J),0)</f>
        <v>0</v>
      </c>
      <c r="K680" cm="1">
        <f t="array" ref="K680">VLOOKUP($A680,Table_ship_components[],COLUMN(K:K),0)</f>
        <v>0</v>
      </c>
      <c r="L680" cm="1">
        <f t="array" ref="L680">VLOOKUP($A680,Table_ship_components[],COLUMN(L:L),0)</f>
        <v>0</v>
      </c>
      <c r="M680" cm="1">
        <f t="array" ref="M680">VLOOKUP($A680,Table_ship_components[],COLUMN(M:M),0)</f>
        <v>0</v>
      </c>
      <c r="N680" cm="1">
        <f t="array" ref="N680">VLOOKUP($A680,Table_ship_components[],COLUMN(N:N),0)</f>
        <v>0</v>
      </c>
      <c r="O680" cm="1">
        <f t="array" ref="O680">VLOOKUP($A680,Table_ship_components[],COLUMN(O:O),0)</f>
        <v>0</v>
      </c>
      <c r="P680" cm="1">
        <f t="array" ref="P680">VLOOKUP($A680,Table_ship_components[],COLUMN(P:P),0)</f>
        <v>0</v>
      </c>
      <c r="Q680" cm="1">
        <f t="array" ref="Q680">VLOOKUP($A680,Table_ship_components[],COLUMN(Q:Q),0)</f>
        <v>0</v>
      </c>
      <c r="R680" cm="1">
        <f t="array" ref="R680">VLOOKUP($A680,Table_ship_components[],COLUMN(R:R),0)</f>
        <v>0</v>
      </c>
      <c r="S680" cm="1">
        <f t="array" ref="S680">VLOOKUP($A680,Table_ship_components[],COLUMN(S:S),0)</f>
        <v>0</v>
      </c>
      <c r="T680" cm="1">
        <f t="array" ref="T680">VLOOKUP($A680,Table_ship_components[],COLUMN(T:T),0)</f>
        <v>0</v>
      </c>
      <c r="U680" cm="1">
        <f t="array" ref="U680">VLOOKUP($A680,Table_ship_components[],COLUMN(U:U),0)</f>
        <v>0</v>
      </c>
      <c r="V680" cm="1">
        <f t="array" ref="V680">VLOOKUP($A680,Table_ship_components[],COLUMN(V:V),0)</f>
        <v>0</v>
      </c>
      <c r="W680" s="15" cm="1">
        <f t="array" ref="W680">VLOOKUP($A680,Table_ship_components[],COLUMN(W:W),0)</f>
        <v>0</v>
      </c>
      <c r="X680" cm="1">
        <f t="array" ref="X680">VLOOKUP($A680,Table_ship_components[],COLUMN(X:X),0)</f>
        <v>0</v>
      </c>
      <c r="Y680" cm="1">
        <f t="array" ref="Y680">VLOOKUP($A680,Table_ship_components[],COLUMN(Y:Y),0)</f>
        <v>0</v>
      </c>
      <c r="Z680" cm="1">
        <f t="array" ref="Z680">VLOOKUP($A680,Table_ship_components[],COLUMN(Z:Z),0)</f>
        <v>0</v>
      </c>
      <c r="AA680" cm="1">
        <f t="array" ref="AA680">VLOOKUP($A680,Table_ship_components[],COLUMN(AA:AA),0)*C680</f>
        <v>0</v>
      </c>
      <c r="AB680">
        <f t="shared" si="71"/>
        <v>0</v>
      </c>
      <c r="AC680" cm="1">
        <f t="array" ref="AC680">VLOOKUP($A680,Table_ship_components[],COLUMN(AC:AC),0)*C680</f>
        <v>0</v>
      </c>
      <c r="AD680" cm="1">
        <f t="array" ref="AD680">VLOOKUP($A680,Table_ship_components[],COLUMN(AD:AD),0)</f>
        <v>0</v>
      </c>
      <c r="AE680" cm="1">
        <f t="array" ref="AE680">VLOOKUP($A680,Table_ship_components[],COLUMN(AE:AE),0)</f>
        <v>0</v>
      </c>
      <c r="AF680" cm="1">
        <f t="array" ref="AF680">VLOOKUP($A680,Table_ship_components[],COLUMN(AF:AF),0)</f>
        <v>0</v>
      </c>
      <c r="AG680" cm="1">
        <f t="array" ref="AG680">VLOOKUP($A680,Table_ship_components[],COLUMN(AG:AG),0)</f>
        <v>0</v>
      </c>
      <c r="AH680" cm="1">
        <f t="array" ref="AH680">VLOOKUP($A680,Table_ship_components[],COLUMN(AH:AH),0)</f>
        <v>0</v>
      </c>
      <c r="AI680" cm="1">
        <f t="array" ref="AI680">VLOOKUP($A680,Table_ship_components[],COLUMN(AI:AI),0)</f>
        <v>0</v>
      </c>
      <c r="AJ680" cm="1">
        <f t="array" ref="AJ680">VLOOKUP($A680,Table_ship_components[],COLUMN(AJ:AJ),0)</f>
        <v>0</v>
      </c>
      <c r="AK680" cm="1">
        <f t="array" ref="AK680">VLOOKUP($A680,Table_ship_components[],COLUMN(AK:AK),0)</f>
        <v>0</v>
      </c>
      <c r="AL680" cm="1">
        <f t="array" ref="AL680">VLOOKUP($A680,Table_ship_components[],COLUMN(AL:AL),0)</f>
        <v>0</v>
      </c>
      <c r="AM680" cm="1">
        <f t="array" ref="AM680">VLOOKUP($A680,Table_ship_components[],COLUMN(AM:AM),0)</f>
        <v>0</v>
      </c>
      <c r="AN680" cm="1">
        <f t="array" ref="AN680">VLOOKUP($A680,Table_ship_components[],COLUMN(AN:AN),0)</f>
        <v>0</v>
      </c>
      <c r="AO680" cm="1">
        <f t="array" ref="AO680">VLOOKUP($A680,Table_ship_components[],COLUMN(AO:AO),0)</f>
        <v>0</v>
      </c>
      <c r="AP680" cm="1">
        <f t="array" ref="AP680">VLOOKUP($A680,Table_ship_components[],COLUMN(AP:AP),0)</f>
        <v>0</v>
      </c>
      <c r="AQ680" cm="1">
        <f t="array" ref="AQ680">VLOOKUP($A680,Table_ship_components[],COLUMN(AQ:AQ),0)</f>
        <v>0</v>
      </c>
      <c r="AR680" cm="1">
        <f t="array" ref="AR680">VLOOKUP($A680,Table_ship_components[],COLUMN(AR:AR),0)</f>
        <v>0</v>
      </c>
      <c r="AS680" cm="1">
        <f t="array" ref="AS680">VLOOKUP($A680,Table_ship_components[],COLUMN(AS:AS),0)</f>
        <v>0</v>
      </c>
      <c r="AT680" cm="1">
        <f t="array" ref="AT680">VLOOKUP($A680,Table_ship_components[],COLUMN(AT:AT),0)</f>
        <v>0</v>
      </c>
      <c r="AU680" s="2" cm="1">
        <f t="array" ref="AU680">VLOOKUP($A680,Table_ship_components[],COLUMN(AU:AU),0)</f>
        <v>0</v>
      </c>
      <c r="AV680" s="2" cm="1">
        <f t="array" ref="AV680">VLOOKUP($A680,Table_ship_components[],COLUMN(AV:AV),0)</f>
        <v>0</v>
      </c>
      <c r="AW680" s="2" cm="1">
        <f t="array" ref="AW680">VLOOKUP($A680,Table_ship_components[],COLUMN(AW:AW),0)</f>
        <v>0</v>
      </c>
      <c r="AX680" s="2" cm="1">
        <f t="array" ref="AX680">VLOOKUP($A680,Table_ship_components[],COLUMN(AX:AX),0)</f>
        <v>0</v>
      </c>
      <c r="AY680" s="2" cm="1">
        <f t="array" ref="AY680">VLOOKUP($A680,Table_ship_components[],COLUMN(AY:AY),0)</f>
        <v>0</v>
      </c>
      <c r="AZ680" s="2" t="str" cm="1">
        <f t="array" ref="AZ680">VLOOKUP($A680,Table_ship_components[],COLUMN(AZ:AZ),0)</f>
        <v>C</v>
      </c>
      <c r="BA680" s="14" cm="1">
        <f t="array" ref="BA680">VLOOKUP($A680,Table_ship_components[],COLUMN(BA:BA),0)</f>
        <v>0</v>
      </c>
      <c r="BB680" s="14" cm="1">
        <f t="array" ref="BB680">(VLOOKUP($A680,Table_ship_components[],COLUMN(BA:BA),0)+(W680*C680))</f>
        <v>0</v>
      </c>
      <c r="BC680" s="2" cm="1">
        <f t="array" ref="BC680">VLOOKUP($A680,Table_ship_components[],COLUMN(BC:BC),0)</f>
        <v>0</v>
      </c>
      <c r="BD680" s="2" cm="1">
        <f t="array" ref="BD680">VLOOKUP($A680,Table_ship_components[],COLUMN(BD:BD),0)</f>
        <v>0</v>
      </c>
    </row>
    <row r="681" spans="1:56" outlineLevel="1" x14ac:dyDescent="0.35">
      <c r="A681" t="s">
        <v>288</v>
      </c>
      <c r="B681" t="str" cm="1">
        <f t="array" ref="B681">VLOOKUP($A681,Table_ship_components[],COLUMN(B:B),0)</f>
        <v>PICK A COMPONENT</v>
      </c>
      <c r="D681" cm="1">
        <f t="array" ref="D681">VLOOKUP($A681,Table_ship_components[],COLUMN(D:D),0)</f>
        <v>0</v>
      </c>
      <c r="E681" cm="1">
        <f t="array" ref="E681">ROUND(VLOOKUP($A681,Table_ship_components[],COLUMN(D:D),0)+(V681*C681),0)</f>
        <v>0</v>
      </c>
      <c r="F681" cm="1">
        <f t="array" ref="F681">VLOOKUP($A681,Table_ship_components[],COLUMN(F:F),0)</f>
        <v>0</v>
      </c>
      <c r="G681" cm="1">
        <f t="array" ref="G681">ROUND(VLOOKUP($A681,Table_ship_components[],COLUMN(G:G),0)+(X681*C681),0)</f>
        <v>0</v>
      </c>
      <c r="H681" cm="1">
        <f t="array" ref="H681">VLOOKUP($A681,Table_ship_components[],COLUMN(H:H),0)</f>
        <v>0</v>
      </c>
      <c r="I681" cm="1">
        <f t="array" ref="I681">VLOOKUP($A681,Table_ship_components[],COLUMN(I:I),0)</f>
        <v>0</v>
      </c>
      <c r="J681" cm="1">
        <f t="array" ref="J681">VLOOKUP($A681,Table_ship_components[],COLUMN(J:J),0)</f>
        <v>0</v>
      </c>
      <c r="K681" cm="1">
        <f t="array" ref="K681">VLOOKUP($A681,Table_ship_components[],COLUMN(K:K),0)</f>
        <v>0</v>
      </c>
      <c r="L681" cm="1">
        <f t="array" ref="L681">VLOOKUP($A681,Table_ship_components[],COLUMN(L:L),0)</f>
        <v>0</v>
      </c>
      <c r="M681" cm="1">
        <f t="array" ref="M681">VLOOKUP($A681,Table_ship_components[],COLUMN(M:M),0)</f>
        <v>0</v>
      </c>
      <c r="N681" cm="1">
        <f t="array" ref="N681">VLOOKUP($A681,Table_ship_components[],COLUMN(N:N),0)</f>
        <v>0</v>
      </c>
      <c r="O681" cm="1">
        <f t="array" ref="O681">VLOOKUP($A681,Table_ship_components[],COLUMN(O:O),0)</f>
        <v>0</v>
      </c>
      <c r="P681" cm="1">
        <f t="array" ref="P681">VLOOKUP($A681,Table_ship_components[],COLUMN(P:P),0)</f>
        <v>0</v>
      </c>
      <c r="Q681" cm="1">
        <f t="array" ref="Q681">VLOOKUP($A681,Table_ship_components[],COLUMN(Q:Q),0)</f>
        <v>0</v>
      </c>
      <c r="R681" cm="1">
        <f t="array" ref="R681">VLOOKUP($A681,Table_ship_components[],COLUMN(R:R),0)</f>
        <v>0</v>
      </c>
      <c r="S681" cm="1">
        <f t="array" ref="S681">VLOOKUP($A681,Table_ship_components[],COLUMN(S:S),0)</f>
        <v>0</v>
      </c>
      <c r="T681" cm="1">
        <f t="array" ref="T681">VLOOKUP($A681,Table_ship_components[],COLUMN(T:T),0)</f>
        <v>0</v>
      </c>
      <c r="U681" cm="1">
        <f t="array" ref="U681">VLOOKUP($A681,Table_ship_components[],COLUMN(U:U),0)</f>
        <v>0</v>
      </c>
      <c r="V681" cm="1">
        <f t="array" ref="V681">VLOOKUP($A681,Table_ship_components[],COLUMN(V:V),0)</f>
        <v>0</v>
      </c>
      <c r="W681" s="15" cm="1">
        <f t="array" ref="W681">VLOOKUP($A681,Table_ship_components[],COLUMN(W:W),0)</f>
        <v>0</v>
      </c>
      <c r="X681" cm="1">
        <f t="array" ref="X681">VLOOKUP($A681,Table_ship_components[],COLUMN(X:X),0)</f>
        <v>0</v>
      </c>
      <c r="Y681" cm="1">
        <f t="array" ref="Y681">VLOOKUP($A681,Table_ship_components[],COLUMN(Y:Y),0)</f>
        <v>0</v>
      </c>
      <c r="Z681" cm="1">
        <f t="array" ref="Z681">VLOOKUP($A681,Table_ship_components[],COLUMN(Z:Z),0)</f>
        <v>0</v>
      </c>
      <c r="AA681" cm="1">
        <f t="array" ref="AA681">VLOOKUP($A681,Table_ship_components[],COLUMN(AA:AA),0)*C681</f>
        <v>0</v>
      </c>
      <c r="AB681">
        <f t="shared" si="71"/>
        <v>0</v>
      </c>
      <c r="AC681" cm="1">
        <f t="array" ref="AC681">VLOOKUP($A681,Table_ship_components[],COLUMN(AC:AC),0)*C681</f>
        <v>0</v>
      </c>
      <c r="AD681" cm="1">
        <f t="array" ref="AD681">VLOOKUP($A681,Table_ship_components[],COLUMN(AD:AD),0)</f>
        <v>0</v>
      </c>
      <c r="AE681" cm="1">
        <f t="array" ref="AE681">VLOOKUP($A681,Table_ship_components[],COLUMN(AE:AE),0)</f>
        <v>0</v>
      </c>
      <c r="AF681" cm="1">
        <f t="array" ref="AF681">VLOOKUP($A681,Table_ship_components[],COLUMN(AF:AF),0)</f>
        <v>0</v>
      </c>
      <c r="AG681" cm="1">
        <f t="array" ref="AG681">VLOOKUP($A681,Table_ship_components[],COLUMN(AG:AG),0)</f>
        <v>0</v>
      </c>
      <c r="AH681" cm="1">
        <f t="array" ref="AH681">VLOOKUP($A681,Table_ship_components[],COLUMN(AH:AH),0)</f>
        <v>0</v>
      </c>
      <c r="AI681" cm="1">
        <f t="array" ref="AI681">VLOOKUP($A681,Table_ship_components[],COLUMN(AI:AI),0)</f>
        <v>0</v>
      </c>
      <c r="AJ681" cm="1">
        <f t="array" ref="AJ681">VLOOKUP($A681,Table_ship_components[],COLUMN(AJ:AJ),0)</f>
        <v>0</v>
      </c>
      <c r="AK681" cm="1">
        <f t="array" ref="AK681">VLOOKUP($A681,Table_ship_components[],COLUMN(AK:AK),0)</f>
        <v>0</v>
      </c>
      <c r="AL681" cm="1">
        <f t="array" ref="AL681">VLOOKUP($A681,Table_ship_components[],COLUMN(AL:AL),0)</f>
        <v>0</v>
      </c>
      <c r="AM681" cm="1">
        <f t="array" ref="AM681">VLOOKUP($A681,Table_ship_components[],COLUMN(AM:AM),0)</f>
        <v>0</v>
      </c>
      <c r="AN681" cm="1">
        <f t="array" ref="AN681">VLOOKUP($A681,Table_ship_components[],COLUMN(AN:AN),0)</f>
        <v>0</v>
      </c>
      <c r="AO681" cm="1">
        <f t="array" ref="AO681">VLOOKUP($A681,Table_ship_components[],COLUMN(AO:AO),0)</f>
        <v>0</v>
      </c>
      <c r="AP681" cm="1">
        <f t="array" ref="AP681">VLOOKUP($A681,Table_ship_components[],COLUMN(AP:AP),0)</f>
        <v>0</v>
      </c>
      <c r="AQ681" cm="1">
        <f t="array" ref="AQ681">VLOOKUP($A681,Table_ship_components[],COLUMN(AQ:AQ),0)</f>
        <v>0</v>
      </c>
      <c r="AR681" cm="1">
        <f t="array" ref="AR681">VLOOKUP($A681,Table_ship_components[],COLUMN(AR:AR),0)</f>
        <v>0</v>
      </c>
      <c r="AS681" cm="1">
        <f t="array" ref="AS681">VLOOKUP($A681,Table_ship_components[],COLUMN(AS:AS),0)</f>
        <v>0</v>
      </c>
      <c r="AT681" cm="1">
        <f t="array" ref="AT681">VLOOKUP($A681,Table_ship_components[],COLUMN(AT:AT),0)</f>
        <v>0</v>
      </c>
      <c r="AU681" s="2" cm="1">
        <f t="array" ref="AU681">VLOOKUP($A681,Table_ship_components[],COLUMN(AU:AU),0)</f>
        <v>0</v>
      </c>
      <c r="AV681" s="2" cm="1">
        <f t="array" ref="AV681">VLOOKUP($A681,Table_ship_components[],COLUMN(AV:AV),0)</f>
        <v>0</v>
      </c>
      <c r="AW681" s="2" cm="1">
        <f t="array" ref="AW681">VLOOKUP($A681,Table_ship_components[],COLUMN(AW:AW),0)</f>
        <v>0</v>
      </c>
      <c r="AX681" s="2" cm="1">
        <f t="array" ref="AX681">VLOOKUP($A681,Table_ship_components[],COLUMN(AX:AX),0)</f>
        <v>0</v>
      </c>
      <c r="AY681" s="2" cm="1">
        <f t="array" ref="AY681">VLOOKUP($A681,Table_ship_components[],COLUMN(AY:AY),0)</f>
        <v>0</v>
      </c>
      <c r="AZ681" s="2" t="str" cm="1">
        <f t="array" ref="AZ681">VLOOKUP($A681,Table_ship_components[],COLUMN(AZ:AZ),0)</f>
        <v>C</v>
      </c>
      <c r="BA681" s="14" cm="1">
        <f t="array" ref="BA681">VLOOKUP($A681,Table_ship_components[],COLUMN(BA:BA),0)</f>
        <v>0</v>
      </c>
      <c r="BB681" s="14" cm="1">
        <f t="array" ref="BB681">(VLOOKUP($A681,Table_ship_components[],COLUMN(BA:BA),0)+(W681*C681))</f>
        <v>0</v>
      </c>
      <c r="BC681" s="2" cm="1">
        <f t="array" ref="BC681">VLOOKUP($A681,Table_ship_components[],COLUMN(BC:BC),0)</f>
        <v>0</v>
      </c>
      <c r="BD681" s="2" cm="1">
        <f t="array" ref="BD681">VLOOKUP($A681,Table_ship_components[],COLUMN(BD:BD),0)</f>
        <v>0</v>
      </c>
    </row>
    <row r="682" spans="1:56" outlineLevel="1" x14ac:dyDescent="0.35">
      <c r="A682" t="s">
        <v>288</v>
      </c>
      <c r="B682" t="str" cm="1">
        <f t="array" ref="B682">VLOOKUP($A682,Table_ship_components[],COLUMN(B:B),0)</f>
        <v>PICK A COMPONENT</v>
      </c>
      <c r="D682" cm="1">
        <f t="array" ref="D682">VLOOKUP($A682,Table_ship_components[],COLUMN(D:D),0)</f>
        <v>0</v>
      </c>
      <c r="E682" cm="1">
        <f t="array" ref="E682">ROUND(VLOOKUP($A682,Table_ship_components[],COLUMN(D:D),0)+(V682*C682),0)</f>
        <v>0</v>
      </c>
      <c r="F682" cm="1">
        <f t="array" ref="F682">VLOOKUP($A682,Table_ship_components[],COLUMN(F:F),0)</f>
        <v>0</v>
      </c>
      <c r="G682" cm="1">
        <f t="array" ref="G682">ROUND(VLOOKUP($A682,Table_ship_components[],COLUMN(G:G),0)+(X682*C682),0)</f>
        <v>0</v>
      </c>
      <c r="H682" cm="1">
        <f t="array" ref="H682">VLOOKUP($A682,Table_ship_components[],COLUMN(H:H),0)</f>
        <v>0</v>
      </c>
      <c r="I682" cm="1">
        <f t="array" ref="I682">VLOOKUP($A682,Table_ship_components[],COLUMN(I:I),0)</f>
        <v>0</v>
      </c>
      <c r="J682" cm="1">
        <f t="array" ref="J682">VLOOKUP($A682,Table_ship_components[],COLUMN(J:J),0)</f>
        <v>0</v>
      </c>
      <c r="K682" cm="1">
        <f t="array" ref="K682">VLOOKUP($A682,Table_ship_components[],COLUMN(K:K),0)</f>
        <v>0</v>
      </c>
      <c r="L682" cm="1">
        <f t="array" ref="L682">VLOOKUP($A682,Table_ship_components[],COLUMN(L:L),0)</f>
        <v>0</v>
      </c>
      <c r="M682" cm="1">
        <f t="array" ref="M682">VLOOKUP($A682,Table_ship_components[],COLUMN(M:M),0)</f>
        <v>0</v>
      </c>
      <c r="N682" cm="1">
        <f t="array" ref="N682">VLOOKUP($A682,Table_ship_components[],COLUMN(N:N),0)</f>
        <v>0</v>
      </c>
      <c r="O682" cm="1">
        <f t="array" ref="O682">VLOOKUP($A682,Table_ship_components[],COLUMN(O:O),0)</f>
        <v>0</v>
      </c>
      <c r="P682" cm="1">
        <f t="array" ref="P682">VLOOKUP($A682,Table_ship_components[],COLUMN(P:P),0)</f>
        <v>0</v>
      </c>
      <c r="Q682" cm="1">
        <f t="array" ref="Q682">VLOOKUP($A682,Table_ship_components[],COLUMN(Q:Q),0)</f>
        <v>0</v>
      </c>
      <c r="R682" cm="1">
        <f t="array" ref="R682">VLOOKUP($A682,Table_ship_components[],COLUMN(R:R),0)</f>
        <v>0</v>
      </c>
      <c r="S682" cm="1">
        <f t="array" ref="S682">VLOOKUP($A682,Table_ship_components[],COLUMN(S:S),0)</f>
        <v>0</v>
      </c>
      <c r="T682" cm="1">
        <f t="array" ref="T682">VLOOKUP($A682,Table_ship_components[],COLUMN(T:T),0)</f>
        <v>0</v>
      </c>
      <c r="U682" cm="1">
        <f t="array" ref="U682">VLOOKUP($A682,Table_ship_components[],COLUMN(U:U),0)</f>
        <v>0</v>
      </c>
      <c r="V682" cm="1">
        <f t="array" ref="V682">VLOOKUP($A682,Table_ship_components[],COLUMN(V:V),0)</f>
        <v>0</v>
      </c>
      <c r="W682" s="15" cm="1">
        <f t="array" ref="W682">VLOOKUP($A682,Table_ship_components[],COLUMN(W:W),0)</f>
        <v>0</v>
      </c>
      <c r="X682" cm="1">
        <f t="array" ref="X682">VLOOKUP($A682,Table_ship_components[],COLUMN(X:X),0)</f>
        <v>0</v>
      </c>
      <c r="Y682" cm="1">
        <f t="array" ref="Y682">VLOOKUP($A682,Table_ship_components[],COLUMN(Y:Y),0)</f>
        <v>0</v>
      </c>
      <c r="Z682" cm="1">
        <f t="array" ref="Z682">VLOOKUP($A682,Table_ship_components[],COLUMN(Z:Z),0)</f>
        <v>0</v>
      </c>
      <c r="AA682" cm="1">
        <f t="array" ref="AA682">VLOOKUP($A682,Table_ship_components[],COLUMN(AA:AA),0)*C682</f>
        <v>0</v>
      </c>
      <c r="AB682">
        <f>IF(A682="CARGOSPACE_0-ALL_0-UNIVERSAL",C682,0)</f>
        <v>0</v>
      </c>
      <c r="AC682" cm="1">
        <f t="array" ref="AC682">VLOOKUP($A682,Table_ship_components[],COLUMN(AC:AC),0)*C682</f>
        <v>0</v>
      </c>
      <c r="AD682" cm="1">
        <f t="array" ref="AD682">VLOOKUP($A682,Table_ship_components[],COLUMN(AD:AD),0)</f>
        <v>0</v>
      </c>
      <c r="AE682" cm="1">
        <f t="array" ref="AE682">VLOOKUP($A682,Table_ship_components[],COLUMN(AE:AE),0)</f>
        <v>0</v>
      </c>
      <c r="AF682" cm="1">
        <f t="array" ref="AF682">VLOOKUP($A682,Table_ship_components[],COLUMN(AF:AF),0)</f>
        <v>0</v>
      </c>
      <c r="AG682" cm="1">
        <f t="array" ref="AG682">VLOOKUP($A682,Table_ship_components[],COLUMN(AG:AG),0)</f>
        <v>0</v>
      </c>
      <c r="AH682" cm="1">
        <f t="array" ref="AH682">VLOOKUP($A682,Table_ship_components[],COLUMN(AH:AH),0)</f>
        <v>0</v>
      </c>
      <c r="AI682" cm="1">
        <f t="array" ref="AI682">VLOOKUP($A682,Table_ship_components[],COLUMN(AI:AI),0)</f>
        <v>0</v>
      </c>
      <c r="AJ682" cm="1">
        <f t="array" ref="AJ682">VLOOKUP($A682,Table_ship_components[],COLUMN(AJ:AJ),0)</f>
        <v>0</v>
      </c>
      <c r="AK682" cm="1">
        <f t="array" ref="AK682">VLOOKUP($A682,Table_ship_components[],COLUMN(AK:AK),0)</f>
        <v>0</v>
      </c>
      <c r="AL682" cm="1">
        <f t="array" ref="AL682">VLOOKUP($A682,Table_ship_components[],COLUMN(AL:AL),0)</f>
        <v>0</v>
      </c>
      <c r="AM682" cm="1">
        <f t="array" ref="AM682">VLOOKUP($A682,Table_ship_components[],COLUMN(AM:AM),0)</f>
        <v>0</v>
      </c>
      <c r="AN682" cm="1">
        <f t="array" ref="AN682">VLOOKUP($A682,Table_ship_components[],COLUMN(AN:AN),0)</f>
        <v>0</v>
      </c>
      <c r="AO682" cm="1">
        <f t="array" ref="AO682">VLOOKUP($A682,Table_ship_components[],COLUMN(AO:AO),0)</f>
        <v>0</v>
      </c>
      <c r="AP682" cm="1">
        <f t="array" ref="AP682">VLOOKUP($A682,Table_ship_components[],COLUMN(AP:AP),0)</f>
        <v>0</v>
      </c>
      <c r="AQ682" cm="1">
        <f t="array" ref="AQ682">VLOOKUP($A682,Table_ship_components[],COLUMN(AQ:AQ),0)</f>
        <v>0</v>
      </c>
      <c r="AR682" cm="1">
        <f t="array" ref="AR682">VLOOKUP($A682,Table_ship_components[],COLUMN(AR:AR),0)</f>
        <v>0</v>
      </c>
      <c r="AS682" cm="1">
        <f t="array" ref="AS682">VLOOKUP($A682,Table_ship_components[],COLUMN(AS:AS),0)</f>
        <v>0</v>
      </c>
      <c r="AT682" cm="1">
        <f t="array" ref="AT682">VLOOKUP($A682,Table_ship_components[],COLUMN(AT:AT),0)</f>
        <v>0</v>
      </c>
      <c r="AU682" s="2" cm="1">
        <f t="array" ref="AU682">VLOOKUP($A682,Table_ship_components[],COLUMN(AU:AU),0)</f>
        <v>0</v>
      </c>
      <c r="AV682" s="2" cm="1">
        <f t="array" ref="AV682">VLOOKUP($A682,Table_ship_components[],COLUMN(AV:AV),0)</f>
        <v>0</v>
      </c>
      <c r="AW682" s="2" cm="1">
        <f t="array" ref="AW682">VLOOKUP($A682,Table_ship_components[],COLUMN(AW:AW),0)</f>
        <v>0</v>
      </c>
      <c r="AX682" s="2" cm="1">
        <f t="array" ref="AX682">VLOOKUP($A682,Table_ship_components[],COLUMN(AX:AX),0)</f>
        <v>0</v>
      </c>
      <c r="AY682" s="2" cm="1">
        <f t="array" ref="AY682">VLOOKUP($A682,Table_ship_components[],COLUMN(AY:AY),0)</f>
        <v>0</v>
      </c>
      <c r="AZ682" s="2" t="str" cm="1">
        <f t="array" ref="AZ682">VLOOKUP($A682,Table_ship_components[],COLUMN(AZ:AZ),0)</f>
        <v>C</v>
      </c>
      <c r="BA682" s="14" cm="1">
        <f t="array" ref="BA682">VLOOKUP($A682,Table_ship_components[],COLUMN(BA:BA),0)</f>
        <v>0</v>
      </c>
      <c r="BB682" s="14" cm="1">
        <f t="array" ref="BB682">(VLOOKUP($A682,Table_ship_components[],COLUMN(BA:BA),0)+(W682*C682))</f>
        <v>0</v>
      </c>
      <c r="BC682" s="2" cm="1">
        <f t="array" ref="BC682">VLOOKUP($A682,Table_ship_components[],COLUMN(BC:BC),0)</f>
        <v>0</v>
      </c>
      <c r="BD682" s="2" cm="1">
        <f t="array" ref="BD682">VLOOKUP($A682,Table_ship_components[],COLUMN(BD:BD),0)</f>
        <v>0</v>
      </c>
    </row>
    <row r="683" spans="1:56" outlineLevel="1" x14ac:dyDescent="0.35">
      <c r="A683" s="18" t="s">
        <v>425</v>
      </c>
      <c r="B683" s="19" t="str">
        <f>CONCATENATE("SIZE ",(SUM(E684:E691)),"/",AY661,"  POWER ",(SUM(G684:G691)))</f>
        <v>SIZE 20/20  POWER 7</v>
      </c>
      <c r="AU683" s="2"/>
      <c r="AV683" s="2"/>
      <c r="AW683" s="2"/>
      <c r="AX683" s="2"/>
      <c r="AY683" s="2"/>
      <c r="AZ683" s="2"/>
      <c r="BA683" s="14"/>
      <c r="BB683" s="14"/>
      <c r="BC683" s="2"/>
      <c r="BD683" s="2"/>
    </row>
    <row r="684" spans="1:56" outlineLevel="1" x14ac:dyDescent="0.35">
      <c r="A684" t="s">
        <v>549</v>
      </c>
      <c r="B684" t="str" cm="1">
        <f t="array" ref="B684">VLOOKUP($A684,Table_ship_components[],COLUMN(B:B),0)</f>
        <v>basic drone radar and scans</v>
      </c>
      <c r="D684" cm="1">
        <f t="array" ref="D684">VLOOKUP($A684,Table_ship_components[],COLUMN(D:D),0)</f>
        <v>1</v>
      </c>
      <c r="E684" cm="1">
        <f t="array" ref="E684">ROUND(VLOOKUP($A684,Table_ship_components[],COLUMN(D:D),0)+(V684*C684),0)</f>
        <v>1</v>
      </c>
      <c r="F684" cm="1">
        <f t="array" ref="F684">VLOOKUP($A684,Table_ship_components[],COLUMN(F:F),0)</f>
        <v>1</v>
      </c>
      <c r="G684" cm="1">
        <f t="array" ref="G684">ROUND(VLOOKUP($A684,Table_ship_components[],COLUMN(G:G),0)+(X684*C684),0)</f>
        <v>1</v>
      </c>
      <c r="H684" cm="1">
        <f t="array" ref="H684">VLOOKUP($A684,Table_ship_components[],COLUMN(H:H),0)</f>
        <v>0</v>
      </c>
      <c r="I684" cm="1">
        <f t="array" ref="I684">VLOOKUP($A684,Table_ship_components[],COLUMN(I:I),0)</f>
        <v>0</v>
      </c>
      <c r="J684" cm="1">
        <f t="array" ref="J684">VLOOKUP($A684,Table_ship_components[],COLUMN(J:J),0)</f>
        <v>0</v>
      </c>
      <c r="K684" cm="1">
        <f t="array" ref="K684">VLOOKUP($A684,Table_ship_components[],COLUMN(K:K),0)</f>
        <v>0</v>
      </c>
      <c r="L684" cm="1">
        <f t="array" ref="L684">VLOOKUP($A684,Table_ship_components[],COLUMN(L:L),0)</f>
        <v>0</v>
      </c>
      <c r="M684" cm="1">
        <f t="array" ref="M684">VLOOKUP($A684,Table_ship_components[],COLUMN(M:M),0)</f>
        <v>1</v>
      </c>
      <c r="N684" cm="1">
        <f t="array" ref="N684">VLOOKUP($A684,Table_ship_components[],COLUMN(N:N),0)</f>
        <v>0</v>
      </c>
      <c r="O684" cm="1">
        <f t="array" ref="O684">VLOOKUP($A684,Table_ship_components[],COLUMN(O:O),0)</f>
        <v>0</v>
      </c>
      <c r="P684" cm="1">
        <f t="array" ref="P684">VLOOKUP($A684,Table_ship_components[],COLUMN(P:P),0)</f>
        <v>0</v>
      </c>
      <c r="Q684" cm="1">
        <f t="array" ref="Q684">VLOOKUP($A684,Table_ship_components[],COLUMN(Q:Q),0)</f>
        <v>0</v>
      </c>
      <c r="R684" cm="1">
        <f t="array" ref="R684">VLOOKUP($A684,Table_ship_components[],COLUMN(R:R),0)</f>
        <v>0</v>
      </c>
      <c r="S684" cm="1">
        <f t="array" ref="S684">VLOOKUP($A684,Table_ship_components[],COLUMN(S:S),0)</f>
        <v>0</v>
      </c>
      <c r="T684" cm="1">
        <f t="array" ref="T684">VLOOKUP($A684,Table_ship_components[],COLUMN(T:T),0)</f>
        <v>0</v>
      </c>
      <c r="U684" cm="1">
        <f t="array" ref="U684">VLOOKUP($A684,Table_ship_components[],COLUMN(U:U),0)</f>
        <v>0</v>
      </c>
      <c r="V684" cm="1">
        <f t="array" ref="V684">VLOOKUP($A684,Table_ship_components[],COLUMN(V:V),0)</f>
        <v>0</v>
      </c>
      <c r="W684" s="15" cm="1">
        <f t="array" ref="W684">VLOOKUP($A684,Table_ship_components[],COLUMN(W:W),0)</f>
        <v>0</v>
      </c>
      <c r="X684" cm="1">
        <f t="array" ref="X684">VLOOKUP($A684,Table_ship_components[],COLUMN(X:X),0)</f>
        <v>0</v>
      </c>
      <c r="Y684" cm="1">
        <f t="array" ref="Y684">VLOOKUP($A684,Table_ship_components[],COLUMN(Y:Y),0)</f>
        <v>0</v>
      </c>
      <c r="Z684" cm="1">
        <f t="array" ref="Z684">VLOOKUP($A684,Table_ship_components[],COLUMN(Z:Z),0)</f>
        <v>0</v>
      </c>
      <c r="AA684" cm="1">
        <f t="array" ref="AA684">VLOOKUP($A684,Table_ship_components[],COLUMN(AA:AA),0)*C684</f>
        <v>0</v>
      </c>
      <c r="AB684">
        <f t="shared" ref="AB684:AB691" si="72">IF(A684="CARGOSPACE_0-ALL_0-UNIVERSAL",C684,0)</f>
        <v>0</v>
      </c>
      <c r="AC684" cm="1">
        <f t="array" ref="AC684">VLOOKUP($A684,Table_ship_components[],COLUMN(AC:AC),0)*C684</f>
        <v>0</v>
      </c>
      <c r="AD684" cm="1">
        <f t="array" ref="AD684">VLOOKUP($A684,Table_ship_components[],COLUMN(AD:AD),0)</f>
        <v>0</v>
      </c>
      <c r="AE684" cm="1">
        <f t="array" ref="AE684">VLOOKUP($A684,Table_ship_components[],COLUMN(AE:AE),0)</f>
        <v>0</v>
      </c>
      <c r="AF684" cm="1">
        <f t="array" ref="AF684">VLOOKUP($A684,Table_ship_components[],COLUMN(AF:AF),0)</f>
        <v>0</v>
      </c>
      <c r="AG684" cm="1">
        <f t="array" ref="AG684">VLOOKUP($A684,Table_ship_components[],COLUMN(AG:AG),0)</f>
        <v>0</v>
      </c>
      <c r="AH684" cm="1">
        <f t="array" ref="AH684">VLOOKUP($A684,Table_ship_components[],COLUMN(AH:AH),0)</f>
        <v>100</v>
      </c>
      <c r="AI684" cm="1">
        <f t="array" ref="AI684">VLOOKUP($A684,Table_ship_components[],COLUMN(AI:AI),0)</f>
        <v>0</v>
      </c>
      <c r="AJ684" cm="1">
        <f t="array" ref="AJ684">VLOOKUP($A684,Table_ship_components[],COLUMN(AJ:AJ),0)</f>
        <v>0</v>
      </c>
      <c r="AK684" cm="1">
        <f t="array" ref="AK684">VLOOKUP($A684,Table_ship_components[],COLUMN(AK:AK),0)</f>
        <v>0</v>
      </c>
      <c r="AL684" cm="1">
        <f t="array" ref="AL684">VLOOKUP($A684,Table_ship_components[],COLUMN(AL:AL),0)</f>
        <v>0</v>
      </c>
      <c r="AM684" cm="1">
        <f t="array" ref="AM684">VLOOKUP($A684,Table_ship_components[],COLUMN(AM:AM),0)</f>
        <v>0</v>
      </c>
      <c r="AN684" cm="1">
        <f t="array" ref="AN684">VLOOKUP($A684,Table_ship_components[],COLUMN(AN:AN),0)</f>
        <v>0</v>
      </c>
      <c r="AO684" cm="1">
        <f t="array" ref="AO684">VLOOKUP($A684,Table_ship_components[],COLUMN(AO:AO),0)</f>
        <v>0</v>
      </c>
      <c r="AP684" cm="1">
        <f t="array" ref="AP684">VLOOKUP($A684,Table_ship_components[],COLUMN(AP:AP),0)</f>
        <v>0</v>
      </c>
      <c r="AQ684" cm="1">
        <f t="array" ref="AQ684">VLOOKUP($A684,Table_ship_components[],COLUMN(AQ:AQ),0)</f>
        <v>0</v>
      </c>
      <c r="AR684" cm="1">
        <f t="array" ref="AR684">VLOOKUP($A684,Table_ship_components[],COLUMN(AR:AR),0)</f>
        <v>0</v>
      </c>
      <c r="AS684" cm="1">
        <f t="array" ref="AS684">VLOOKUP($A684,Table_ship_components[],COLUMN(AS:AS),0)</f>
        <v>-1</v>
      </c>
      <c r="AT684" cm="1">
        <f t="array" ref="AT684">VLOOKUP($A684,Table_ship_components[],COLUMN(AT:AT),0)</f>
        <v>0</v>
      </c>
      <c r="AU684" s="2" cm="1">
        <f t="array" ref="AU684">VLOOKUP($A684,Table_ship_components[],COLUMN(AU:AU),0)</f>
        <v>0</v>
      </c>
      <c r="AV684" s="2" cm="1">
        <f t="array" ref="AV684">VLOOKUP($A684,Table_ship_components[],COLUMN(AV:AV),0)</f>
        <v>0</v>
      </c>
      <c r="AW684" s="2" cm="1">
        <f t="array" ref="AW684">VLOOKUP($A684,Table_ship_components[],COLUMN(AW:AW),0)</f>
        <v>0</v>
      </c>
      <c r="AX684" s="2" cm="1">
        <f t="array" ref="AX684">VLOOKUP($A684,Table_ship_components[],COLUMN(AX:AX),0)</f>
        <v>0</v>
      </c>
      <c r="AY684" s="2" cm="1">
        <f t="array" ref="AY684">VLOOKUP($A684,Table_ship_components[],COLUMN(AY:AY),0)</f>
        <v>0</v>
      </c>
      <c r="AZ684" s="2" t="str" cm="1">
        <f t="array" ref="AZ684">VLOOKUP($A684,Table_ship_components[],COLUMN(AZ:AZ),0)</f>
        <v>C</v>
      </c>
      <c r="BA684" s="14" cm="1">
        <f t="array" ref="BA684">VLOOKUP($A684,Table_ship_components[],COLUMN(BA:BA),0)</f>
        <v>100000</v>
      </c>
      <c r="BB684" s="14" cm="1">
        <f t="array" ref="BB684">(VLOOKUP($A684,Table_ship_components[],COLUMN(BA:BA),0)+(W684*C684))</f>
        <v>100000</v>
      </c>
      <c r="BC684" s="2" cm="1">
        <f t="array" ref="BC684">VLOOKUP($A684,Table_ship_components[],COLUMN(BC:BC),0)</f>
        <v>0</v>
      </c>
      <c r="BD684" s="2" cm="1">
        <f t="array" ref="BD684">VLOOKUP($A684,Table_ship_components[],COLUMN(BD:BD),0)</f>
        <v>0</v>
      </c>
    </row>
    <row r="685" spans="1:56" outlineLevel="1" x14ac:dyDescent="0.35">
      <c r="A685" t="s">
        <v>555</v>
      </c>
      <c r="B685" t="str" cm="1">
        <f t="array" ref="B685">VLOOKUP($A685,Table_ship_components[],COLUMN(B:B),0)</f>
        <v>basic drone shield</v>
      </c>
      <c r="D685" cm="1">
        <f t="array" ref="D685">VLOOKUP($A685,Table_ship_components[],COLUMN(D:D),0)</f>
        <v>2</v>
      </c>
      <c r="E685" cm="1">
        <f t="array" ref="E685">ROUND(VLOOKUP($A685,Table_ship_components[],COLUMN(D:D),0)+(V685*C685),0)</f>
        <v>2</v>
      </c>
      <c r="F685" cm="1">
        <f t="array" ref="F685">VLOOKUP($A685,Table_ship_components[],COLUMN(F:F),0)</f>
        <v>2</v>
      </c>
      <c r="G685" cm="1">
        <f t="array" ref="G685">ROUND(VLOOKUP($A685,Table_ship_components[],COLUMN(G:G),0)+(X685*C685),0)</f>
        <v>2</v>
      </c>
      <c r="H685" cm="1">
        <f t="array" ref="H685">VLOOKUP($A685,Table_ship_components[],COLUMN(H:H),0)</f>
        <v>0</v>
      </c>
      <c r="I685" cm="1">
        <f t="array" ref="I685">VLOOKUP($A685,Table_ship_components[],COLUMN(I:I),0)</f>
        <v>0</v>
      </c>
      <c r="J685" cm="1">
        <f t="array" ref="J685">VLOOKUP($A685,Table_ship_components[],COLUMN(J:J),0)</f>
        <v>0</v>
      </c>
      <c r="K685" cm="1">
        <f t="array" ref="K685">VLOOKUP($A685,Table_ship_components[],COLUMN(K:K),0)</f>
        <v>15</v>
      </c>
      <c r="L685" cm="1">
        <f t="array" ref="L685">VLOOKUP($A685,Table_ship_components[],COLUMN(L:L),0)</f>
        <v>2</v>
      </c>
      <c r="M685" cm="1">
        <f t="array" ref="M685">VLOOKUP($A685,Table_ship_components[],COLUMN(M:M),0)</f>
        <v>0</v>
      </c>
      <c r="N685" cm="1">
        <f t="array" ref="N685">VLOOKUP($A685,Table_ship_components[],COLUMN(N:N),0)</f>
        <v>1</v>
      </c>
      <c r="O685" cm="1">
        <f t="array" ref="O685">VLOOKUP($A685,Table_ship_components[],COLUMN(O:O),0)</f>
        <v>0</v>
      </c>
      <c r="P685" cm="1">
        <f t="array" ref="P685">VLOOKUP($A685,Table_ship_components[],COLUMN(P:P),0)</f>
        <v>0</v>
      </c>
      <c r="Q685" cm="1">
        <f t="array" ref="Q685">VLOOKUP($A685,Table_ship_components[],COLUMN(Q:Q),0)</f>
        <v>0</v>
      </c>
      <c r="R685" cm="1">
        <f t="array" ref="R685">VLOOKUP($A685,Table_ship_components[],COLUMN(R:R),0)</f>
        <v>0</v>
      </c>
      <c r="S685" cm="1">
        <f t="array" ref="S685">VLOOKUP($A685,Table_ship_components[],COLUMN(S:S),0)</f>
        <v>0</v>
      </c>
      <c r="T685" cm="1">
        <f t="array" ref="T685">VLOOKUP($A685,Table_ship_components[],COLUMN(T:T),0)</f>
        <v>0</v>
      </c>
      <c r="U685" cm="1">
        <f t="array" ref="U685">VLOOKUP($A685,Table_ship_components[],COLUMN(U:U),0)</f>
        <v>0</v>
      </c>
      <c r="V685" cm="1">
        <f t="array" ref="V685">VLOOKUP($A685,Table_ship_components[],COLUMN(V:V),0)</f>
        <v>0</v>
      </c>
      <c r="W685" s="15" cm="1">
        <f t="array" ref="W685">VLOOKUP($A685,Table_ship_components[],COLUMN(W:W),0)</f>
        <v>0</v>
      </c>
      <c r="X685" cm="1">
        <f t="array" ref="X685">VLOOKUP($A685,Table_ship_components[],COLUMN(X:X),0)</f>
        <v>0</v>
      </c>
      <c r="Y685" cm="1">
        <f t="array" ref="Y685">VLOOKUP($A685,Table_ship_components[],COLUMN(Y:Y),0)</f>
        <v>0</v>
      </c>
      <c r="Z685" cm="1">
        <f t="array" ref="Z685">VLOOKUP($A685,Table_ship_components[],COLUMN(Z:Z),0)</f>
        <v>0</v>
      </c>
      <c r="AA685" cm="1">
        <f t="array" ref="AA685">VLOOKUP($A685,Table_ship_components[],COLUMN(AA:AA),0)*C685</f>
        <v>0</v>
      </c>
      <c r="AB685">
        <f t="shared" si="72"/>
        <v>0</v>
      </c>
      <c r="AC685" cm="1">
        <f t="array" ref="AC685">VLOOKUP($A685,Table_ship_components[],COLUMN(AC:AC),0)*C685</f>
        <v>0</v>
      </c>
      <c r="AD685" cm="1">
        <f t="array" ref="AD685">VLOOKUP($A685,Table_ship_components[],COLUMN(AD:AD),0)</f>
        <v>0</v>
      </c>
      <c r="AE685" cm="1">
        <f t="array" ref="AE685">VLOOKUP($A685,Table_ship_components[],COLUMN(AE:AE),0)</f>
        <v>0</v>
      </c>
      <c r="AF685" cm="1">
        <f t="array" ref="AF685">VLOOKUP($A685,Table_ship_components[],COLUMN(AF:AF),0)</f>
        <v>0</v>
      </c>
      <c r="AG685" cm="1">
        <f t="array" ref="AG685">VLOOKUP($A685,Table_ship_components[],COLUMN(AG:AG),0)</f>
        <v>0</v>
      </c>
      <c r="AH685" cm="1">
        <f t="array" ref="AH685">VLOOKUP($A685,Table_ship_components[],COLUMN(AH:AH),0)</f>
        <v>0</v>
      </c>
      <c r="AI685" cm="1">
        <f t="array" ref="AI685">VLOOKUP($A685,Table_ship_components[],COLUMN(AI:AI),0)</f>
        <v>0</v>
      </c>
      <c r="AJ685" cm="1">
        <f t="array" ref="AJ685">VLOOKUP($A685,Table_ship_components[],COLUMN(AJ:AJ),0)</f>
        <v>0</v>
      </c>
      <c r="AK685" cm="1">
        <f t="array" ref="AK685">VLOOKUP($A685,Table_ship_components[],COLUMN(AK:AK),0)</f>
        <v>0</v>
      </c>
      <c r="AL685" cm="1">
        <f t="array" ref="AL685">VLOOKUP($A685,Table_ship_components[],COLUMN(AL:AL),0)</f>
        <v>0</v>
      </c>
      <c r="AM685" cm="1">
        <f t="array" ref="AM685">VLOOKUP($A685,Table_ship_components[],COLUMN(AM:AM),0)</f>
        <v>0</v>
      </c>
      <c r="AN685" cm="1">
        <f t="array" ref="AN685">VLOOKUP($A685,Table_ship_components[],COLUMN(AN:AN),0)</f>
        <v>0</v>
      </c>
      <c r="AO685" cm="1">
        <f t="array" ref="AO685">VLOOKUP($A685,Table_ship_components[],COLUMN(AO:AO),0)</f>
        <v>0</v>
      </c>
      <c r="AP685" cm="1">
        <f t="array" ref="AP685">VLOOKUP($A685,Table_ship_components[],COLUMN(AP:AP),0)</f>
        <v>0</v>
      </c>
      <c r="AQ685" cm="1">
        <f t="array" ref="AQ685">VLOOKUP($A685,Table_ship_components[],COLUMN(AQ:AQ),0)</f>
        <v>0</v>
      </c>
      <c r="AR685" cm="1">
        <f t="array" ref="AR685">VLOOKUP($A685,Table_ship_components[],COLUMN(AR:AR),0)</f>
        <v>0</v>
      </c>
      <c r="AS685" cm="1">
        <f t="array" ref="AS685">VLOOKUP($A685,Table_ship_components[],COLUMN(AS:AS),0)</f>
        <v>0</v>
      </c>
      <c r="AT685" cm="1">
        <f t="array" ref="AT685">VLOOKUP($A685,Table_ship_components[],COLUMN(AT:AT),0)</f>
        <v>0</v>
      </c>
      <c r="AU685" s="2" cm="1">
        <f t="array" ref="AU685">VLOOKUP($A685,Table_ship_components[],COLUMN(AU:AU),0)</f>
        <v>0</v>
      </c>
      <c r="AV685" s="2" cm="1">
        <f t="array" ref="AV685">VLOOKUP($A685,Table_ship_components[],COLUMN(AV:AV),0)</f>
        <v>0</v>
      </c>
      <c r="AW685" s="2" cm="1">
        <f t="array" ref="AW685">VLOOKUP($A685,Table_ship_components[],COLUMN(AW:AW),0)</f>
        <v>0</v>
      </c>
      <c r="AX685" s="2" cm="1">
        <f t="array" ref="AX685">VLOOKUP($A685,Table_ship_components[],COLUMN(AX:AX),0)</f>
        <v>0</v>
      </c>
      <c r="AY685" s="2" cm="1">
        <f t="array" ref="AY685">VLOOKUP($A685,Table_ship_components[],COLUMN(AY:AY),0)</f>
        <v>0</v>
      </c>
      <c r="AZ685" s="2" t="str" cm="1">
        <f t="array" ref="AZ685">VLOOKUP($A685,Table_ship_components[],COLUMN(AZ:AZ),0)</f>
        <v>C</v>
      </c>
      <c r="BA685" s="14" cm="1">
        <f t="array" ref="BA685">VLOOKUP($A685,Table_ship_components[],COLUMN(BA:BA),0)</f>
        <v>150000</v>
      </c>
      <c r="BB685" s="14" cm="1">
        <f t="array" ref="BB685">(VLOOKUP($A685,Table_ship_components[],COLUMN(BA:BA),0)+(W685*C685))</f>
        <v>150000</v>
      </c>
      <c r="BC685" s="2" t="str" cm="1">
        <f t="array" ref="BC685">VLOOKUP($A685,Table_ship_components[],COLUMN(BC:BC),0)</f>
        <v>COMMON</v>
      </c>
      <c r="BD685" s="2" cm="1">
        <f t="array" ref="BD685">VLOOKUP($A685,Table_ship_components[],COLUMN(BD:BD),0)</f>
        <v>0</v>
      </c>
    </row>
    <row r="686" spans="1:56" outlineLevel="1" x14ac:dyDescent="0.35">
      <c r="A686" t="s">
        <v>666</v>
      </c>
      <c r="B686" t="str" cm="1">
        <f t="array" ref="B686">VLOOKUP($A686,Table_ship_components[],COLUMN(B:B),0)</f>
        <v>low speed drone handling engine</v>
      </c>
      <c r="D686" cm="1">
        <f t="array" ref="D686">VLOOKUP($A686,Table_ship_components[],COLUMN(D:D),0)</f>
        <v>2</v>
      </c>
      <c r="E686" cm="1">
        <f t="array" ref="E686">ROUND(VLOOKUP($A686,Table_ship_components[],COLUMN(D:D),0)+(V686*C686),0)</f>
        <v>2</v>
      </c>
      <c r="F686" cm="1">
        <f t="array" ref="F686">VLOOKUP($A686,Table_ship_components[],COLUMN(F:F),0)</f>
        <v>3</v>
      </c>
      <c r="G686" cm="1">
        <f t="array" ref="G686">ROUND(VLOOKUP($A686,Table_ship_components[],COLUMN(G:G),0)+(X686*C686),0)</f>
        <v>3</v>
      </c>
      <c r="H686" cm="1">
        <f t="array" ref="H686">VLOOKUP($A686,Table_ship_components[],COLUMN(H:H),0)</f>
        <v>0</v>
      </c>
      <c r="I686" cm="1">
        <f t="array" ref="I686">VLOOKUP($A686,Table_ship_components[],COLUMN(I:I),0)</f>
        <v>0</v>
      </c>
      <c r="J686" cm="1">
        <f t="array" ref="J686">VLOOKUP($A686,Table_ship_components[],COLUMN(J:J),0)</f>
        <v>0</v>
      </c>
      <c r="K686" cm="1">
        <f t="array" ref="K686">VLOOKUP($A686,Table_ship_components[],COLUMN(K:K),0)</f>
        <v>0</v>
      </c>
      <c r="L686" cm="1">
        <f t="array" ref="L686">VLOOKUP($A686,Table_ship_components[],COLUMN(L:L),0)</f>
        <v>0</v>
      </c>
      <c r="M686" cm="1">
        <f t="array" ref="M686">VLOOKUP($A686,Table_ship_components[],COLUMN(M:M),0)</f>
        <v>1</v>
      </c>
      <c r="N686" cm="1">
        <f t="array" ref="N686">VLOOKUP($A686,Table_ship_components[],COLUMN(N:N),0)</f>
        <v>0</v>
      </c>
      <c r="O686" cm="1">
        <f t="array" ref="O686">VLOOKUP($A686,Table_ship_components[],COLUMN(O:O),0)</f>
        <v>0</v>
      </c>
      <c r="P686" cm="1">
        <f t="array" ref="P686">VLOOKUP($A686,Table_ship_components[],COLUMN(P:P),0)</f>
        <v>0</v>
      </c>
      <c r="Q686" cm="1">
        <f t="array" ref="Q686">VLOOKUP($A686,Table_ship_components[],COLUMN(Q:Q),0)</f>
        <v>0</v>
      </c>
      <c r="R686" cm="1">
        <f t="array" ref="R686">VLOOKUP($A686,Table_ship_components[],COLUMN(R:R),0)</f>
        <v>0</v>
      </c>
      <c r="S686" cm="1">
        <f t="array" ref="S686">VLOOKUP($A686,Table_ship_components[],COLUMN(S:S),0)</f>
        <v>0</v>
      </c>
      <c r="T686" cm="1">
        <f t="array" ref="T686">VLOOKUP($A686,Table_ship_components[],COLUMN(T:T),0)</f>
        <v>0</v>
      </c>
      <c r="U686" cm="1">
        <f t="array" ref="U686">VLOOKUP($A686,Table_ship_components[],COLUMN(U:U),0)</f>
        <v>0</v>
      </c>
      <c r="V686" cm="1">
        <f t="array" ref="V686">VLOOKUP($A686,Table_ship_components[],COLUMN(V:V),0)</f>
        <v>0</v>
      </c>
      <c r="W686" s="15" cm="1">
        <f t="array" ref="W686">VLOOKUP($A686,Table_ship_components[],COLUMN(W:W),0)</f>
        <v>0</v>
      </c>
      <c r="X686" cm="1">
        <f t="array" ref="X686">VLOOKUP($A686,Table_ship_components[],COLUMN(X:X),0)</f>
        <v>0</v>
      </c>
      <c r="Y686" cm="1">
        <f t="array" ref="Y686">VLOOKUP($A686,Table_ship_components[],COLUMN(Y:Y),0)</f>
        <v>0</v>
      </c>
      <c r="Z686" cm="1">
        <f t="array" ref="Z686">VLOOKUP($A686,Table_ship_components[],COLUMN(Z:Z),0)</f>
        <v>0</v>
      </c>
      <c r="AA686" cm="1">
        <f t="array" ref="AA686">VLOOKUP($A686,Table_ship_components[],COLUMN(AA:AA),0)*C686</f>
        <v>0</v>
      </c>
      <c r="AB686">
        <f t="shared" si="72"/>
        <v>0</v>
      </c>
      <c r="AC686" cm="1">
        <f t="array" ref="AC686">VLOOKUP($A686,Table_ship_components[],COLUMN(AC:AC),0)*C686</f>
        <v>0</v>
      </c>
      <c r="AD686" cm="1">
        <f t="array" ref="AD686">VLOOKUP($A686,Table_ship_components[],COLUMN(AD:AD),0)</f>
        <v>0</v>
      </c>
      <c r="AE686" cm="1">
        <f t="array" ref="AE686">VLOOKUP($A686,Table_ship_components[],COLUMN(AE:AE),0)</f>
        <v>0</v>
      </c>
      <c r="AF686" cm="1">
        <f t="array" ref="AF686">VLOOKUP($A686,Table_ship_components[],COLUMN(AF:AF),0)</f>
        <v>0</v>
      </c>
      <c r="AG686" cm="1">
        <f t="array" ref="AG686">VLOOKUP($A686,Table_ship_components[],COLUMN(AG:AG),0)</f>
        <v>0</v>
      </c>
      <c r="AH686" cm="1">
        <f t="array" ref="AH686">VLOOKUP($A686,Table_ship_components[],COLUMN(AH:AH),0)</f>
        <v>0</v>
      </c>
      <c r="AI686" cm="1">
        <f t="array" ref="AI686">VLOOKUP($A686,Table_ship_components[],COLUMN(AI:AI),0)</f>
        <v>0</v>
      </c>
      <c r="AJ686" cm="1">
        <f t="array" ref="AJ686">VLOOKUP($A686,Table_ship_components[],COLUMN(AJ:AJ),0)</f>
        <v>0</v>
      </c>
      <c r="AK686" cm="1">
        <f t="array" ref="AK686">VLOOKUP($A686,Table_ship_components[],COLUMN(AK:AK),0)</f>
        <v>0</v>
      </c>
      <c r="AL686" cm="1">
        <f t="array" ref="AL686">VLOOKUP($A686,Table_ship_components[],COLUMN(AL:AL),0)</f>
        <v>1</v>
      </c>
      <c r="AM686" cm="1">
        <f t="array" ref="AM686">VLOOKUP($A686,Table_ship_components[],COLUMN(AM:AM),0)</f>
        <v>0</v>
      </c>
      <c r="AN686" cm="1">
        <f t="array" ref="AN686">VLOOKUP($A686,Table_ship_components[],COLUMN(AN:AN),0)</f>
        <v>0</v>
      </c>
      <c r="AO686" cm="1">
        <f t="array" ref="AO686">VLOOKUP($A686,Table_ship_components[],COLUMN(AO:AO),0)</f>
        <v>0</v>
      </c>
      <c r="AP686" cm="1">
        <f t="array" ref="AP686">VLOOKUP($A686,Table_ship_components[],COLUMN(AP:AP),0)</f>
        <v>0</v>
      </c>
      <c r="AQ686" cm="1">
        <f t="array" ref="AQ686">VLOOKUP($A686,Table_ship_components[],COLUMN(AQ:AQ),0)</f>
        <v>0</v>
      </c>
      <c r="AR686" cm="1">
        <f t="array" ref="AR686">VLOOKUP($A686,Table_ship_components[],COLUMN(AR:AR),0)</f>
        <v>2</v>
      </c>
      <c r="AS686" cm="1">
        <f t="array" ref="AS686">VLOOKUP($A686,Table_ship_components[],COLUMN(AS:AS),0)</f>
        <v>0</v>
      </c>
      <c r="AT686" cm="1">
        <f t="array" ref="AT686">VLOOKUP($A686,Table_ship_components[],COLUMN(AT:AT),0)</f>
        <v>0</v>
      </c>
      <c r="AU686" s="2" cm="1">
        <f t="array" ref="AU686">VLOOKUP($A686,Table_ship_components[],COLUMN(AU:AU),0)</f>
        <v>0</v>
      </c>
      <c r="AV686" s="2" cm="1">
        <f t="array" ref="AV686">VLOOKUP($A686,Table_ship_components[],COLUMN(AV:AV),0)</f>
        <v>0</v>
      </c>
      <c r="AW686" s="2" cm="1">
        <f t="array" ref="AW686">VLOOKUP($A686,Table_ship_components[],COLUMN(AW:AW),0)</f>
        <v>0</v>
      </c>
      <c r="AX686" s="2" cm="1">
        <f t="array" ref="AX686">VLOOKUP($A686,Table_ship_components[],COLUMN(AX:AX),0)</f>
        <v>0</v>
      </c>
      <c r="AY686" s="2" cm="1">
        <f t="array" ref="AY686">VLOOKUP($A686,Table_ship_components[],COLUMN(AY:AY),0)</f>
        <v>0</v>
      </c>
      <c r="AZ686" s="2" t="str" cm="1">
        <f t="array" ref="AZ686">VLOOKUP($A686,Table_ship_components[],COLUMN(AZ:AZ),0)</f>
        <v>C</v>
      </c>
      <c r="BA686" s="14" cm="1">
        <f t="array" ref="BA686">VLOOKUP($A686,Table_ship_components[],COLUMN(BA:BA),0)</f>
        <v>150000</v>
      </c>
      <c r="BB686" s="14" cm="1">
        <f t="array" ref="BB686">(VLOOKUP($A686,Table_ship_components[],COLUMN(BA:BA),0)+(W686*C686))</f>
        <v>150000</v>
      </c>
      <c r="BC686" s="2" cm="1">
        <f t="array" ref="BC686">VLOOKUP($A686,Table_ship_components[],COLUMN(BC:BC),0)</f>
        <v>0</v>
      </c>
      <c r="BD686" s="2" cm="1">
        <f t="array" ref="BD686">VLOOKUP($A686,Table_ship_components[],COLUMN(BD:BD),0)</f>
        <v>0</v>
      </c>
    </row>
    <row r="687" spans="1:56" outlineLevel="1" x14ac:dyDescent="0.35">
      <c r="A687" t="s">
        <v>525</v>
      </c>
      <c r="B687" t="str" cm="1">
        <f t="array" ref="B687">VLOOKUP($A687,Table_ship_components[],COLUMN(B:B),0)</f>
        <v>basic drone ecm upgrade</v>
      </c>
      <c r="D687" cm="1">
        <f t="array" ref="D687">VLOOKUP($A687,Table_ship_components[],COLUMN(D:D),0)</f>
        <v>1</v>
      </c>
      <c r="E687" cm="1">
        <f t="array" ref="E687">ROUND(VLOOKUP($A687,Table_ship_components[],COLUMN(D:D),0)+(V687*C687),0)</f>
        <v>1</v>
      </c>
      <c r="F687" cm="1">
        <f t="array" ref="F687">VLOOKUP($A687,Table_ship_components[],COLUMN(F:F),0)</f>
        <v>1</v>
      </c>
      <c r="G687" cm="1">
        <f t="array" ref="G687">ROUND(VLOOKUP($A687,Table_ship_components[],COLUMN(G:G),0)+(X687*C687),0)</f>
        <v>1</v>
      </c>
      <c r="H687" cm="1">
        <f t="array" ref="H687">VLOOKUP($A687,Table_ship_components[],COLUMN(H:H),0)</f>
        <v>0</v>
      </c>
      <c r="I687" cm="1">
        <f t="array" ref="I687">VLOOKUP($A687,Table_ship_components[],COLUMN(I:I),0)</f>
        <v>0</v>
      </c>
      <c r="J687" cm="1">
        <f t="array" ref="J687">VLOOKUP($A687,Table_ship_components[],COLUMN(J:J),0)</f>
        <v>0</v>
      </c>
      <c r="K687" cm="1">
        <f t="array" ref="K687">VLOOKUP($A687,Table_ship_components[],COLUMN(K:K),0)</f>
        <v>0</v>
      </c>
      <c r="L687" cm="1">
        <f t="array" ref="L687">VLOOKUP($A687,Table_ship_components[],COLUMN(L:L),0)</f>
        <v>0</v>
      </c>
      <c r="M687" cm="1">
        <f t="array" ref="M687">VLOOKUP($A687,Table_ship_components[],COLUMN(M:M),0)</f>
        <v>1</v>
      </c>
      <c r="N687" cm="1">
        <f t="array" ref="N687">VLOOKUP($A687,Table_ship_components[],COLUMN(N:N),0)</f>
        <v>0</v>
      </c>
      <c r="O687" cm="1">
        <f t="array" ref="O687">VLOOKUP($A687,Table_ship_components[],COLUMN(O:O),0)</f>
        <v>0</v>
      </c>
      <c r="P687" cm="1">
        <f t="array" ref="P687">VLOOKUP($A687,Table_ship_components[],COLUMN(P:P),0)</f>
        <v>0</v>
      </c>
      <c r="Q687" cm="1">
        <f t="array" ref="Q687">VLOOKUP($A687,Table_ship_components[],COLUMN(Q:Q),0)</f>
        <v>0</v>
      </c>
      <c r="R687" cm="1">
        <f t="array" ref="R687">VLOOKUP($A687,Table_ship_components[],COLUMN(R:R),0)</f>
        <v>0</v>
      </c>
      <c r="S687" cm="1">
        <f t="array" ref="S687">VLOOKUP($A687,Table_ship_components[],COLUMN(S:S),0)</f>
        <v>0</v>
      </c>
      <c r="T687" cm="1">
        <f t="array" ref="T687">VLOOKUP($A687,Table_ship_components[],COLUMN(T:T),0)</f>
        <v>0</v>
      </c>
      <c r="U687" cm="1">
        <f t="array" ref="U687">VLOOKUP($A687,Table_ship_components[],COLUMN(U:U),0)</f>
        <v>0</v>
      </c>
      <c r="V687" cm="1">
        <f t="array" ref="V687">VLOOKUP($A687,Table_ship_components[],COLUMN(V:V),0)</f>
        <v>0</v>
      </c>
      <c r="W687" s="15" cm="1">
        <f t="array" ref="W687">VLOOKUP($A687,Table_ship_components[],COLUMN(W:W),0)</f>
        <v>0</v>
      </c>
      <c r="X687" cm="1">
        <f t="array" ref="X687">VLOOKUP($A687,Table_ship_components[],COLUMN(X:X),0)</f>
        <v>0</v>
      </c>
      <c r="Y687" cm="1">
        <f t="array" ref="Y687">VLOOKUP($A687,Table_ship_components[],COLUMN(Y:Y),0)</f>
        <v>0</v>
      </c>
      <c r="Z687" cm="1">
        <f t="array" ref="Z687">VLOOKUP($A687,Table_ship_components[],COLUMN(Z:Z),0)</f>
        <v>0</v>
      </c>
      <c r="AA687" cm="1">
        <f t="array" ref="AA687">VLOOKUP($A687,Table_ship_components[],COLUMN(AA:AA),0)*C687</f>
        <v>0</v>
      </c>
      <c r="AB687">
        <f t="shared" si="72"/>
        <v>0</v>
      </c>
      <c r="AC687" cm="1">
        <f t="array" ref="AC687">VLOOKUP($A687,Table_ship_components[],COLUMN(AC:AC),0)*C687</f>
        <v>0</v>
      </c>
      <c r="AD687" cm="1">
        <f t="array" ref="AD687">VLOOKUP($A687,Table_ship_components[],COLUMN(AD:AD),0)</f>
        <v>0</v>
      </c>
      <c r="AE687" cm="1">
        <f t="array" ref="AE687">VLOOKUP($A687,Table_ship_components[],COLUMN(AE:AE),0)</f>
        <v>0</v>
      </c>
      <c r="AF687" cm="1">
        <f t="array" ref="AF687">VLOOKUP($A687,Table_ship_components[],COLUMN(AF:AF),0)</f>
        <v>0</v>
      </c>
      <c r="AG687" cm="1">
        <f t="array" ref="AG687">VLOOKUP($A687,Table_ship_components[],COLUMN(AG:AG),0)</f>
        <v>0</v>
      </c>
      <c r="AH687" cm="1">
        <f t="array" ref="AH687">VLOOKUP($A687,Table_ship_components[],COLUMN(AH:AH),0)</f>
        <v>0</v>
      </c>
      <c r="AI687" cm="1">
        <f t="array" ref="AI687">VLOOKUP($A687,Table_ship_components[],COLUMN(AI:AI),0)</f>
        <v>0</v>
      </c>
      <c r="AJ687" cm="1">
        <f t="array" ref="AJ687">VLOOKUP($A687,Table_ship_components[],COLUMN(AJ:AJ),0)</f>
        <v>0</v>
      </c>
      <c r="AK687" cm="1">
        <f t="array" ref="AK687">VLOOKUP($A687,Table_ship_components[],COLUMN(AK:AK),0)</f>
        <v>0</v>
      </c>
      <c r="AL687" cm="1">
        <f t="array" ref="AL687">VLOOKUP($A687,Table_ship_components[],COLUMN(AL:AL),0)</f>
        <v>0</v>
      </c>
      <c r="AM687" cm="1">
        <f t="array" ref="AM687">VLOOKUP($A687,Table_ship_components[],COLUMN(AM:AM),0)</f>
        <v>0</v>
      </c>
      <c r="AN687" cm="1">
        <f t="array" ref="AN687">VLOOKUP($A687,Table_ship_components[],COLUMN(AN:AN),0)</f>
        <v>0</v>
      </c>
      <c r="AO687" cm="1">
        <f t="array" ref="AO687">VLOOKUP($A687,Table_ship_components[],COLUMN(AO:AO),0)</f>
        <v>1</v>
      </c>
      <c r="AP687" cm="1">
        <f t="array" ref="AP687">VLOOKUP($A687,Table_ship_components[],COLUMN(AP:AP),0)</f>
        <v>0</v>
      </c>
      <c r="AQ687" cm="1">
        <f t="array" ref="AQ687">VLOOKUP($A687,Table_ship_components[],COLUMN(AQ:AQ),0)</f>
        <v>0</v>
      </c>
      <c r="AR687" cm="1">
        <f t="array" ref="AR687">VLOOKUP($A687,Table_ship_components[],COLUMN(AR:AR),0)</f>
        <v>0</v>
      </c>
      <c r="AS687" cm="1">
        <f t="array" ref="AS687">VLOOKUP($A687,Table_ship_components[],COLUMN(AS:AS),0)</f>
        <v>0</v>
      </c>
      <c r="AT687" cm="1">
        <f t="array" ref="AT687">VLOOKUP($A687,Table_ship_components[],COLUMN(AT:AT),0)</f>
        <v>0</v>
      </c>
      <c r="AU687" s="2" cm="1">
        <f t="array" ref="AU687">VLOOKUP($A687,Table_ship_components[],COLUMN(AU:AU),0)</f>
        <v>0</v>
      </c>
      <c r="AV687" s="2" cm="1">
        <f t="array" ref="AV687">VLOOKUP($A687,Table_ship_components[],COLUMN(AV:AV),0)</f>
        <v>0</v>
      </c>
      <c r="AW687" s="2" cm="1">
        <f t="array" ref="AW687">VLOOKUP($A687,Table_ship_components[],COLUMN(AW:AW),0)</f>
        <v>0</v>
      </c>
      <c r="AX687" s="2" cm="1">
        <f t="array" ref="AX687">VLOOKUP($A687,Table_ship_components[],COLUMN(AX:AX),0)</f>
        <v>0</v>
      </c>
      <c r="AY687" s="2" cm="1">
        <f t="array" ref="AY687">VLOOKUP($A687,Table_ship_components[],COLUMN(AY:AY),0)</f>
        <v>0</v>
      </c>
      <c r="AZ687" s="2" t="str" cm="1">
        <f t="array" ref="AZ687">VLOOKUP($A687,Table_ship_components[],COLUMN(AZ:AZ),0)</f>
        <v>C</v>
      </c>
      <c r="BA687" s="14" cm="1">
        <f t="array" ref="BA687">VLOOKUP($A687,Table_ship_components[],COLUMN(BA:BA),0)</f>
        <v>10000</v>
      </c>
      <c r="BB687" s="14" cm="1">
        <f t="array" ref="BB687">(VLOOKUP($A687,Table_ship_components[],COLUMN(BA:BA),0)+(W687*C687))</f>
        <v>10000</v>
      </c>
      <c r="BC687" s="2" cm="1">
        <f t="array" ref="BC687">VLOOKUP($A687,Table_ship_components[],COLUMN(BC:BC),0)</f>
        <v>0</v>
      </c>
      <c r="BD687" s="2" cm="1">
        <f t="array" ref="BD687">VLOOKUP($A687,Table_ship_components[],COLUMN(BD:BD),0)</f>
        <v>0</v>
      </c>
    </row>
    <row r="688" spans="1:56" outlineLevel="1" x14ac:dyDescent="0.35">
      <c r="A688" t="s">
        <v>315</v>
      </c>
      <c r="B688" t="str" cm="1">
        <f t="array" ref="B688">VLOOKUP($A688,Table_ship_components[],COLUMN(B:B),0)</f>
        <v>cargo space (1 HUGE item per unit)</v>
      </c>
      <c r="C688" s="2">
        <v>14</v>
      </c>
      <c r="D688" cm="1">
        <f t="array" ref="D688">VLOOKUP($A688,Table_ship_components[],COLUMN(D:D),0)</f>
        <v>0</v>
      </c>
      <c r="E688" cm="1">
        <f t="array" ref="E688">ROUND(VLOOKUP($A688,Table_ship_components[],COLUMN(D:D),0)+(V688*C688),0)</f>
        <v>14</v>
      </c>
      <c r="F688" cm="1">
        <f t="array" ref="F688">VLOOKUP($A688,Table_ship_components[],COLUMN(F:F),0)</f>
        <v>0</v>
      </c>
      <c r="G688" cm="1">
        <f t="array" ref="G688">ROUND(VLOOKUP($A688,Table_ship_components[],COLUMN(G:G),0)+(X688*C688),0)</f>
        <v>0</v>
      </c>
      <c r="H688" cm="1">
        <f t="array" ref="H688">VLOOKUP($A688,Table_ship_components[],COLUMN(H:H),0)</f>
        <v>0</v>
      </c>
      <c r="I688" cm="1">
        <f t="array" ref="I688">VLOOKUP($A688,Table_ship_components[],COLUMN(I:I),0)</f>
        <v>0</v>
      </c>
      <c r="J688" cm="1">
        <f t="array" ref="J688">VLOOKUP($A688,Table_ship_components[],COLUMN(J:J),0)</f>
        <v>0</v>
      </c>
      <c r="K688" cm="1">
        <f t="array" ref="K688">VLOOKUP($A688,Table_ship_components[],COLUMN(K:K),0)</f>
        <v>0</v>
      </c>
      <c r="L688" cm="1">
        <f t="array" ref="L688">VLOOKUP($A688,Table_ship_components[],COLUMN(L:L),0)</f>
        <v>0</v>
      </c>
      <c r="M688" cm="1">
        <f t="array" ref="M688">VLOOKUP($A688,Table_ship_components[],COLUMN(M:M),0)</f>
        <v>0</v>
      </c>
      <c r="N688" cm="1">
        <f t="array" ref="N688">VLOOKUP($A688,Table_ship_components[],COLUMN(N:N),0)</f>
        <v>1</v>
      </c>
      <c r="O688" cm="1">
        <f t="array" ref="O688">VLOOKUP($A688,Table_ship_components[],COLUMN(O:O),0)</f>
        <v>1</v>
      </c>
      <c r="P688" cm="1">
        <f t="array" ref="P688">VLOOKUP($A688,Table_ship_components[],COLUMN(P:P),0)</f>
        <v>1</v>
      </c>
      <c r="Q688" cm="1">
        <f t="array" ref="Q688">VLOOKUP($A688,Table_ship_components[],COLUMN(Q:Q),0)</f>
        <v>1</v>
      </c>
      <c r="R688" cm="1">
        <f t="array" ref="R688">VLOOKUP($A688,Table_ship_components[],COLUMN(R:R),0)</f>
        <v>1</v>
      </c>
      <c r="S688" cm="1">
        <f t="array" ref="S688">VLOOKUP($A688,Table_ship_components[],COLUMN(S:S),0)</f>
        <v>1</v>
      </c>
      <c r="T688" cm="1">
        <f t="array" ref="T688">VLOOKUP($A688,Table_ship_components[],COLUMN(T:T),0)</f>
        <v>1</v>
      </c>
      <c r="U688" cm="1">
        <f t="array" ref="U688">VLOOKUP($A688,Table_ship_components[],COLUMN(U:U),0)</f>
        <v>1</v>
      </c>
      <c r="V688" cm="1">
        <f t="array" ref="V688">VLOOKUP($A688,Table_ship_components[],COLUMN(V:V),0)</f>
        <v>1</v>
      </c>
      <c r="W688" s="15" cm="1">
        <f t="array" ref="W688">VLOOKUP($A688,Table_ship_components[],COLUMN(W:W),0)</f>
        <v>5000</v>
      </c>
      <c r="X688" cm="1">
        <f t="array" ref="X688">VLOOKUP($A688,Table_ship_components[],COLUMN(X:X),0)</f>
        <v>0</v>
      </c>
      <c r="Y688" cm="1">
        <f t="array" ref="Y688">VLOOKUP($A688,Table_ship_components[],COLUMN(Y:Y),0)</f>
        <v>0</v>
      </c>
      <c r="Z688" cm="1">
        <f t="array" ref="Z688">VLOOKUP($A688,Table_ship_components[],COLUMN(Z:Z),0)</f>
        <v>0</v>
      </c>
      <c r="AA688" cm="1">
        <f t="array" ref="AA688">VLOOKUP($A688,Table_ship_components[],COLUMN(AA:AA),0)*C688</f>
        <v>0</v>
      </c>
      <c r="AB688">
        <f t="shared" si="72"/>
        <v>14</v>
      </c>
      <c r="AC688" cm="1">
        <f t="array" ref="AC688">VLOOKUP($A688,Table_ship_components[],COLUMN(AC:AC),0)*C688</f>
        <v>0</v>
      </c>
      <c r="AD688" cm="1">
        <f t="array" ref="AD688">VLOOKUP($A688,Table_ship_components[],COLUMN(AD:AD),0)</f>
        <v>0</v>
      </c>
      <c r="AE688" cm="1">
        <f t="array" ref="AE688">VLOOKUP($A688,Table_ship_components[],COLUMN(AE:AE),0)</f>
        <v>0</v>
      </c>
      <c r="AF688" cm="1">
        <f t="array" ref="AF688">VLOOKUP($A688,Table_ship_components[],COLUMN(AF:AF),0)</f>
        <v>0</v>
      </c>
      <c r="AG688" cm="1">
        <f t="array" ref="AG688">VLOOKUP($A688,Table_ship_components[],COLUMN(AG:AG),0)</f>
        <v>0</v>
      </c>
      <c r="AH688" cm="1">
        <f t="array" ref="AH688">VLOOKUP($A688,Table_ship_components[],COLUMN(AH:AH),0)</f>
        <v>0</v>
      </c>
      <c r="AI688" cm="1">
        <f t="array" ref="AI688">VLOOKUP($A688,Table_ship_components[],COLUMN(AI:AI),0)</f>
        <v>0</v>
      </c>
      <c r="AJ688" cm="1">
        <f t="array" ref="AJ688">VLOOKUP($A688,Table_ship_components[],COLUMN(AJ:AJ),0)</f>
        <v>0</v>
      </c>
      <c r="AK688" cm="1">
        <f t="array" ref="AK688">VLOOKUP($A688,Table_ship_components[],COLUMN(AK:AK),0)</f>
        <v>0</v>
      </c>
      <c r="AL688" cm="1">
        <f t="array" ref="AL688">VLOOKUP($A688,Table_ship_components[],COLUMN(AL:AL),0)</f>
        <v>0</v>
      </c>
      <c r="AM688" cm="1">
        <f t="array" ref="AM688">VLOOKUP($A688,Table_ship_components[],COLUMN(AM:AM),0)</f>
        <v>0</v>
      </c>
      <c r="AN688" cm="1">
        <f t="array" ref="AN688">VLOOKUP($A688,Table_ship_components[],COLUMN(AN:AN),0)</f>
        <v>0</v>
      </c>
      <c r="AO688" cm="1">
        <f t="array" ref="AO688">VLOOKUP($A688,Table_ship_components[],COLUMN(AO:AO),0)</f>
        <v>0</v>
      </c>
      <c r="AP688" cm="1">
        <f t="array" ref="AP688">VLOOKUP($A688,Table_ship_components[],COLUMN(AP:AP),0)</f>
        <v>0</v>
      </c>
      <c r="AQ688" cm="1">
        <f t="array" ref="AQ688">VLOOKUP($A688,Table_ship_components[],COLUMN(AQ:AQ),0)</f>
        <v>0</v>
      </c>
      <c r="AR688" cm="1">
        <f t="array" ref="AR688">VLOOKUP($A688,Table_ship_components[],COLUMN(AR:AR),0)</f>
        <v>0</v>
      </c>
      <c r="AS688" cm="1">
        <f t="array" ref="AS688">VLOOKUP($A688,Table_ship_components[],COLUMN(AS:AS),0)</f>
        <v>0</v>
      </c>
      <c r="AT688" cm="1">
        <f t="array" ref="AT688">VLOOKUP($A688,Table_ship_components[],COLUMN(AT:AT),0)</f>
        <v>0</v>
      </c>
      <c r="AU688" s="2" cm="1">
        <f t="array" ref="AU688">VLOOKUP($A688,Table_ship_components[],COLUMN(AU:AU),0)</f>
        <v>0</v>
      </c>
      <c r="AV688" s="2" cm="1">
        <f t="array" ref="AV688">VLOOKUP($A688,Table_ship_components[],COLUMN(AV:AV),0)</f>
        <v>0</v>
      </c>
      <c r="AW688" s="2" cm="1">
        <f t="array" ref="AW688">VLOOKUP($A688,Table_ship_components[],COLUMN(AW:AW),0)</f>
        <v>0</v>
      </c>
      <c r="AX688" s="2" cm="1">
        <f t="array" ref="AX688">VLOOKUP($A688,Table_ship_components[],COLUMN(AX:AX),0)</f>
        <v>0</v>
      </c>
      <c r="AY688" s="2" cm="1">
        <f t="array" ref="AY688">VLOOKUP($A688,Table_ship_components[],COLUMN(AY:AY),0)</f>
        <v>0</v>
      </c>
      <c r="AZ688" s="2" t="str" cm="1">
        <f t="array" ref="AZ688">VLOOKUP($A688,Table_ship_components[],COLUMN(AZ:AZ),0)</f>
        <v>C</v>
      </c>
      <c r="BA688" s="14" cm="1">
        <f t="array" ref="BA688">VLOOKUP($A688,Table_ship_components[],COLUMN(BA:BA),0)</f>
        <v>5000</v>
      </c>
      <c r="BB688" s="14" cm="1">
        <f t="array" ref="BB688">(VLOOKUP($A688,Table_ship_components[],COLUMN(BA:BA),0)+(W688*C688))</f>
        <v>75000</v>
      </c>
      <c r="BC688" s="2" cm="1">
        <f t="array" ref="BC688">VLOOKUP($A688,Table_ship_components[],COLUMN(BC:BC),0)</f>
        <v>0</v>
      </c>
      <c r="BD688" s="2" cm="1">
        <f t="array" ref="BD688">VLOOKUP($A688,Table_ship_components[],COLUMN(BD:BD),0)</f>
        <v>0</v>
      </c>
    </row>
    <row r="689" spans="1:56" outlineLevel="1" x14ac:dyDescent="0.35">
      <c r="A689" t="s">
        <v>288</v>
      </c>
      <c r="B689" t="str" cm="1">
        <f t="array" ref="B689">VLOOKUP($A689,Table_ship_components[],COLUMN(B:B),0)</f>
        <v>PICK A COMPONENT</v>
      </c>
      <c r="D689" cm="1">
        <f t="array" ref="D689">VLOOKUP($A689,Table_ship_components[],COLUMN(D:D),0)</f>
        <v>0</v>
      </c>
      <c r="E689" cm="1">
        <f t="array" ref="E689">ROUND(VLOOKUP($A689,Table_ship_components[],COLUMN(D:D),0)+(V689*C689),0)</f>
        <v>0</v>
      </c>
      <c r="F689" cm="1">
        <f t="array" ref="F689">VLOOKUP($A689,Table_ship_components[],COLUMN(F:F),0)</f>
        <v>0</v>
      </c>
      <c r="G689" cm="1">
        <f t="array" ref="G689">ROUND(VLOOKUP($A689,Table_ship_components[],COLUMN(G:G),0)+(X689*C689),0)</f>
        <v>0</v>
      </c>
      <c r="H689" cm="1">
        <f t="array" ref="H689">VLOOKUP($A689,Table_ship_components[],COLUMN(H:H),0)</f>
        <v>0</v>
      </c>
      <c r="I689" cm="1">
        <f t="array" ref="I689">VLOOKUP($A689,Table_ship_components[],COLUMN(I:I),0)</f>
        <v>0</v>
      </c>
      <c r="J689" cm="1">
        <f t="array" ref="J689">VLOOKUP($A689,Table_ship_components[],COLUMN(J:J),0)</f>
        <v>0</v>
      </c>
      <c r="K689" cm="1">
        <f t="array" ref="K689">VLOOKUP($A689,Table_ship_components[],COLUMN(K:K),0)</f>
        <v>0</v>
      </c>
      <c r="L689" cm="1">
        <f t="array" ref="L689">VLOOKUP($A689,Table_ship_components[],COLUMN(L:L),0)</f>
        <v>0</v>
      </c>
      <c r="M689" cm="1">
        <f t="array" ref="M689">VLOOKUP($A689,Table_ship_components[],COLUMN(M:M),0)</f>
        <v>0</v>
      </c>
      <c r="N689" cm="1">
        <f t="array" ref="N689">VLOOKUP($A689,Table_ship_components[],COLUMN(N:N),0)</f>
        <v>0</v>
      </c>
      <c r="O689" cm="1">
        <f t="array" ref="O689">VLOOKUP($A689,Table_ship_components[],COLUMN(O:O),0)</f>
        <v>0</v>
      </c>
      <c r="P689" cm="1">
        <f t="array" ref="P689">VLOOKUP($A689,Table_ship_components[],COLUMN(P:P),0)</f>
        <v>0</v>
      </c>
      <c r="Q689" cm="1">
        <f t="array" ref="Q689">VLOOKUP($A689,Table_ship_components[],COLUMN(Q:Q),0)</f>
        <v>0</v>
      </c>
      <c r="R689" cm="1">
        <f t="array" ref="R689">VLOOKUP($A689,Table_ship_components[],COLUMN(R:R),0)</f>
        <v>0</v>
      </c>
      <c r="S689" cm="1">
        <f t="array" ref="S689">VLOOKUP($A689,Table_ship_components[],COLUMN(S:S),0)</f>
        <v>0</v>
      </c>
      <c r="T689" cm="1">
        <f t="array" ref="T689">VLOOKUP($A689,Table_ship_components[],COLUMN(T:T),0)</f>
        <v>0</v>
      </c>
      <c r="U689" cm="1">
        <f t="array" ref="U689">VLOOKUP($A689,Table_ship_components[],COLUMN(U:U),0)</f>
        <v>0</v>
      </c>
      <c r="V689" cm="1">
        <f t="array" ref="V689">VLOOKUP($A689,Table_ship_components[],COLUMN(V:V),0)</f>
        <v>0</v>
      </c>
      <c r="W689" s="15" cm="1">
        <f t="array" ref="W689">VLOOKUP($A689,Table_ship_components[],COLUMN(W:W),0)</f>
        <v>0</v>
      </c>
      <c r="X689" cm="1">
        <f t="array" ref="X689">VLOOKUP($A689,Table_ship_components[],COLUMN(X:X),0)</f>
        <v>0</v>
      </c>
      <c r="Y689" cm="1">
        <f t="array" ref="Y689">VLOOKUP($A689,Table_ship_components[],COLUMN(Y:Y),0)</f>
        <v>0</v>
      </c>
      <c r="Z689" cm="1">
        <f t="array" ref="Z689">VLOOKUP($A689,Table_ship_components[],COLUMN(Z:Z),0)</f>
        <v>0</v>
      </c>
      <c r="AA689" cm="1">
        <f t="array" ref="AA689">VLOOKUP($A689,Table_ship_components[],COLUMN(AA:AA),0)*C689</f>
        <v>0</v>
      </c>
      <c r="AB689">
        <f t="shared" si="72"/>
        <v>0</v>
      </c>
      <c r="AC689" cm="1">
        <f t="array" ref="AC689">VLOOKUP($A689,Table_ship_components[],COLUMN(AC:AC),0)*C689</f>
        <v>0</v>
      </c>
      <c r="AD689" cm="1">
        <f t="array" ref="AD689">VLOOKUP($A689,Table_ship_components[],COLUMN(AD:AD),0)</f>
        <v>0</v>
      </c>
      <c r="AE689" cm="1">
        <f t="array" ref="AE689">VLOOKUP($A689,Table_ship_components[],COLUMN(AE:AE),0)</f>
        <v>0</v>
      </c>
      <c r="AF689" cm="1">
        <f t="array" ref="AF689">VLOOKUP($A689,Table_ship_components[],COLUMN(AF:AF),0)</f>
        <v>0</v>
      </c>
      <c r="AG689" cm="1">
        <f t="array" ref="AG689">VLOOKUP($A689,Table_ship_components[],COLUMN(AG:AG),0)</f>
        <v>0</v>
      </c>
      <c r="AH689" cm="1">
        <f t="array" ref="AH689">VLOOKUP($A689,Table_ship_components[],COLUMN(AH:AH),0)</f>
        <v>0</v>
      </c>
      <c r="AI689" cm="1">
        <f t="array" ref="AI689">VLOOKUP($A689,Table_ship_components[],COLUMN(AI:AI),0)</f>
        <v>0</v>
      </c>
      <c r="AJ689" cm="1">
        <f t="array" ref="AJ689">VLOOKUP($A689,Table_ship_components[],COLUMN(AJ:AJ),0)</f>
        <v>0</v>
      </c>
      <c r="AK689" cm="1">
        <f t="array" ref="AK689">VLOOKUP($A689,Table_ship_components[],COLUMN(AK:AK),0)</f>
        <v>0</v>
      </c>
      <c r="AL689" cm="1">
        <f t="array" ref="AL689">VLOOKUP($A689,Table_ship_components[],COLUMN(AL:AL),0)</f>
        <v>0</v>
      </c>
      <c r="AM689" cm="1">
        <f t="array" ref="AM689">VLOOKUP($A689,Table_ship_components[],COLUMN(AM:AM),0)</f>
        <v>0</v>
      </c>
      <c r="AN689" cm="1">
        <f t="array" ref="AN689">VLOOKUP($A689,Table_ship_components[],COLUMN(AN:AN),0)</f>
        <v>0</v>
      </c>
      <c r="AO689" cm="1">
        <f t="array" ref="AO689">VLOOKUP($A689,Table_ship_components[],COLUMN(AO:AO),0)</f>
        <v>0</v>
      </c>
      <c r="AP689" cm="1">
        <f t="array" ref="AP689">VLOOKUP($A689,Table_ship_components[],COLUMN(AP:AP),0)</f>
        <v>0</v>
      </c>
      <c r="AQ689" cm="1">
        <f t="array" ref="AQ689">VLOOKUP($A689,Table_ship_components[],COLUMN(AQ:AQ),0)</f>
        <v>0</v>
      </c>
      <c r="AR689" cm="1">
        <f t="array" ref="AR689">VLOOKUP($A689,Table_ship_components[],COLUMN(AR:AR),0)</f>
        <v>0</v>
      </c>
      <c r="AS689" cm="1">
        <f t="array" ref="AS689">VLOOKUP($A689,Table_ship_components[],COLUMN(AS:AS),0)</f>
        <v>0</v>
      </c>
      <c r="AT689" cm="1">
        <f t="array" ref="AT689">VLOOKUP($A689,Table_ship_components[],COLUMN(AT:AT),0)</f>
        <v>0</v>
      </c>
      <c r="AU689" s="2" cm="1">
        <f t="array" ref="AU689">VLOOKUP($A689,Table_ship_components[],COLUMN(AU:AU),0)</f>
        <v>0</v>
      </c>
      <c r="AV689" s="2" cm="1">
        <f t="array" ref="AV689">VLOOKUP($A689,Table_ship_components[],COLUMN(AV:AV),0)</f>
        <v>0</v>
      </c>
      <c r="AW689" s="2" cm="1">
        <f t="array" ref="AW689">VLOOKUP($A689,Table_ship_components[],COLUMN(AW:AW),0)</f>
        <v>0</v>
      </c>
      <c r="AX689" s="2" cm="1">
        <f t="array" ref="AX689">VLOOKUP($A689,Table_ship_components[],COLUMN(AX:AX),0)</f>
        <v>0</v>
      </c>
      <c r="AY689" s="2" cm="1">
        <f t="array" ref="AY689">VLOOKUP($A689,Table_ship_components[],COLUMN(AY:AY),0)</f>
        <v>0</v>
      </c>
      <c r="AZ689" s="2" t="str" cm="1">
        <f t="array" ref="AZ689">VLOOKUP($A689,Table_ship_components[],COLUMN(AZ:AZ),0)</f>
        <v>C</v>
      </c>
      <c r="BA689" s="14" cm="1">
        <f t="array" ref="BA689">VLOOKUP($A689,Table_ship_components[],COLUMN(BA:BA),0)</f>
        <v>0</v>
      </c>
      <c r="BB689" s="14" cm="1">
        <f t="array" ref="BB689">(VLOOKUP($A689,Table_ship_components[],COLUMN(BA:BA),0)+(W689*C689))</f>
        <v>0</v>
      </c>
      <c r="BC689" s="2" cm="1">
        <f t="array" ref="BC689">VLOOKUP($A689,Table_ship_components[],COLUMN(BC:BC),0)</f>
        <v>0</v>
      </c>
      <c r="BD689" s="2" cm="1">
        <f t="array" ref="BD689">VLOOKUP($A689,Table_ship_components[],COLUMN(BD:BD),0)</f>
        <v>0</v>
      </c>
    </row>
    <row r="690" spans="1:56" outlineLevel="1" x14ac:dyDescent="0.35">
      <c r="A690" t="s">
        <v>288</v>
      </c>
      <c r="B690" t="str" cm="1">
        <f t="array" ref="B690">VLOOKUP($A690,Table_ship_components[],COLUMN(B:B),0)</f>
        <v>PICK A COMPONENT</v>
      </c>
      <c r="D690" cm="1">
        <f t="array" ref="D690">VLOOKUP($A690,Table_ship_components[],COLUMN(D:D),0)</f>
        <v>0</v>
      </c>
      <c r="E690" cm="1">
        <f t="array" ref="E690">ROUND(VLOOKUP($A690,Table_ship_components[],COLUMN(D:D),0)+(V690*C690),0)</f>
        <v>0</v>
      </c>
      <c r="F690" cm="1">
        <f t="array" ref="F690">VLOOKUP($A690,Table_ship_components[],COLUMN(F:F),0)</f>
        <v>0</v>
      </c>
      <c r="G690" cm="1">
        <f t="array" ref="G690">ROUND(VLOOKUP($A690,Table_ship_components[],COLUMN(G:G),0)+(X690*C690),0)</f>
        <v>0</v>
      </c>
      <c r="H690" cm="1">
        <f t="array" ref="H690">VLOOKUP($A690,Table_ship_components[],COLUMN(H:H),0)</f>
        <v>0</v>
      </c>
      <c r="I690" cm="1">
        <f t="array" ref="I690">VLOOKUP($A690,Table_ship_components[],COLUMN(I:I),0)</f>
        <v>0</v>
      </c>
      <c r="J690" cm="1">
        <f t="array" ref="J690">VLOOKUP($A690,Table_ship_components[],COLUMN(J:J),0)</f>
        <v>0</v>
      </c>
      <c r="K690" cm="1">
        <f t="array" ref="K690">VLOOKUP($A690,Table_ship_components[],COLUMN(K:K),0)</f>
        <v>0</v>
      </c>
      <c r="L690" cm="1">
        <f t="array" ref="L690">VLOOKUP($A690,Table_ship_components[],COLUMN(L:L),0)</f>
        <v>0</v>
      </c>
      <c r="M690" cm="1">
        <f t="array" ref="M690">VLOOKUP($A690,Table_ship_components[],COLUMN(M:M),0)</f>
        <v>0</v>
      </c>
      <c r="N690" cm="1">
        <f t="array" ref="N690">VLOOKUP($A690,Table_ship_components[],COLUMN(N:N),0)</f>
        <v>0</v>
      </c>
      <c r="O690" cm="1">
        <f t="array" ref="O690">VLOOKUP($A690,Table_ship_components[],COLUMN(O:O),0)</f>
        <v>0</v>
      </c>
      <c r="P690" cm="1">
        <f t="array" ref="P690">VLOOKUP($A690,Table_ship_components[],COLUMN(P:P),0)</f>
        <v>0</v>
      </c>
      <c r="Q690" cm="1">
        <f t="array" ref="Q690">VLOOKUP($A690,Table_ship_components[],COLUMN(Q:Q),0)</f>
        <v>0</v>
      </c>
      <c r="R690" cm="1">
        <f t="array" ref="R690">VLOOKUP($A690,Table_ship_components[],COLUMN(R:R),0)</f>
        <v>0</v>
      </c>
      <c r="S690" cm="1">
        <f t="array" ref="S690">VLOOKUP($A690,Table_ship_components[],COLUMN(S:S),0)</f>
        <v>0</v>
      </c>
      <c r="T690" cm="1">
        <f t="array" ref="T690">VLOOKUP($A690,Table_ship_components[],COLUMN(T:T),0)</f>
        <v>0</v>
      </c>
      <c r="U690" cm="1">
        <f t="array" ref="U690">VLOOKUP($A690,Table_ship_components[],COLUMN(U:U),0)</f>
        <v>0</v>
      </c>
      <c r="V690" cm="1">
        <f t="array" ref="V690">VLOOKUP($A690,Table_ship_components[],COLUMN(V:V),0)</f>
        <v>0</v>
      </c>
      <c r="W690" s="15" cm="1">
        <f t="array" ref="W690">VLOOKUP($A690,Table_ship_components[],COLUMN(W:W),0)</f>
        <v>0</v>
      </c>
      <c r="X690" cm="1">
        <f t="array" ref="X690">VLOOKUP($A690,Table_ship_components[],COLUMN(X:X),0)</f>
        <v>0</v>
      </c>
      <c r="Y690" cm="1">
        <f t="array" ref="Y690">VLOOKUP($A690,Table_ship_components[],COLUMN(Y:Y),0)</f>
        <v>0</v>
      </c>
      <c r="Z690" cm="1">
        <f t="array" ref="Z690">VLOOKUP($A690,Table_ship_components[],COLUMN(Z:Z),0)</f>
        <v>0</v>
      </c>
      <c r="AA690" cm="1">
        <f t="array" ref="AA690">VLOOKUP($A690,Table_ship_components[],COLUMN(AA:AA),0)*C690</f>
        <v>0</v>
      </c>
      <c r="AB690">
        <f t="shared" si="72"/>
        <v>0</v>
      </c>
      <c r="AC690" cm="1">
        <f t="array" ref="AC690">VLOOKUP($A690,Table_ship_components[],COLUMN(AC:AC),0)*C690</f>
        <v>0</v>
      </c>
      <c r="AD690" cm="1">
        <f t="array" ref="AD690">VLOOKUP($A690,Table_ship_components[],COLUMN(AD:AD),0)</f>
        <v>0</v>
      </c>
      <c r="AE690" cm="1">
        <f t="array" ref="AE690">VLOOKUP($A690,Table_ship_components[],COLUMN(AE:AE),0)</f>
        <v>0</v>
      </c>
      <c r="AF690" cm="1">
        <f t="array" ref="AF690">VLOOKUP($A690,Table_ship_components[],COLUMN(AF:AF),0)</f>
        <v>0</v>
      </c>
      <c r="AG690" cm="1">
        <f t="array" ref="AG690">VLOOKUP($A690,Table_ship_components[],COLUMN(AG:AG),0)</f>
        <v>0</v>
      </c>
      <c r="AH690" cm="1">
        <f t="array" ref="AH690">VLOOKUP($A690,Table_ship_components[],COLUMN(AH:AH),0)</f>
        <v>0</v>
      </c>
      <c r="AI690" cm="1">
        <f t="array" ref="AI690">VLOOKUP($A690,Table_ship_components[],COLUMN(AI:AI),0)</f>
        <v>0</v>
      </c>
      <c r="AJ690" cm="1">
        <f t="array" ref="AJ690">VLOOKUP($A690,Table_ship_components[],COLUMN(AJ:AJ),0)</f>
        <v>0</v>
      </c>
      <c r="AK690" cm="1">
        <f t="array" ref="AK690">VLOOKUP($A690,Table_ship_components[],COLUMN(AK:AK),0)</f>
        <v>0</v>
      </c>
      <c r="AL690" cm="1">
        <f t="array" ref="AL690">VLOOKUP($A690,Table_ship_components[],COLUMN(AL:AL),0)</f>
        <v>0</v>
      </c>
      <c r="AM690" cm="1">
        <f t="array" ref="AM690">VLOOKUP($A690,Table_ship_components[],COLUMN(AM:AM),0)</f>
        <v>0</v>
      </c>
      <c r="AN690" cm="1">
        <f t="array" ref="AN690">VLOOKUP($A690,Table_ship_components[],COLUMN(AN:AN),0)</f>
        <v>0</v>
      </c>
      <c r="AO690" cm="1">
        <f t="array" ref="AO690">VLOOKUP($A690,Table_ship_components[],COLUMN(AO:AO),0)</f>
        <v>0</v>
      </c>
      <c r="AP690" cm="1">
        <f t="array" ref="AP690">VLOOKUP($A690,Table_ship_components[],COLUMN(AP:AP),0)</f>
        <v>0</v>
      </c>
      <c r="AQ690" cm="1">
        <f t="array" ref="AQ690">VLOOKUP($A690,Table_ship_components[],COLUMN(AQ:AQ),0)</f>
        <v>0</v>
      </c>
      <c r="AR690" cm="1">
        <f t="array" ref="AR690">VLOOKUP($A690,Table_ship_components[],COLUMN(AR:AR),0)</f>
        <v>0</v>
      </c>
      <c r="AS690" cm="1">
        <f t="array" ref="AS690">VLOOKUP($A690,Table_ship_components[],COLUMN(AS:AS),0)</f>
        <v>0</v>
      </c>
      <c r="AT690" cm="1">
        <f t="array" ref="AT690">VLOOKUP($A690,Table_ship_components[],COLUMN(AT:AT),0)</f>
        <v>0</v>
      </c>
      <c r="AU690" s="2" cm="1">
        <f t="array" ref="AU690">VLOOKUP($A690,Table_ship_components[],COLUMN(AU:AU),0)</f>
        <v>0</v>
      </c>
      <c r="AV690" s="2" cm="1">
        <f t="array" ref="AV690">VLOOKUP($A690,Table_ship_components[],COLUMN(AV:AV),0)</f>
        <v>0</v>
      </c>
      <c r="AW690" s="2" cm="1">
        <f t="array" ref="AW690">VLOOKUP($A690,Table_ship_components[],COLUMN(AW:AW),0)</f>
        <v>0</v>
      </c>
      <c r="AX690" s="2" cm="1">
        <f t="array" ref="AX690">VLOOKUP($A690,Table_ship_components[],COLUMN(AX:AX),0)</f>
        <v>0</v>
      </c>
      <c r="AY690" s="2" cm="1">
        <f t="array" ref="AY690">VLOOKUP($A690,Table_ship_components[],COLUMN(AY:AY),0)</f>
        <v>0</v>
      </c>
      <c r="AZ690" s="2" t="str" cm="1">
        <f t="array" ref="AZ690">VLOOKUP($A690,Table_ship_components[],COLUMN(AZ:AZ),0)</f>
        <v>C</v>
      </c>
      <c r="BA690" s="14" cm="1">
        <f t="array" ref="BA690">VLOOKUP($A690,Table_ship_components[],COLUMN(BA:BA),0)</f>
        <v>0</v>
      </c>
      <c r="BB690" s="14" cm="1">
        <f t="array" ref="BB690">(VLOOKUP($A690,Table_ship_components[],COLUMN(BA:BA),0)+(W690*C690))</f>
        <v>0</v>
      </c>
      <c r="BC690" s="2" cm="1">
        <f t="array" ref="BC690">VLOOKUP($A690,Table_ship_components[],COLUMN(BC:BC),0)</f>
        <v>0</v>
      </c>
      <c r="BD690" s="2" cm="1">
        <f t="array" ref="BD690">VLOOKUP($A690,Table_ship_components[],COLUMN(BD:BD),0)</f>
        <v>0</v>
      </c>
    </row>
    <row r="691" spans="1:56" outlineLevel="1" x14ac:dyDescent="0.35">
      <c r="A691" t="s">
        <v>288</v>
      </c>
      <c r="B691" t="str" cm="1">
        <f t="array" ref="B691">VLOOKUP($A691,Table_ship_components[],COLUMN(B:B),0)</f>
        <v>PICK A COMPONENT</v>
      </c>
      <c r="D691" cm="1">
        <f t="array" ref="D691">VLOOKUP($A691,Table_ship_components[],COLUMN(D:D),0)</f>
        <v>0</v>
      </c>
      <c r="E691" cm="1">
        <f t="array" ref="E691">ROUND(VLOOKUP($A691,Table_ship_components[],COLUMN(D:D),0)+(V691*C691),0)</f>
        <v>0</v>
      </c>
      <c r="F691" cm="1">
        <f t="array" ref="F691">VLOOKUP($A691,Table_ship_components[],COLUMN(F:F),0)</f>
        <v>0</v>
      </c>
      <c r="G691" cm="1">
        <f t="array" ref="G691">ROUND(VLOOKUP($A691,Table_ship_components[],COLUMN(G:G),0)+(X691*C691),0)</f>
        <v>0</v>
      </c>
      <c r="H691" cm="1">
        <f t="array" ref="H691">VLOOKUP($A691,Table_ship_components[],COLUMN(H:H),0)</f>
        <v>0</v>
      </c>
      <c r="I691" cm="1">
        <f t="array" ref="I691">VLOOKUP($A691,Table_ship_components[],COLUMN(I:I),0)</f>
        <v>0</v>
      </c>
      <c r="J691" cm="1">
        <f t="array" ref="J691">VLOOKUP($A691,Table_ship_components[],COLUMN(J:J),0)</f>
        <v>0</v>
      </c>
      <c r="K691" cm="1">
        <f t="array" ref="K691">VLOOKUP($A691,Table_ship_components[],COLUMN(K:K),0)</f>
        <v>0</v>
      </c>
      <c r="L691" cm="1">
        <f t="array" ref="L691">VLOOKUP($A691,Table_ship_components[],COLUMN(L:L),0)</f>
        <v>0</v>
      </c>
      <c r="M691" cm="1">
        <f t="array" ref="M691">VLOOKUP($A691,Table_ship_components[],COLUMN(M:M),0)</f>
        <v>0</v>
      </c>
      <c r="N691" cm="1">
        <f t="array" ref="N691">VLOOKUP($A691,Table_ship_components[],COLUMN(N:N),0)</f>
        <v>0</v>
      </c>
      <c r="O691" cm="1">
        <f t="array" ref="O691">VLOOKUP($A691,Table_ship_components[],COLUMN(O:O),0)</f>
        <v>0</v>
      </c>
      <c r="P691" cm="1">
        <f t="array" ref="P691">VLOOKUP($A691,Table_ship_components[],COLUMN(P:P),0)</f>
        <v>0</v>
      </c>
      <c r="Q691" cm="1">
        <f t="array" ref="Q691">VLOOKUP($A691,Table_ship_components[],COLUMN(Q:Q),0)</f>
        <v>0</v>
      </c>
      <c r="R691" cm="1">
        <f t="array" ref="R691">VLOOKUP($A691,Table_ship_components[],COLUMN(R:R),0)</f>
        <v>0</v>
      </c>
      <c r="S691" cm="1">
        <f t="array" ref="S691">VLOOKUP($A691,Table_ship_components[],COLUMN(S:S),0)</f>
        <v>0</v>
      </c>
      <c r="T691" cm="1">
        <f t="array" ref="T691">VLOOKUP($A691,Table_ship_components[],COLUMN(T:T),0)</f>
        <v>0</v>
      </c>
      <c r="U691" cm="1">
        <f t="array" ref="U691">VLOOKUP($A691,Table_ship_components[],COLUMN(U:U),0)</f>
        <v>0</v>
      </c>
      <c r="V691" cm="1">
        <f t="array" ref="V691">VLOOKUP($A691,Table_ship_components[],COLUMN(V:V),0)</f>
        <v>0</v>
      </c>
      <c r="W691" s="15" cm="1">
        <f t="array" ref="W691">VLOOKUP($A691,Table_ship_components[],COLUMN(W:W),0)</f>
        <v>0</v>
      </c>
      <c r="X691" cm="1">
        <f t="array" ref="X691">VLOOKUP($A691,Table_ship_components[],COLUMN(X:X),0)</f>
        <v>0</v>
      </c>
      <c r="Y691" cm="1">
        <f t="array" ref="Y691">VLOOKUP($A691,Table_ship_components[],COLUMN(Y:Y),0)</f>
        <v>0</v>
      </c>
      <c r="Z691" cm="1">
        <f t="array" ref="Z691">VLOOKUP($A691,Table_ship_components[],COLUMN(Z:Z),0)</f>
        <v>0</v>
      </c>
      <c r="AA691" cm="1">
        <f t="array" ref="AA691">VLOOKUP($A691,Table_ship_components[],COLUMN(AA:AA),0)*C691</f>
        <v>0</v>
      </c>
      <c r="AB691">
        <f t="shared" si="72"/>
        <v>0</v>
      </c>
      <c r="AC691" cm="1">
        <f t="array" ref="AC691">VLOOKUP($A691,Table_ship_components[],COLUMN(AC:AC),0)*C691</f>
        <v>0</v>
      </c>
      <c r="AD691" cm="1">
        <f t="array" ref="AD691">VLOOKUP($A691,Table_ship_components[],COLUMN(AD:AD),0)</f>
        <v>0</v>
      </c>
      <c r="AE691" cm="1">
        <f t="array" ref="AE691">VLOOKUP($A691,Table_ship_components[],COLUMN(AE:AE),0)</f>
        <v>0</v>
      </c>
      <c r="AF691" cm="1">
        <f t="array" ref="AF691">VLOOKUP($A691,Table_ship_components[],COLUMN(AF:AF),0)</f>
        <v>0</v>
      </c>
      <c r="AG691" cm="1">
        <f t="array" ref="AG691">VLOOKUP($A691,Table_ship_components[],COLUMN(AG:AG),0)</f>
        <v>0</v>
      </c>
      <c r="AH691" cm="1">
        <f t="array" ref="AH691">VLOOKUP($A691,Table_ship_components[],COLUMN(AH:AH),0)</f>
        <v>0</v>
      </c>
      <c r="AI691" cm="1">
        <f t="array" ref="AI691">VLOOKUP($A691,Table_ship_components[],COLUMN(AI:AI),0)</f>
        <v>0</v>
      </c>
      <c r="AJ691" cm="1">
        <f t="array" ref="AJ691">VLOOKUP($A691,Table_ship_components[],COLUMN(AJ:AJ),0)</f>
        <v>0</v>
      </c>
      <c r="AK691" cm="1">
        <f t="array" ref="AK691">VLOOKUP($A691,Table_ship_components[],COLUMN(AK:AK),0)</f>
        <v>0</v>
      </c>
      <c r="AL691" cm="1">
        <f t="array" ref="AL691">VLOOKUP($A691,Table_ship_components[],COLUMN(AL:AL),0)</f>
        <v>0</v>
      </c>
      <c r="AM691" cm="1">
        <f t="array" ref="AM691">VLOOKUP($A691,Table_ship_components[],COLUMN(AM:AM),0)</f>
        <v>0</v>
      </c>
      <c r="AN691" cm="1">
        <f t="array" ref="AN691">VLOOKUP($A691,Table_ship_components[],COLUMN(AN:AN),0)</f>
        <v>0</v>
      </c>
      <c r="AO691" cm="1">
        <f t="array" ref="AO691">VLOOKUP($A691,Table_ship_components[],COLUMN(AO:AO),0)</f>
        <v>0</v>
      </c>
      <c r="AP691" cm="1">
        <f t="array" ref="AP691">VLOOKUP($A691,Table_ship_components[],COLUMN(AP:AP),0)</f>
        <v>0</v>
      </c>
      <c r="AQ691" cm="1">
        <f t="array" ref="AQ691">VLOOKUP($A691,Table_ship_components[],COLUMN(AQ:AQ),0)</f>
        <v>0</v>
      </c>
      <c r="AR691" cm="1">
        <f t="array" ref="AR691">VLOOKUP($A691,Table_ship_components[],COLUMN(AR:AR),0)</f>
        <v>0</v>
      </c>
      <c r="AS691" cm="1">
        <f t="array" ref="AS691">VLOOKUP($A691,Table_ship_components[],COLUMN(AS:AS),0)</f>
        <v>0</v>
      </c>
      <c r="AT691" cm="1">
        <f t="array" ref="AT691">VLOOKUP($A691,Table_ship_components[],COLUMN(AT:AT),0)</f>
        <v>0</v>
      </c>
      <c r="AU691" s="2" cm="1">
        <f t="array" ref="AU691">VLOOKUP($A691,Table_ship_components[],COLUMN(AU:AU),0)</f>
        <v>0</v>
      </c>
      <c r="AV691" s="2" cm="1">
        <f t="array" ref="AV691">VLOOKUP($A691,Table_ship_components[],COLUMN(AV:AV),0)</f>
        <v>0</v>
      </c>
      <c r="AW691" s="2" cm="1">
        <f t="array" ref="AW691">VLOOKUP($A691,Table_ship_components[],COLUMN(AW:AW),0)</f>
        <v>0</v>
      </c>
      <c r="AX691" s="2" cm="1">
        <f t="array" ref="AX691">VLOOKUP($A691,Table_ship_components[],COLUMN(AX:AX),0)</f>
        <v>0</v>
      </c>
      <c r="AY691" s="2" cm="1">
        <f t="array" ref="AY691">VLOOKUP($A691,Table_ship_components[],COLUMN(AY:AY),0)</f>
        <v>0</v>
      </c>
      <c r="AZ691" s="2" t="str" cm="1">
        <f t="array" ref="AZ691">VLOOKUP($A691,Table_ship_components[],COLUMN(AZ:AZ),0)</f>
        <v>C</v>
      </c>
      <c r="BA691" s="14" cm="1">
        <f t="array" ref="BA691">VLOOKUP($A691,Table_ship_components[],COLUMN(BA:BA),0)</f>
        <v>0</v>
      </c>
      <c r="BB691" s="14" cm="1">
        <f t="array" ref="BB691">(VLOOKUP($A691,Table_ship_components[],COLUMN(BA:BA),0)+(W691*C691))</f>
        <v>0</v>
      </c>
      <c r="BC691" s="2" cm="1">
        <f t="array" ref="BC691">VLOOKUP($A691,Table_ship_components[],COLUMN(BC:BC),0)</f>
        <v>0</v>
      </c>
      <c r="BD691" s="2" cm="1">
        <f t="array" ref="BD691">VLOOKUP($A691,Table_ship_components[],COLUMN(BD:BD),0)</f>
        <v>0</v>
      </c>
    </row>
    <row r="692" spans="1:56" ht="15" outlineLevel="1" thickBot="1" x14ac:dyDescent="0.4">
      <c r="D692" s="32"/>
      <c r="E692" s="32">
        <f>SUM(E661:E691)</f>
        <v>25</v>
      </c>
      <c r="F692" s="32"/>
      <c r="G692" s="32">
        <f t="shared" ref="G692:L692" si="73">SUM(G661:G691)</f>
        <v>7</v>
      </c>
      <c r="H692" s="32">
        <f t="shared" si="73"/>
        <v>0</v>
      </c>
      <c r="I692" s="32">
        <f t="shared" si="73"/>
        <v>15</v>
      </c>
      <c r="J692" s="32">
        <f t="shared" si="73"/>
        <v>0</v>
      </c>
      <c r="K692" s="32">
        <f t="shared" si="73"/>
        <v>15</v>
      </c>
      <c r="L692" s="32">
        <f t="shared" si="73"/>
        <v>2</v>
      </c>
      <c r="M692" s="32"/>
      <c r="N692" s="32"/>
      <c r="O692" s="32"/>
      <c r="P692" s="32"/>
      <c r="Q692" s="32"/>
      <c r="R692" s="32"/>
      <c r="S692" s="32"/>
      <c r="T692" s="32"/>
      <c r="U692" s="32"/>
      <c r="V692" s="32"/>
      <c r="W692" s="32"/>
      <c r="X692" s="32"/>
      <c r="Y692" s="32">
        <f t="shared" ref="Y692:AY692" si="74">SUM(Y661:Y691)</f>
        <v>0</v>
      </c>
      <c r="Z692" s="32">
        <f t="shared" si="74"/>
        <v>0</v>
      </c>
      <c r="AA692" s="32">
        <f t="shared" si="74"/>
        <v>0</v>
      </c>
      <c r="AB692" s="32">
        <f t="shared" si="74"/>
        <v>14</v>
      </c>
      <c r="AC692" s="32">
        <f t="shared" si="74"/>
        <v>0</v>
      </c>
      <c r="AD692" s="32">
        <f t="shared" si="74"/>
        <v>0</v>
      </c>
      <c r="AE692" s="32">
        <f t="shared" si="74"/>
        <v>0</v>
      </c>
      <c r="AF692" s="32">
        <f t="shared" si="74"/>
        <v>0</v>
      </c>
      <c r="AG692" s="32">
        <f t="shared" si="74"/>
        <v>0</v>
      </c>
      <c r="AH692" s="32">
        <f t="shared" si="74"/>
        <v>100</v>
      </c>
      <c r="AI692" s="32">
        <f t="shared" si="74"/>
        <v>0</v>
      </c>
      <c r="AJ692" s="32">
        <f t="shared" si="74"/>
        <v>0</v>
      </c>
      <c r="AK692" s="32">
        <f t="shared" si="74"/>
        <v>0</v>
      </c>
      <c r="AL692" s="32">
        <f t="shared" si="74"/>
        <v>1</v>
      </c>
      <c r="AM692" s="32">
        <f t="shared" si="74"/>
        <v>1</v>
      </c>
      <c r="AN692" s="32">
        <f t="shared" si="74"/>
        <v>5</v>
      </c>
      <c r="AO692" s="32">
        <f t="shared" si="74"/>
        <v>3</v>
      </c>
      <c r="AP692" s="32">
        <f t="shared" si="74"/>
        <v>5</v>
      </c>
      <c r="AQ692" s="32">
        <f t="shared" si="74"/>
        <v>0</v>
      </c>
      <c r="AR692" s="32">
        <f t="shared" si="74"/>
        <v>5</v>
      </c>
      <c r="AS692" s="32">
        <f t="shared" si="74"/>
        <v>1</v>
      </c>
      <c r="AT692" s="32">
        <f t="shared" si="74"/>
        <v>1</v>
      </c>
      <c r="AU692" s="32">
        <f t="shared" si="74"/>
        <v>3</v>
      </c>
      <c r="AV692" s="32">
        <f t="shared" si="74"/>
        <v>25</v>
      </c>
      <c r="AW692" s="32">
        <f t="shared" si="74"/>
        <v>5</v>
      </c>
      <c r="AX692" s="32">
        <f t="shared" si="74"/>
        <v>0</v>
      </c>
      <c r="AY692" s="32">
        <f t="shared" si="74"/>
        <v>20</v>
      </c>
      <c r="AZ692" s="32"/>
      <c r="BA692" s="33">
        <f>SUM(BA661:BA691)</f>
        <v>750000</v>
      </c>
      <c r="BB692" s="33">
        <f>SUM(BB661:BB691)</f>
        <v>820000</v>
      </c>
      <c r="BC692" s="32"/>
      <c r="BD692" s="32"/>
    </row>
    <row r="693" spans="1:56" ht="19" outlineLevel="1" thickTop="1" x14ac:dyDescent="0.45">
      <c r="A693" s="35" t="s">
        <v>691</v>
      </c>
      <c r="B693" s="34">
        <f>BB692</f>
        <v>820000</v>
      </c>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c r="AX693" s="36"/>
      <c r="AY693" s="36"/>
      <c r="AZ693" s="36"/>
      <c r="BA693" s="37"/>
      <c r="BB693" s="37"/>
      <c r="BC693" s="36"/>
      <c r="BD693" s="36"/>
    </row>
    <row r="694" spans="1:56" ht="21" x14ac:dyDescent="0.5">
      <c r="A694" s="38" t="s">
        <v>166</v>
      </c>
      <c r="B694" s="38" t="s">
        <v>744</v>
      </c>
    </row>
    <row r="695" spans="1:56" outlineLevel="1" x14ac:dyDescent="0.35">
      <c r="A695" t="s">
        <v>730</v>
      </c>
      <c r="B695" t="str" cm="1">
        <f t="array" ref="B695">VLOOKUP($A695,Table_ship_components[],COLUMN(B:B),0)</f>
        <v>repair drone template</v>
      </c>
      <c r="D695" cm="1">
        <f t="array" ref="D695">VLOOKUP($A695,Table_ship_components[],COLUMN(D:D),0)</f>
        <v>0</v>
      </c>
      <c r="E695" cm="1">
        <f t="array" ref="E695">(VLOOKUP($A695,Table_ship_components[],COLUMN(D:D),0)+(V695*C695))</f>
        <v>0</v>
      </c>
      <c r="F695" cm="1">
        <f t="array" ref="F695">VLOOKUP($A695,Table_ship_components[],COLUMN(F:F),0)</f>
        <v>0</v>
      </c>
      <c r="G695" cm="1">
        <f t="array" ref="G695">(VLOOKUP($A695,Table_ship_components[],COLUMN(G:G),0)+(X695*C695))</f>
        <v>0</v>
      </c>
      <c r="H695" cm="1">
        <f t="array" ref="H695">VLOOKUP($A695,Table_ship_components[],COLUMN(H:H),0)</f>
        <v>0</v>
      </c>
      <c r="I695" cm="1">
        <f t="array" ref="I695">VLOOKUP($A695,Table_ship_components[],COLUMN(I:I),0)</f>
        <v>0</v>
      </c>
      <c r="J695" cm="1">
        <f t="array" ref="J695">VLOOKUP($A695,Table_ship_components[],COLUMN(J:J),0)</f>
        <v>0</v>
      </c>
      <c r="K695" cm="1">
        <f t="array" ref="K695">VLOOKUP($A695,Table_ship_components[],COLUMN(K:K),0)</f>
        <v>0</v>
      </c>
      <c r="L695" cm="1">
        <f t="array" ref="L695">VLOOKUP($A695,Table_ship_components[],COLUMN(L:L),0)</f>
        <v>0</v>
      </c>
      <c r="M695" cm="1">
        <f t="array" ref="M695">VLOOKUP($A695,Table_ship_components[],COLUMN(M:M),0)</f>
        <v>0</v>
      </c>
      <c r="N695" cm="1">
        <f t="array" ref="N695">VLOOKUP($A695,Table_ship_components[],COLUMN(N:N),0)</f>
        <v>0</v>
      </c>
      <c r="O695" cm="1">
        <f t="array" ref="O695">VLOOKUP($A695,Table_ship_components[],COLUMN(O:O),0)</f>
        <v>0</v>
      </c>
      <c r="P695" cm="1">
        <f t="array" ref="P695">VLOOKUP($A695,Table_ship_components[],COLUMN(P:P),0)</f>
        <v>0</v>
      </c>
      <c r="Q695" cm="1">
        <f t="array" ref="Q695">VLOOKUP($A695,Table_ship_components[],COLUMN(Q:Q),0)</f>
        <v>0</v>
      </c>
      <c r="R695" cm="1">
        <f t="array" ref="R695">VLOOKUP($A695,Table_ship_components[],COLUMN(R:R),0)</f>
        <v>0</v>
      </c>
      <c r="S695" cm="1">
        <f t="array" ref="S695">VLOOKUP($A695,Table_ship_components[],COLUMN(S:S),0)</f>
        <v>0</v>
      </c>
      <c r="T695" cm="1">
        <f t="array" ref="T695">VLOOKUP($A695,Table_ship_components[],COLUMN(T:T),0)</f>
        <v>0</v>
      </c>
      <c r="U695" cm="1">
        <f t="array" ref="U695">VLOOKUP($A695,Table_ship_components[],COLUMN(U:U),0)</f>
        <v>0</v>
      </c>
      <c r="V695" cm="1">
        <f t="array" ref="V695">VLOOKUP($A695,Table_ship_components[],COLUMN(V:V),0)</f>
        <v>0</v>
      </c>
      <c r="W695" s="15" cm="1">
        <f t="array" ref="W695">VLOOKUP($A695,Table_ship_components[],COLUMN(W:W),0)</f>
        <v>0</v>
      </c>
      <c r="X695" cm="1">
        <f t="array" ref="X695">VLOOKUP($A695,Table_ship_components[],COLUMN(X:X),0)</f>
        <v>0</v>
      </c>
      <c r="Y695" cm="1">
        <f t="array" ref="Y695">VLOOKUP($A695,Table_ship_components[],COLUMN(Y:Y),0)</f>
        <v>0</v>
      </c>
      <c r="Z695" cm="1">
        <f t="array" ref="Z695">VLOOKUP($A695,Table_ship_components[],COLUMN(Z:Z),0)</f>
        <v>0</v>
      </c>
      <c r="AA695" cm="1">
        <f t="array" ref="AA695">VLOOKUP($A695,Table_ship_components[],COLUMN(AA:AA),0)</f>
        <v>0</v>
      </c>
      <c r="AB695" cm="1">
        <f t="array" ref="AB695">VLOOKUP($A695,Table_ship_components[],COLUMN(AB:AB),0)</f>
        <v>0</v>
      </c>
      <c r="AC695" cm="1">
        <f t="array" ref="AC695">VLOOKUP($A695,Table_ship_components[],COLUMN(AC:AC),0)</f>
        <v>0</v>
      </c>
      <c r="AD695" cm="1">
        <f t="array" ref="AD695">VLOOKUP($A695,Table_ship_components[],COLUMN(AD:AD),0)</f>
        <v>0</v>
      </c>
      <c r="AE695" cm="1">
        <f t="array" ref="AE695">VLOOKUP($A695,Table_ship_components[],COLUMN(AE:AE),0)</f>
        <v>0</v>
      </c>
      <c r="AF695" cm="1">
        <f t="array" ref="AF695">VLOOKUP($A695,Table_ship_components[],COLUMN(AF:AF),0)</f>
        <v>0</v>
      </c>
      <c r="AG695" cm="1">
        <f t="array" ref="AG695">VLOOKUP($A695,Table_ship_components[],COLUMN(AG:AG),0)</f>
        <v>0</v>
      </c>
      <c r="AH695" cm="1">
        <f t="array" ref="AH695">VLOOKUP($A695,Table_ship_components[],COLUMN(AH:AH),0)</f>
        <v>0</v>
      </c>
      <c r="AI695" cm="1">
        <f t="array" ref="AI695">VLOOKUP($A695,Table_ship_components[],COLUMN(AI:AI),0)</f>
        <v>0</v>
      </c>
      <c r="AJ695" cm="1">
        <f t="array" ref="AJ695">VLOOKUP($A695,Table_ship_components[],COLUMN(AJ:AJ),0)</f>
        <v>0</v>
      </c>
      <c r="AK695" cm="1">
        <f t="array" ref="AK695">VLOOKUP($A695,Table_ship_components[],COLUMN(AK:AK),0)</f>
        <v>0</v>
      </c>
      <c r="AL695" cm="1">
        <f t="array" ref="AL695">VLOOKUP($A695,Table_ship_components[],COLUMN(AL:AL),0)</f>
        <v>0</v>
      </c>
      <c r="AM695" cm="1">
        <f t="array" ref="AM695">VLOOKUP($A695,Table_ship_components[],COLUMN(AM:AM),0)</f>
        <v>1</v>
      </c>
      <c r="AN695" cm="1">
        <f t="array" ref="AN695">VLOOKUP($A695,Table_ship_components[],COLUMN(AN:AN),0)</f>
        <v>5</v>
      </c>
      <c r="AO695" cm="1">
        <f t="array" ref="AO695">VLOOKUP($A695,Table_ship_components[],COLUMN(AO:AO),0)</f>
        <v>2</v>
      </c>
      <c r="AP695" cm="1">
        <f t="array" ref="AP695">VLOOKUP($A695,Table_ship_components[],COLUMN(AP:AP),0)</f>
        <v>5</v>
      </c>
      <c r="AQ695" cm="1">
        <f t="array" ref="AQ695">VLOOKUP($A695,Table_ship_components[],COLUMN(AQ:AQ),0)</f>
        <v>0</v>
      </c>
      <c r="AR695" cm="1">
        <f t="array" ref="AR695">VLOOKUP($A695,Table_ship_components[],COLUMN(AR:AR),0)</f>
        <v>3</v>
      </c>
      <c r="AS695" cm="1">
        <f t="array" ref="AS695">VLOOKUP($A695,Table_ship_components[],COLUMN(AS:AS),0)</f>
        <v>2</v>
      </c>
      <c r="AT695" cm="1">
        <f t="array" ref="AT695">VLOOKUP($A695,Table_ship_components[],COLUMN(AT:AT),0)</f>
        <v>2</v>
      </c>
      <c r="AU695" s="2" cm="1">
        <f t="array" ref="AU695">VLOOKUP($A695,Table_ship_components[],COLUMN(AU:AU),0)</f>
        <v>3</v>
      </c>
      <c r="AV695" s="2" cm="1">
        <f t="array" ref="AV695">VLOOKUP($A695,Table_ship_components[],COLUMN(AV:AV),0)</f>
        <v>25</v>
      </c>
      <c r="AW695" s="2" cm="1">
        <f t="array" ref="AW695">VLOOKUP($A695,Table_ship_components[],COLUMN(AW:AW),0)</f>
        <v>10</v>
      </c>
      <c r="AX695" s="2" cm="1">
        <f t="array" ref="AX695">VLOOKUP($A695,Table_ship_components[],COLUMN(AX:AX),0)</f>
        <v>0</v>
      </c>
      <c r="AY695" s="2" cm="1">
        <f t="array" ref="AY695">VLOOKUP($A695,Table_ship_components[],COLUMN(AY:AY),0)</f>
        <v>15</v>
      </c>
      <c r="AZ695" s="2" t="str" cm="1">
        <f t="array" ref="AZ695">VLOOKUP($A695,Table_ship_components[],COLUMN(AZ:AZ),0)</f>
        <v>C</v>
      </c>
      <c r="BA695" s="14" cm="1">
        <f t="array" ref="BA695">VLOOKUP($A695,Table_ship_components[],COLUMN(BA:BA),0)</f>
        <v>507500</v>
      </c>
      <c r="BB695" s="14" cm="1">
        <f t="array" ref="BB695">(VLOOKUP($A695,Table_ship_components[],COLUMN(BA:BA),0)+(W695*C695))</f>
        <v>507500</v>
      </c>
      <c r="BC695" s="2" cm="1">
        <f t="array" ref="BC695">VLOOKUP($A695,Table_ship_components[],COLUMN(BC:BC),0)</f>
        <v>0</v>
      </c>
      <c r="BD695" s="2" cm="1">
        <f t="array" ref="BD695">VLOOKUP($A695,Table_ship_components[],COLUMN(BD:BD),0)</f>
        <v>0</v>
      </c>
    </row>
    <row r="696" spans="1:56" outlineLevel="1" x14ac:dyDescent="0.35"/>
    <row r="697" spans="1:56" outlineLevel="1" x14ac:dyDescent="0.35">
      <c r="A697" s="40" t="str">
        <f>CONCATENATE("LIFE SUPPORT VALID : ",IF((SUM(Z726:AA726)&lt;=AC726),"YES","NO"))</f>
        <v>LIFE SUPPORT VALID : YES</v>
      </c>
      <c r="B697" s="39" t="str">
        <f>CONCATENATE("TOTAL SIZE ",(SUM(E699:E725))," TOTAL POWER ",(SUM(G699:G725))," / ",(SUM(I699:I725)))</f>
        <v>TOTAL SIZE 25 TOTAL POWER 13 / 25</v>
      </c>
    </row>
    <row r="698" spans="1:56" outlineLevel="1" x14ac:dyDescent="0.35">
      <c r="A698" s="18" t="s">
        <v>423</v>
      </c>
      <c r="B698" s="19" t="str">
        <f>CONCATENATE("SIZE ",(SUM(E699:E704)),"/", AW695,"  POWER ",(SUM(G699:G704)),)</f>
        <v>SIZE 10/10  POWER 3</v>
      </c>
      <c r="C698" s="31" t="s">
        <v>521</v>
      </c>
    </row>
    <row r="699" spans="1:56" outlineLevel="1" x14ac:dyDescent="0.35">
      <c r="A699" t="s">
        <v>544</v>
      </c>
      <c r="B699" t="str" cm="1">
        <f t="array" ref="B699">VLOOKUP($A699,Table_ship_components[],COLUMN(B:B),0)</f>
        <v>average drone power plant</v>
      </c>
      <c r="D699" cm="1">
        <f t="array" ref="D699">VLOOKUP($A699,Table_ship_components[],COLUMN(D:D),0)</f>
        <v>7</v>
      </c>
      <c r="E699" cm="1">
        <f t="array" ref="E699">ROUND(VLOOKUP($A699,Table_ship_components[],COLUMN(D:D),0)+(V699*C699),0)</f>
        <v>7</v>
      </c>
      <c r="F699" cm="1">
        <f t="array" ref="F699">VLOOKUP($A699,Table_ship_components[],COLUMN(F:F),0)</f>
        <v>0</v>
      </c>
      <c r="G699" cm="1">
        <f t="array" ref="G699">ROUND(VLOOKUP($A699,Table_ship_components[],COLUMN(G:G),0)+(X699*C699),0)</f>
        <v>0</v>
      </c>
      <c r="H699" cm="1">
        <f t="array" ref="H699">VLOOKUP($A699,Table_ship_components[],COLUMN(H:H),0)</f>
        <v>0</v>
      </c>
      <c r="I699" cm="1">
        <f t="array" ref="I699">VLOOKUP($A699,Table_ship_components[],COLUMN(I:I),0)</f>
        <v>25</v>
      </c>
      <c r="J699" cm="1">
        <f t="array" ref="J699">VLOOKUP($A699,Table_ship_components[],COLUMN(J:J),0)</f>
        <v>0</v>
      </c>
      <c r="K699" cm="1">
        <f t="array" ref="K699">VLOOKUP($A699,Table_ship_components[],COLUMN(K:K),0)</f>
        <v>0</v>
      </c>
      <c r="L699" cm="1">
        <f t="array" ref="L699">VLOOKUP($A699,Table_ship_components[],COLUMN(L:L),0)</f>
        <v>0</v>
      </c>
      <c r="M699" cm="1">
        <f t="array" ref="M699">VLOOKUP($A699,Table_ship_components[],COLUMN(M:M),0)</f>
        <v>1</v>
      </c>
      <c r="N699" cm="1">
        <f t="array" ref="N699">VLOOKUP($A699,Table_ship_components[],COLUMN(N:N),0)</f>
        <v>0</v>
      </c>
      <c r="O699" cm="1">
        <f t="array" ref="O699">VLOOKUP($A699,Table_ship_components[],COLUMN(O:O),0)</f>
        <v>0</v>
      </c>
      <c r="P699" cm="1">
        <f t="array" ref="P699">VLOOKUP($A699,Table_ship_components[],COLUMN(P:P),0)</f>
        <v>0</v>
      </c>
      <c r="Q699" cm="1">
        <f t="array" ref="Q699">VLOOKUP($A699,Table_ship_components[],COLUMN(Q:Q),0)</f>
        <v>0</v>
      </c>
      <c r="R699" cm="1">
        <f t="array" ref="R699">VLOOKUP($A699,Table_ship_components[],COLUMN(R:R),0)</f>
        <v>0</v>
      </c>
      <c r="S699" cm="1">
        <f t="array" ref="S699">VLOOKUP($A699,Table_ship_components[],COLUMN(S:S),0)</f>
        <v>0</v>
      </c>
      <c r="T699" cm="1">
        <f t="array" ref="T699">VLOOKUP($A699,Table_ship_components[],COLUMN(T:T),0)</f>
        <v>0</v>
      </c>
      <c r="U699" cm="1">
        <f t="array" ref="U699">VLOOKUP($A699,Table_ship_components[],COLUMN(U:U),0)</f>
        <v>0</v>
      </c>
      <c r="V699" cm="1">
        <f t="array" ref="V699">VLOOKUP($A699,Table_ship_components[],COLUMN(V:V),0)</f>
        <v>0</v>
      </c>
      <c r="W699" s="15" cm="1">
        <f t="array" ref="W699">VLOOKUP($A699,Table_ship_components[],COLUMN(W:W),0)</f>
        <v>0</v>
      </c>
      <c r="X699" cm="1">
        <f t="array" ref="X699">VLOOKUP($A699,Table_ship_components[],COLUMN(X:X),0)</f>
        <v>0</v>
      </c>
      <c r="Y699" cm="1">
        <f t="array" ref="Y699">VLOOKUP($A699,Table_ship_components[],COLUMN(Y:Y),0)</f>
        <v>0</v>
      </c>
      <c r="Z699" cm="1">
        <f t="array" ref="Z699">VLOOKUP($A699,Table_ship_components[],COLUMN(Z:Z),0)</f>
        <v>0</v>
      </c>
      <c r="AA699" cm="1">
        <f t="array" ref="AA699">VLOOKUP($A699,Table_ship_components[],COLUMN(AA:AA),0)*C699</f>
        <v>0</v>
      </c>
      <c r="AB699">
        <f>IF(A699="CARGOSPACE_0-ALL_0-UNIVERSAL",C699,0)</f>
        <v>0</v>
      </c>
      <c r="AC699" cm="1">
        <f t="array" ref="AC699">VLOOKUP($A699,Table_ship_components[],COLUMN(AC:AC),0)*C699</f>
        <v>0</v>
      </c>
      <c r="AD699" cm="1">
        <f t="array" ref="AD699">VLOOKUP($A699,Table_ship_components[],COLUMN(AD:AD),0)</f>
        <v>0</v>
      </c>
      <c r="AE699" cm="1">
        <f t="array" ref="AE699">VLOOKUP($A699,Table_ship_components[],COLUMN(AE:AE),0)</f>
        <v>0</v>
      </c>
      <c r="AF699" cm="1">
        <f t="array" ref="AF699">VLOOKUP($A699,Table_ship_components[],COLUMN(AF:AF),0)</f>
        <v>0</v>
      </c>
      <c r="AG699" cm="1">
        <f t="array" ref="AG699">VLOOKUP($A699,Table_ship_components[],COLUMN(AG:AG),0)</f>
        <v>0</v>
      </c>
      <c r="AH699" cm="1">
        <f t="array" ref="AH699">VLOOKUP($A699,Table_ship_components[],COLUMN(AH:AH),0)</f>
        <v>0</v>
      </c>
      <c r="AI699" cm="1">
        <f t="array" ref="AI699">VLOOKUP($A699,Table_ship_components[],COLUMN(AI:AI),0)</f>
        <v>0</v>
      </c>
      <c r="AJ699" cm="1">
        <f t="array" ref="AJ699">VLOOKUP($A699,Table_ship_components[],COLUMN(AJ:AJ),0)</f>
        <v>0</v>
      </c>
      <c r="AK699" cm="1">
        <f t="array" ref="AK699">VLOOKUP($A699,Table_ship_components[],COLUMN(AK:AK),0)</f>
        <v>0</v>
      </c>
      <c r="AL699" cm="1">
        <f t="array" ref="AL699">VLOOKUP($A699,Table_ship_components[],COLUMN(AL:AL),0)</f>
        <v>0</v>
      </c>
      <c r="AM699" cm="1">
        <f t="array" ref="AM699">VLOOKUP($A699,Table_ship_components[],COLUMN(AM:AM),0)</f>
        <v>0</v>
      </c>
      <c r="AN699" cm="1">
        <f t="array" ref="AN699">VLOOKUP($A699,Table_ship_components[],COLUMN(AN:AN),0)</f>
        <v>0</v>
      </c>
      <c r="AO699" cm="1">
        <f t="array" ref="AO699">VLOOKUP($A699,Table_ship_components[],COLUMN(AO:AO),0)</f>
        <v>0</v>
      </c>
      <c r="AP699" cm="1">
        <f t="array" ref="AP699">VLOOKUP($A699,Table_ship_components[],COLUMN(AP:AP),0)</f>
        <v>0</v>
      </c>
      <c r="AQ699" cm="1">
        <f t="array" ref="AQ699">VLOOKUP($A699,Table_ship_components[],COLUMN(AQ:AQ),0)</f>
        <v>0</v>
      </c>
      <c r="AR699" cm="1">
        <f t="array" ref="AR699">VLOOKUP($A699,Table_ship_components[],COLUMN(AR:AR),0)</f>
        <v>0</v>
      </c>
      <c r="AS699" cm="1">
        <f t="array" ref="AS699">VLOOKUP($A699,Table_ship_components[],COLUMN(AS:AS),0)</f>
        <v>0</v>
      </c>
      <c r="AT699" cm="1">
        <f t="array" ref="AT699">VLOOKUP($A699,Table_ship_components[],COLUMN(AT:AT),0)</f>
        <v>0</v>
      </c>
      <c r="AU699" s="2" cm="1">
        <f t="array" ref="AU699">VLOOKUP($A699,Table_ship_components[],COLUMN(AU:AU),0)</f>
        <v>0</v>
      </c>
      <c r="AV699" s="2" cm="1">
        <f t="array" ref="AV699">VLOOKUP($A699,Table_ship_components[],COLUMN(AV:AV),0)</f>
        <v>0</v>
      </c>
      <c r="AW699" s="2" cm="1">
        <f t="array" ref="AW699">VLOOKUP($A699,Table_ship_components[],COLUMN(AW:AW),0)</f>
        <v>0</v>
      </c>
      <c r="AX699" s="2" cm="1">
        <f t="array" ref="AX699">VLOOKUP($A699,Table_ship_components[],COLUMN(AX:AX),0)</f>
        <v>0</v>
      </c>
      <c r="AY699" s="2" cm="1">
        <f t="array" ref="AY699">VLOOKUP($A699,Table_ship_components[],COLUMN(AY:AY),0)</f>
        <v>0</v>
      </c>
      <c r="AZ699" s="2" t="str" cm="1">
        <f t="array" ref="AZ699">VLOOKUP($A699,Table_ship_components[],COLUMN(AZ:AZ),0)</f>
        <v>C</v>
      </c>
      <c r="BA699" s="14" cm="1">
        <f t="array" ref="BA699">VLOOKUP($A699,Table_ship_components[],COLUMN(BA:BA),0)</f>
        <v>150000</v>
      </c>
      <c r="BB699" s="14" cm="1">
        <f t="array" ref="BB699">(VLOOKUP($A699,Table_ship_components[],COLUMN(BA:BA),0)+(W699*C699))</f>
        <v>150000</v>
      </c>
      <c r="BC699" s="2" cm="1">
        <f t="array" ref="BC699">VLOOKUP($A699,Table_ship_components[],COLUMN(BC:BC),0)</f>
        <v>0</v>
      </c>
      <c r="BD699" s="2" cm="1">
        <f t="array" ref="BD699">VLOOKUP($A699,Table_ship_components[],COLUMN(BD:BD),0)</f>
        <v>0</v>
      </c>
    </row>
    <row r="700" spans="1:56" outlineLevel="1" x14ac:dyDescent="0.35">
      <c r="A700" t="s">
        <v>549</v>
      </c>
      <c r="B700" t="str" cm="1">
        <f t="array" ref="B700">VLOOKUP($A700,Table_ship_components[],COLUMN(B:B),0)</f>
        <v>basic drone radar and scans</v>
      </c>
      <c r="D700" cm="1">
        <f t="array" ref="D700">VLOOKUP($A700,Table_ship_components[],COLUMN(D:D),0)</f>
        <v>1</v>
      </c>
      <c r="E700" cm="1">
        <f t="array" ref="E700">ROUND(VLOOKUP($A700,Table_ship_components[],COLUMN(D:D),0)+(V700*C700),0)</f>
        <v>1</v>
      </c>
      <c r="F700" cm="1">
        <f t="array" ref="F700">VLOOKUP($A700,Table_ship_components[],COLUMN(F:F),0)</f>
        <v>1</v>
      </c>
      <c r="G700" cm="1">
        <f t="array" ref="G700">ROUND(VLOOKUP($A700,Table_ship_components[],COLUMN(G:G),0)+(X700*C700),0)</f>
        <v>1</v>
      </c>
      <c r="H700" cm="1">
        <f t="array" ref="H700">VLOOKUP($A700,Table_ship_components[],COLUMN(H:H),0)</f>
        <v>0</v>
      </c>
      <c r="I700" cm="1">
        <f t="array" ref="I700">VLOOKUP($A700,Table_ship_components[],COLUMN(I:I),0)</f>
        <v>0</v>
      </c>
      <c r="J700" cm="1">
        <f t="array" ref="J700">VLOOKUP($A700,Table_ship_components[],COLUMN(J:J),0)</f>
        <v>0</v>
      </c>
      <c r="K700" cm="1">
        <f t="array" ref="K700">VLOOKUP($A700,Table_ship_components[],COLUMN(K:K),0)</f>
        <v>0</v>
      </c>
      <c r="L700" cm="1">
        <f t="array" ref="L700">VLOOKUP($A700,Table_ship_components[],COLUMN(L:L),0)</f>
        <v>0</v>
      </c>
      <c r="M700" cm="1">
        <f t="array" ref="M700">VLOOKUP($A700,Table_ship_components[],COLUMN(M:M),0)</f>
        <v>1</v>
      </c>
      <c r="N700" cm="1">
        <f t="array" ref="N700">VLOOKUP($A700,Table_ship_components[],COLUMN(N:N),0)</f>
        <v>0</v>
      </c>
      <c r="O700" cm="1">
        <f t="array" ref="O700">VLOOKUP($A700,Table_ship_components[],COLUMN(O:O),0)</f>
        <v>0</v>
      </c>
      <c r="P700" cm="1">
        <f t="array" ref="P700">VLOOKUP($A700,Table_ship_components[],COLUMN(P:P),0)</f>
        <v>0</v>
      </c>
      <c r="Q700" cm="1">
        <f t="array" ref="Q700">VLOOKUP($A700,Table_ship_components[],COLUMN(Q:Q),0)</f>
        <v>0</v>
      </c>
      <c r="R700" cm="1">
        <f t="array" ref="R700">VLOOKUP($A700,Table_ship_components[],COLUMN(R:R),0)</f>
        <v>0</v>
      </c>
      <c r="S700" cm="1">
        <f t="array" ref="S700">VLOOKUP($A700,Table_ship_components[],COLUMN(S:S),0)</f>
        <v>0</v>
      </c>
      <c r="T700" cm="1">
        <f t="array" ref="T700">VLOOKUP($A700,Table_ship_components[],COLUMN(T:T),0)</f>
        <v>0</v>
      </c>
      <c r="U700" cm="1">
        <f t="array" ref="U700">VLOOKUP($A700,Table_ship_components[],COLUMN(U:U),0)</f>
        <v>0</v>
      </c>
      <c r="V700" cm="1">
        <f t="array" ref="V700">VLOOKUP($A700,Table_ship_components[],COLUMN(V:V),0)</f>
        <v>0</v>
      </c>
      <c r="W700" s="15" cm="1">
        <f t="array" ref="W700">VLOOKUP($A700,Table_ship_components[],COLUMN(W:W),0)</f>
        <v>0</v>
      </c>
      <c r="X700" cm="1">
        <f t="array" ref="X700">VLOOKUP($A700,Table_ship_components[],COLUMN(X:X),0)</f>
        <v>0</v>
      </c>
      <c r="Y700" cm="1">
        <f t="array" ref="Y700">VLOOKUP($A700,Table_ship_components[],COLUMN(Y:Y),0)</f>
        <v>0</v>
      </c>
      <c r="Z700" cm="1">
        <f t="array" ref="Z700">VLOOKUP($A700,Table_ship_components[],COLUMN(Z:Z),0)</f>
        <v>0</v>
      </c>
      <c r="AA700" cm="1">
        <f t="array" ref="AA700">VLOOKUP($A700,Table_ship_components[],COLUMN(AA:AA),0)*C700</f>
        <v>0</v>
      </c>
      <c r="AB700">
        <f t="shared" ref="AB700:AB704" si="75">IF(A700="CARGOSPACE_0-ALL_0-UNIVERSAL",C700,0)</f>
        <v>0</v>
      </c>
      <c r="AC700" cm="1">
        <f t="array" ref="AC700">VLOOKUP($A700,Table_ship_components[],COLUMN(AC:AC),0)*C700</f>
        <v>0</v>
      </c>
      <c r="AD700" cm="1">
        <f t="array" ref="AD700">VLOOKUP($A700,Table_ship_components[],COLUMN(AD:AD),0)</f>
        <v>0</v>
      </c>
      <c r="AE700" cm="1">
        <f t="array" ref="AE700">VLOOKUP($A700,Table_ship_components[],COLUMN(AE:AE),0)</f>
        <v>0</v>
      </c>
      <c r="AF700" cm="1">
        <f t="array" ref="AF700">VLOOKUP($A700,Table_ship_components[],COLUMN(AF:AF),0)</f>
        <v>0</v>
      </c>
      <c r="AG700" cm="1">
        <f t="array" ref="AG700">VLOOKUP($A700,Table_ship_components[],COLUMN(AG:AG),0)</f>
        <v>0</v>
      </c>
      <c r="AH700" cm="1">
        <f t="array" ref="AH700">VLOOKUP($A700,Table_ship_components[],COLUMN(AH:AH),0)</f>
        <v>100</v>
      </c>
      <c r="AI700" cm="1">
        <f t="array" ref="AI700">VLOOKUP($A700,Table_ship_components[],COLUMN(AI:AI),0)</f>
        <v>0</v>
      </c>
      <c r="AJ700" cm="1">
        <f t="array" ref="AJ700">VLOOKUP($A700,Table_ship_components[],COLUMN(AJ:AJ),0)</f>
        <v>0</v>
      </c>
      <c r="AK700" cm="1">
        <f t="array" ref="AK700">VLOOKUP($A700,Table_ship_components[],COLUMN(AK:AK),0)</f>
        <v>0</v>
      </c>
      <c r="AL700" cm="1">
        <f t="array" ref="AL700">VLOOKUP($A700,Table_ship_components[],COLUMN(AL:AL),0)</f>
        <v>0</v>
      </c>
      <c r="AM700" cm="1">
        <f t="array" ref="AM700">VLOOKUP($A700,Table_ship_components[],COLUMN(AM:AM),0)</f>
        <v>0</v>
      </c>
      <c r="AN700" cm="1">
        <f t="array" ref="AN700">VLOOKUP($A700,Table_ship_components[],COLUMN(AN:AN),0)</f>
        <v>0</v>
      </c>
      <c r="AO700" cm="1">
        <f t="array" ref="AO700">VLOOKUP($A700,Table_ship_components[],COLUMN(AO:AO),0)</f>
        <v>0</v>
      </c>
      <c r="AP700" cm="1">
        <f t="array" ref="AP700">VLOOKUP($A700,Table_ship_components[],COLUMN(AP:AP),0)</f>
        <v>0</v>
      </c>
      <c r="AQ700" cm="1">
        <f t="array" ref="AQ700">VLOOKUP($A700,Table_ship_components[],COLUMN(AQ:AQ),0)</f>
        <v>0</v>
      </c>
      <c r="AR700" cm="1">
        <f t="array" ref="AR700">VLOOKUP($A700,Table_ship_components[],COLUMN(AR:AR),0)</f>
        <v>0</v>
      </c>
      <c r="AS700" cm="1">
        <f t="array" ref="AS700">VLOOKUP($A700,Table_ship_components[],COLUMN(AS:AS),0)</f>
        <v>-1</v>
      </c>
      <c r="AT700" cm="1">
        <f t="array" ref="AT700">VLOOKUP($A700,Table_ship_components[],COLUMN(AT:AT),0)</f>
        <v>0</v>
      </c>
      <c r="AU700" s="2" cm="1">
        <f t="array" ref="AU700">VLOOKUP($A700,Table_ship_components[],COLUMN(AU:AU),0)</f>
        <v>0</v>
      </c>
      <c r="AV700" s="2" cm="1">
        <f t="array" ref="AV700">VLOOKUP($A700,Table_ship_components[],COLUMN(AV:AV),0)</f>
        <v>0</v>
      </c>
      <c r="AW700" s="2" cm="1">
        <f t="array" ref="AW700">VLOOKUP($A700,Table_ship_components[],COLUMN(AW:AW),0)</f>
        <v>0</v>
      </c>
      <c r="AX700" s="2" cm="1">
        <f t="array" ref="AX700">VLOOKUP($A700,Table_ship_components[],COLUMN(AX:AX),0)</f>
        <v>0</v>
      </c>
      <c r="AY700" s="2" cm="1">
        <f t="array" ref="AY700">VLOOKUP($A700,Table_ship_components[],COLUMN(AY:AY),0)</f>
        <v>0</v>
      </c>
      <c r="AZ700" s="2" t="str" cm="1">
        <f t="array" ref="AZ700">VLOOKUP($A700,Table_ship_components[],COLUMN(AZ:AZ),0)</f>
        <v>C</v>
      </c>
      <c r="BA700" s="14" cm="1">
        <f t="array" ref="BA700">VLOOKUP($A700,Table_ship_components[],COLUMN(BA:BA),0)</f>
        <v>100000</v>
      </c>
      <c r="BB700" s="14" cm="1">
        <f t="array" ref="BB700">(VLOOKUP($A700,Table_ship_components[],COLUMN(BA:BA),0)+(W700*C700))</f>
        <v>100000</v>
      </c>
      <c r="BC700" s="2" cm="1">
        <f t="array" ref="BC700">VLOOKUP($A700,Table_ship_components[],COLUMN(BC:BC),0)</f>
        <v>0</v>
      </c>
      <c r="BD700" s="2" cm="1">
        <f t="array" ref="BD700">VLOOKUP($A700,Table_ship_components[],COLUMN(BD:BD),0)</f>
        <v>0</v>
      </c>
    </row>
    <row r="701" spans="1:56" outlineLevel="1" x14ac:dyDescent="0.35">
      <c r="A701" t="s">
        <v>555</v>
      </c>
      <c r="B701" t="str" cm="1">
        <f t="array" ref="B701">VLOOKUP($A701,Table_ship_components[],COLUMN(B:B),0)</f>
        <v>basic drone shield</v>
      </c>
      <c r="D701" cm="1">
        <f t="array" ref="D701">VLOOKUP($A701,Table_ship_components[],COLUMN(D:D),0)</f>
        <v>2</v>
      </c>
      <c r="E701" cm="1">
        <f t="array" ref="E701">ROUND(VLOOKUP($A701,Table_ship_components[],COLUMN(D:D),0)+(V701*C701),0)</f>
        <v>2</v>
      </c>
      <c r="F701" cm="1">
        <f t="array" ref="F701">VLOOKUP($A701,Table_ship_components[],COLUMN(F:F),0)</f>
        <v>2</v>
      </c>
      <c r="G701" cm="1">
        <f t="array" ref="G701">ROUND(VLOOKUP($A701,Table_ship_components[],COLUMN(G:G),0)+(X701*C701),0)</f>
        <v>2</v>
      </c>
      <c r="H701" cm="1">
        <f t="array" ref="H701">VLOOKUP($A701,Table_ship_components[],COLUMN(H:H),0)</f>
        <v>0</v>
      </c>
      <c r="I701" cm="1">
        <f t="array" ref="I701">VLOOKUP($A701,Table_ship_components[],COLUMN(I:I),0)</f>
        <v>0</v>
      </c>
      <c r="J701" cm="1">
        <f t="array" ref="J701">VLOOKUP($A701,Table_ship_components[],COLUMN(J:J),0)</f>
        <v>0</v>
      </c>
      <c r="K701" cm="1">
        <f t="array" ref="K701">VLOOKUP($A701,Table_ship_components[],COLUMN(K:K),0)</f>
        <v>15</v>
      </c>
      <c r="L701" cm="1">
        <f t="array" ref="L701">VLOOKUP($A701,Table_ship_components[],COLUMN(L:L),0)</f>
        <v>2</v>
      </c>
      <c r="M701" cm="1">
        <f t="array" ref="M701">VLOOKUP($A701,Table_ship_components[],COLUMN(M:M),0)</f>
        <v>0</v>
      </c>
      <c r="N701" cm="1">
        <f t="array" ref="N701">VLOOKUP($A701,Table_ship_components[],COLUMN(N:N),0)</f>
        <v>1</v>
      </c>
      <c r="O701" cm="1">
        <f t="array" ref="O701">VLOOKUP($A701,Table_ship_components[],COLUMN(O:O),0)</f>
        <v>0</v>
      </c>
      <c r="P701" cm="1">
        <f t="array" ref="P701">VLOOKUP($A701,Table_ship_components[],COLUMN(P:P),0)</f>
        <v>0</v>
      </c>
      <c r="Q701" cm="1">
        <f t="array" ref="Q701">VLOOKUP($A701,Table_ship_components[],COLUMN(Q:Q),0)</f>
        <v>0</v>
      </c>
      <c r="R701" cm="1">
        <f t="array" ref="R701">VLOOKUP($A701,Table_ship_components[],COLUMN(R:R),0)</f>
        <v>0</v>
      </c>
      <c r="S701" cm="1">
        <f t="array" ref="S701">VLOOKUP($A701,Table_ship_components[],COLUMN(S:S),0)</f>
        <v>0</v>
      </c>
      <c r="T701" cm="1">
        <f t="array" ref="T701">VLOOKUP($A701,Table_ship_components[],COLUMN(T:T),0)</f>
        <v>0</v>
      </c>
      <c r="U701" cm="1">
        <f t="array" ref="U701">VLOOKUP($A701,Table_ship_components[],COLUMN(U:U),0)</f>
        <v>0</v>
      </c>
      <c r="V701" cm="1">
        <f t="array" ref="V701">VLOOKUP($A701,Table_ship_components[],COLUMN(V:V),0)</f>
        <v>0</v>
      </c>
      <c r="W701" s="15" cm="1">
        <f t="array" ref="W701">VLOOKUP($A701,Table_ship_components[],COLUMN(W:W),0)</f>
        <v>0</v>
      </c>
      <c r="X701" cm="1">
        <f t="array" ref="X701">VLOOKUP($A701,Table_ship_components[],COLUMN(X:X),0)</f>
        <v>0</v>
      </c>
      <c r="Y701" cm="1">
        <f t="array" ref="Y701">VLOOKUP($A701,Table_ship_components[],COLUMN(Y:Y),0)</f>
        <v>0</v>
      </c>
      <c r="Z701" cm="1">
        <f t="array" ref="Z701">VLOOKUP($A701,Table_ship_components[],COLUMN(Z:Z),0)</f>
        <v>0</v>
      </c>
      <c r="AA701" cm="1">
        <f t="array" ref="AA701">VLOOKUP($A701,Table_ship_components[],COLUMN(AA:AA),0)*C701</f>
        <v>0</v>
      </c>
      <c r="AB701">
        <f t="shared" si="75"/>
        <v>0</v>
      </c>
      <c r="AC701" cm="1">
        <f t="array" ref="AC701">VLOOKUP($A701,Table_ship_components[],COLUMN(AC:AC),0)*C701</f>
        <v>0</v>
      </c>
      <c r="AD701" cm="1">
        <f t="array" ref="AD701">VLOOKUP($A701,Table_ship_components[],COLUMN(AD:AD),0)</f>
        <v>0</v>
      </c>
      <c r="AE701" cm="1">
        <f t="array" ref="AE701">VLOOKUP($A701,Table_ship_components[],COLUMN(AE:AE),0)</f>
        <v>0</v>
      </c>
      <c r="AF701" cm="1">
        <f t="array" ref="AF701">VLOOKUP($A701,Table_ship_components[],COLUMN(AF:AF),0)</f>
        <v>0</v>
      </c>
      <c r="AG701" cm="1">
        <f t="array" ref="AG701">VLOOKUP($A701,Table_ship_components[],COLUMN(AG:AG),0)</f>
        <v>0</v>
      </c>
      <c r="AH701" cm="1">
        <f t="array" ref="AH701">VLOOKUP($A701,Table_ship_components[],COLUMN(AH:AH),0)</f>
        <v>0</v>
      </c>
      <c r="AI701" cm="1">
        <f t="array" ref="AI701">VLOOKUP($A701,Table_ship_components[],COLUMN(AI:AI),0)</f>
        <v>0</v>
      </c>
      <c r="AJ701" cm="1">
        <f t="array" ref="AJ701">VLOOKUP($A701,Table_ship_components[],COLUMN(AJ:AJ),0)</f>
        <v>0</v>
      </c>
      <c r="AK701" cm="1">
        <f t="array" ref="AK701">VLOOKUP($A701,Table_ship_components[],COLUMN(AK:AK),0)</f>
        <v>0</v>
      </c>
      <c r="AL701" cm="1">
        <f t="array" ref="AL701">VLOOKUP($A701,Table_ship_components[],COLUMN(AL:AL),0)</f>
        <v>0</v>
      </c>
      <c r="AM701" cm="1">
        <f t="array" ref="AM701">VLOOKUP($A701,Table_ship_components[],COLUMN(AM:AM),0)</f>
        <v>0</v>
      </c>
      <c r="AN701" cm="1">
        <f t="array" ref="AN701">VLOOKUP($A701,Table_ship_components[],COLUMN(AN:AN),0)</f>
        <v>0</v>
      </c>
      <c r="AO701" cm="1">
        <f t="array" ref="AO701">VLOOKUP($A701,Table_ship_components[],COLUMN(AO:AO),0)</f>
        <v>0</v>
      </c>
      <c r="AP701" cm="1">
        <f t="array" ref="AP701">VLOOKUP($A701,Table_ship_components[],COLUMN(AP:AP),0)</f>
        <v>0</v>
      </c>
      <c r="AQ701" cm="1">
        <f t="array" ref="AQ701">VLOOKUP($A701,Table_ship_components[],COLUMN(AQ:AQ),0)</f>
        <v>0</v>
      </c>
      <c r="AR701" cm="1">
        <f t="array" ref="AR701">VLOOKUP($A701,Table_ship_components[],COLUMN(AR:AR),0)</f>
        <v>0</v>
      </c>
      <c r="AS701" cm="1">
        <f t="array" ref="AS701">VLOOKUP($A701,Table_ship_components[],COLUMN(AS:AS),0)</f>
        <v>0</v>
      </c>
      <c r="AT701" cm="1">
        <f t="array" ref="AT701">VLOOKUP($A701,Table_ship_components[],COLUMN(AT:AT),0)</f>
        <v>0</v>
      </c>
      <c r="AU701" s="2" cm="1">
        <f t="array" ref="AU701">VLOOKUP($A701,Table_ship_components[],COLUMN(AU:AU),0)</f>
        <v>0</v>
      </c>
      <c r="AV701" s="2" cm="1">
        <f t="array" ref="AV701">VLOOKUP($A701,Table_ship_components[],COLUMN(AV:AV),0)</f>
        <v>0</v>
      </c>
      <c r="AW701" s="2" cm="1">
        <f t="array" ref="AW701">VLOOKUP($A701,Table_ship_components[],COLUMN(AW:AW),0)</f>
        <v>0</v>
      </c>
      <c r="AX701" s="2" cm="1">
        <f t="array" ref="AX701">VLOOKUP($A701,Table_ship_components[],COLUMN(AX:AX),0)</f>
        <v>0</v>
      </c>
      <c r="AY701" s="2" cm="1">
        <f t="array" ref="AY701">VLOOKUP($A701,Table_ship_components[],COLUMN(AY:AY),0)</f>
        <v>0</v>
      </c>
      <c r="AZ701" s="2" t="str" cm="1">
        <f t="array" ref="AZ701">VLOOKUP($A701,Table_ship_components[],COLUMN(AZ:AZ),0)</f>
        <v>C</v>
      </c>
      <c r="BA701" s="14" cm="1">
        <f t="array" ref="BA701">VLOOKUP($A701,Table_ship_components[],COLUMN(BA:BA),0)</f>
        <v>150000</v>
      </c>
      <c r="BB701" s="14" cm="1">
        <f t="array" ref="BB701">(VLOOKUP($A701,Table_ship_components[],COLUMN(BA:BA),0)+(W701*C701))</f>
        <v>150000</v>
      </c>
      <c r="BC701" s="2" t="str" cm="1">
        <f t="array" ref="BC701">VLOOKUP($A701,Table_ship_components[],COLUMN(BC:BC),0)</f>
        <v>COMMON</v>
      </c>
      <c r="BD701" s="2" cm="1">
        <f t="array" ref="BD701">VLOOKUP($A701,Table_ship_components[],COLUMN(BD:BD),0)</f>
        <v>0</v>
      </c>
    </row>
    <row r="702" spans="1:56" outlineLevel="1" x14ac:dyDescent="0.35">
      <c r="A702" t="s">
        <v>288</v>
      </c>
      <c r="B702" t="str" cm="1">
        <f t="array" ref="B702">VLOOKUP($A702,Table_ship_components[],COLUMN(B:B),0)</f>
        <v>PICK A COMPONENT</v>
      </c>
      <c r="D702" cm="1">
        <f t="array" ref="D702">VLOOKUP($A702,Table_ship_components[],COLUMN(D:D),0)</f>
        <v>0</v>
      </c>
      <c r="E702" cm="1">
        <f t="array" ref="E702">ROUND(VLOOKUP($A702,Table_ship_components[],COLUMN(D:D),0)+(V702*C702),0)</f>
        <v>0</v>
      </c>
      <c r="F702" cm="1">
        <f t="array" ref="F702">VLOOKUP($A702,Table_ship_components[],COLUMN(F:F),0)</f>
        <v>0</v>
      </c>
      <c r="G702" cm="1">
        <f t="array" ref="G702">ROUND(VLOOKUP($A702,Table_ship_components[],COLUMN(G:G),0)+(X702*C702),0)</f>
        <v>0</v>
      </c>
      <c r="H702" cm="1">
        <f t="array" ref="H702">VLOOKUP($A702,Table_ship_components[],COLUMN(H:H),0)</f>
        <v>0</v>
      </c>
      <c r="I702" cm="1">
        <f t="array" ref="I702">VLOOKUP($A702,Table_ship_components[],COLUMN(I:I),0)</f>
        <v>0</v>
      </c>
      <c r="J702" cm="1">
        <f t="array" ref="J702">VLOOKUP($A702,Table_ship_components[],COLUMN(J:J),0)</f>
        <v>0</v>
      </c>
      <c r="K702" cm="1">
        <f t="array" ref="K702">VLOOKUP($A702,Table_ship_components[],COLUMN(K:K),0)</f>
        <v>0</v>
      </c>
      <c r="L702" cm="1">
        <f t="array" ref="L702">VLOOKUP($A702,Table_ship_components[],COLUMN(L:L),0)</f>
        <v>0</v>
      </c>
      <c r="M702" cm="1">
        <f t="array" ref="M702">VLOOKUP($A702,Table_ship_components[],COLUMN(M:M),0)</f>
        <v>0</v>
      </c>
      <c r="N702" cm="1">
        <f t="array" ref="N702">VLOOKUP($A702,Table_ship_components[],COLUMN(N:N),0)</f>
        <v>0</v>
      </c>
      <c r="O702" cm="1">
        <f t="array" ref="O702">VLOOKUP($A702,Table_ship_components[],COLUMN(O:O),0)</f>
        <v>0</v>
      </c>
      <c r="P702" cm="1">
        <f t="array" ref="P702">VLOOKUP($A702,Table_ship_components[],COLUMN(P:P),0)</f>
        <v>0</v>
      </c>
      <c r="Q702" cm="1">
        <f t="array" ref="Q702">VLOOKUP($A702,Table_ship_components[],COLUMN(Q:Q),0)</f>
        <v>0</v>
      </c>
      <c r="R702" cm="1">
        <f t="array" ref="R702">VLOOKUP($A702,Table_ship_components[],COLUMN(R:R),0)</f>
        <v>0</v>
      </c>
      <c r="S702" cm="1">
        <f t="array" ref="S702">VLOOKUP($A702,Table_ship_components[],COLUMN(S:S),0)</f>
        <v>0</v>
      </c>
      <c r="T702" cm="1">
        <f t="array" ref="T702">VLOOKUP($A702,Table_ship_components[],COLUMN(T:T),0)</f>
        <v>0</v>
      </c>
      <c r="U702" cm="1">
        <f t="array" ref="U702">VLOOKUP($A702,Table_ship_components[],COLUMN(U:U),0)</f>
        <v>0</v>
      </c>
      <c r="V702" cm="1">
        <f t="array" ref="V702">VLOOKUP($A702,Table_ship_components[],COLUMN(V:V),0)</f>
        <v>0</v>
      </c>
      <c r="W702" s="15" cm="1">
        <f t="array" ref="W702">VLOOKUP($A702,Table_ship_components[],COLUMN(W:W),0)</f>
        <v>0</v>
      </c>
      <c r="X702" cm="1">
        <f t="array" ref="X702">VLOOKUP($A702,Table_ship_components[],COLUMN(X:X),0)</f>
        <v>0</v>
      </c>
      <c r="Y702" cm="1">
        <f t="array" ref="Y702">VLOOKUP($A702,Table_ship_components[],COLUMN(Y:Y),0)</f>
        <v>0</v>
      </c>
      <c r="Z702" cm="1">
        <f t="array" ref="Z702">VLOOKUP($A702,Table_ship_components[],COLUMN(Z:Z),0)</f>
        <v>0</v>
      </c>
      <c r="AA702" cm="1">
        <f t="array" ref="AA702">VLOOKUP($A702,Table_ship_components[],COLUMN(AA:AA),0)*C702</f>
        <v>0</v>
      </c>
      <c r="AB702">
        <f t="shared" si="75"/>
        <v>0</v>
      </c>
      <c r="AC702" cm="1">
        <f t="array" ref="AC702">VLOOKUP($A702,Table_ship_components[],COLUMN(AC:AC),0)*C702</f>
        <v>0</v>
      </c>
      <c r="AD702" cm="1">
        <f t="array" ref="AD702">VLOOKUP($A702,Table_ship_components[],COLUMN(AD:AD),0)</f>
        <v>0</v>
      </c>
      <c r="AE702" cm="1">
        <f t="array" ref="AE702">VLOOKUP($A702,Table_ship_components[],COLUMN(AE:AE),0)</f>
        <v>0</v>
      </c>
      <c r="AF702" cm="1">
        <f t="array" ref="AF702">VLOOKUP($A702,Table_ship_components[],COLUMN(AF:AF),0)</f>
        <v>0</v>
      </c>
      <c r="AG702" cm="1">
        <f t="array" ref="AG702">VLOOKUP($A702,Table_ship_components[],COLUMN(AG:AG),0)</f>
        <v>0</v>
      </c>
      <c r="AH702" cm="1">
        <f t="array" ref="AH702">VLOOKUP($A702,Table_ship_components[],COLUMN(AH:AH),0)</f>
        <v>0</v>
      </c>
      <c r="AI702" cm="1">
        <f t="array" ref="AI702">VLOOKUP($A702,Table_ship_components[],COLUMN(AI:AI),0)</f>
        <v>0</v>
      </c>
      <c r="AJ702" cm="1">
        <f t="array" ref="AJ702">VLOOKUP($A702,Table_ship_components[],COLUMN(AJ:AJ),0)</f>
        <v>0</v>
      </c>
      <c r="AK702" cm="1">
        <f t="array" ref="AK702">VLOOKUP($A702,Table_ship_components[],COLUMN(AK:AK),0)</f>
        <v>0</v>
      </c>
      <c r="AL702" cm="1">
        <f t="array" ref="AL702">VLOOKUP($A702,Table_ship_components[],COLUMN(AL:AL),0)</f>
        <v>0</v>
      </c>
      <c r="AM702" cm="1">
        <f t="array" ref="AM702">VLOOKUP($A702,Table_ship_components[],COLUMN(AM:AM),0)</f>
        <v>0</v>
      </c>
      <c r="AN702" cm="1">
        <f t="array" ref="AN702">VLOOKUP($A702,Table_ship_components[],COLUMN(AN:AN),0)</f>
        <v>0</v>
      </c>
      <c r="AO702" cm="1">
        <f t="array" ref="AO702">VLOOKUP($A702,Table_ship_components[],COLUMN(AO:AO),0)</f>
        <v>0</v>
      </c>
      <c r="AP702" cm="1">
        <f t="array" ref="AP702">VLOOKUP($A702,Table_ship_components[],COLUMN(AP:AP),0)</f>
        <v>0</v>
      </c>
      <c r="AQ702" cm="1">
        <f t="array" ref="AQ702">VLOOKUP($A702,Table_ship_components[],COLUMN(AQ:AQ),0)</f>
        <v>0</v>
      </c>
      <c r="AR702" cm="1">
        <f t="array" ref="AR702">VLOOKUP($A702,Table_ship_components[],COLUMN(AR:AR),0)</f>
        <v>0</v>
      </c>
      <c r="AS702" cm="1">
        <f t="array" ref="AS702">VLOOKUP($A702,Table_ship_components[],COLUMN(AS:AS),0)</f>
        <v>0</v>
      </c>
      <c r="AT702" cm="1">
        <f t="array" ref="AT702">VLOOKUP($A702,Table_ship_components[],COLUMN(AT:AT),0)</f>
        <v>0</v>
      </c>
      <c r="AU702" s="2" cm="1">
        <f t="array" ref="AU702">VLOOKUP($A702,Table_ship_components[],COLUMN(AU:AU),0)</f>
        <v>0</v>
      </c>
      <c r="AV702" s="2" cm="1">
        <f t="array" ref="AV702">VLOOKUP($A702,Table_ship_components[],COLUMN(AV:AV),0)</f>
        <v>0</v>
      </c>
      <c r="AW702" s="2" cm="1">
        <f t="array" ref="AW702">VLOOKUP($A702,Table_ship_components[],COLUMN(AW:AW),0)</f>
        <v>0</v>
      </c>
      <c r="AX702" s="2" cm="1">
        <f t="array" ref="AX702">VLOOKUP($A702,Table_ship_components[],COLUMN(AX:AX),0)</f>
        <v>0</v>
      </c>
      <c r="AY702" s="2" cm="1">
        <f t="array" ref="AY702">VLOOKUP($A702,Table_ship_components[],COLUMN(AY:AY),0)</f>
        <v>0</v>
      </c>
      <c r="AZ702" s="2" t="str" cm="1">
        <f t="array" ref="AZ702">VLOOKUP($A702,Table_ship_components[],COLUMN(AZ:AZ),0)</f>
        <v>C</v>
      </c>
      <c r="BA702" s="14" cm="1">
        <f t="array" ref="BA702">VLOOKUP($A702,Table_ship_components[],COLUMN(BA:BA),0)</f>
        <v>0</v>
      </c>
      <c r="BB702" s="14" cm="1">
        <f t="array" ref="BB702">(VLOOKUP($A702,Table_ship_components[],COLUMN(BA:BA),0)+(W702*C702))</f>
        <v>0</v>
      </c>
      <c r="BC702" s="2" cm="1">
        <f t="array" ref="BC702">VLOOKUP($A702,Table_ship_components[],COLUMN(BC:BC),0)</f>
        <v>0</v>
      </c>
      <c r="BD702" s="2" cm="1">
        <f t="array" ref="BD702">VLOOKUP($A702,Table_ship_components[],COLUMN(BD:BD),0)</f>
        <v>0</v>
      </c>
    </row>
    <row r="703" spans="1:56" outlineLevel="1" x14ac:dyDescent="0.35">
      <c r="A703" t="s">
        <v>288</v>
      </c>
      <c r="B703" t="str" cm="1">
        <f t="array" ref="B703">VLOOKUP($A703,Table_ship_components[],COLUMN(B:B),0)</f>
        <v>PICK A COMPONENT</v>
      </c>
      <c r="D703" cm="1">
        <f t="array" ref="D703">VLOOKUP($A703,Table_ship_components[],COLUMN(D:D),0)</f>
        <v>0</v>
      </c>
      <c r="E703" cm="1">
        <f t="array" ref="E703">ROUND(VLOOKUP($A703,Table_ship_components[],COLUMN(D:D),0)+(V703*C703),0)</f>
        <v>0</v>
      </c>
      <c r="F703" cm="1">
        <f t="array" ref="F703">VLOOKUP($A703,Table_ship_components[],COLUMN(F:F),0)</f>
        <v>0</v>
      </c>
      <c r="G703" cm="1">
        <f t="array" ref="G703">ROUND(VLOOKUP($A703,Table_ship_components[],COLUMN(G:G),0)+(X703*C703),0)</f>
        <v>0</v>
      </c>
      <c r="H703" cm="1">
        <f t="array" ref="H703">VLOOKUP($A703,Table_ship_components[],COLUMN(H:H),0)</f>
        <v>0</v>
      </c>
      <c r="I703" cm="1">
        <f t="array" ref="I703">VLOOKUP($A703,Table_ship_components[],COLUMN(I:I),0)</f>
        <v>0</v>
      </c>
      <c r="J703" cm="1">
        <f t="array" ref="J703">VLOOKUP($A703,Table_ship_components[],COLUMN(J:J),0)</f>
        <v>0</v>
      </c>
      <c r="K703" cm="1">
        <f t="array" ref="K703">VLOOKUP($A703,Table_ship_components[],COLUMN(K:K),0)</f>
        <v>0</v>
      </c>
      <c r="L703" cm="1">
        <f t="array" ref="L703">VLOOKUP($A703,Table_ship_components[],COLUMN(L:L),0)</f>
        <v>0</v>
      </c>
      <c r="M703" cm="1">
        <f t="array" ref="M703">VLOOKUP($A703,Table_ship_components[],COLUMN(M:M),0)</f>
        <v>0</v>
      </c>
      <c r="N703" cm="1">
        <f t="array" ref="N703">VLOOKUP($A703,Table_ship_components[],COLUMN(N:N),0)</f>
        <v>0</v>
      </c>
      <c r="O703" cm="1">
        <f t="array" ref="O703">VLOOKUP($A703,Table_ship_components[],COLUMN(O:O),0)</f>
        <v>0</v>
      </c>
      <c r="P703" cm="1">
        <f t="array" ref="P703">VLOOKUP($A703,Table_ship_components[],COLUMN(P:P),0)</f>
        <v>0</v>
      </c>
      <c r="Q703" cm="1">
        <f t="array" ref="Q703">VLOOKUP($A703,Table_ship_components[],COLUMN(Q:Q),0)</f>
        <v>0</v>
      </c>
      <c r="R703" cm="1">
        <f t="array" ref="R703">VLOOKUP($A703,Table_ship_components[],COLUMN(R:R),0)</f>
        <v>0</v>
      </c>
      <c r="S703" cm="1">
        <f t="array" ref="S703">VLOOKUP($A703,Table_ship_components[],COLUMN(S:S),0)</f>
        <v>0</v>
      </c>
      <c r="T703" cm="1">
        <f t="array" ref="T703">VLOOKUP($A703,Table_ship_components[],COLUMN(T:T),0)</f>
        <v>0</v>
      </c>
      <c r="U703" cm="1">
        <f t="array" ref="U703">VLOOKUP($A703,Table_ship_components[],COLUMN(U:U),0)</f>
        <v>0</v>
      </c>
      <c r="V703" cm="1">
        <f t="array" ref="V703">VLOOKUP($A703,Table_ship_components[],COLUMN(V:V),0)</f>
        <v>0</v>
      </c>
      <c r="W703" s="15" cm="1">
        <f t="array" ref="W703">VLOOKUP($A703,Table_ship_components[],COLUMN(W:W),0)</f>
        <v>0</v>
      </c>
      <c r="X703" cm="1">
        <f t="array" ref="X703">VLOOKUP($A703,Table_ship_components[],COLUMN(X:X),0)</f>
        <v>0</v>
      </c>
      <c r="Y703" cm="1">
        <f t="array" ref="Y703">VLOOKUP($A703,Table_ship_components[],COLUMN(Y:Y),0)</f>
        <v>0</v>
      </c>
      <c r="Z703" cm="1">
        <f t="array" ref="Z703">VLOOKUP($A703,Table_ship_components[],COLUMN(Z:Z),0)</f>
        <v>0</v>
      </c>
      <c r="AA703" cm="1">
        <f t="array" ref="AA703">VLOOKUP($A703,Table_ship_components[],COLUMN(AA:AA),0)*C703</f>
        <v>0</v>
      </c>
      <c r="AB703">
        <f t="shared" si="75"/>
        <v>0</v>
      </c>
      <c r="AC703" cm="1">
        <f t="array" ref="AC703">VLOOKUP($A703,Table_ship_components[],COLUMN(AC:AC),0)*C703</f>
        <v>0</v>
      </c>
      <c r="AD703" cm="1">
        <f t="array" ref="AD703">VLOOKUP($A703,Table_ship_components[],COLUMN(AD:AD),0)</f>
        <v>0</v>
      </c>
      <c r="AE703" cm="1">
        <f t="array" ref="AE703">VLOOKUP($A703,Table_ship_components[],COLUMN(AE:AE),0)</f>
        <v>0</v>
      </c>
      <c r="AF703" cm="1">
        <f t="array" ref="AF703">VLOOKUP($A703,Table_ship_components[],COLUMN(AF:AF),0)</f>
        <v>0</v>
      </c>
      <c r="AG703" cm="1">
        <f t="array" ref="AG703">VLOOKUP($A703,Table_ship_components[],COLUMN(AG:AG),0)</f>
        <v>0</v>
      </c>
      <c r="AH703" cm="1">
        <f t="array" ref="AH703">VLOOKUP($A703,Table_ship_components[],COLUMN(AH:AH),0)</f>
        <v>0</v>
      </c>
      <c r="AI703" cm="1">
        <f t="array" ref="AI703">VLOOKUP($A703,Table_ship_components[],COLUMN(AI:AI),0)</f>
        <v>0</v>
      </c>
      <c r="AJ703" cm="1">
        <f t="array" ref="AJ703">VLOOKUP($A703,Table_ship_components[],COLUMN(AJ:AJ),0)</f>
        <v>0</v>
      </c>
      <c r="AK703" cm="1">
        <f t="array" ref="AK703">VLOOKUP($A703,Table_ship_components[],COLUMN(AK:AK),0)</f>
        <v>0</v>
      </c>
      <c r="AL703" cm="1">
        <f t="array" ref="AL703">VLOOKUP($A703,Table_ship_components[],COLUMN(AL:AL),0)</f>
        <v>0</v>
      </c>
      <c r="AM703" cm="1">
        <f t="array" ref="AM703">VLOOKUP($A703,Table_ship_components[],COLUMN(AM:AM),0)</f>
        <v>0</v>
      </c>
      <c r="AN703" cm="1">
        <f t="array" ref="AN703">VLOOKUP($A703,Table_ship_components[],COLUMN(AN:AN),0)</f>
        <v>0</v>
      </c>
      <c r="AO703" cm="1">
        <f t="array" ref="AO703">VLOOKUP($A703,Table_ship_components[],COLUMN(AO:AO),0)</f>
        <v>0</v>
      </c>
      <c r="AP703" cm="1">
        <f t="array" ref="AP703">VLOOKUP($A703,Table_ship_components[],COLUMN(AP:AP),0)</f>
        <v>0</v>
      </c>
      <c r="AQ703" cm="1">
        <f t="array" ref="AQ703">VLOOKUP($A703,Table_ship_components[],COLUMN(AQ:AQ),0)</f>
        <v>0</v>
      </c>
      <c r="AR703" cm="1">
        <f t="array" ref="AR703">VLOOKUP($A703,Table_ship_components[],COLUMN(AR:AR),0)</f>
        <v>0</v>
      </c>
      <c r="AS703" cm="1">
        <f t="array" ref="AS703">VLOOKUP($A703,Table_ship_components[],COLUMN(AS:AS),0)</f>
        <v>0</v>
      </c>
      <c r="AT703" cm="1">
        <f t="array" ref="AT703">VLOOKUP($A703,Table_ship_components[],COLUMN(AT:AT),0)</f>
        <v>0</v>
      </c>
      <c r="AU703" s="2" cm="1">
        <f t="array" ref="AU703">VLOOKUP($A703,Table_ship_components[],COLUMN(AU:AU),0)</f>
        <v>0</v>
      </c>
      <c r="AV703" s="2" cm="1">
        <f t="array" ref="AV703">VLOOKUP($A703,Table_ship_components[],COLUMN(AV:AV),0)</f>
        <v>0</v>
      </c>
      <c r="AW703" s="2" cm="1">
        <f t="array" ref="AW703">VLOOKUP($A703,Table_ship_components[],COLUMN(AW:AW),0)</f>
        <v>0</v>
      </c>
      <c r="AX703" s="2" cm="1">
        <f t="array" ref="AX703">VLOOKUP($A703,Table_ship_components[],COLUMN(AX:AX),0)</f>
        <v>0</v>
      </c>
      <c r="AY703" s="2" cm="1">
        <f t="array" ref="AY703">VLOOKUP($A703,Table_ship_components[],COLUMN(AY:AY),0)</f>
        <v>0</v>
      </c>
      <c r="AZ703" s="2" t="str" cm="1">
        <f t="array" ref="AZ703">VLOOKUP($A703,Table_ship_components[],COLUMN(AZ:AZ),0)</f>
        <v>C</v>
      </c>
      <c r="BA703" s="14" cm="1">
        <f t="array" ref="BA703">VLOOKUP($A703,Table_ship_components[],COLUMN(BA:BA),0)</f>
        <v>0</v>
      </c>
      <c r="BB703" s="14" cm="1">
        <f t="array" ref="BB703">(VLOOKUP($A703,Table_ship_components[],COLUMN(BA:BA),0)+(W703*C703))</f>
        <v>0</v>
      </c>
      <c r="BC703" s="2" cm="1">
        <f t="array" ref="BC703">VLOOKUP($A703,Table_ship_components[],COLUMN(BC:BC),0)</f>
        <v>0</v>
      </c>
      <c r="BD703" s="2" cm="1">
        <f t="array" ref="BD703">VLOOKUP($A703,Table_ship_components[],COLUMN(BD:BD),0)</f>
        <v>0</v>
      </c>
    </row>
    <row r="704" spans="1:56" outlineLevel="1" x14ac:dyDescent="0.35">
      <c r="A704" t="s">
        <v>288</v>
      </c>
      <c r="B704" t="str" cm="1">
        <f t="array" ref="B704">VLOOKUP($A704,Table_ship_components[],COLUMN(B:B),0)</f>
        <v>PICK A COMPONENT</v>
      </c>
      <c r="D704" cm="1">
        <f t="array" ref="D704">VLOOKUP($A704,Table_ship_components[],COLUMN(D:D),0)</f>
        <v>0</v>
      </c>
      <c r="E704" cm="1">
        <f t="array" ref="E704">ROUND(VLOOKUP($A704,Table_ship_components[],COLUMN(D:D),0)+(V704*C704),0)</f>
        <v>0</v>
      </c>
      <c r="F704" cm="1">
        <f t="array" ref="F704">VLOOKUP($A704,Table_ship_components[],COLUMN(F:F),0)</f>
        <v>0</v>
      </c>
      <c r="G704" cm="1">
        <f t="array" ref="G704">ROUND(VLOOKUP($A704,Table_ship_components[],COLUMN(G:G),0)+(X704*C704),0)</f>
        <v>0</v>
      </c>
      <c r="H704" cm="1">
        <f t="array" ref="H704">VLOOKUP($A704,Table_ship_components[],COLUMN(H:H),0)</f>
        <v>0</v>
      </c>
      <c r="I704" cm="1">
        <f t="array" ref="I704">VLOOKUP($A704,Table_ship_components[],COLUMN(I:I),0)</f>
        <v>0</v>
      </c>
      <c r="J704" cm="1">
        <f t="array" ref="J704">VLOOKUP($A704,Table_ship_components[],COLUMN(J:J),0)</f>
        <v>0</v>
      </c>
      <c r="K704" cm="1">
        <f t="array" ref="K704">VLOOKUP($A704,Table_ship_components[],COLUMN(K:K),0)</f>
        <v>0</v>
      </c>
      <c r="L704" cm="1">
        <f t="array" ref="L704">VLOOKUP($A704,Table_ship_components[],COLUMN(L:L),0)</f>
        <v>0</v>
      </c>
      <c r="M704" cm="1">
        <f t="array" ref="M704">VLOOKUP($A704,Table_ship_components[],COLUMN(M:M),0)</f>
        <v>0</v>
      </c>
      <c r="N704" cm="1">
        <f t="array" ref="N704">VLOOKUP($A704,Table_ship_components[],COLUMN(N:N),0)</f>
        <v>0</v>
      </c>
      <c r="O704" cm="1">
        <f t="array" ref="O704">VLOOKUP($A704,Table_ship_components[],COLUMN(O:O),0)</f>
        <v>0</v>
      </c>
      <c r="P704" cm="1">
        <f t="array" ref="P704">VLOOKUP($A704,Table_ship_components[],COLUMN(P:P),0)</f>
        <v>0</v>
      </c>
      <c r="Q704" cm="1">
        <f t="array" ref="Q704">VLOOKUP($A704,Table_ship_components[],COLUMN(Q:Q),0)</f>
        <v>0</v>
      </c>
      <c r="R704" cm="1">
        <f t="array" ref="R704">VLOOKUP($A704,Table_ship_components[],COLUMN(R:R),0)</f>
        <v>0</v>
      </c>
      <c r="S704" cm="1">
        <f t="array" ref="S704">VLOOKUP($A704,Table_ship_components[],COLUMN(S:S),0)</f>
        <v>0</v>
      </c>
      <c r="T704" cm="1">
        <f t="array" ref="T704">VLOOKUP($A704,Table_ship_components[],COLUMN(T:T),0)</f>
        <v>0</v>
      </c>
      <c r="U704" cm="1">
        <f t="array" ref="U704">VLOOKUP($A704,Table_ship_components[],COLUMN(U:U),0)</f>
        <v>0</v>
      </c>
      <c r="V704" cm="1">
        <f t="array" ref="V704">VLOOKUP($A704,Table_ship_components[],COLUMN(V:V),0)</f>
        <v>0</v>
      </c>
      <c r="W704" s="15" cm="1">
        <f t="array" ref="W704">VLOOKUP($A704,Table_ship_components[],COLUMN(W:W),0)</f>
        <v>0</v>
      </c>
      <c r="X704" cm="1">
        <f t="array" ref="X704">VLOOKUP($A704,Table_ship_components[],COLUMN(X:X),0)</f>
        <v>0</v>
      </c>
      <c r="Y704" cm="1">
        <f t="array" ref="Y704">VLOOKUP($A704,Table_ship_components[],COLUMN(Y:Y),0)</f>
        <v>0</v>
      </c>
      <c r="Z704" cm="1">
        <f t="array" ref="Z704">VLOOKUP($A704,Table_ship_components[],COLUMN(Z:Z),0)</f>
        <v>0</v>
      </c>
      <c r="AA704" cm="1">
        <f t="array" ref="AA704">VLOOKUP($A704,Table_ship_components[],COLUMN(AA:AA),0)*C704</f>
        <v>0</v>
      </c>
      <c r="AB704">
        <f t="shared" si="75"/>
        <v>0</v>
      </c>
      <c r="AC704" cm="1">
        <f t="array" ref="AC704">VLOOKUP($A704,Table_ship_components[],COLUMN(AC:AC),0)*C704</f>
        <v>0</v>
      </c>
      <c r="AD704" cm="1">
        <f t="array" ref="AD704">VLOOKUP($A704,Table_ship_components[],COLUMN(AD:AD),0)</f>
        <v>0</v>
      </c>
      <c r="AE704" cm="1">
        <f t="array" ref="AE704">VLOOKUP($A704,Table_ship_components[],COLUMN(AE:AE),0)</f>
        <v>0</v>
      </c>
      <c r="AF704" cm="1">
        <f t="array" ref="AF704">VLOOKUP($A704,Table_ship_components[],COLUMN(AF:AF),0)</f>
        <v>0</v>
      </c>
      <c r="AG704" cm="1">
        <f t="array" ref="AG704">VLOOKUP($A704,Table_ship_components[],COLUMN(AG:AG),0)</f>
        <v>0</v>
      </c>
      <c r="AH704" cm="1">
        <f t="array" ref="AH704">VLOOKUP($A704,Table_ship_components[],COLUMN(AH:AH),0)</f>
        <v>0</v>
      </c>
      <c r="AI704" cm="1">
        <f t="array" ref="AI704">VLOOKUP($A704,Table_ship_components[],COLUMN(AI:AI),0)</f>
        <v>0</v>
      </c>
      <c r="AJ704" cm="1">
        <f t="array" ref="AJ704">VLOOKUP($A704,Table_ship_components[],COLUMN(AJ:AJ),0)</f>
        <v>0</v>
      </c>
      <c r="AK704" cm="1">
        <f t="array" ref="AK704">VLOOKUP($A704,Table_ship_components[],COLUMN(AK:AK),0)</f>
        <v>0</v>
      </c>
      <c r="AL704" cm="1">
        <f t="array" ref="AL704">VLOOKUP($A704,Table_ship_components[],COLUMN(AL:AL),0)</f>
        <v>0</v>
      </c>
      <c r="AM704" cm="1">
        <f t="array" ref="AM704">VLOOKUP($A704,Table_ship_components[],COLUMN(AM:AM),0)</f>
        <v>0</v>
      </c>
      <c r="AN704" cm="1">
        <f t="array" ref="AN704">VLOOKUP($A704,Table_ship_components[],COLUMN(AN:AN),0)</f>
        <v>0</v>
      </c>
      <c r="AO704" cm="1">
        <f t="array" ref="AO704">VLOOKUP($A704,Table_ship_components[],COLUMN(AO:AO),0)</f>
        <v>0</v>
      </c>
      <c r="AP704" cm="1">
        <f t="array" ref="AP704">VLOOKUP($A704,Table_ship_components[],COLUMN(AP:AP),0)</f>
        <v>0</v>
      </c>
      <c r="AQ704" cm="1">
        <f t="array" ref="AQ704">VLOOKUP($A704,Table_ship_components[],COLUMN(AQ:AQ),0)</f>
        <v>0</v>
      </c>
      <c r="AR704" cm="1">
        <f t="array" ref="AR704">VLOOKUP($A704,Table_ship_components[],COLUMN(AR:AR),0)</f>
        <v>0</v>
      </c>
      <c r="AS704" cm="1">
        <f t="array" ref="AS704">VLOOKUP($A704,Table_ship_components[],COLUMN(AS:AS),0)</f>
        <v>0</v>
      </c>
      <c r="AT704" cm="1">
        <f t="array" ref="AT704">VLOOKUP($A704,Table_ship_components[],COLUMN(AT:AT),0)</f>
        <v>0</v>
      </c>
      <c r="AU704" s="2" cm="1">
        <f t="array" ref="AU704">VLOOKUP($A704,Table_ship_components[],COLUMN(AU:AU),0)</f>
        <v>0</v>
      </c>
      <c r="AV704" s="2" cm="1">
        <f t="array" ref="AV704">VLOOKUP($A704,Table_ship_components[],COLUMN(AV:AV),0)</f>
        <v>0</v>
      </c>
      <c r="AW704" s="2" cm="1">
        <f t="array" ref="AW704">VLOOKUP($A704,Table_ship_components[],COLUMN(AW:AW),0)</f>
        <v>0</v>
      </c>
      <c r="AX704" s="2" cm="1">
        <f t="array" ref="AX704">VLOOKUP($A704,Table_ship_components[],COLUMN(AX:AX),0)</f>
        <v>0</v>
      </c>
      <c r="AY704" s="2" cm="1">
        <f t="array" ref="AY704">VLOOKUP($A704,Table_ship_components[],COLUMN(AY:AY),0)</f>
        <v>0</v>
      </c>
      <c r="AZ704" s="2" t="str" cm="1">
        <f t="array" ref="AZ704">VLOOKUP($A704,Table_ship_components[],COLUMN(AZ:AZ),0)</f>
        <v>C</v>
      </c>
      <c r="BA704" s="14" cm="1">
        <f t="array" ref="BA704">VLOOKUP($A704,Table_ship_components[],COLUMN(BA:BA),0)</f>
        <v>0</v>
      </c>
      <c r="BB704" s="14" cm="1">
        <f t="array" ref="BB704">(VLOOKUP($A704,Table_ship_components[],COLUMN(BA:BA),0)+(W704*C704))</f>
        <v>0</v>
      </c>
      <c r="BC704" s="2" cm="1">
        <f t="array" ref="BC704">VLOOKUP($A704,Table_ship_components[],COLUMN(BC:BC),0)</f>
        <v>0</v>
      </c>
      <c r="BD704" s="2" cm="1">
        <f t="array" ref="BD704">VLOOKUP($A704,Table_ship_components[],COLUMN(BD:BD),0)</f>
        <v>0</v>
      </c>
    </row>
    <row r="705" spans="1:56" outlineLevel="1" x14ac:dyDescent="0.35">
      <c r="A705" s="18" t="s">
        <v>424</v>
      </c>
      <c r="B705" s="19" t="str">
        <f>CONCATENATE("SIZE ",(SUM(E706:E716)),"/",AX695,"  POWER ",(SUM(G706:G716)))</f>
        <v>SIZE 0/0  POWER 0</v>
      </c>
      <c r="AU705" s="2"/>
      <c r="AV705" s="2"/>
      <c r="AW705" s="2"/>
      <c r="AX705" s="2"/>
      <c r="AY705" s="2"/>
      <c r="AZ705" s="2"/>
      <c r="BA705" s="14"/>
      <c r="BB705" s="14"/>
      <c r="BC705" s="2"/>
      <c r="BD705" s="2"/>
    </row>
    <row r="706" spans="1:56" outlineLevel="1" x14ac:dyDescent="0.35">
      <c r="A706" t="s">
        <v>288</v>
      </c>
      <c r="B706" t="str" cm="1">
        <f t="array" ref="B706">VLOOKUP($A706,Table_ship_components[],COLUMN(B:B),0)</f>
        <v>PICK A COMPONENT</v>
      </c>
      <c r="D706" cm="1">
        <f t="array" ref="D706">VLOOKUP($A706,Table_ship_components[],COLUMN(D:D),0)</f>
        <v>0</v>
      </c>
      <c r="E706" cm="1">
        <f t="array" ref="E706">ROUND(VLOOKUP($A706,Table_ship_components[],COLUMN(D:D),0)+(V706*C706),0)</f>
        <v>0</v>
      </c>
      <c r="F706" cm="1">
        <f t="array" ref="F706">VLOOKUP($A706,Table_ship_components[],COLUMN(F:F),0)</f>
        <v>0</v>
      </c>
      <c r="G706" cm="1">
        <f t="array" ref="G706">ROUND(VLOOKUP($A706,Table_ship_components[],COLUMN(G:G),0)+(X706*C706),0)</f>
        <v>0</v>
      </c>
      <c r="H706" cm="1">
        <f t="array" ref="H706">VLOOKUP($A706,Table_ship_components[],COLUMN(H:H),0)</f>
        <v>0</v>
      </c>
      <c r="I706" cm="1">
        <f t="array" ref="I706">VLOOKUP($A706,Table_ship_components[],COLUMN(I:I),0)</f>
        <v>0</v>
      </c>
      <c r="J706" cm="1">
        <f t="array" ref="J706">VLOOKUP($A706,Table_ship_components[],COLUMN(J:J),0)</f>
        <v>0</v>
      </c>
      <c r="K706" cm="1">
        <f t="array" ref="K706">VLOOKUP($A706,Table_ship_components[],COLUMN(K:K),0)</f>
        <v>0</v>
      </c>
      <c r="L706" cm="1">
        <f t="array" ref="L706">VLOOKUP($A706,Table_ship_components[],COLUMN(L:L),0)</f>
        <v>0</v>
      </c>
      <c r="M706" cm="1">
        <f t="array" ref="M706">VLOOKUP($A706,Table_ship_components[],COLUMN(M:M),0)</f>
        <v>0</v>
      </c>
      <c r="N706" cm="1">
        <f t="array" ref="N706">VLOOKUP($A706,Table_ship_components[],COLUMN(N:N),0)</f>
        <v>0</v>
      </c>
      <c r="O706" cm="1">
        <f t="array" ref="O706">VLOOKUP($A706,Table_ship_components[],COLUMN(O:O),0)</f>
        <v>0</v>
      </c>
      <c r="P706" cm="1">
        <f t="array" ref="P706">VLOOKUP($A706,Table_ship_components[],COLUMN(P:P),0)</f>
        <v>0</v>
      </c>
      <c r="Q706" cm="1">
        <f t="array" ref="Q706">VLOOKUP($A706,Table_ship_components[],COLUMN(Q:Q),0)</f>
        <v>0</v>
      </c>
      <c r="R706" cm="1">
        <f t="array" ref="R706">VLOOKUP($A706,Table_ship_components[],COLUMN(R:R),0)</f>
        <v>0</v>
      </c>
      <c r="S706" cm="1">
        <f t="array" ref="S706">VLOOKUP($A706,Table_ship_components[],COLUMN(S:S),0)</f>
        <v>0</v>
      </c>
      <c r="T706" cm="1">
        <f t="array" ref="T706">VLOOKUP($A706,Table_ship_components[],COLUMN(T:T),0)</f>
        <v>0</v>
      </c>
      <c r="U706" cm="1">
        <f t="array" ref="U706">VLOOKUP($A706,Table_ship_components[],COLUMN(U:U),0)</f>
        <v>0</v>
      </c>
      <c r="V706" cm="1">
        <f t="array" ref="V706">VLOOKUP($A706,Table_ship_components[],COLUMN(V:V),0)</f>
        <v>0</v>
      </c>
      <c r="W706" s="15" cm="1">
        <f t="array" ref="W706">VLOOKUP($A706,Table_ship_components[],COLUMN(W:W),0)</f>
        <v>0</v>
      </c>
      <c r="X706" cm="1">
        <f t="array" ref="X706">VLOOKUP($A706,Table_ship_components[],COLUMN(X:X),0)</f>
        <v>0</v>
      </c>
      <c r="Y706" cm="1">
        <f t="array" ref="Y706">VLOOKUP($A706,Table_ship_components[],COLUMN(Y:Y),0)</f>
        <v>0</v>
      </c>
      <c r="Z706" cm="1">
        <f t="array" ref="Z706">VLOOKUP($A706,Table_ship_components[],COLUMN(Z:Z),0)</f>
        <v>0</v>
      </c>
      <c r="AA706" cm="1">
        <f t="array" ref="AA706">VLOOKUP($A706,Table_ship_components[],COLUMN(AA:AA),0)*C706</f>
        <v>0</v>
      </c>
      <c r="AB706">
        <f t="shared" ref="AB706:AB715" si="76">IF(A706="CARGOSPACE_0-ALL_0-UNIVERSAL",C706,0)</f>
        <v>0</v>
      </c>
      <c r="AC706" cm="1">
        <f t="array" ref="AC706">VLOOKUP($A706,Table_ship_components[],COLUMN(AC:AC),0)*C706</f>
        <v>0</v>
      </c>
      <c r="AD706" cm="1">
        <f t="array" ref="AD706">VLOOKUP($A706,Table_ship_components[],COLUMN(AD:AD),0)</f>
        <v>0</v>
      </c>
      <c r="AE706" cm="1">
        <f t="array" ref="AE706">VLOOKUP($A706,Table_ship_components[],COLUMN(AE:AE),0)</f>
        <v>0</v>
      </c>
      <c r="AF706" cm="1">
        <f t="array" ref="AF706">VLOOKUP($A706,Table_ship_components[],COLUMN(AF:AF),0)</f>
        <v>0</v>
      </c>
      <c r="AG706" cm="1">
        <f t="array" ref="AG706">VLOOKUP($A706,Table_ship_components[],COLUMN(AG:AG),0)</f>
        <v>0</v>
      </c>
      <c r="AH706" cm="1">
        <f t="array" ref="AH706">VLOOKUP($A706,Table_ship_components[],COLUMN(AH:AH),0)</f>
        <v>0</v>
      </c>
      <c r="AI706" cm="1">
        <f t="array" ref="AI706">VLOOKUP($A706,Table_ship_components[],COLUMN(AI:AI),0)</f>
        <v>0</v>
      </c>
      <c r="AJ706" cm="1">
        <f t="array" ref="AJ706">VLOOKUP($A706,Table_ship_components[],COLUMN(AJ:AJ),0)</f>
        <v>0</v>
      </c>
      <c r="AK706" cm="1">
        <f t="array" ref="AK706">VLOOKUP($A706,Table_ship_components[],COLUMN(AK:AK),0)</f>
        <v>0</v>
      </c>
      <c r="AL706" cm="1">
        <f t="array" ref="AL706">VLOOKUP($A706,Table_ship_components[],COLUMN(AL:AL),0)</f>
        <v>0</v>
      </c>
      <c r="AM706" cm="1">
        <f t="array" ref="AM706">VLOOKUP($A706,Table_ship_components[],COLUMN(AM:AM),0)</f>
        <v>0</v>
      </c>
      <c r="AN706" cm="1">
        <f t="array" ref="AN706">VLOOKUP($A706,Table_ship_components[],COLUMN(AN:AN),0)</f>
        <v>0</v>
      </c>
      <c r="AO706" cm="1">
        <f t="array" ref="AO706">VLOOKUP($A706,Table_ship_components[],COLUMN(AO:AO),0)</f>
        <v>0</v>
      </c>
      <c r="AP706" cm="1">
        <f t="array" ref="AP706">VLOOKUP($A706,Table_ship_components[],COLUMN(AP:AP),0)</f>
        <v>0</v>
      </c>
      <c r="AQ706" cm="1">
        <f t="array" ref="AQ706">VLOOKUP($A706,Table_ship_components[],COLUMN(AQ:AQ),0)</f>
        <v>0</v>
      </c>
      <c r="AR706" cm="1">
        <f t="array" ref="AR706">VLOOKUP($A706,Table_ship_components[],COLUMN(AR:AR),0)</f>
        <v>0</v>
      </c>
      <c r="AS706" cm="1">
        <f t="array" ref="AS706">VLOOKUP($A706,Table_ship_components[],COLUMN(AS:AS),0)</f>
        <v>0</v>
      </c>
      <c r="AT706" cm="1">
        <f t="array" ref="AT706">VLOOKUP($A706,Table_ship_components[],COLUMN(AT:AT),0)</f>
        <v>0</v>
      </c>
      <c r="AU706" s="2" cm="1">
        <f t="array" ref="AU706">VLOOKUP($A706,Table_ship_components[],COLUMN(AU:AU),0)</f>
        <v>0</v>
      </c>
      <c r="AV706" s="2" cm="1">
        <f t="array" ref="AV706">VLOOKUP($A706,Table_ship_components[],COLUMN(AV:AV),0)</f>
        <v>0</v>
      </c>
      <c r="AW706" s="2" cm="1">
        <f t="array" ref="AW706">VLOOKUP($A706,Table_ship_components[],COLUMN(AW:AW),0)</f>
        <v>0</v>
      </c>
      <c r="AX706" s="2" cm="1">
        <f t="array" ref="AX706">VLOOKUP($A706,Table_ship_components[],COLUMN(AX:AX),0)</f>
        <v>0</v>
      </c>
      <c r="AY706" s="2" cm="1">
        <f t="array" ref="AY706">VLOOKUP($A706,Table_ship_components[],COLUMN(AY:AY),0)</f>
        <v>0</v>
      </c>
      <c r="AZ706" s="2" t="str" cm="1">
        <f t="array" ref="AZ706">VLOOKUP($A706,Table_ship_components[],COLUMN(AZ:AZ),0)</f>
        <v>C</v>
      </c>
      <c r="BA706" s="14" cm="1">
        <f t="array" ref="BA706">VLOOKUP($A706,Table_ship_components[],COLUMN(BA:BA),0)</f>
        <v>0</v>
      </c>
      <c r="BB706" s="14" cm="1">
        <f t="array" ref="BB706">(VLOOKUP($A706,Table_ship_components[],COLUMN(BA:BA),0)+(W706*C706))</f>
        <v>0</v>
      </c>
      <c r="BC706" s="2" cm="1">
        <f t="array" ref="BC706">VLOOKUP($A706,Table_ship_components[],COLUMN(BC:BC),0)</f>
        <v>0</v>
      </c>
      <c r="BD706" s="2" cm="1">
        <f t="array" ref="BD706">VLOOKUP($A706,Table_ship_components[],COLUMN(BD:BD),0)</f>
        <v>0</v>
      </c>
    </row>
    <row r="707" spans="1:56" outlineLevel="1" x14ac:dyDescent="0.35">
      <c r="A707" t="s">
        <v>288</v>
      </c>
      <c r="B707" t="str" cm="1">
        <f t="array" ref="B707">VLOOKUP($A707,Table_ship_components[],COLUMN(B:B),0)</f>
        <v>PICK A COMPONENT</v>
      </c>
      <c r="D707" cm="1">
        <f t="array" ref="D707">VLOOKUP($A707,Table_ship_components[],COLUMN(D:D),0)</f>
        <v>0</v>
      </c>
      <c r="E707" cm="1">
        <f t="array" ref="E707">ROUND(VLOOKUP($A707,Table_ship_components[],COLUMN(D:D),0)+(V707*C707),0)</f>
        <v>0</v>
      </c>
      <c r="F707" cm="1">
        <f t="array" ref="F707">VLOOKUP($A707,Table_ship_components[],COLUMN(F:F),0)</f>
        <v>0</v>
      </c>
      <c r="G707" cm="1">
        <f t="array" ref="G707">ROUND(VLOOKUP($A707,Table_ship_components[],COLUMN(G:G),0)+(X707*C707),0)</f>
        <v>0</v>
      </c>
      <c r="H707" cm="1">
        <f t="array" ref="H707">VLOOKUP($A707,Table_ship_components[],COLUMN(H:H),0)</f>
        <v>0</v>
      </c>
      <c r="I707" cm="1">
        <f t="array" ref="I707">VLOOKUP($A707,Table_ship_components[],COLUMN(I:I),0)</f>
        <v>0</v>
      </c>
      <c r="J707" cm="1">
        <f t="array" ref="J707">VLOOKUP($A707,Table_ship_components[],COLUMN(J:J),0)</f>
        <v>0</v>
      </c>
      <c r="K707" cm="1">
        <f t="array" ref="K707">VLOOKUP($A707,Table_ship_components[],COLUMN(K:K),0)</f>
        <v>0</v>
      </c>
      <c r="L707" cm="1">
        <f t="array" ref="L707">VLOOKUP($A707,Table_ship_components[],COLUMN(L:L),0)</f>
        <v>0</v>
      </c>
      <c r="M707" cm="1">
        <f t="array" ref="M707">VLOOKUP($A707,Table_ship_components[],COLUMN(M:M),0)</f>
        <v>0</v>
      </c>
      <c r="N707" cm="1">
        <f t="array" ref="N707">VLOOKUP($A707,Table_ship_components[],COLUMN(N:N),0)</f>
        <v>0</v>
      </c>
      <c r="O707" cm="1">
        <f t="array" ref="O707">VLOOKUP($A707,Table_ship_components[],COLUMN(O:O),0)</f>
        <v>0</v>
      </c>
      <c r="P707" cm="1">
        <f t="array" ref="P707">VLOOKUP($A707,Table_ship_components[],COLUMN(P:P),0)</f>
        <v>0</v>
      </c>
      <c r="Q707" cm="1">
        <f t="array" ref="Q707">VLOOKUP($A707,Table_ship_components[],COLUMN(Q:Q),0)</f>
        <v>0</v>
      </c>
      <c r="R707" cm="1">
        <f t="array" ref="R707">VLOOKUP($A707,Table_ship_components[],COLUMN(R:R),0)</f>
        <v>0</v>
      </c>
      <c r="S707" cm="1">
        <f t="array" ref="S707">VLOOKUP($A707,Table_ship_components[],COLUMN(S:S),0)</f>
        <v>0</v>
      </c>
      <c r="T707" cm="1">
        <f t="array" ref="T707">VLOOKUP($A707,Table_ship_components[],COLUMN(T:T),0)</f>
        <v>0</v>
      </c>
      <c r="U707" cm="1">
        <f t="array" ref="U707">VLOOKUP($A707,Table_ship_components[],COLUMN(U:U),0)</f>
        <v>0</v>
      </c>
      <c r="V707" cm="1">
        <f t="array" ref="V707">VLOOKUP($A707,Table_ship_components[],COLUMN(V:V),0)</f>
        <v>0</v>
      </c>
      <c r="W707" s="15" cm="1">
        <f t="array" ref="W707">VLOOKUP($A707,Table_ship_components[],COLUMN(W:W),0)</f>
        <v>0</v>
      </c>
      <c r="X707" cm="1">
        <f t="array" ref="X707">VLOOKUP($A707,Table_ship_components[],COLUMN(X:X),0)</f>
        <v>0</v>
      </c>
      <c r="Y707" cm="1">
        <f t="array" ref="Y707">VLOOKUP($A707,Table_ship_components[],COLUMN(Y:Y),0)</f>
        <v>0</v>
      </c>
      <c r="Z707" cm="1">
        <f t="array" ref="Z707">VLOOKUP($A707,Table_ship_components[],COLUMN(Z:Z),0)</f>
        <v>0</v>
      </c>
      <c r="AA707" cm="1">
        <f t="array" ref="AA707">VLOOKUP($A707,Table_ship_components[],COLUMN(AA:AA),0)*C707</f>
        <v>0</v>
      </c>
      <c r="AB707">
        <f t="shared" si="76"/>
        <v>0</v>
      </c>
      <c r="AC707" cm="1">
        <f t="array" ref="AC707">VLOOKUP($A707,Table_ship_components[],COLUMN(AC:AC),0)*C707</f>
        <v>0</v>
      </c>
      <c r="AD707" cm="1">
        <f t="array" ref="AD707">VLOOKUP($A707,Table_ship_components[],COLUMN(AD:AD),0)</f>
        <v>0</v>
      </c>
      <c r="AE707" cm="1">
        <f t="array" ref="AE707">VLOOKUP($A707,Table_ship_components[],COLUMN(AE:AE),0)</f>
        <v>0</v>
      </c>
      <c r="AF707" cm="1">
        <f t="array" ref="AF707">VLOOKUP($A707,Table_ship_components[],COLUMN(AF:AF),0)</f>
        <v>0</v>
      </c>
      <c r="AG707" cm="1">
        <f t="array" ref="AG707">VLOOKUP($A707,Table_ship_components[],COLUMN(AG:AG),0)</f>
        <v>0</v>
      </c>
      <c r="AH707" cm="1">
        <f t="array" ref="AH707">VLOOKUP($A707,Table_ship_components[],COLUMN(AH:AH),0)</f>
        <v>0</v>
      </c>
      <c r="AI707" cm="1">
        <f t="array" ref="AI707">VLOOKUP($A707,Table_ship_components[],COLUMN(AI:AI),0)</f>
        <v>0</v>
      </c>
      <c r="AJ707" cm="1">
        <f t="array" ref="AJ707">VLOOKUP($A707,Table_ship_components[],COLUMN(AJ:AJ),0)</f>
        <v>0</v>
      </c>
      <c r="AK707" cm="1">
        <f t="array" ref="AK707">VLOOKUP($A707,Table_ship_components[],COLUMN(AK:AK),0)</f>
        <v>0</v>
      </c>
      <c r="AL707" cm="1">
        <f t="array" ref="AL707">VLOOKUP($A707,Table_ship_components[],COLUMN(AL:AL),0)</f>
        <v>0</v>
      </c>
      <c r="AM707" cm="1">
        <f t="array" ref="AM707">VLOOKUP($A707,Table_ship_components[],COLUMN(AM:AM),0)</f>
        <v>0</v>
      </c>
      <c r="AN707" cm="1">
        <f t="array" ref="AN707">VLOOKUP($A707,Table_ship_components[],COLUMN(AN:AN),0)</f>
        <v>0</v>
      </c>
      <c r="AO707" cm="1">
        <f t="array" ref="AO707">VLOOKUP($A707,Table_ship_components[],COLUMN(AO:AO),0)</f>
        <v>0</v>
      </c>
      <c r="AP707" cm="1">
        <f t="array" ref="AP707">VLOOKUP($A707,Table_ship_components[],COLUMN(AP:AP),0)</f>
        <v>0</v>
      </c>
      <c r="AQ707" cm="1">
        <f t="array" ref="AQ707">VLOOKUP($A707,Table_ship_components[],COLUMN(AQ:AQ),0)</f>
        <v>0</v>
      </c>
      <c r="AR707" cm="1">
        <f t="array" ref="AR707">VLOOKUP($A707,Table_ship_components[],COLUMN(AR:AR),0)</f>
        <v>0</v>
      </c>
      <c r="AS707" cm="1">
        <f t="array" ref="AS707">VLOOKUP($A707,Table_ship_components[],COLUMN(AS:AS),0)</f>
        <v>0</v>
      </c>
      <c r="AT707" cm="1">
        <f t="array" ref="AT707">VLOOKUP($A707,Table_ship_components[],COLUMN(AT:AT),0)</f>
        <v>0</v>
      </c>
      <c r="AU707" s="2" cm="1">
        <f t="array" ref="AU707">VLOOKUP($A707,Table_ship_components[],COLUMN(AU:AU),0)</f>
        <v>0</v>
      </c>
      <c r="AV707" s="2" cm="1">
        <f t="array" ref="AV707">VLOOKUP($A707,Table_ship_components[],COLUMN(AV:AV),0)</f>
        <v>0</v>
      </c>
      <c r="AW707" s="2" cm="1">
        <f t="array" ref="AW707">VLOOKUP($A707,Table_ship_components[],COLUMN(AW:AW),0)</f>
        <v>0</v>
      </c>
      <c r="AX707" s="2" cm="1">
        <f t="array" ref="AX707">VLOOKUP($A707,Table_ship_components[],COLUMN(AX:AX),0)</f>
        <v>0</v>
      </c>
      <c r="AY707" s="2" cm="1">
        <f t="array" ref="AY707">VLOOKUP($A707,Table_ship_components[],COLUMN(AY:AY),0)</f>
        <v>0</v>
      </c>
      <c r="AZ707" s="2" t="str" cm="1">
        <f t="array" ref="AZ707">VLOOKUP($A707,Table_ship_components[],COLUMN(AZ:AZ),0)</f>
        <v>C</v>
      </c>
      <c r="BA707" s="14" cm="1">
        <f t="array" ref="BA707">VLOOKUP($A707,Table_ship_components[],COLUMN(BA:BA),0)</f>
        <v>0</v>
      </c>
      <c r="BB707" s="14" cm="1">
        <f t="array" ref="BB707">(VLOOKUP($A707,Table_ship_components[],COLUMN(BA:BA),0)+(W707*C707))</f>
        <v>0</v>
      </c>
      <c r="BC707" s="2" cm="1">
        <f t="array" ref="BC707">VLOOKUP($A707,Table_ship_components[],COLUMN(BC:BC),0)</f>
        <v>0</v>
      </c>
      <c r="BD707" s="2" cm="1">
        <f t="array" ref="BD707">VLOOKUP($A707,Table_ship_components[],COLUMN(BD:BD),0)</f>
        <v>0</v>
      </c>
    </row>
    <row r="708" spans="1:56" outlineLevel="1" x14ac:dyDescent="0.35">
      <c r="A708" t="s">
        <v>288</v>
      </c>
      <c r="B708" t="str" cm="1">
        <f t="array" ref="B708">VLOOKUP($A708,Table_ship_components[],COLUMN(B:B),0)</f>
        <v>PICK A COMPONENT</v>
      </c>
      <c r="D708" cm="1">
        <f t="array" ref="D708">VLOOKUP($A708,Table_ship_components[],COLUMN(D:D),0)</f>
        <v>0</v>
      </c>
      <c r="E708" cm="1">
        <f t="array" ref="E708">ROUND(VLOOKUP($A708,Table_ship_components[],COLUMN(D:D),0)+(V708*C708),0)</f>
        <v>0</v>
      </c>
      <c r="F708" cm="1">
        <f t="array" ref="F708">VLOOKUP($A708,Table_ship_components[],COLUMN(F:F),0)</f>
        <v>0</v>
      </c>
      <c r="G708" cm="1">
        <f t="array" ref="G708">ROUND(VLOOKUP($A708,Table_ship_components[],COLUMN(G:G),0)+(X708*C708),0)</f>
        <v>0</v>
      </c>
      <c r="H708" cm="1">
        <f t="array" ref="H708">VLOOKUP($A708,Table_ship_components[],COLUMN(H:H),0)</f>
        <v>0</v>
      </c>
      <c r="I708" cm="1">
        <f t="array" ref="I708">VLOOKUP($A708,Table_ship_components[],COLUMN(I:I),0)</f>
        <v>0</v>
      </c>
      <c r="J708" cm="1">
        <f t="array" ref="J708">VLOOKUP($A708,Table_ship_components[],COLUMN(J:J),0)</f>
        <v>0</v>
      </c>
      <c r="K708" cm="1">
        <f t="array" ref="K708">VLOOKUP($A708,Table_ship_components[],COLUMN(K:K),0)</f>
        <v>0</v>
      </c>
      <c r="L708" cm="1">
        <f t="array" ref="L708">VLOOKUP($A708,Table_ship_components[],COLUMN(L:L),0)</f>
        <v>0</v>
      </c>
      <c r="M708" cm="1">
        <f t="array" ref="M708">VLOOKUP($A708,Table_ship_components[],COLUMN(M:M),0)</f>
        <v>0</v>
      </c>
      <c r="N708" cm="1">
        <f t="array" ref="N708">VLOOKUP($A708,Table_ship_components[],COLUMN(N:N),0)</f>
        <v>0</v>
      </c>
      <c r="O708" cm="1">
        <f t="array" ref="O708">VLOOKUP($A708,Table_ship_components[],COLUMN(O:O),0)</f>
        <v>0</v>
      </c>
      <c r="P708" cm="1">
        <f t="array" ref="P708">VLOOKUP($A708,Table_ship_components[],COLUMN(P:P),0)</f>
        <v>0</v>
      </c>
      <c r="Q708" cm="1">
        <f t="array" ref="Q708">VLOOKUP($A708,Table_ship_components[],COLUMN(Q:Q),0)</f>
        <v>0</v>
      </c>
      <c r="R708" cm="1">
        <f t="array" ref="R708">VLOOKUP($A708,Table_ship_components[],COLUMN(R:R),0)</f>
        <v>0</v>
      </c>
      <c r="S708" cm="1">
        <f t="array" ref="S708">VLOOKUP($A708,Table_ship_components[],COLUMN(S:S),0)</f>
        <v>0</v>
      </c>
      <c r="T708" cm="1">
        <f t="array" ref="T708">VLOOKUP($A708,Table_ship_components[],COLUMN(T:T),0)</f>
        <v>0</v>
      </c>
      <c r="U708" cm="1">
        <f t="array" ref="U708">VLOOKUP($A708,Table_ship_components[],COLUMN(U:U),0)</f>
        <v>0</v>
      </c>
      <c r="V708" cm="1">
        <f t="array" ref="V708">VLOOKUP($A708,Table_ship_components[],COLUMN(V:V),0)</f>
        <v>0</v>
      </c>
      <c r="W708" s="15" cm="1">
        <f t="array" ref="W708">VLOOKUP($A708,Table_ship_components[],COLUMN(W:W),0)</f>
        <v>0</v>
      </c>
      <c r="X708" cm="1">
        <f t="array" ref="X708">VLOOKUP($A708,Table_ship_components[],COLUMN(X:X),0)</f>
        <v>0</v>
      </c>
      <c r="Y708" cm="1">
        <f t="array" ref="Y708">VLOOKUP($A708,Table_ship_components[],COLUMN(Y:Y),0)</f>
        <v>0</v>
      </c>
      <c r="Z708" cm="1">
        <f t="array" ref="Z708">VLOOKUP($A708,Table_ship_components[],COLUMN(Z:Z),0)</f>
        <v>0</v>
      </c>
      <c r="AA708" cm="1">
        <f t="array" ref="AA708">VLOOKUP($A708,Table_ship_components[],COLUMN(AA:AA),0)*C708</f>
        <v>0</v>
      </c>
      <c r="AB708">
        <f t="shared" si="76"/>
        <v>0</v>
      </c>
      <c r="AC708" cm="1">
        <f t="array" ref="AC708">VLOOKUP($A708,Table_ship_components[],COLUMN(AC:AC),0)*C708</f>
        <v>0</v>
      </c>
      <c r="AD708" cm="1">
        <f t="array" ref="AD708">VLOOKUP($A708,Table_ship_components[],COLUMN(AD:AD),0)</f>
        <v>0</v>
      </c>
      <c r="AE708" cm="1">
        <f t="array" ref="AE708">VLOOKUP($A708,Table_ship_components[],COLUMN(AE:AE),0)</f>
        <v>0</v>
      </c>
      <c r="AF708" cm="1">
        <f t="array" ref="AF708">VLOOKUP($A708,Table_ship_components[],COLUMN(AF:AF),0)</f>
        <v>0</v>
      </c>
      <c r="AG708" cm="1">
        <f t="array" ref="AG708">VLOOKUP($A708,Table_ship_components[],COLUMN(AG:AG),0)</f>
        <v>0</v>
      </c>
      <c r="AH708" cm="1">
        <f t="array" ref="AH708">VLOOKUP($A708,Table_ship_components[],COLUMN(AH:AH),0)</f>
        <v>0</v>
      </c>
      <c r="AI708" cm="1">
        <f t="array" ref="AI708">VLOOKUP($A708,Table_ship_components[],COLUMN(AI:AI),0)</f>
        <v>0</v>
      </c>
      <c r="AJ708" cm="1">
        <f t="array" ref="AJ708">VLOOKUP($A708,Table_ship_components[],COLUMN(AJ:AJ),0)</f>
        <v>0</v>
      </c>
      <c r="AK708" cm="1">
        <f t="array" ref="AK708">VLOOKUP($A708,Table_ship_components[],COLUMN(AK:AK),0)</f>
        <v>0</v>
      </c>
      <c r="AL708" cm="1">
        <f t="array" ref="AL708">VLOOKUP($A708,Table_ship_components[],COLUMN(AL:AL),0)</f>
        <v>0</v>
      </c>
      <c r="AM708" cm="1">
        <f t="array" ref="AM708">VLOOKUP($A708,Table_ship_components[],COLUMN(AM:AM),0)</f>
        <v>0</v>
      </c>
      <c r="AN708" cm="1">
        <f t="array" ref="AN708">VLOOKUP($A708,Table_ship_components[],COLUMN(AN:AN),0)</f>
        <v>0</v>
      </c>
      <c r="AO708" cm="1">
        <f t="array" ref="AO708">VLOOKUP($A708,Table_ship_components[],COLUMN(AO:AO),0)</f>
        <v>0</v>
      </c>
      <c r="AP708" cm="1">
        <f t="array" ref="AP708">VLOOKUP($A708,Table_ship_components[],COLUMN(AP:AP),0)</f>
        <v>0</v>
      </c>
      <c r="AQ708" cm="1">
        <f t="array" ref="AQ708">VLOOKUP($A708,Table_ship_components[],COLUMN(AQ:AQ),0)</f>
        <v>0</v>
      </c>
      <c r="AR708" cm="1">
        <f t="array" ref="AR708">VLOOKUP($A708,Table_ship_components[],COLUMN(AR:AR),0)</f>
        <v>0</v>
      </c>
      <c r="AS708" cm="1">
        <f t="array" ref="AS708">VLOOKUP($A708,Table_ship_components[],COLUMN(AS:AS),0)</f>
        <v>0</v>
      </c>
      <c r="AT708" cm="1">
        <f t="array" ref="AT708">VLOOKUP($A708,Table_ship_components[],COLUMN(AT:AT),0)</f>
        <v>0</v>
      </c>
      <c r="AU708" s="2" cm="1">
        <f t="array" ref="AU708">VLOOKUP($A708,Table_ship_components[],COLUMN(AU:AU),0)</f>
        <v>0</v>
      </c>
      <c r="AV708" s="2" cm="1">
        <f t="array" ref="AV708">VLOOKUP($A708,Table_ship_components[],COLUMN(AV:AV),0)</f>
        <v>0</v>
      </c>
      <c r="AW708" s="2" cm="1">
        <f t="array" ref="AW708">VLOOKUP($A708,Table_ship_components[],COLUMN(AW:AW),0)</f>
        <v>0</v>
      </c>
      <c r="AX708" s="2" cm="1">
        <f t="array" ref="AX708">VLOOKUP($A708,Table_ship_components[],COLUMN(AX:AX),0)</f>
        <v>0</v>
      </c>
      <c r="AY708" s="2" cm="1">
        <f t="array" ref="AY708">VLOOKUP($A708,Table_ship_components[],COLUMN(AY:AY),0)</f>
        <v>0</v>
      </c>
      <c r="AZ708" s="2" t="str" cm="1">
        <f t="array" ref="AZ708">VLOOKUP($A708,Table_ship_components[],COLUMN(AZ:AZ),0)</f>
        <v>C</v>
      </c>
      <c r="BA708" s="14" cm="1">
        <f t="array" ref="BA708">VLOOKUP($A708,Table_ship_components[],COLUMN(BA:BA),0)</f>
        <v>0</v>
      </c>
      <c r="BB708" s="14" cm="1">
        <f t="array" ref="BB708">(VLOOKUP($A708,Table_ship_components[],COLUMN(BA:BA),0)+(W708*C708))</f>
        <v>0</v>
      </c>
      <c r="BC708" s="2" cm="1">
        <f t="array" ref="BC708">VLOOKUP($A708,Table_ship_components[],COLUMN(BC:BC),0)</f>
        <v>0</v>
      </c>
      <c r="BD708" s="2" cm="1">
        <f t="array" ref="BD708">VLOOKUP($A708,Table_ship_components[],COLUMN(BD:BD),0)</f>
        <v>0</v>
      </c>
    </row>
    <row r="709" spans="1:56" outlineLevel="1" x14ac:dyDescent="0.35">
      <c r="A709" t="s">
        <v>288</v>
      </c>
      <c r="B709" t="str" cm="1">
        <f t="array" ref="B709">VLOOKUP($A709,Table_ship_components[],COLUMN(B:B),0)</f>
        <v>PICK A COMPONENT</v>
      </c>
      <c r="D709" cm="1">
        <f t="array" ref="D709">VLOOKUP($A709,Table_ship_components[],COLUMN(D:D),0)</f>
        <v>0</v>
      </c>
      <c r="E709" cm="1">
        <f t="array" ref="E709">ROUND(VLOOKUP($A709,Table_ship_components[],COLUMN(D:D),0)+(V709*C709),0)</f>
        <v>0</v>
      </c>
      <c r="F709" cm="1">
        <f t="array" ref="F709">VLOOKUP($A709,Table_ship_components[],COLUMN(F:F),0)</f>
        <v>0</v>
      </c>
      <c r="G709" cm="1">
        <f t="array" ref="G709">ROUND(VLOOKUP($A709,Table_ship_components[],COLUMN(G:G),0)+(X709*C709),0)</f>
        <v>0</v>
      </c>
      <c r="H709" cm="1">
        <f t="array" ref="H709">VLOOKUP($A709,Table_ship_components[],COLUMN(H:H),0)</f>
        <v>0</v>
      </c>
      <c r="I709" cm="1">
        <f t="array" ref="I709">VLOOKUP($A709,Table_ship_components[],COLUMN(I:I),0)</f>
        <v>0</v>
      </c>
      <c r="J709" cm="1">
        <f t="array" ref="J709">VLOOKUP($A709,Table_ship_components[],COLUMN(J:J),0)</f>
        <v>0</v>
      </c>
      <c r="K709" cm="1">
        <f t="array" ref="K709">VLOOKUP($A709,Table_ship_components[],COLUMN(K:K),0)</f>
        <v>0</v>
      </c>
      <c r="L709" cm="1">
        <f t="array" ref="L709">VLOOKUP($A709,Table_ship_components[],COLUMN(L:L),0)</f>
        <v>0</v>
      </c>
      <c r="M709" cm="1">
        <f t="array" ref="M709">VLOOKUP($A709,Table_ship_components[],COLUMN(M:M),0)</f>
        <v>0</v>
      </c>
      <c r="N709" cm="1">
        <f t="array" ref="N709">VLOOKUP($A709,Table_ship_components[],COLUMN(N:N),0)</f>
        <v>0</v>
      </c>
      <c r="O709" cm="1">
        <f t="array" ref="O709">VLOOKUP($A709,Table_ship_components[],COLUMN(O:O),0)</f>
        <v>0</v>
      </c>
      <c r="P709" cm="1">
        <f t="array" ref="P709">VLOOKUP($A709,Table_ship_components[],COLUMN(P:P),0)</f>
        <v>0</v>
      </c>
      <c r="Q709" cm="1">
        <f t="array" ref="Q709">VLOOKUP($A709,Table_ship_components[],COLUMN(Q:Q),0)</f>
        <v>0</v>
      </c>
      <c r="R709" cm="1">
        <f t="array" ref="R709">VLOOKUP($A709,Table_ship_components[],COLUMN(R:R),0)</f>
        <v>0</v>
      </c>
      <c r="S709" cm="1">
        <f t="array" ref="S709">VLOOKUP($A709,Table_ship_components[],COLUMN(S:S),0)</f>
        <v>0</v>
      </c>
      <c r="T709" cm="1">
        <f t="array" ref="T709">VLOOKUP($A709,Table_ship_components[],COLUMN(T:T),0)</f>
        <v>0</v>
      </c>
      <c r="U709" cm="1">
        <f t="array" ref="U709">VLOOKUP($A709,Table_ship_components[],COLUMN(U:U),0)</f>
        <v>0</v>
      </c>
      <c r="V709" cm="1">
        <f t="array" ref="V709">VLOOKUP($A709,Table_ship_components[],COLUMN(V:V),0)</f>
        <v>0</v>
      </c>
      <c r="W709" s="15" cm="1">
        <f t="array" ref="W709">VLOOKUP($A709,Table_ship_components[],COLUMN(W:W),0)</f>
        <v>0</v>
      </c>
      <c r="X709" cm="1">
        <f t="array" ref="X709">VLOOKUP($A709,Table_ship_components[],COLUMN(X:X),0)</f>
        <v>0</v>
      </c>
      <c r="Y709" cm="1">
        <f t="array" ref="Y709">VLOOKUP($A709,Table_ship_components[],COLUMN(Y:Y),0)</f>
        <v>0</v>
      </c>
      <c r="Z709" cm="1">
        <f t="array" ref="Z709">VLOOKUP($A709,Table_ship_components[],COLUMN(Z:Z),0)</f>
        <v>0</v>
      </c>
      <c r="AA709" cm="1">
        <f t="array" ref="AA709">VLOOKUP($A709,Table_ship_components[],COLUMN(AA:AA),0)*C709</f>
        <v>0</v>
      </c>
      <c r="AB709">
        <f t="shared" si="76"/>
        <v>0</v>
      </c>
      <c r="AC709" cm="1">
        <f t="array" ref="AC709">VLOOKUP($A709,Table_ship_components[],COLUMN(AC:AC),0)*C709</f>
        <v>0</v>
      </c>
      <c r="AD709" cm="1">
        <f t="array" ref="AD709">VLOOKUP($A709,Table_ship_components[],COLUMN(AD:AD),0)</f>
        <v>0</v>
      </c>
      <c r="AE709" cm="1">
        <f t="array" ref="AE709">VLOOKUP($A709,Table_ship_components[],COLUMN(AE:AE),0)</f>
        <v>0</v>
      </c>
      <c r="AF709" cm="1">
        <f t="array" ref="AF709">VLOOKUP($A709,Table_ship_components[],COLUMN(AF:AF),0)</f>
        <v>0</v>
      </c>
      <c r="AG709" cm="1">
        <f t="array" ref="AG709">VLOOKUP($A709,Table_ship_components[],COLUMN(AG:AG),0)</f>
        <v>0</v>
      </c>
      <c r="AH709" cm="1">
        <f t="array" ref="AH709">VLOOKUP($A709,Table_ship_components[],COLUMN(AH:AH),0)</f>
        <v>0</v>
      </c>
      <c r="AI709" cm="1">
        <f t="array" ref="AI709">VLOOKUP($A709,Table_ship_components[],COLUMN(AI:AI),0)</f>
        <v>0</v>
      </c>
      <c r="AJ709" cm="1">
        <f t="array" ref="AJ709">VLOOKUP($A709,Table_ship_components[],COLUMN(AJ:AJ),0)</f>
        <v>0</v>
      </c>
      <c r="AK709" cm="1">
        <f t="array" ref="AK709">VLOOKUP($A709,Table_ship_components[],COLUMN(AK:AK),0)</f>
        <v>0</v>
      </c>
      <c r="AL709" cm="1">
        <f t="array" ref="AL709">VLOOKUP($A709,Table_ship_components[],COLUMN(AL:AL),0)</f>
        <v>0</v>
      </c>
      <c r="AM709" cm="1">
        <f t="array" ref="AM709">VLOOKUP($A709,Table_ship_components[],COLUMN(AM:AM),0)</f>
        <v>0</v>
      </c>
      <c r="AN709" cm="1">
        <f t="array" ref="AN709">VLOOKUP($A709,Table_ship_components[],COLUMN(AN:AN),0)</f>
        <v>0</v>
      </c>
      <c r="AO709" cm="1">
        <f t="array" ref="AO709">VLOOKUP($A709,Table_ship_components[],COLUMN(AO:AO),0)</f>
        <v>0</v>
      </c>
      <c r="AP709" cm="1">
        <f t="array" ref="AP709">VLOOKUP($A709,Table_ship_components[],COLUMN(AP:AP),0)</f>
        <v>0</v>
      </c>
      <c r="AQ709" cm="1">
        <f t="array" ref="AQ709">VLOOKUP($A709,Table_ship_components[],COLUMN(AQ:AQ),0)</f>
        <v>0</v>
      </c>
      <c r="AR709" cm="1">
        <f t="array" ref="AR709">VLOOKUP($A709,Table_ship_components[],COLUMN(AR:AR),0)</f>
        <v>0</v>
      </c>
      <c r="AS709" cm="1">
        <f t="array" ref="AS709">VLOOKUP($A709,Table_ship_components[],COLUMN(AS:AS),0)</f>
        <v>0</v>
      </c>
      <c r="AT709" cm="1">
        <f t="array" ref="AT709">VLOOKUP($A709,Table_ship_components[],COLUMN(AT:AT),0)</f>
        <v>0</v>
      </c>
      <c r="AU709" s="2" cm="1">
        <f t="array" ref="AU709">VLOOKUP($A709,Table_ship_components[],COLUMN(AU:AU),0)</f>
        <v>0</v>
      </c>
      <c r="AV709" s="2" cm="1">
        <f t="array" ref="AV709">VLOOKUP($A709,Table_ship_components[],COLUMN(AV:AV),0)</f>
        <v>0</v>
      </c>
      <c r="AW709" s="2" cm="1">
        <f t="array" ref="AW709">VLOOKUP($A709,Table_ship_components[],COLUMN(AW:AW),0)</f>
        <v>0</v>
      </c>
      <c r="AX709" s="2" cm="1">
        <f t="array" ref="AX709">VLOOKUP($A709,Table_ship_components[],COLUMN(AX:AX),0)</f>
        <v>0</v>
      </c>
      <c r="AY709" s="2" cm="1">
        <f t="array" ref="AY709">VLOOKUP($A709,Table_ship_components[],COLUMN(AY:AY),0)</f>
        <v>0</v>
      </c>
      <c r="AZ709" s="2" t="str" cm="1">
        <f t="array" ref="AZ709">VLOOKUP($A709,Table_ship_components[],COLUMN(AZ:AZ),0)</f>
        <v>C</v>
      </c>
      <c r="BA709" s="14" cm="1">
        <f t="array" ref="BA709">VLOOKUP($A709,Table_ship_components[],COLUMN(BA:BA),0)</f>
        <v>0</v>
      </c>
      <c r="BB709" s="14" cm="1">
        <f t="array" ref="BB709">(VLOOKUP($A709,Table_ship_components[],COLUMN(BA:BA),0)+(W709*C709))</f>
        <v>0</v>
      </c>
      <c r="BC709" s="2" cm="1">
        <f t="array" ref="BC709">VLOOKUP($A709,Table_ship_components[],COLUMN(BC:BC),0)</f>
        <v>0</v>
      </c>
      <c r="BD709" s="2" cm="1">
        <f t="array" ref="BD709">VLOOKUP($A709,Table_ship_components[],COLUMN(BD:BD),0)</f>
        <v>0</v>
      </c>
    </row>
    <row r="710" spans="1:56" outlineLevel="1" x14ac:dyDescent="0.35">
      <c r="A710" t="s">
        <v>288</v>
      </c>
      <c r="B710" t="str" cm="1">
        <f t="array" ref="B710">VLOOKUP($A710,Table_ship_components[],COLUMN(B:B),0)</f>
        <v>PICK A COMPONENT</v>
      </c>
      <c r="D710" cm="1">
        <f t="array" ref="D710">VLOOKUP($A710,Table_ship_components[],COLUMN(D:D),0)</f>
        <v>0</v>
      </c>
      <c r="E710" cm="1">
        <f t="array" ref="E710">ROUND(VLOOKUP($A710,Table_ship_components[],COLUMN(D:D),0)+(V710*C710),0)</f>
        <v>0</v>
      </c>
      <c r="F710" cm="1">
        <f t="array" ref="F710">VLOOKUP($A710,Table_ship_components[],COLUMN(F:F),0)</f>
        <v>0</v>
      </c>
      <c r="G710" cm="1">
        <f t="array" ref="G710">ROUND(VLOOKUP($A710,Table_ship_components[],COLUMN(G:G),0)+(X710*C710),0)</f>
        <v>0</v>
      </c>
      <c r="H710" cm="1">
        <f t="array" ref="H710">VLOOKUP($A710,Table_ship_components[],COLUMN(H:H),0)</f>
        <v>0</v>
      </c>
      <c r="I710" cm="1">
        <f t="array" ref="I710">VLOOKUP($A710,Table_ship_components[],COLUMN(I:I),0)</f>
        <v>0</v>
      </c>
      <c r="J710" cm="1">
        <f t="array" ref="J710">VLOOKUP($A710,Table_ship_components[],COLUMN(J:J),0)</f>
        <v>0</v>
      </c>
      <c r="K710" cm="1">
        <f t="array" ref="K710">VLOOKUP($A710,Table_ship_components[],COLUMN(K:K),0)</f>
        <v>0</v>
      </c>
      <c r="L710" cm="1">
        <f t="array" ref="L710">VLOOKUP($A710,Table_ship_components[],COLUMN(L:L),0)</f>
        <v>0</v>
      </c>
      <c r="M710" cm="1">
        <f t="array" ref="M710">VLOOKUP($A710,Table_ship_components[],COLUMN(M:M),0)</f>
        <v>0</v>
      </c>
      <c r="N710" cm="1">
        <f t="array" ref="N710">VLOOKUP($A710,Table_ship_components[],COLUMN(N:N),0)</f>
        <v>0</v>
      </c>
      <c r="O710" cm="1">
        <f t="array" ref="O710">VLOOKUP($A710,Table_ship_components[],COLUMN(O:O),0)</f>
        <v>0</v>
      </c>
      <c r="P710" cm="1">
        <f t="array" ref="P710">VLOOKUP($A710,Table_ship_components[],COLUMN(P:P),0)</f>
        <v>0</v>
      </c>
      <c r="Q710" cm="1">
        <f t="array" ref="Q710">VLOOKUP($A710,Table_ship_components[],COLUMN(Q:Q),0)</f>
        <v>0</v>
      </c>
      <c r="R710" cm="1">
        <f t="array" ref="R710">VLOOKUP($A710,Table_ship_components[],COLUMN(R:R),0)</f>
        <v>0</v>
      </c>
      <c r="S710" cm="1">
        <f t="array" ref="S710">VLOOKUP($A710,Table_ship_components[],COLUMN(S:S),0)</f>
        <v>0</v>
      </c>
      <c r="T710" cm="1">
        <f t="array" ref="T710">VLOOKUP($A710,Table_ship_components[],COLUMN(T:T),0)</f>
        <v>0</v>
      </c>
      <c r="U710" cm="1">
        <f t="array" ref="U710">VLOOKUP($A710,Table_ship_components[],COLUMN(U:U),0)</f>
        <v>0</v>
      </c>
      <c r="V710" cm="1">
        <f t="array" ref="V710">VLOOKUP($A710,Table_ship_components[],COLUMN(V:V),0)</f>
        <v>0</v>
      </c>
      <c r="W710" s="15" cm="1">
        <f t="array" ref="W710">VLOOKUP($A710,Table_ship_components[],COLUMN(W:W),0)</f>
        <v>0</v>
      </c>
      <c r="X710" cm="1">
        <f t="array" ref="X710">VLOOKUP($A710,Table_ship_components[],COLUMN(X:X),0)</f>
        <v>0</v>
      </c>
      <c r="Y710" cm="1">
        <f t="array" ref="Y710">VLOOKUP($A710,Table_ship_components[],COLUMN(Y:Y),0)</f>
        <v>0</v>
      </c>
      <c r="Z710" cm="1">
        <f t="array" ref="Z710">VLOOKUP($A710,Table_ship_components[],COLUMN(Z:Z),0)</f>
        <v>0</v>
      </c>
      <c r="AA710" cm="1">
        <f t="array" ref="AA710">VLOOKUP($A710,Table_ship_components[],COLUMN(AA:AA),0)*C710</f>
        <v>0</v>
      </c>
      <c r="AB710">
        <f t="shared" si="76"/>
        <v>0</v>
      </c>
      <c r="AC710" cm="1">
        <f t="array" ref="AC710">VLOOKUP($A710,Table_ship_components[],COLUMN(AC:AC),0)*C710</f>
        <v>0</v>
      </c>
      <c r="AD710" cm="1">
        <f t="array" ref="AD710">VLOOKUP($A710,Table_ship_components[],COLUMN(AD:AD),0)</f>
        <v>0</v>
      </c>
      <c r="AE710" cm="1">
        <f t="array" ref="AE710">VLOOKUP($A710,Table_ship_components[],COLUMN(AE:AE),0)</f>
        <v>0</v>
      </c>
      <c r="AF710" cm="1">
        <f t="array" ref="AF710">VLOOKUP($A710,Table_ship_components[],COLUMN(AF:AF),0)</f>
        <v>0</v>
      </c>
      <c r="AG710" cm="1">
        <f t="array" ref="AG710">VLOOKUP($A710,Table_ship_components[],COLUMN(AG:AG),0)</f>
        <v>0</v>
      </c>
      <c r="AH710" cm="1">
        <f t="array" ref="AH710">VLOOKUP($A710,Table_ship_components[],COLUMN(AH:AH),0)</f>
        <v>0</v>
      </c>
      <c r="AI710" cm="1">
        <f t="array" ref="AI710">VLOOKUP($A710,Table_ship_components[],COLUMN(AI:AI),0)</f>
        <v>0</v>
      </c>
      <c r="AJ710" cm="1">
        <f t="array" ref="AJ710">VLOOKUP($A710,Table_ship_components[],COLUMN(AJ:AJ),0)</f>
        <v>0</v>
      </c>
      <c r="AK710" cm="1">
        <f t="array" ref="AK710">VLOOKUP($A710,Table_ship_components[],COLUMN(AK:AK),0)</f>
        <v>0</v>
      </c>
      <c r="AL710" cm="1">
        <f t="array" ref="AL710">VLOOKUP($A710,Table_ship_components[],COLUMN(AL:AL),0)</f>
        <v>0</v>
      </c>
      <c r="AM710" cm="1">
        <f t="array" ref="AM710">VLOOKUP($A710,Table_ship_components[],COLUMN(AM:AM),0)</f>
        <v>0</v>
      </c>
      <c r="AN710" cm="1">
        <f t="array" ref="AN710">VLOOKUP($A710,Table_ship_components[],COLUMN(AN:AN),0)</f>
        <v>0</v>
      </c>
      <c r="AO710" cm="1">
        <f t="array" ref="AO710">VLOOKUP($A710,Table_ship_components[],COLUMN(AO:AO),0)</f>
        <v>0</v>
      </c>
      <c r="AP710" cm="1">
        <f t="array" ref="AP710">VLOOKUP($A710,Table_ship_components[],COLUMN(AP:AP),0)</f>
        <v>0</v>
      </c>
      <c r="AQ710" cm="1">
        <f t="array" ref="AQ710">VLOOKUP($A710,Table_ship_components[],COLUMN(AQ:AQ),0)</f>
        <v>0</v>
      </c>
      <c r="AR710" cm="1">
        <f t="array" ref="AR710">VLOOKUP($A710,Table_ship_components[],COLUMN(AR:AR),0)</f>
        <v>0</v>
      </c>
      <c r="AS710" cm="1">
        <f t="array" ref="AS710">VLOOKUP($A710,Table_ship_components[],COLUMN(AS:AS),0)</f>
        <v>0</v>
      </c>
      <c r="AT710" cm="1">
        <f t="array" ref="AT710">VLOOKUP($A710,Table_ship_components[],COLUMN(AT:AT),0)</f>
        <v>0</v>
      </c>
      <c r="AU710" s="2" cm="1">
        <f t="array" ref="AU710">VLOOKUP($A710,Table_ship_components[],COLUMN(AU:AU),0)</f>
        <v>0</v>
      </c>
      <c r="AV710" s="2" cm="1">
        <f t="array" ref="AV710">VLOOKUP($A710,Table_ship_components[],COLUMN(AV:AV),0)</f>
        <v>0</v>
      </c>
      <c r="AW710" s="2" cm="1">
        <f t="array" ref="AW710">VLOOKUP($A710,Table_ship_components[],COLUMN(AW:AW),0)</f>
        <v>0</v>
      </c>
      <c r="AX710" s="2" cm="1">
        <f t="array" ref="AX710">VLOOKUP($A710,Table_ship_components[],COLUMN(AX:AX),0)</f>
        <v>0</v>
      </c>
      <c r="AY710" s="2" cm="1">
        <f t="array" ref="AY710">VLOOKUP($A710,Table_ship_components[],COLUMN(AY:AY),0)</f>
        <v>0</v>
      </c>
      <c r="AZ710" s="2" t="str" cm="1">
        <f t="array" ref="AZ710">VLOOKUP($A710,Table_ship_components[],COLUMN(AZ:AZ),0)</f>
        <v>C</v>
      </c>
      <c r="BA710" s="14" cm="1">
        <f t="array" ref="BA710">VLOOKUP($A710,Table_ship_components[],COLUMN(BA:BA),0)</f>
        <v>0</v>
      </c>
      <c r="BB710" s="14" cm="1">
        <f t="array" ref="BB710">(VLOOKUP($A710,Table_ship_components[],COLUMN(BA:BA),0)+(W710*C710))</f>
        <v>0</v>
      </c>
      <c r="BC710" s="2" cm="1">
        <f t="array" ref="BC710">VLOOKUP($A710,Table_ship_components[],COLUMN(BC:BC),0)</f>
        <v>0</v>
      </c>
      <c r="BD710" s="2" cm="1">
        <f t="array" ref="BD710">VLOOKUP($A710,Table_ship_components[],COLUMN(BD:BD),0)</f>
        <v>0</v>
      </c>
    </row>
    <row r="711" spans="1:56" outlineLevel="1" x14ac:dyDescent="0.35">
      <c r="A711" t="s">
        <v>288</v>
      </c>
      <c r="B711" t="str" cm="1">
        <f t="array" ref="B711">VLOOKUP($A711,Table_ship_components[],COLUMN(B:B),0)</f>
        <v>PICK A COMPONENT</v>
      </c>
      <c r="D711" cm="1">
        <f t="array" ref="D711">VLOOKUP($A711,Table_ship_components[],COLUMN(D:D),0)</f>
        <v>0</v>
      </c>
      <c r="E711" cm="1">
        <f t="array" ref="E711">ROUND(VLOOKUP($A711,Table_ship_components[],COLUMN(D:D),0)+(V711*C711),0)</f>
        <v>0</v>
      </c>
      <c r="F711" cm="1">
        <f t="array" ref="F711">VLOOKUP($A711,Table_ship_components[],COLUMN(F:F),0)</f>
        <v>0</v>
      </c>
      <c r="G711" cm="1">
        <f t="array" ref="G711">ROUND(VLOOKUP($A711,Table_ship_components[],COLUMN(G:G),0)+(X711*C711),0)</f>
        <v>0</v>
      </c>
      <c r="H711" cm="1">
        <f t="array" ref="H711">VLOOKUP($A711,Table_ship_components[],COLUMN(H:H),0)</f>
        <v>0</v>
      </c>
      <c r="I711" cm="1">
        <f t="array" ref="I711">VLOOKUP($A711,Table_ship_components[],COLUMN(I:I),0)</f>
        <v>0</v>
      </c>
      <c r="J711" cm="1">
        <f t="array" ref="J711">VLOOKUP($A711,Table_ship_components[],COLUMN(J:J),0)</f>
        <v>0</v>
      </c>
      <c r="K711" cm="1">
        <f t="array" ref="K711">VLOOKUP($A711,Table_ship_components[],COLUMN(K:K),0)</f>
        <v>0</v>
      </c>
      <c r="L711" cm="1">
        <f t="array" ref="L711">VLOOKUP($A711,Table_ship_components[],COLUMN(L:L),0)</f>
        <v>0</v>
      </c>
      <c r="M711" cm="1">
        <f t="array" ref="M711">VLOOKUP($A711,Table_ship_components[],COLUMN(M:M),0)</f>
        <v>0</v>
      </c>
      <c r="N711" cm="1">
        <f t="array" ref="N711">VLOOKUP($A711,Table_ship_components[],COLUMN(N:N),0)</f>
        <v>0</v>
      </c>
      <c r="O711" cm="1">
        <f t="array" ref="O711">VLOOKUP($A711,Table_ship_components[],COLUMN(O:O),0)</f>
        <v>0</v>
      </c>
      <c r="P711" cm="1">
        <f t="array" ref="P711">VLOOKUP($A711,Table_ship_components[],COLUMN(P:P),0)</f>
        <v>0</v>
      </c>
      <c r="Q711" cm="1">
        <f t="array" ref="Q711">VLOOKUP($A711,Table_ship_components[],COLUMN(Q:Q),0)</f>
        <v>0</v>
      </c>
      <c r="R711" cm="1">
        <f t="array" ref="R711">VLOOKUP($A711,Table_ship_components[],COLUMN(R:R),0)</f>
        <v>0</v>
      </c>
      <c r="S711" cm="1">
        <f t="array" ref="S711">VLOOKUP($A711,Table_ship_components[],COLUMN(S:S),0)</f>
        <v>0</v>
      </c>
      <c r="T711" cm="1">
        <f t="array" ref="T711">VLOOKUP($A711,Table_ship_components[],COLUMN(T:T),0)</f>
        <v>0</v>
      </c>
      <c r="U711" cm="1">
        <f t="array" ref="U711">VLOOKUP($A711,Table_ship_components[],COLUMN(U:U),0)</f>
        <v>0</v>
      </c>
      <c r="V711" cm="1">
        <f t="array" ref="V711">VLOOKUP($A711,Table_ship_components[],COLUMN(V:V),0)</f>
        <v>0</v>
      </c>
      <c r="W711" s="15" cm="1">
        <f t="array" ref="W711">VLOOKUP($A711,Table_ship_components[],COLUMN(W:W),0)</f>
        <v>0</v>
      </c>
      <c r="X711" cm="1">
        <f t="array" ref="X711">VLOOKUP($A711,Table_ship_components[],COLUMN(X:X),0)</f>
        <v>0</v>
      </c>
      <c r="Y711" cm="1">
        <f t="array" ref="Y711">VLOOKUP($A711,Table_ship_components[],COLUMN(Y:Y),0)</f>
        <v>0</v>
      </c>
      <c r="Z711" cm="1">
        <f t="array" ref="Z711">VLOOKUP($A711,Table_ship_components[],COLUMN(Z:Z),0)</f>
        <v>0</v>
      </c>
      <c r="AA711" cm="1">
        <f t="array" ref="AA711">VLOOKUP($A711,Table_ship_components[],COLUMN(AA:AA),0)*C711</f>
        <v>0</v>
      </c>
      <c r="AB711">
        <f t="shared" si="76"/>
        <v>0</v>
      </c>
      <c r="AC711" cm="1">
        <f t="array" ref="AC711">VLOOKUP($A711,Table_ship_components[],COLUMN(AC:AC),0)*C711</f>
        <v>0</v>
      </c>
      <c r="AD711" cm="1">
        <f t="array" ref="AD711">VLOOKUP($A711,Table_ship_components[],COLUMN(AD:AD),0)</f>
        <v>0</v>
      </c>
      <c r="AE711" cm="1">
        <f t="array" ref="AE711">VLOOKUP($A711,Table_ship_components[],COLUMN(AE:AE),0)</f>
        <v>0</v>
      </c>
      <c r="AF711" cm="1">
        <f t="array" ref="AF711">VLOOKUP($A711,Table_ship_components[],COLUMN(AF:AF),0)</f>
        <v>0</v>
      </c>
      <c r="AG711" cm="1">
        <f t="array" ref="AG711">VLOOKUP($A711,Table_ship_components[],COLUMN(AG:AG),0)</f>
        <v>0</v>
      </c>
      <c r="AH711" cm="1">
        <f t="array" ref="AH711">VLOOKUP($A711,Table_ship_components[],COLUMN(AH:AH),0)</f>
        <v>0</v>
      </c>
      <c r="AI711" cm="1">
        <f t="array" ref="AI711">VLOOKUP($A711,Table_ship_components[],COLUMN(AI:AI),0)</f>
        <v>0</v>
      </c>
      <c r="AJ711" cm="1">
        <f t="array" ref="AJ711">VLOOKUP($A711,Table_ship_components[],COLUMN(AJ:AJ),0)</f>
        <v>0</v>
      </c>
      <c r="AK711" cm="1">
        <f t="array" ref="AK711">VLOOKUP($A711,Table_ship_components[],COLUMN(AK:AK),0)</f>
        <v>0</v>
      </c>
      <c r="AL711" cm="1">
        <f t="array" ref="AL711">VLOOKUP($A711,Table_ship_components[],COLUMN(AL:AL),0)</f>
        <v>0</v>
      </c>
      <c r="AM711" cm="1">
        <f t="array" ref="AM711">VLOOKUP($A711,Table_ship_components[],COLUMN(AM:AM),0)</f>
        <v>0</v>
      </c>
      <c r="AN711" cm="1">
        <f t="array" ref="AN711">VLOOKUP($A711,Table_ship_components[],COLUMN(AN:AN),0)</f>
        <v>0</v>
      </c>
      <c r="AO711" cm="1">
        <f t="array" ref="AO711">VLOOKUP($A711,Table_ship_components[],COLUMN(AO:AO),0)</f>
        <v>0</v>
      </c>
      <c r="AP711" cm="1">
        <f t="array" ref="AP711">VLOOKUP($A711,Table_ship_components[],COLUMN(AP:AP),0)</f>
        <v>0</v>
      </c>
      <c r="AQ711" cm="1">
        <f t="array" ref="AQ711">VLOOKUP($A711,Table_ship_components[],COLUMN(AQ:AQ),0)</f>
        <v>0</v>
      </c>
      <c r="AR711" cm="1">
        <f t="array" ref="AR711">VLOOKUP($A711,Table_ship_components[],COLUMN(AR:AR),0)</f>
        <v>0</v>
      </c>
      <c r="AS711" cm="1">
        <f t="array" ref="AS711">VLOOKUP($A711,Table_ship_components[],COLUMN(AS:AS),0)</f>
        <v>0</v>
      </c>
      <c r="AT711" cm="1">
        <f t="array" ref="AT711">VLOOKUP($A711,Table_ship_components[],COLUMN(AT:AT),0)</f>
        <v>0</v>
      </c>
      <c r="AU711" s="2" cm="1">
        <f t="array" ref="AU711">VLOOKUP($A711,Table_ship_components[],COLUMN(AU:AU),0)</f>
        <v>0</v>
      </c>
      <c r="AV711" s="2" cm="1">
        <f t="array" ref="AV711">VLOOKUP($A711,Table_ship_components[],COLUMN(AV:AV),0)</f>
        <v>0</v>
      </c>
      <c r="AW711" s="2" cm="1">
        <f t="array" ref="AW711">VLOOKUP($A711,Table_ship_components[],COLUMN(AW:AW),0)</f>
        <v>0</v>
      </c>
      <c r="AX711" s="2" cm="1">
        <f t="array" ref="AX711">VLOOKUP($A711,Table_ship_components[],COLUMN(AX:AX),0)</f>
        <v>0</v>
      </c>
      <c r="AY711" s="2" cm="1">
        <f t="array" ref="AY711">VLOOKUP($A711,Table_ship_components[],COLUMN(AY:AY),0)</f>
        <v>0</v>
      </c>
      <c r="AZ711" s="2" t="str" cm="1">
        <f t="array" ref="AZ711">VLOOKUP($A711,Table_ship_components[],COLUMN(AZ:AZ),0)</f>
        <v>C</v>
      </c>
      <c r="BA711" s="14" cm="1">
        <f t="array" ref="BA711">VLOOKUP($A711,Table_ship_components[],COLUMN(BA:BA),0)</f>
        <v>0</v>
      </c>
      <c r="BB711" s="14" cm="1">
        <f t="array" ref="BB711">(VLOOKUP($A711,Table_ship_components[],COLUMN(BA:BA),0)+(W711*C711))</f>
        <v>0</v>
      </c>
      <c r="BC711" s="2" cm="1">
        <f t="array" ref="BC711">VLOOKUP($A711,Table_ship_components[],COLUMN(BC:BC),0)</f>
        <v>0</v>
      </c>
      <c r="BD711" s="2" cm="1">
        <f t="array" ref="BD711">VLOOKUP($A711,Table_ship_components[],COLUMN(BD:BD),0)</f>
        <v>0</v>
      </c>
    </row>
    <row r="712" spans="1:56" outlineLevel="1" x14ac:dyDescent="0.35">
      <c r="A712" t="s">
        <v>288</v>
      </c>
      <c r="B712" t="str" cm="1">
        <f t="array" ref="B712">VLOOKUP($A712,Table_ship_components[],COLUMN(B:B),0)</f>
        <v>PICK A COMPONENT</v>
      </c>
      <c r="D712" cm="1">
        <f t="array" ref="D712">VLOOKUP($A712,Table_ship_components[],COLUMN(D:D),0)</f>
        <v>0</v>
      </c>
      <c r="E712" cm="1">
        <f t="array" ref="E712">ROUND(VLOOKUP($A712,Table_ship_components[],COLUMN(D:D),0)+(V712*C712),0)</f>
        <v>0</v>
      </c>
      <c r="F712" cm="1">
        <f t="array" ref="F712">VLOOKUP($A712,Table_ship_components[],COLUMN(F:F),0)</f>
        <v>0</v>
      </c>
      <c r="G712" cm="1">
        <f t="array" ref="G712">ROUND(VLOOKUP($A712,Table_ship_components[],COLUMN(G:G),0)+(X712*C712),0)</f>
        <v>0</v>
      </c>
      <c r="H712" cm="1">
        <f t="array" ref="H712">VLOOKUP($A712,Table_ship_components[],COLUMN(H:H),0)</f>
        <v>0</v>
      </c>
      <c r="I712" cm="1">
        <f t="array" ref="I712">VLOOKUP($A712,Table_ship_components[],COLUMN(I:I),0)</f>
        <v>0</v>
      </c>
      <c r="J712" cm="1">
        <f t="array" ref="J712">VLOOKUP($A712,Table_ship_components[],COLUMN(J:J),0)</f>
        <v>0</v>
      </c>
      <c r="K712" cm="1">
        <f t="array" ref="K712">VLOOKUP($A712,Table_ship_components[],COLUMN(K:K),0)</f>
        <v>0</v>
      </c>
      <c r="L712" cm="1">
        <f t="array" ref="L712">VLOOKUP($A712,Table_ship_components[],COLUMN(L:L),0)</f>
        <v>0</v>
      </c>
      <c r="M712" cm="1">
        <f t="array" ref="M712">VLOOKUP($A712,Table_ship_components[],COLUMN(M:M),0)</f>
        <v>0</v>
      </c>
      <c r="N712" cm="1">
        <f t="array" ref="N712">VLOOKUP($A712,Table_ship_components[],COLUMN(N:N),0)</f>
        <v>0</v>
      </c>
      <c r="O712" cm="1">
        <f t="array" ref="O712">VLOOKUP($A712,Table_ship_components[],COLUMN(O:O),0)</f>
        <v>0</v>
      </c>
      <c r="P712" cm="1">
        <f t="array" ref="P712">VLOOKUP($A712,Table_ship_components[],COLUMN(P:P),0)</f>
        <v>0</v>
      </c>
      <c r="Q712" cm="1">
        <f t="array" ref="Q712">VLOOKUP($A712,Table_ship_components[],COLUMN(Q:Q),0)</f>
        <v>0</v>
      </c>
      <c r="R712" cm="1">
        <f t="array" ref="R712">VLOOKUP($A712,Table_ship_components[],COLUMN(R:R),0)</f>
        <v>0</v>
      </c>
      <c r="S712" cm="1">
        <f t="array" ref="S712">VLOOKUP($A712,Table_ship_components[],COLUMN(S:S),0)</f>
        <v>0</v>
      </c>
      <c r="T712" cm="1">
        <f t="array" ref="T712">VLOOKUP($A712,Table_ship_components[],COLUMN(T:T),0)</f>
        <v>0</v>
      </c>
      <c r="U712" cm="1">
        <f t="array" ref="U712">VLOOKUP($A712,Table_ship_components[],COLUMN(U:U),0)</f>
        <v>0</v>
      </c>
      <c r="V712" cm="1">
        <f t="array" ref="V712">VLOOKUP($A712,Table_ship_components[],COLUMN(V:V),0)</f>
        <v>0</v>
      </c>
      <c r="W712" s="15" cm="1">
        <f t="array" ref="W712">VLOOKUP($A712,Table_ship_components[],COLUMN(W:W),0)</f>
        <v>0</v>
      </c>
      <c r="X712" cm="1">
        <f t="array" ref="X712">VLOOKUP($A712,Table_ship_components[],COLUMN(X:X),0)</f>
        <v>0</v>
      </c>
      <c r="Y712" cm="1">
        <f t="array" ref="Y712">VLOOKUP($A712,Table_ship_components[],COLUMN(Y:Y),0)</f>
        <v>0</v>
      </c>
      <c r="Z712" cm="1">
        <f t="array" ref="Z712">VLOOKUP($A712,Table_ship_components[],COLUMN(Z:Z),0)</f>
        <v>0</v>
      </c>
      <c r="AA712" cm="1">
        <f t="array" ref="AA712">VLOOKUP($A712,Table_ship_components[],COLUMN(AA:AA),0)*C712</f>
        <v>0</v>
      </c>
      <c r="AB712">
        <f t="shared" si="76"/>
        <v>0</v>
      </c>
      <c r="AC712" cm="1">
        <f t="array" ref="AC712">VLOOKUP($A712,Table_ship_components[],COLUMN(AC:AC),0)*C712</f>
        <v>0</v>
      </c>
      <c r="AD712" cm="1">
        <f t="array" ref="AD712">VLOOKUP($A712,Table_ship_components[],COLUMN(AD:AD),0)</f>
        <v>0</v>
      </c>
      <c r="AE712" cm="1">
        <f t="array" ref="AE712">VLOOKUP($A712,Table_ship_components[],COLUMN(AE:AE),0)</f>
        <v>0</v>
      </c>
      <c r="AF712" cm="1">
        <f t="array" ref="AF712">VLOOKUP($A712,Table_ship_components[],COLUMN(AF:AF),0)</f>
        <v>0</v>
      </c>
      <c r="AG712" cm="1">
        <f t="array" ref="AG712">VLOOKUP($A712,Table_ship_components[],COLUMN(AG:AG),0)</f>
        <v>0</v>
      </c>
      <c r="AH712" cm="1">
        <f t="array" ref="AH712">VLOOKUP($A712,Table_ship_components[],COLUMN(AH:AH),0)</f>
        <v>0</v>
      </c>
      <c r="AI712" cm="1">
        <f t="array" ref="AI712">VLOOKUP($A712,Table_ship_components[],COLUMN(AI:AI),0)</f>
        <v>0</v>
      </c>
      <c r="AJ712" cm="1">
        <f t="array" ref="AJ712">VLOOKUP($A712,Table_ship_components[],COLUMN(AJ:AJ),0)</f>
        <v>0</v>
      </c>
      <c r="AK712" cm="1">
        <f t="array" ref="AK712">VLOOKUP($A712,Table_ship_components[],COLUMN(AK:AK),0)</f>
        <v>0</v>
      </c>
      <c r="AL712" cm="1">
        <f t="array" ref="AL712">VLOOKUP($A712,Table_ship_components[],COLUMN(AL:AL),0)</f>
        <v>0</v>
      </c>
      <c r="AM712" cm="1">
        <f t="array" ref="AM712">VLOOKUP($A712,Table_ship_components[],COLUMN(AM:AM),0)</f>
        <v>0</v>
      </c>
      <c r="AN712" cm="1">
        <f t="array" ref="AN712">VLOOKUP($A712,Table_ship_components[],COLUMN(AN:AN),0)</f>
        <v>0</v>
      </c>
      <c r="AO712" cm="1">
        <f t="array" ref="AO712">VLOOKUP($A712,Table_ship_components[],COLUMN(AO:AO),0)</f>
        <v>0</v>
      </c>
      <c r="AP712" cm="1">
        <f t="array" ref="AP712">VLOOKUP($A712,Table_ship_components[],COLUMN(AP:AP),0)</f>
        <v>0</v>
      </c>
      <c r="AQ712" cm="1">
        <f t="array" ref="AQ712">VLOOKUP($A712,Table_ship_components[],COLUMN(AQ:AQ),0)</f>
        <v>0</v>
      </c>
      <c r="AR712" cm="1">
        <f t="array" ref="AR712">VLOOKUP($A712,Table_ship_components[],COLUMN(AR:AR),0)</f>
        <v>0</v>
      </c>
      <c r="AS712" cm="1">
        <f t="array" ref="AS712">VLOOKUP($A712,Table_ship_components[],COLUMN(AS:AS),0)</f>
        <v>0</v>
      </c>
      <c r="AT712" cm="1">
        <f t="array" ref="AT712">VLOOKUP($A712,Table_ship_components[],COLUMN(AT:AT),0)</f>
        <v>0</v>
      </c>
      <c r="AU712" s="2" cm="1">
        <f t="array" ref="AU712">VLOOKUP($A712,Table_ship_components[],COLUMN(AU:AU),0)</f>
        <v>0</v>
      </c>
      <c r="AV712" s="2" cm="1">
        <f t="array" ref="AV712">VLOOKUP($A712,Table_ship_components[],COLUMN(AV:AV),0)</f>
        <v>0</v>
      </c>
      <c r="AW712" s="2" cm="1">
        <f t="array" ref="AW712">VLOOKUP($A712,Table_ship_components[],COLUMN(AW:AW),0)</f>
        <v>0</v>
      </c>
      <c r="AX712" s="2" cm="1">
        <f t="array" ref="AX712">VLOOKUP($A712,Table_ship_components[],COLUMN(AX:AX),0)</f>
        <v>0</v>
      </c>
      <c r="AY712" s="2" cm="1">
        <f t="array" ref="AY712">VLOOKUP($A712,Table_ship_components[],COLUMN(AY:AY),0)</f>
        <v>0</v>
      </c>
      <c r="AZ712" s="2" t="str" cm="1">
        <f t="array" ref="AZ712">VLOOKUP($A712,Table_ship_components[],COLUMN(AZ:AZ),0)</f>
        <v>C</v>
      </c>
      <c r="BA712" s="14" cm="1">
        <f t="array" ref="BA712">VLOOKUP($A712,Table_ship_components[],COLUMN(BA:BA),0)</f>
        <v>0</v>
      </c>
      <c r="BB712" s="14" cm="1">
        <f t="array" ref="BB712">(VLOOKUP($A712,Table_ship_components[],COLUMN(BA:BA),0)+(W712*C712))</f>
        <v>0</v>
      </c>
      <c r="BC712" s="2" cm="1">
        <f t="array" ref="BC712">VLOOKUP($A712,Table_ship_components[],COLUMN(BC:BC),0)</f>
        <v>0</v>
      </c>
      <c r="BD712" s="2" cm="1">
        <f t="array" ref="BD712">VLOOKUP($A712,Table_ship_components[],COLUMN(BD:BD),0)</f>
        <v>0</v>
      </c>
    </row>
    <row r="713" spans="1:56" outlineLevel="1" x14ac:dyDescent="0.35">
      <c r="A713" t="s">
        <v>288</v>
      </c>
      <c r="B713" t="str" cm="1">
        <f t="array" ref="B713">VLOOKUP($A713,Table_ship_components[],COLUMN(B:B),0)</f>
        <v>PICK A COMPONENT</v>
      </c>
      <c r="D713" cm="1">
        <f t="array" ref="D713">VLOOKUP($A713,Table_ship_components[],COLUMN(D:D),0)</f>
        <v>0</v>
      </c>
      <c r="E713" cm="1">
        <f t="array" ref="E713">ROUND(VLOOKUP($A713,Table_ship_components[],COLUMN(D:D),0)+(V713*C713),0)</f>
        <v>0</v>
      </c>
      <c r="F713" cm="1">
        <f t="array" ref="F713">VLOOKUP($A713,Table_ship_components[],COLUMN(F:F),0)</f>
        <v>0</v>
      </c>
      <c r="G713" cm="1">
        <f t="array" ref="G713">ROUND(VLOOKUP($A713,Table_ship_components[],COLUMN(G:G),0)+(X713*C713),0)</f>
        <v>0</v>
      </c>
      <c r="H713" cm="1">
        <f t="array" ref="H713">VLOOKUP($A713,Table_ship_components[],COLUMN(H:H),0)</f>
        <v>0</v>
      </c>
      <c r="I713" cm="1">
        <f t="array" ref="I713">VLOOKUP($A713,Table_ship_components[],COLUMN(I:I),0)</f>
        <v>0</v>
      </c>
      <c r="J713" cm="1">
        <f t="array" ref="J713">VLOOKUP($A713,Table_ship_components[],COLUMN(J:J),0)</f>
        <v>0</v>
      </c>
      <c r="K713" cm="1">
        <f t="array" ref="K713">VLOOKUP($A713,Table_ship_components[],COLUMN(K:K),0)</f>
        <v>0</v>
      </c>
      <c r="L713" cm="1">
        <f t="array" ref="L713">VLOOKUP($A713,Table_ship_components[],COLUMN(L:L),0)</f>
        <v>0</v>
      </c>
      <c r="M713" cm="1">
        <f t="array" ref="M713">VLOOKUP($A713,Table_ship_components[],COLUMN(M:M),0)</f>
        <v>0</v>
      </c>
      <c r="N713" cm="1">
        <f t="array" ref="N713">VLOOKUP($A713,Table_ship_components[],COLUMN(N:N),0)</f>
        <v>0</v>
      </c>
      <c r="O713" cm="1">
        <f t="array" ref="O713">VLOOKUP($A713,Table_ship_components[],COLUMN(O:O),0)</f>
        <v>0</v>
      </c>
      <c r="P713" cm="1">
        <f t="array" ref="P713">VLOOKUP($A713,Table_ship_components[],COLUMN(P:P),0)</f>
        <v>0</v>
      </c>
      <c r="Q713" cm="1">
        <f t="array" ref="Q713">VLOOKUP($A713,Table_ship_components[],COLUMN(Q:Q),0)</f>
        <v>0</v>
      </c>
      <c r="R713" cm="1">
        <f t="array" ref="R713">VLOOKUP($A713,Table_ship_components[],COLUMN(R:R),0)</f>
        <v>0</v>
      </c>
      <c r="S713" cm="1">
        <f t="array" ref="S713">VLOOKUP($A713,Table_ship_components[],COLUMN(S:S),0)</f>
        <v>0</v>
      </c>
      <c r="T713" cm="1">
        <f t="array" ref="T713">VLOOKUP($A713,Table_ship_components[],COLUMN(T:T),0)</f>
        <v>0</v>
      </c>
      <c r="U713" cm="1">
        <f t="array" ref="U713">VLOOKUP($A713,Table_ship_components[],COLUMN(U:U),0)</f>
        <v>0</v>
      </c>
      <c r="V713" cm="1">
        <f t="array" ref="V713">VLOOKUP($A713,Table_ship_components[],COLUMN(V:V),0)</f>
        <v>0</v>
      </c>
      <c r="W713" s="15" cm="1">
        <f t="array" ref="W713">VLOOKUP($A713,Table_ship_components[],COLUMN(W:W),0)</f>
        <v>0</v>
      </c>
      <c r="X713" cm="1">
        <f t="array" ref="X713">VLOOKUP($A713,Table_ship_components[],COLUMN(X:X),0)</f>
        <v>0</v>
      </c>
      <c r="Y713" cm="1">
        <f t="array" ref="Y713">VLOOKUP($A713,Table_ship_components[],COLUMN(Y:Y),0)</f>
        <v>0</v>
      </c>
      <c r="Z713" cm="1">
        <f t="array" ref="Z713">VLOOKUP($A713,Table_ship_components[],COLUMN(Z:Z),0)</f>
        <v>0</v>
      </c>
      <c r="AA713" cm="1">
        <f t="array" ref="AA713">VLOOKUP($A713,Table_ship_components[],COLUMN(AA:AA),0)*C713</f>
        <v>0</v>
      </c>
      <c r="AB713">
        <f t="shared" si="76"/>
        <v>0</v>
      </c>
      <c r="AC713" cm="1">
        <f t="array" ref="AC713">VLOOKUP($A713,Table_ship_components[],COLUMN(AC:AC),0)*C713</f>
        <v>0</v>
      </c>
      <c r="AD713" cm="1">
        <f t="array" ref="AD713">VLOOKUP($A713,Table_ship_components[],COLUMN(AD:AD),0)</f>
        <v>0</v>
      </c>
      <c r="AE713" cm="1">
        <f t="array" ref="AE713">VLOOKUP($A713,Table_ship_components[],COLUMN(AE:AE),0)</f>
        <v>0</v>
      </c>
      <c r="AF713" cm="1">
        <f t="array" ref="AF713">VLOOKUP($A713,Table_ship_components[],COLUMN(AF:AF),0)</f>
        <v>0</v>
      </c>
      <c r="AG713" cm="1">
        <f t="array" ref="AG713">VLOOKUP($A713,Table_ship_components[],COLUMN(AG:AG),0)</f>
        <v>0</v>
      </c>
      <c r="AH713" cm="1">
        <f t="array" ref="AH713">VLOOKUP($A713,Table_ship_components[],COLUMN(AH:AH),0)</f>
        <v>0</v>
      </c>
      <c r="AI713" cm="1">
        <f t="array" ref="AI713">VLOOKUP($A713,Table_ship_components[],COLUMN(AI:AI),0)</f>
        <v>0</v>
      </c>
      <c r="AJ713" cm="1">
        <f t="array" ref="AJ713">VLOOKUP($A713,Table_ship_components[],COLUMN(AJ:AJ),0)</f>
        <v>0</v>
      </c>
      <c r="AK713" cm="1">
        <f t="array" ref="AK713">VLOOKUP($A713,Table_ship_components[],COLUMN(AK:AK),0)</f>
        <v>0</v>
      </c>
      <c r="AL713" cm="1">
        <f t="array" ref="AL713">VLOOKUP($A713,Table_ship_components[],COLUMN(AL:AL),0)</f>
        <v>0</v>
      </c>
      <c r="AM713" cm="1">
        <f t="array" ref="AM713">VLOOKUP($A713,Table_ship_components[],COLUMN(AM:AM),0)</f>
        <v>0</v>
      </c>
      <c r="AN713" cm="1">
        <f t="array" ref="AN713">VLOOKUP($A713,Table_ship_components[],COLUMN(AN:AN),0)</f>
        <v>0</v>
      </c>
      <c r="AO713" cm="1">
        <f t="array" ref="AO713">VLOOKUP($A713,Table_ship_components[],COLUMN(AO:AO),0)</f>
        <v>0</v>
      </c>
      <c r="AP713" cm="1">
        <f t="array" ref="AP713">VLOOKUP($A713,Table_ship_components[],COLUMN(AP:AP),0)</f>
        <v>0</v>
      </c>
      <c r="AQ713" cm="1">
        <f t="array" ref="AQ713">VLOOKUP($A713,Table_ship_components[],COLUMN(AQ:AQ),0)</f>
        <v>0</v>
      </c>
      <c r="AR713" cm="1">
        <f t="array" ref="AR713">VLOOKUP($A713,Table_ship_components[],COLUMN(AR:AR),0)</f>
        <v>0</v>
      </c>
      <c r="AS713" cm="1">
        <f t="array" ref="AS713">VLOOKUP($A713,Table_ship_components[],COLUMN(AS:AS),0)</f>
        <v>0</v>
      </c>
      <c r="AT713" cm="1">
        <f t="array" ref="AT713">VLOOKUP($A713,Table_ship_components[],COLUMN(AT:AT),0)</f>
        <v>0</v>
      </c>
      <c r="AU713" s="2" cm="1">
        <f t="array" ref="AU713">VLOOKUP($A713,Table_ship_components[],COLUMN(AU:AU),0)</f>
        <v>0</v>
      </c>
      <c r="AV713" s="2" cm="1">
        <f t="array" ref="AV713">VLOOKUP($A713,Table_ship_components[],COLUMN(AV:AV),0)</f>
        <v>0</v>
      </c>
      <c r="AW713" s="2" cm="1">
        <f t="array" ref="AW713">VLOOKUP($A713,Table_ship_components[],COLUMN(AW:AW),0)</f>
        <v>0</v>
      </c>
      <c r="AX713" s="2" cm="1">
        <f t="array" ref="AX713">VLOOKUP($A713,Table_ship_components[],COLUMN(AX:AX),0)</f>
        <v>0</v>
      </c>
      <c r="AY713" s="2" cm="1">
        <f t="array" ref="AY713">VLOOKUP($A713,Table_ship_components[],COLUMN(AY:AY),0)</f>
        <v>0</v>
      </c>
      <c r="AZ713" s="2" t="str" cm="1">
        <f t="array" ref="AZ713">VLOOKUP($A713,Table_ship_components[],COLUMN(AZ:AZ),0)</f>
        <v>C</v>
      </c>
      <c r="BA713" s="14" cm="1">
        <f t="array" ref="BA713">VLOOKUP($A713,Table_ship_components[],COLUMN(BA:BA),0)</f>
        <v>0</v>
      </c>
      <c r="BB713" s="14" cm="1">
        <f t="array" ref="BB713">(VLOOKUP($A713,Table_ship_components[],COLUMN(BA:BA),0)+(W713*C713))</f>
        <v>0</v>
      </c>
      <c r="BC713" s="2" cm="1">
        <f t="array" ref="BC713">VLOOKUP($A713,Table_ship_components[],COLUMN(BC:BC),0)</f>
        <v>0</v>
      </c>
      <c r="BD713" s="2" cm="1">
        <f t="array" ref="BD713">VLOOKUP($A713,Table_ship_components[],COLUMN(BD:BD),0)</f>
        <v>0</v>
      </c>
    </row>
    <row r="714" spans="1:56" outlineLevel="1" x14ac:dyDescent="0.35">
      <c r="A714" t="s">
        <v>288</v>
      </c>
      <c r="B714" t="str" cm="1">
        <f t="array" ref="B714">VLOOKUP($A714,Table_ship_components[],COLUMN(B:B),0)</f>
        <v>PICK A COMPONENT</v>
      </c>
      <c r="D714" cm="1">
        <f t="array" ref="D714">VLOOKUP($A714,Table_ship_components[],COLUMN(D:D),0)</f>
        <v>0</v>
      </c>
      <c r="E714" cm="1">
        <f t="array" ref="E714">ROUND(VLOOKUP($A714,Table_ship_components[],COLUMN(D:D),0)+(V714*C714),0)</f>
        <v>0</v>
      </c>
      <c r="F714" cm="1">
        <f t="array" ref="F714">VLOOKUP($A714,Table_ship_components[],COLUMN(F:F),0)</f>
        <v>0</v>
      </c>
      <c r="G714" cm="1">
        <f t="array" ref="G714">ROUND(VLOOKUP($A714,Table_ship_components[],COLUMN(G:G),0)+(X714*C714),0)</f>
        <v>0</v>
      </c>
      <c r="H714" cm="1">
        <f t="array" ref="H714">VLOOKUP($A714,Table_ship_components[],COLUMN(H:H),0)</f>
        <v>0</v>
      </c>
      <c r="I714" cm="1">
        <f t="array" ref="I714">VLOOKUP($A714,Table_ship_components[],COLUMN(I:I),0)</f>
        <v>0</v>
      </c>
      <c r="J714" cm="1">
        <f t="array" ref="J714">VLOOKUP($A714,Table_ship_components[],COLUMN(J:J),0)</f>
        <v>0</v>
      </c>
      <c r="K714" cm="1">
        <f t="array" ref="K714">VLOOKUP($A714,Table_ship_components[],COLUMN(K:K),0)</f>
        <v>0</v>
      </c>
      <c r="L714" cm="1">
        <f t="array" ref="L714">VLOOKUP($A714,Table_ship_components[],COLUMN(L:L),0)</f>
        <v>0</v>
      </c>
      <c r="M714" cm="1">
        <f t="array" ref="M714">VLOOKUP($A714,Table_ship_components[],COLUMN(M:M),0)</f>
        <v>0</v>
      </c>
      <c r="N714" cm="1">
        <f t="array" ref="N714">VLOOKUP($A714,Table_ship_components[],COLUMN(N:N),0)</f>
        <v>0</v>
      </c>
      <c r="O714" cm="1">
        <f t="array" ref="O714">VLOOKUP($A714,Table_ship_components[],COLUMN(O:O),0)</f>
        <v>0</v>
      </c>
      <c r="P714" cm="1">
        <f t="array" ref="P714">VLOOKUP($A714,Table_ship_components[],COLUMN(P:P),0)</f>
        <v>0</v>
      </c>
      <c r="Q714" cm="1">
        <f t="array" ref="Q714">VLOOKUP($A714,Table_ship_components[],COLUMN(Q:Q),0)</f>
        <v>0</v>
      </c>
      <c r="R714" cm="1">
        <f t="array" ref="R714">VLOOKUP($A714,Table_ship_components[],COLUMN(R:R),0)</f>
        <v>0</v>
      </c>
      <c r="S714" cm="1">
        <f t="array" ref="S714">VLOOKUP($A714,Table_ship_components[],COLUMN(S:S),0)</f>
        <v>0</v>
      </c>
      <c r="T714" cm="1">
        <f t="array" ref="T714">VLOOKUP($A714,Table_ship_components[],COLUMN(T:T),0)</f>
        <v>0</v>
      </c>
      <c r="U714" cm="1">
        <f t="array" ref="U714">VLOOKUP($A714,Table_ship_components[],COLUMN(U:U),0)</f>
        <v>0</v>
      </c>
      <c r="V714" cm="1">
        <f t="array" ref="V714">VLOOKUP($A714,Table_ship_components[],COLUMN(V:V),0)</f>
        <v>0</v>
      </c>
      <c r="W714" s="15" cm="1">
        <f t="array" ref="W714">VLOOKUP($A714,Table_ship_components[],COLUMN(W:W),0)</f>
        <v>0</v>
      </c>
      <c r="X714" cm="1">
        <f t="array" ref="X714">VLOOKUP($A714,Table_ship_components[],COLUMN(X:X),0)</f>
        <v>0</v>
      </c>
      <c r="Y714" cm="1">
        <f t="array" ref="Y714">VLOOKUP($A714,Table_ship_components[],COLUMN(Y:Y),0)</f>
        <v>0</v>
      </c>
      <c r="Z714" cm="1">
        <f t="array" ref="Z714">VLOOKUP($A714,Table_ship_components[],COLUMN(Z:Z),0)</f>
        <v>0</v>
      </c>
      <c r="AA714" cm="1">
        <f t="array" ref="AA714">VLOOKUP($A714,Table_ship_components[],COLUMN(AA:AA),0)*C714</f>
        <v>0</v>
      </c>
      <c r="AB714">
        <f t="shared" si="76"/>
        <v>0</v>
      </c>
      <c r="AC714" cm="1">
        <f t="array" ref="AC714">VLOOKUP($A714,Table_ship_components[],COLUMN(AC:AC),0)*C714</f>
        <v>0</v>
      </c>
      <c r="AD714" cm="1">
        <f t="array" ref="AD714">VLOOKUP($A714,Table_ship_components[],COLUMN(AD:AD),0)</f>
        <v>0</v>
      </c>
      <c r="AE714" cm="1">
        <f t="array" ref="AE714">VLOOKUP($A714,Table_ship_components[],COLUMN(AE:AE),0)</f>
        <v>0</v>
      </c>
      <c r="AF714" cm="1">
        <f t="array" ref="AF714">VLOOKUP($A714,Table_ship_components[],COLUMN(AF:AF),0)</f>
        <v>0</v>
      </c>
      <c r="AG714" cm="1">
        <f t="array" ref="AG714">VLOOKUP($A714,Table_ship_components[],COLUMN(AG:AG),0)</f>
        <v>0</v>
      </c>
      <c r="AH714" cm="1">
        <f t="array" ref="AH714">VLOOKUP($A714,Table_ship_components[],COLUMN(AH:AH),0)</f>
        <v>0</v>
      </c>
      <c r="AI714" cm="1">
        <f t="array" ref="AI714">VLOOKUP($A714,Table_ship_components[],COLUMN(AI:AI),0)</f>
        <v>0</v>
      </c>
      <c r="AJ714" cm="1">
        <f t="array" ref="AJ714">VLOOKUP($A714,Table_ship_components[],COLUMN(AJ:AJ),0)</f>
        <v>0</v>
      </c>
      <c r="AK714" cm="1">
        <f t="array" ref="AK714">VLOOKUP($A714,Table_ship_components[],COLUMN(AK:AK),0)</f>
        <v>0</v>
      </c>
      <c r="AL714" cm="1">
        <f t="array" ref="AL714">VLOOKUP($A714,Table_ship_components[],COLUMN(AL:AL),0)</f>
        <v>0</v>
      </c>
      <c r="AM714" cm="1">
        <f t="array" ref="AM714">VLOOKUP($A714,Table_ship_components[],COLUMN(AM:AM),0)</f>
        <v>0</v>
      </c>
      <c r="AN714" cm="1">
        <f t="array" ref="AN714">VLOOKUP($A714,Table_ship_components[],COLUMN(AN:AN),0)</f>
        <v>0</v>
      </c>
      <c r="AO714" cm="1">
        <f t="array" ref="AO714">VLOOKUP($A714,Table_ship_components[],COLUMN(AO:AO),0)</f>
        <v>0</v>
      </c>
      <c r="AP714" cm="1">
        <f t="array" ref="AP714">VLOOKUP($A714,Table_ship_components[],COLUMN(AP:AP),0)</f>
        <v>0</v>
      </c>
      <c r="AQ714" cm="1">
        <f t="array" ref="AQ714">VLOOKUP($A714,Table_ship_components[],COLUMN(AQ:AQ),0)</f>
        <v>0</v>
      </c>
      <c r="AR714" cm="1">
        <f t="array" ref="AR714">VLOOKUP($A714,Table_ship_components[],COLUMN(AR:AR),0)</f>
        <v>0</v>
      </c>
      <c r="AS714" cm="1">
        <f t="array" ref="AS714">VLOOKUP($A714,Table_ship_components[],COLUMN(AS:AS),0)</f>
        <v>0</v>
      </c>
      <c r="AT714" cm="1">
        <f t="array" ref="AT714">VLOOKUP($A714,Table_ship_components[],COLUMN(AT:AT),0)</f>
        <v>0</v>
      </c>
      <c r="AU714" s="2" cm="1">
        <f t="array" ref="AU714">VLOOKUP($A714,Table_ship_components[],COLUMN(AU:AU),0)</f>
        <v>0</v>
      </c>
      <c r="AV714" s="2" cm="1">
        <f t="array" ref="AV714">VLOOKUP($A714,Table_ship_components[],COLUMN(AV:AV),0)</f>
        <v>0</v>
      </c>
      <c r="AW714" s="2" cm="1">
        <f t="array" ref="AW714">VLOOKUP($A714,Table_ship_components[],COLUMN(AW:AW),0)</f>
        <v>0</v>
      </c>
      <c r="AX714" s="2" cm="1">
        <f t="array" ref="AX714">VLOOKUP($A714,Table_ship_components[],COLUMN(AX:AX),0)</f>
        <v>0</v>
      </c>
      <c r="AY714" s="2" cm="1">
        <f t="array" ref="AY714">VLOOKUP($A714,Table_ship_components[],COLUMN(AY:AY),0)</f>
        <v>0</v>
      </c>
      <c r="AZ714" s="2" t="str" cm="1">
        <f t="array" ref="AZ714">VLOOKUP($A714,Table_ship_components[],COLUMN(AZ:AZ),0)</f>
        <v>C</v>
      </c>
      <c r="BA714" s="14" cm="1">
        <f t="array" ref="BA714">VLOOKUP($A714,Table_ship_components[],COLUMN(BA:BA),0)</f>
        <v>0</v>
      </c>
      <c r="BB714" s="14" cm="1">
        <f t="array" ref="BB714">(VLOOKUP($A714,Table_ship_components[],COLUMN(BA:BA),0)+(W714*C714))</f>
        <v>0</v>
      </c>
      <c r="BC714" s="2" cm="1">
        <f t="array" ref="BC714">VLOOKUP($A714,Table_ship_components[],COLUMN(BC:BC),0)</f>
        <v>0</v>
      </c>
      <c r="BD714" s="2" cm="1">
        <f t="array" ref="BD714">VLOOKUP($A714,Table_ship_components[],COLUMN(BD:BD),0)</f>
        <v>0</v>
      </c>
    </row>
    <row r="715" spans="1:56" outlineLevel="1" x14ac:dyDescent="0.35">
      <c r="A715" t="s">
        <v>288</v>
      </c>
      <c r="B715" t="str" cm="1">
        <f t="array" ref="B715">VLOOKUP($A715,Table_ship_components[],COLUMN(B:B),0)</f>
        <v>PICK A COMPONENT</v>
      </c>
      <c r="D715" cm="1">
        <f t="array" ref="D715">VLOOKUP($A715,Table_ship_components[],COLUMN(D:D),0)</f>
        <v>0</v>
      </c>
      <c r="E715" cm="1">
        <f t="array" ref="E715">ROUND(VLOOKUP($A715,Table_ship_components[],COLUMN(D:D),0)+(V715*C715),0)</f>
        <v>0</v>
      </c>
      <c r="F715" cm="1">
        <f t="array" ref="F715">VLOOKUP($A715,Table_ship_components[],COLUMN(F:F),0)</f>
        <v>0</v>
      </c>
      <c r="G715" cm="1">
        <f t="array" ref="G715">ROUND(VLOOKUP($A715,Table_ship_components[],COLUMN(G:G),0)+(X715*C715),0)</f>
        <v>0</v>
      </c>
      <c r="H715" cm="1">
        <f t="array" ref="H715">VLOOKUP($A715,Table_ship_components[],COLUMN(H:H),0)</f>
        <v>0</v>
      </c>
      <c r="I715" cm="1">
        <f t="array" ref="I715">VLOOKUP($A715,Table_ship_components[],COLUMN(I:I),0)</f>
        <v>0</v>
      </c>
      <c r="J715" cm="1">
        <f t="array" ref="J715">VLOOKUP($A715,Table_ship_components[],COLUMN(J:J),0)</f>
        <v>0</v>
      </c>
      <c r="K715" cm="1">
        <f t="array" ref="K715">VLOOKUP($A715,Table_ship_components[],COLUMN(K:K),0)</f>
        <v>0</v>
      </c>
      <c r="L715" cm="1">
        <f t="array" ref="L715">VLOOKUP($A715,Table_ship_components[],COLUMN(L:L),0)</f>
        <v>0</v>
      </c>
      <c r="M715" cm="1">
        <f t="array" ref="M715">VLOOKUP($A715,Table_ship_components[],COLUMN(M:M),0)</f>
        <v>0</v>
      </c>
      <c r="N715" cm="1">
        <f t="array" ref="N715">VLOOKUP($A715,Table_ship_components[],COLUMN(N:N),0)</f>
        <v>0</v>
      </c>
      <c r="O715" cm="1">
        <f t="array" ref="O715">VLOOKUP($A715,Table_ship_components[],COLUMN(O:O),0)</f>
        <v>0</v>
      </c>
      <c r="P715" cm="1">
        <f t="array" ref="P715">VLOOKUP($A715,Table_ship_components[],COLUMN(P:P),0)</f>
        <v>0</v>
      </c>
      <c r="Q715" cm="1">
        <f t="array" ref="Q715">VLOOKUP($A715,Table_ship_components[],COLUMN(Q:Q),0)</f>
        <v>0</v>
      </c>
      <c r="R715" cm="1">
        <f t="array" ref="R715">VLOOKUP($A715,Table_ship_components[],COLUMN(R:R),0)</f>
        <v>0</v>
      </c>
      <c r="S715" cm="1">
        <f t="array" ref="S715">VLOOKUP($A715,Table_ship_components[],COLUMN(S:S),0)</f>
        <v>0</v>
      </c>
      <c r="T715" cm="1">
        <f t="array" ref="T715">VLOOKUP($A715,Table_ship_components[],COLUMN(T:T),0)</f>
        <v>0</v>
      </c>
      <c r="U715" cm="1">
        <f t="array" ref="U715">VLOOKUP($A715,Table_ship_components[],COLUMN(U:U),0)</f>
        <v>0</v>
      </c>
      <c r="V715" cm="1">
        <f t="array" ref="V715">VLOOKUP($A715,Table_ship_components[],COLUMN(V:V),0)</f>
        <v>0</v>
      </c>
      <c r="W715" s="15" cm="1">
        <f t="array" ref="W715">VLOOKUP($A715,Table_ship_components[],COLUMN(W:W),0)</f>
        <v>0</v>
      </c>
      <c r="X715" cm="1">
        <f t="array" ref="X715">VLOOKUP($A715,Table_ship_components[],COLUMN(X:X),0)</f>
        <v>0</v>
      </c>
      <c r="Y715" cm="1">
        <f t="array" ref="Y715">VLOOKUP($A715,Table_ship_components[],COLUMN(Y:Y),0)</f>
        <v>0</v>
      </c>
      <c r="Z715" cm="1">
        <f t="array" ref="Z715">VLOOKUP($A715,Table_ship_components[],COLUMN(Z:Z),0)</f>
        <v>0</v>
      </c>
      <c r="AA715" cm="1">
        <f t="array" ref="AA715">VLOOKUP($A715,Table_ship_components[],COLUMN(AA:AA),0)*C715</f>
        <v>0</v>
      </c>
      <c r="AB715">
        <f t="shared" si="76"/>
        <v>0</v>
      </c>
      <c r="AC715" cm="1">
        <f t="array" ref="AC715">VLOOKUP($A715,Table_ship_components[],COLUMN(AC:AC),0)*C715</f>
        <v>0</v>
      </c>
      <c r="AD715" cm="1">
        <f t="array" ref="AD715">VLOOKUP($A715,Table_ship_components[],COLUMN(AD:AD),0)</f>
        <v>0</v>
      </c>
      <c r="AE715" cm="1">
        <f t="array" ref="AE715">VLOOKUP($A715,Table_ship_components[],COLUMN(AE:AE),0)</f>
        <v>0</v>
      </c>
      <c r="AF715" cm="1">
        <f t="array" ref="AF715">VLOOKUP($A715,Table_ship_components[],COLUMN(AF:AF),0)</f>
        <v>0</v>
      </c>
      <c r="AG715" cm="1">
        <f t="array" ref="AG715">VLOOKUP($A715,Table_ship_components[],COLUMN(AG:AG),0)</f>
        <v>0</v>
      </c>
      <c r="AH715" cm="1">
        <f t="array" ref="AH715">VLOOKUP($A715,Table_ship_components[],COLUMN(AH:AH),0)</f>
        <v>0</v>
      </c>
      <c r="AI715" cm="1">
        <f t="array" ref="AI715">VLOOKUP($A715,Table_ship_components[],COLUMN(AI:AI),0)</f>
        <v>0</v>
      </c>
      <c r="AJ715" cm="1">
        <f t="array" ref="AJ715">VLOOKUP($A715,Table_ship_components[],COLUMN(AJ:AJ),0)</f>
        <v>0</v>
      </c>
      <c r="AK715" cm="1">
        <f t="array" ref="AK715">VLOOKUP($A715,Table_ship_components[],COLUMN(AK:AK),0)</f>
        <v>0</v>
      </c>
      <c r="AL715" cm="1">
        <f t="array" ref="AL715">VLOOKUP($A715,Table_ship_components[],COLUMN(AL:AL),0)</f>
        <v>0</v>
      </c>
      <c r="AM715" cm="1">
        <f t="array" ref="AM715">VLOOKUP($A715,Table_ship_components[],COLUMN(AM:AM),0)</f>
        <v>0</v>
      </c>
      <c r="AN715" cm="1">
        <f t="array" ref="AN715">VLOOKUP($A715,Table_ship_components[],COLUMN(AN:AN),0)</f>
        <v>0</v>
      </c>
      <c r="AO715" cm="1">
        <f t="array" ref="AO715">VLOOKUP($A715,Table_ship_components[],COLUMN(AO:AO),0)</f>
        <v>0</v>
      </c>
      <c r="AP715" cm="1">
        <f t="array" ref="AP715">VLOOKUP($A715,Table_ship_components[],COLUMN(AP:AP),0)</f>
        <v>0</v>
      </c>
      <c r="AQ715" cm="1">
        <f t="array" ref="AQ715">VLOOKUP($A715,Table_ship_components[],COLUMN(AQ:AQ),0)</f>
        <v>0</v>
      </c>
      <c r="AR715" cm="1">
        <f t="array" ref="AR715">VLOOKUP($A715,Table_ship_components[],COLUMN(AR:AR),0)</f>
        <v>0</v>
      </c>
      <c r="AS715" cm="1">
        <f t="array" ref="AS715">VLOOKUP($A715,Table_ship_components[],COLUMN(AS:AS),0)</f>
        <v>0</v>
      </c>
      <c r="AT715" cm="1">
        <f t="array" ref="AT715">VLOOKUP($A715,Table_ship_components[],COLUMN(AT:AT),0)</f>
        <v>0</v>
      </c>
      <c r="AU715" s="2" cm="1">
        <f t="array" ref="AU715">VLOOKUP($A715,Table_ship_components[],COLUMN(AU:AU),0)</f>
        <v>0</v>
      </c>
      <c r="AV715" s="2" cm="1">
        <f t="array" ref="AV715">VLOOKUP($A715,Table_ship_components[],COLUMN(AV:AV),0)</f>
        <v>0</v>
      </c>
      <c r="AW715" s="2" cm="1">
        <f t="array" ref="AW715">VLOOKUP($A715,Table_ship_components[],COLUMN(AW:AW),0)</f>
        <v>0</v>
      </c>
      <c r="AX715" s="2" cm="1">
        <f t="array" ref="AX715">VLOOKUP($A715,Table_ship_components[],COLUMN(AX:AX),0)</f>
        <v>0</v>
      </c>
      <c r="AY715" s="2" cm="1">
        <f t="array" ref="AY715">VLOOKUP($A715,Table_ship_components[],COLUMN(AY:AY),0)</f>
        <v>0</v>
      </c>
      <c r="AZ715" s="2" t="str" cm="1">
        <f t="array" ref="AZ715">VLOOKUP($A715,Table_ship_components[],COLUMN(AZ:AZ),0)</f>
        <v>C</v>
      </c>
      <c r="BA715" s="14" cm="1">
        <f t="array" ref="BA715">VLOOKUP($A715,Table_ship_components[],COLUMN(BA:BA),0)</f>
        <v>0</v>
      </c>
      <c r="BB715" s="14" cm="1">
        <f t="array" ref="BB715">(VLOOKUP($A715,Table_ship_components[],COLUMN(BA:BA),0)+(W715*C715))</f>
        <v>0</v>
      </c>
      <c r="BC715" s="2" cm="1">
        <f t="array" ref="BC715">VLOOKUP($A715,Table_ship_components[],COLUMN(BC:BC),0)</f>
        <v>0</v>
      </c>
      <c r="BD715" s="2" cm="1">
        <f t="array" ref="BD715">VLOOKUP($A715,Table_ship_components[],COLUMN(BD:BD),0)</f>
        <v>0</v>
      </c>
    </row>
    <row r="716" spans="1:56" outlineLevel="1" x14ac:dyDescent="0.35">
      <c r="A716" t="s">
        <v>288</v>
      </c>
      <c r="B716" t="str" cm="1">
        <f t="array" ref="B716">VLOOKUP($A716,Table_ship_components[],COLUMN(B:B),0)</f>
        <v>PICK A COMPONENT</v>
      </c>
      <c r="D716" cm="1">
        <f t="array" ref="D716">VLOOKUP($A716,Table_ship_components[],COLUMN(D:D),0)</f>
        <v>0</v>
      </c>
      <c r="E716" cm="1">
        <f t="array" ref="E716">ROUND(VLOOKUP($A716,Table_ship_components[],COLUMN(D:D),0)+(V716*C716),0)</f>
        <v>0</v>
      </c>
      <c r="F716" cm="1">
        <f t="array" ref="F716">VLOOKUP($A716,Table_ship_components[],COLUMN(F:F),0)</f>
        <v>0</v>
      </c>
      <c r="G716" cm="1">
        <f t="array" ref="G716">ROUND(VLOOKUP($A716,Table_ship_components[],COLUMN(G:G),0)+(X716*C716),0)</f>
        <v>0</v>
      </c>
      <c r="H716" cm="1">
        <f t="array" ref="H716">VLOOKUP($A716,Table_ship_components[],COLUMN(H:H),0)</f>
        <v>0</v>
      </c>
      <c r="I716" cm="1">
        <f t="array" ref="I716">VLOOKUP($A716,Table_ship_components[],COLUMN(I:I),0)</f>
        <v>0</v>
      </c>
      <c r="J716" cm="1">
        <f t="array" ref="J716">VLOOKUP($A716,Table_ship_components[],COLUMN(J:J),0)</f>
        <v>0</v>
      </c>
      <c r="K716" cm="1">
        <f t="array" ref="K716">VLOOKUP($A716,Table_ship_components[],COLUMN(K:K),0)</f>
        <v>0</v>
      </c>
      <c r="L716" cm="1">
        <f t="array" ref="L716">VLOOKUP($A716,Table_ship_components[],COLUMN(L:L),0)</f>
        <v>0</v>
      </c>
      <c r="M716" cm="1">
        <f t="array" ref="M716">VLOOKUP($A716,Table_ship_components[],COLUMN(M:M),0)</f>
        <v>0</v>
      </c>
      <c r="N716" cm="1">
        <f t="array" ref="N716">VLOOKUP($A716,Table_ship_components[],COLUMN(N:N),0)</f>
        <v>0</v>
      </c>
      <c r="O716" cm="1">
        <f t="array" ref="O716">VLOOKUP($A716,Table_ship_components[],COLUMN(O:O),0)</f>
        <v>0</v>
      </c>
      <c r="P716" cm="1">
        <f t="array" ref="P716">VLOOKUP($A716,Table_ship_components[],COLUMN(P:P),0)</f>
        <v>0</v>
      </c>
      <c r="Q716" cm="1">
        <f t="array" ref="Q716">VLOOKUP($A716,Table_ship_components[],COLUMN(Q:Q),0)</f>
        <v>0</v>
      </c>
      <c r="R716" cm="1">
        <f t="array" ref="R716">VLOOKUP($A716,Table_ship_components[],COLUMN(R:R),0)</f>
        <v>0</v>
      </c>
      <c r="S716" cm="1">
        <f t="array" ref="S716">VLOOKUP($A716,Table_ship_components[],COLUMN(S:S),0)</f>
        <v>0</v>
      </c>
      <c r="T716" cm="1">
        <f t="array" ref="T716">VLOOKUP($A716,Table_ship_components[],COLUMN(T:T),0)</f>
        <v>0</v>
      </c>
      <c r="U716" cm="1">
        <f t="array" ref="U716">VLOOKUP($A716,Table_ship_components[],COLUMN(U:U),0)</f>
        <v>0</v>
      </c>
      <c r="V716" cm="1">
        <f t="array" ref="V716">VLOOKUP($A716,Table_ship_components[],COLUMN(V:V),0)</f>
        <v>0</v>
      </c>
      <c r="W716" s="15" cm="1">
        <f t="array" ref="W716">VLOOKUP($A716,Table_ship_components[],COLUMN(W:W),0)</f>
        <v>0</v>
      </c>
      <c r="X716" cm="1">
        <f t="array" ref="X716">VLOOKUP($A716,Table_ship_components[],COLUMN(X:X),0)</f>
        <v>0</v>
      </c>
      <c r="Y716" cm="1">
        <f t="array" ref="Y716">VLOOKUP($A716,Table_ship_components[],COLUMN(Y:Y),0)</f>
        <v>0</v>
      </c>
      <c r="Z716" cm="1">
        <f t="array" ref="Z716">VLOOKUP($A716,Table_ship_components[],COLUMN(Z:Z),0)</f>
        <v>0</v>
      </c>
      <c r="AA716" cm="1">
        <f t="array" ref="AA716">VLOOKUP($A716,Table_ship_components[],COLUMN(AA:AA),0)*C716</f>
        <v>0</v>
      </c>
      <c r="AB716">
        <f>IF(A716="CARGOSPACE_0-ALL_0-UNIVERSAL",C716,0)</f>
        <v>0</v>
      </c>
      <c r="AC716" cm="1">
        <f t="array" ref="AC716">VLOOKUP($A716,Table_ship_components[],COLUMN(AC:AC),0)*C716</f>
        <v>0</v>
      </c>
      <c r="AD716" cm="1">
        <f t="array" ref="AD716">VLOOKUP($A716,Table_ship_components[],COLUMN(AD:AD),0)</f>
        <v>0</v>
      </c>
      <c r="AE716" cm="1">
        <f t="array" ref="AE716">VLOOKUP($A716,Table_ship_components[],COLUMN(AE:AE),0)</f>
        <v>0</v>
      </c>
      <c r="AF716" cm="1">
        <f t="array" ref="AF716">VLOOKUP($A716,Table_ship_components[],COLUMN(AF:AF),0)</f>
        <v>0</v>
      </c>
      <c r="AG716" cm="1">
        <f t="array" ref="AG716">VLOOKUP($A716,Table_ship_components[],COLUMN(AG:AG),0)</f>
        <v>0</v>
      </c>
      <c r="AH716" cm="1">
        <f t="array" ref="AH716">VLOOKUP($A716,Table_ship_components[],COLUMN(AH:AH),0)</f>
        <v>0</v>
      </c>
      <c r="AI716" cm="1">
        <f t="array" ref="AI716">VLOOKUP($A716,Table_ship_components[],COLUMN(AI:AI),0)</f>
        <v>0</v>
      </c>
      <c r="AJ716" cm="1">
        <f t="array" ref="AJ716">VLOOKUP($A716,Table_ship_components[],COLUMN(AJ:AJ),0)</f>
        <v>0</v>
      </c>
      <c r="AK716" cm="1">
        <f t="array" ref="AK716">VLOOKUP($A716,Table_ship_components[],COLUMN(AK:AK),0)</f>
        <v>0</v>
      </c>
      <c r="AL716" cm="1">
        <f t="array" ref="AL716">VLOOKUP($A716,Table_ship_components[],COLUMN(AL:AL),0)</f>
        <v>0</v>
      </c>
      <c r="AM716" cm="1">
        <f t="array" ref="AM716">VLOOKUP($A716,Table_ship_components[],COLUMN(AM:AM),0)</f>
        <v>0</v>
      </c>
      <c r="AN716" cm="1">
        <f t="array" ref="AN716">VLOOKUP($A716,Table_ship_components[],COLUMN(AN:AN),0)</f>
        <v>0</v>
      </c>
      <c r="AO716" cm="1">
        <f t="array" ref="AO716">VLOOKUP($A716,Table_ship_components[],COLUMN(AO:AO),0)</f>
        <v>0</v>
      </c>
      <c r="AP716" cm="1">
        <f t="array" ref="AP716">VLOOKUP($A716,Table_ship_components[],COLUMN(AP:AP),0)</f>
        <v>0</v>
      </c>
      <c r="AQ716" cm="1">
        <f t="array" ref="AQ716">VLOOKUP($A716,Table_ship_components[],COLUMN(AQ:AQ),0)</f>
        <v>0</v>
      </c>
      <c r="AR716" cm="1">
        <f t="array" ref="AR716">VLOOKUP($A716,Table_ship_components[],COLUMN(AR:AR),0)</f>
        <v>0</v>
      </c>
      <c r="AS716" cm="1">
        <f t="array" ref="AS716">VLOOKUP($A716,Table_ship_components[],COLUMN(AS:AS),0)</f>
        <v>0</v>
      </c>
      <c r="AT716" cm="1">
        <f t="array" ref="AT716">VLOOKUP($A716,Table_ship_components[],COLUMN(AT:AT),0)</f>
        <v>0</v>
      </c>
      <c r="AU716" s="2" cm="1">
        <f t="array" ref="AU716">VLOOKUP($A716,Table_ship_components[],COLUMN(AU:AU),0)</f>
        <v>0</v>
      </c>
      <c r="AV716" s="2" cm="1">
        <f t="array" ref="AV716">VLOOKUP($A716,Table_ship_components[],COLUMN(AV:AV),0)</f>
        <v>0</v>
      </c>
      <c r="AW716" s="2" cm="1">
        <f t="array" ref="AW716">VLOOKUP($A716,Table_ship_components[],COLUMN(AW:AW),0)</f>
        <v>0</v>
      </c>
      <c r="AX716" s="2" cm="1">
        <f t="array" ref="AX716">VLOOKUP($A716,Table_ship_components[],COLUMN(AX:AX),0)</f>
        <v>0</v>
      </c>
      <c r="AY716" s="2" cm="1">
        <f t="array" ref="AY716">VLOOKUP($A716,Table_ship_components[],COLUMN(AY:AY),0)</f>
        <v>0</v>
      </c>
      <c r="AZ716" s="2" t="str" cm="1">
        <f t="array" ref="AZ716">VLOOKUP($A716,Table_ship_components[],COLUMN(AZ:AZ),0)</f>
        <v>C</v>
      </c>
      <c r="BA716" s="14" cm="1">
        <f t="array" ref="BA716">VLOOKUP($A716,Table_ship_components[],COLUMN(BA:BA),0)</f>
        <v>0</v>
      </c>
      <c r="BB716" s="14" cm="1">
        <f t="array" ref="BB716">(VLOOKUP($A716,Table_ship_components[],COLUMN(BA:BA),0)+(W716*C716))</f>
        <v>0</v>
      </c>
      <c r="BC716" s="2" cm="1">
        <f t="array" ref="BC716">VLOOKUP($A716,Table_ship_components[],COLUMN(BC:BC),0)</f>
        <v>0</v>
      </c>
      <c r="BD716" s="2" cm="1">
        <f t="array" ref="BD716">VLOOKUP($A716,Table_ship_components[],COLUMN(BD:BD),0)</f>
        <v>0</v>
      </c>
    </row>
    <row r="717" spans="1:56" outlineLevel="1" x14ac:dyDescent="0.35">
      <c r="A717" s="18" t="s">
        <v>425</v>
      </c>
      <c r="B717" s="19" t="str">
        <f>CONCATENATE("SIZE ",(SUM(E718:E725)),"/",AY695,"  POWER ",(SUM(G718:G725)))</f>
        <v>SIZE 15/15  POWER 10</v>
      </c>
      <c r="AU717" s="2"/>
      <c r="AV717" s="2"/>
      <c r="AW717" s="2"/>
      <c r="AX717" s="2"/>
      <c r="AY717" s="2"/>
      <c r="AZ717" s="2"/>
      <c r="BA717" s="14"/>
      <c r="BB717" s="14"/>
      <c r="BC717" s="2"/>
      <c r="BD717" s="2"/>
    </row>
    <row r="718" spans="1:56" outlineLevel="1" x14ac:dyDescent="0.35">
      <c r="A718" t="s">
        <v>525</v>
      </c>
      <c r="B718" t="str" cm="1">
        <f t="array" ref="B718">VLOOKUP($A718,Table_ship_components[],COLUMN(B:B),0)</f>
        <v>basic drone ecm upgrade</v>
      </c>
      <c r="D718" cm="1">
        <f t="array" ref="D718">VLOOKUP($A718,Table_ship_components[],COLUMN(D:D),0)</f>
        <v>1</v>
      </c>
      <c r="E718" cm="1">
        <f t="array" ref="E718">ROUND(VLOOKUP($A718,Table_ship_components[],COLUMN(D:D),0)+(V718*C718),0)</f>
        <v>1</v>
      </c>
      <c r="F718" cm="1">
        <f t="array" ref="F718">VLOOKUP($A718,Table_ship_components[],COLUMN(F:F),0)</f>
        <v>1</v>
      </c>
      <c r="G718" cm="1">
        <f t="array" ref="G718">ROUND(VLOOKUP($A718,Table_ship_components[],COLUMN(G:G),0)+(X718*C718),0)</f>
        <v>1</v>
      </c>
      <c r="H718" cm="1">
        <f t="array" ref="H718">VLOOKUP($A718,Table_ship_components[],COLUMN(H:H),0)</f>
        <v>0</v>
      </c>
      <c r="I718" cm="1">
        <f t="array" ref="I718">VLOOKUP($A718,Table_ship_components[],COLUMN(I:I),0)</f>
        <v>0</v>
      </c>
      <c r="J718" cm="1">
        <f t="array" ref="J718">VLOOKUP($A718,Table_ship_components[],COLUMN(J:J),0)</f>
        <v>0</v>
      </c>
      <c r="K718" cm="1">
        <f t="array" ref="K718">VLOOKUP($A718,Table_ship_components[],COLUMN(K:K),0)</f>
        <v>0</v>
      </c>
      <c r="L718" cm="1">
        <f t="array" ref="L718">VLOOKUP($A718,Table_ship_components[],COLUMN(L:L),0)</f>
        <v>0</v>
      </c>
      <c r="M718" cm="1">
        <f t="array" ref="M718">VLOOKUP($A718,Table_ship_components[],COLUMN(M:M),0)</f>
        <v>1</v>
      </c>
      <c r="N718" cm="1">
        <f t="array" ref="N718">VLOOKUP($A718,Table_ship_components[],COLUMN(N:N),0)</f>
        <v>0</v>
      </c>
      <c r="O718" cm="1">
        <f t="array" ref="O718">VLOOKUP($A718,Table_ship_components[],COLUMN(O:O),0)</f>
        <v>0</v>
      </c>
      <c r="P718" cm="1">
        <f t="array" ref="P718">VLOOKUP($A718,Table_ship_components[],COLUMN(P:P),0)</f>
        <v>0</v>
      </c>
      <c r="Q718" cm="1">
        <f t="array" ref="Q718">VLOOKUP($A718,Table_ship_components[],COLUMN(Q:Q),0)</f>
        <v>0</v>
      </c>
      <c r="R718" cm="1">
        <f t="array" ref="R718">VLOOKUP($A718,Table_ship_components[],COLUMN(R:R),0)</f>
        <v>0</v>
      </c>
      <c r="S718" cm="1">
        <f t="array" ref="S718">VLOOKUP($A718,Table_ship_components[],COLUMN(S:S),0)</f>
        <v>0</v>
      </c>
      <c r="T718" cm="1">
        <f t="array" ref="T718">VLOOKUP($A718,Table_ship_components[],COLUMN(T:T),0)</f>
        <v>0</v>
      </c>
      <c r="U718" cm="1">
        <f t="array" ref="U718">VLOOKUP($A718,Table_ship_components[],COLUMN(U:U),0)</f>
        <v>0</v>
      </c>
      <c r="V718" cm="1">
        <f t="array" ref="V718">VLOOKUP($A718,Table_ship_components[],COLUMN(V:V),0)</f>
        <v>0</v>
      </c>
      <c r="W718" s="15" cm="1">
        <f t="array" ref="W718">VLOOKUP($A718,Table_ship_components[],COLUMN(W:W),0)</f>
        <v>0</v>
      </c>
      <c r="X718" cm="1">
        <f t="array" ref="X718">VLOOKUP($A718,Table_ship_components[],COLUMN(X:X),0)</f>
        <v>0</v>
      </c>
      <c r="Y718" cm="1">
        <f t="array" ref="Y718">VLOOKUP($A718,Table_ship_components[],COLUMN(Y:Y),0)</f>
        <v>0</v>
      </c>
      <c r="Z718" cm="1">
        <f t="array" ref="Z718">VLOOKUP($A718,Table_ship_components[],COLUMN(Z:Z),0)</f>
        <v>0</v>
      </c>
      <c r="AA718" cm="1">
        <f t="array" ref="AA718">VLOOKUP($A718,Table_ship_components[],COLUMN(AA:AA),0)*C718</f>
        <v>0</v>
      </c>
      <c r="AB718">
        <f t="shared" ref="AB718:AB725" si="77">IF(A718="CARGOSPACE_0-ALL_0-UNIVERSAL",C718,0)</f>
        <v>0</v>
      </c>
      <c r="AC718" cm="1">
        <f t="array" ref="AC718">VLOOKUP($A718,Table_ship_components[],COLUMN(AC:AC),0)*C718</f>
        <v>0</v>
      </c>
      <c r="AD718" cm="1">
        <f t="array" ref="AD718">VLOOKUP($A718,Table_ship_components[],COLUMN(AD:AD),0)</f>
        <v>0</v>
      </c>
      <c r="AE718" cm="1">
        <f t="array" ref="AE718">VLOOKUP($A718,Table_ship_components[],COLUMN(AE:AE),0)</f>
        <v>0</v>
      </c>
      <c r="AF718" cm="1">
        <f t="array" ref="AF718">VLOOKUP($A718,Table_ship_components[],COLUMN(AF:AF),0)</f>
        <v>0</v>
      </c>
      <c r="AG718" cm="1">
        <f t="array" ref="AG718">VLOOKUP($A718,Table_ship_components[],COLUMN(AG:AG),0)</f>
        <v>0</v>
      </c>
      <c r="AH718" cm="1">
        <f t="array" ref="AH718">VLOOKUP($A718,Table_ship_components[],COLUMN(AH:AH),0)</f>
        <v>0</v>
      </c>
      <c r="AI718" cm="1">
        <f t="array" ref="AI718">VLOOKUP($A718,Table_ship_components[],COLUMN(AI:AI),0)</f>
        <v>0</v>
      </c>
      <c r="AJ718" cm="1">
        <f t="array" ref="AJ718">VLOOKUP($A718,Table_ship_components[],COLUMN(AJ:AJ),0)</f>
        <v>0</v>
      </c>
      <c r="AK718" cm="1">
        <f t="array" ref="AK718">VLOOKUP($A718,Table_ship_components[],COLUMN(AK:AK),0)</f>
        <v>0</v>
      </c>
      <c r="AL718" cm="1">
        <f t="array" ref="AL718">VLOOKUP($A718,Table_ship_components[],COLUMN(AL:AL),0)</f>
        <v>0</v>
      </c>
      <c r="AM718" cm="1">
        <f t="array" ref="AM718">VLOOKUP($A718,Table_ship_components[],COLUMN(AM:AM),0)</f>
        <v>0</v>
      </c>
      <c r="AN718" cm="1">
        <f t="array" ref="AN718">VLOOKUP($A718,Table_ship_components[],COLUMN(AN:AN),0)</f>
        <v>0</v>
      </c>
      <c r="AO718" cm="1">
        <f t="array" ref="AO718">VLOOKUP($A718,Table_ship_components[],COLUMN(AO:AO),0)</f>
        <v>1</v>
      </c>
      <c r="AP718" cm="1">
        <f t="array" ref="AP718">VLOOKUP($A718,Table_ship_components[],COLUMN(AP:AP),0)</f>
        <v>0</v>
      </c>
      <c r="AQ718" cm="1">
        <f t="array" ref="AQ718">VLOOKUP($A718,Table_ship_components[],COLUMN(AQ:AQ),0)</f>
        <v>0</v>
      </c>
      <c r="AR718" cm="1">
        <f t="array" ref="AR718">VLOOKUP($A718,Table_ship_components[],COLUMN(AR:AR),0)</f>
        <v>0</v>
      </c>
      <c r="AS718" cm="1">
        <f t="array" ref="AS718">VLOOKUP($A718,Table_ship_components[],COLUMN(AS:AS),0)</f>
        <v>0</v>
      </c>
      <c r="AT718" cm="1">
        <f t="array" ref="AT718">VLOOKUP($A718,Table_ship_components[],COLUMN(AT:AT),0)</f>
        <v>0</v>
      </c>
      <c r="AU718" s="2" cm="1">
        <f t="array" ref="AU718">VLOOKUP($A718,Table_ship_components[],COLUMN(AU:AU),0)</f>
        <v>0</v>
      </c>
      <c r="AV718" s="2" cm="1">
        <f t="array" ref="AV718">VLOOKUP($A718,Table_ship_components[],COLUMN(AV:AV),0)</f>
        <v>0</v>
      </c>
      <c r="AW718" s="2" cm="1">
        <f t="array" ref="AW718">VLOOKUP($A718,Table_ship_components[],COLUMN(AW:AW),0)</f>
        <v>0</v>
      </c>
      <c r="AX718" s="2" cm="1">
        <f t="array" ref="AX718">VLOOKUP($A718,Table_ship_components[],COLUMN(AX:AX),0)</f>
        <v>0</v>
      </c>
      <c r="AY718" s="2" cm="1">
        <f t="array" ref="AY718">VLOOKUP($A718,Table_ship_components[],COLUMN(AY:AY),0)</f>
        <v>0</v>
      </c>
      <c r="AZ718" s="2" t="str" cm="1">
        <f t="array" ref="AZ718">VLOOKUP($A718,Table_ship_components[],COLUMN(AZ:AZ),0)</f>
        <v>C</v>
      </c>
      <c r="BA718" s="14" cm="1">
        <f t="array" ref="BA718">VLOOKUP($A718,Table_ship_components[],COLUMN(BA:BA),0)</f>
        <v>10000</v>
      </c>
      <c r="BB718" s="14" cm="1">
        <f t="array" ref="BB718">(VLOOKUP($A718,Table_ship_components[],COLUMN(BA:BA),0)+(W718*C718))</f>
        <v>10000</v>
      </c>
      <c r="BC718" s="2" cm="1">
        <f t="array" ref="BC718">VLOOKUP($A718,Table_ship_components[],COLUMN(BC:BC),0)</f>
        <v>0</v>
      </c>
      <c r="BD718" s="2" cm="1">
        <f t="array" ref="BD718">VLOOKUP($A718,Table_ship_components[],COLUMN(BD:BD),0)</f>
        <v>0</v>
      </c>
    </row>
    <row r="719" spans="1:56" outlineLevel="1" x14ac:dyDescent="0.35">
      <c r="A719" t="s">
        <v>747</v>
      </c>
      <c r="B719" t="str" cm="1">
        <f t="array" ref="B719">VLOOKUP($A719,Table_ship_components[],COLUMN(B:B),0)</f>
        <v>good drone arms for construction/hauling</v>
      </c>
      <c r="D719" cm="1">
        <f t="array" ref="D719">VLOOKUP($A719,Table_ship_components[],COLUMN(D:D),0)</f>
        <v>10</v>
      </c>
      <c r="E719" cm="1">
        <f t="array" ref="E719">ROUND(VLOOKUP($A719,Table_ship_components[],COLUMN(D:D),0)+(V719*C719),0)</f>
        <v>10</v>
      </c>
      <c r="F719" cm="1">
        <f t="array" ref="F719">VLOOKUP($A719,Table_ship_components[],COLUMN(F:F),0)</f>
        <v>6</v>
      </c>
      <c r="G719" cm="1">
        <f t="array" ref="G719">ROUND(VLOOKUP($A719,Table_ship_components[],COLUMN(G:G),0)+(X719*C719),0)</f>
        <v>6</v>
      </c>
      <c r="H719" cm="1">
        <f t="array" ref="H719">VLOOKUP($A719,Table_ship_components[],COLUMN(H:H),0)</f>
        <v>0</v>
      </c>
      <c r="I719" cm="1">
        <f t="array" ref="I719">VLOOKUP($A719,Table_ship_components[],COLUMN(I:I),0)</f>
        <v>0</v>
      </c>
      <c r="J719" cm="1">
        <f t="array" ref="J719">VLOOKUP($A719,Table_ship_components[],COLUMN(J:J),0)</f>
        <v>0</v>
      </c>
      <c r="K719" cm="1">
        <f t="array" ref="K719">VLOOKUP($A719,Table_ship_components[],COLUMN(K:K),0)</f>
        <v>0</v>
      </c>
      <c r="L719" cm="1">
        <f t="array" ref="L719">VLOOKUP($A719,Table_ship_components[],COLUMN(L:L),0)</f>
        <v>0</v>
      </c>
      <c r="M719" cm="1">
        <f t="array" ref="M719">VLOOKUP($A719,Table_ship_components[],COLUMN(M:M),0)</f>
        <v>1</v>
      </c>
      <c r="N719" cm="1">
        <f t="array" ref="N719">VLOOKUP($A719,Table_ship_components[],COLUMN(N:N),0)</f>
        <v>0</v>
      </c>
      <c r="O719" cm="1">
        <f t="array" ref="O719">VLOOKUP($A719,Table_ship_components[],COLUMN(O:O),0)</f>
        <v>0</v>
      </c>
      <c r="P719" cm="1">
        <f t="array" ref="P719">VLOOKUP($A719,Table_ship_components[],COLUMN(P:P),0)</f>
        <v>0</v>
      </c>
      <c r="Q719" cm="1">
        <f t="array" ref="Q719">VLOOKUP($A719,Table_ship_components[],COLUMN(Q:Q),0)</f>
        <v>0</v>
      </c>
      <c r="R719" cm="1">
        <f t="array" ref="R719">VLOOKUP($A719,Table_ship_components[],COLUMN(R:R),0)</f>
        <v>0</v>
      </c>
      <c r="S719" cm="1">
        <f t="array" ref="S719">VLOOKUP($A719,Table_ship_components[],COLUMN(S:S),0)</f>
        <v>0</v>
      </c>
      <c r="T719" cm="1">
        <f t="array" ref="T719">VLOOKUP($A719,Table_ship_components[],COLUMN(T:T),0)</f>
        <v>0</v>
      </c>
      <c r="U719" cm="1">
        <f t="array" ref="U719">VLOOKUP($A719,Table_ship_components[],COLUMN(U:U),0)</f>
        <v>0</v>
      </c>
      <c r="V719" cm="1">
        <f t="array" ref="V719">VLOOKUP($A719,Table_ship_components[],COLUMN(V:V),0)</f>
        <v>0</v>
      </c>
      <c r="W719" s="15" cm="1">
        <f t="array" ref="W719">VLOOKUP($A719,Table_ship_components[],COLUMN(W:W),0)</f>
        <v>0</v>
      </c>
      <c r="X719" cm="1">
        <f t="array" ref="X719">VLOOKUP($A719,Table_ship_components[],COLUMN(X:X),0)</f>
        <v>0</v>
      </c>
      <c r="Y719" cm="1">
        <f t="array" ref="Y719">VLOOKUP($A719,Table_ship_components[],COLUMN(Y:Y),0)</f>
        <v>0</v>
      </c>
      <c r="Z719" cm="1">
        <f t="array" ref="Z719">VLOOKUP($A719,Table_ship_components[],COLUMN(Z:Z),0)</f>
        <v>0</v>
      </c>
      <c r="AA719" cm="1">
        <f t="array" ref="AA719">VLOOKUP($A719,Table_ship_components[],COLUMN(AA:AA),0)*C719</f>
        <v>0</v>
      </c>
      <c r="AB719">
        <f t="shared" si="77"/>
        <v>0</v>
      </c>
      <c r="AC719" cm="1">
        <f t="array" ref="AC719">VLOOKUP($A719,Table_ship_components[],COLUMN(AC:AC),0)*C719</f>
        <v>0</v>
      </c>
      <c r="AD719" cm="1">
        <f t="array" ref="AD719">VLOOKUP($A719,Table_ship_components[],COLUMN(AD:AD),0)</f>
        <v>0</v>
      </c>
      <c r="AE719" cm="1">
        <f t="array" ref="AE719">VLOOKUP($A719,Table_ship_components[],COLUMN(AE:AE),0)</f>
        <v>0</v>
      </c>
      <c r="AF719" cm="1">
        <f t="array" ref="AF719">VLOOKUP($A719,Table_ship_components[],COLUMN(AF:AF),0)</f>
        <v>0</v>
      </c>
      <c r="AG719" cm="1">
        <f t="array" ref="AG719">VLOOKUP($A719,Table_ship_components[],COLUMN(AG:AG),0)</f>
        <v>0</v>
      </c>
      <c r="AH719" cm="1">
        <f t="array" ref="AH719">VLOOKUP($A719,Table_ship_components[],COLUMN(AH:AH),0)</f>
        <v>0</v>
      </c>
      <c r="AI719" cm="1">
        <f t="array" ref="AI719">VLOOKUP($A719,Table_ship_components[],COLUMN(AI:AI),0)</f>
        <v>0</v>
      </c>
      <c r="AJ719" cm="1">
        <f t="array" ref="AJ719">VLOOKUP($A719,Table_ship_components[],COLUMN(AJ:AJ),0)</f>
        <v>0</v>
      </c>
      <c r="AK719" cm="1">
        <f t="array" ref="AK719">VLOOKUP($A719,Table_ship_components[],COLUMN(AK:AK),0)</f>
        <v>0</v>
      </c>
      <c r="AL719" cm="1">
        <f t="array" ref="AL719">VLOOKUP($A719,Table_ship_components[],COLUMN(AL:AL),0)</f>
        <v>0</v>
      </c>
      <c r="AM719" cm="1">
        <f t="array" ref="AM719">VLOOKUP($A719,Table_ship_components[],COLUMN(AM:AM),0)</f>
        <v>0</v>
      </c>
      <c r="AN719" cm="1">
        <f t="array" ref="AN719">VLOOKUP($A719,Table_ship_components[],COLUMN(AN:AN),0)</f>
        <v>0</v>
      </c>
      <c r="AO719" cm="1">
        <f t="array" ref="AO719">VLOOKUP($A719,Table_ship_components[],COLUMN(AO:AO),0)</f>
        <v>0</v>
      </c>
      <c r="AP719" cm="1">
        <f t="array" ref="AP719">VLOOKUP($A719,Table_ship_components[],COLUMN(AP:AP),0)</f>
        <v>0</v>
      </c>
      <c r="AQ719" cm="1">
        <f t="array" ref="AQ719">VLOOKUP($A719,Table_ship_components[],COLUMN(AQ:AQ),0)</f>
        <v>0</v>
      </c>
      <c r="AR719" cm="1">
        <f t="array" ref="AR719">VLOOKUP($A719,Table_ship_components[],COLUMN(AR:AR),0)</f>
        <v>-1</v>
      </c>
      <c r="AS719" cm="1">
        <f t="array" ref="AS719">VLOOKUP($A719,Table_ship_components[],COLUMN(AS:AS),0)</f>
        <v>0</v>
      </c>
      <c r="AT719" cm="1">
        <f t="array" ref="AT719">VLOOKUP($A719,Table_ship_components[],COLUMN(AT:AT),0)</f>
        <v>3</v>
      </c>
      <c r="AU719" s="2" cm="1">
        <f t="array" ref="AU719">VLOOKUP($A719,Table_ship_components[],COLUMN(AU:AU),0)</f>
        <v>0</v>
      </c>
      <c r="AV719" s="2" cm="1">
        <f t="array" ref="AV719">VLOOKUP($A719,Table_ship_components[],COLUMN(AV:AV),0)</f>
        <v>0</v>
      </c>
      <c r="AW719" s="2" cm="1">
        <f t="array" ref="AW719">VLOOKUP($A719,Table_ship_components[],COLUMN(AW:AW),0)</f>
        <v>0</v>
      </c>
      <c r="AX719" s="2" cm="1">
        <f t="array" ref="AX719">VLOOKUP($A719,Table_ship_components[],COLUMN(AX:AX),0)</f>
        <v>0</v>
      </c>
      <c r="AY719" s="2" cm="1">
        <f t="array" ref="AY719">VLOOKUP($A719,Table_ship_components[],COLUMN(AY:AY),0)</f>
        <v>0</v>
      </c>
      <c r="AZ719" s="2" t="str" cm="1">
        <f t="array" ref="AZ719">VLOOKUP($A719,Table_ship_components[],COLUMN(AZ:AZ),0)</f>
        <v>C</v>
      </c>
      <c r="BA719" s="14" cm="1">
        <f t="array" ref="BA719">VLOOKUP($A719,Table_ship_components[],COLUMN(BA:BA),0)</f>
        <v>160000</v>
      </c>
      <c r="BB719" s="14" cm="1">
        <f t="array" ref="BB719">(VLOOKUP($A719,Table_ship_components[],COLUMN(BA:BA),0)+(W719*C719))</f>
        <v>160000</v>
      </c>
      <c r="BC719" s="2" cm="1">
        <f t="array" ref="BC719">VLOOKUP($A719,Table_ship_components[],COLUMN(BC:BC),0)</f>
        <v>0</v>
      </c>
      <c r="BD719" s="2" cm="1">
        <f t="array" ref="BD719">VLOOKUP($A719,Table_ship_components[],COLUMN(BD:BD),0)</f>
        <v>0</v>
      </c>
    </row>
    <row r="720" spans="1:56" outlineLevel="1" x14ac:dyDescent="0.35">
      <c r="A720" t="s">
        <v>666</v>
      </c>
      <c r="B720" t="str" cm="1">
        <f t="array" ref="B720">VLOOKUP($A720,Table_ship_components[],COLUMN(B:B),0)</f>
        <v>low speed drone handling engine</v>
      </c>
      <c r="D720" cm="1">
        <f t="array" ref="D720">VLOOKUP($A720,Table_ship_components[],COLUMN(D:D),0)</f>
        <v>2</v>
      </c>
      <c r="E720" cm="1">
        <f t="array" ref="E720">ROUND(VLOOKUP($A720,Table_ship_components[],COLUMN(D:D),0)+(V720*C720),0)</f>
        <v>2</v>
      </c>
      <c r="F720" cm="1">
        <f t="array" ref="F720">VLOOKUP($A720,Table_ship_components[],COLUMN(F:F),0)</f>
        <v>3</v>
      </c>
      <c r="G720" cm="1">
        <f t="array" ref="G720">ROUND(VLOOKUP($A720,Table_ship_components[],COLUMN(G:G),0)+(X720*C720),0)</f>
        <v>3</v>
      </c>
      <c r="H720" cm="1">
        <f t="array" ref="H720">VLOOKUP($A720,Table_ship_components[],COLUMN(H:H),0)</f>
        <v>0</v>
      </c>
      <c r="I720" cm="1">
        <f t="array" ref="I720">VLOOKUP($A720,Table_ship_components[],COLUMN(I:I),0)</f>
        <v>0</v>
      </c>
      <c r="J720" cm="1">
        <f t="array" ref="J720">VLOOKUP($A720,Table_ship_components[],COLUMN(J:J),0)</f>
        <v>0</v>
      </c>
      <c r="K720" cm="1">
        <f t="array" ref="K720">VLOOKUP($A720,Table_ship_components[],COLUMN(K:K),0)</f>
        <v>0</v>
      </c>
      <c r="L720" cm="1">
        <f t="array" ref="L720">VLOOKUP($A720,Table_ship_components[],COLUMN(L:L),0)</f>
        <v>0</v>
      </c>
      <c r="M720" cm="1">
        <f t="array" ref="M720">VLOOKUP($A720,Table_ship_components[],COLUMN(M:M),0)</f>
        <v>1</v>
      </c>
      <c r="N720" cm="1">
        <f t="array" ref="N720">VLOOKUP($A720,Table_ship_components[],COLUMN(N:N),0)</f>
        <v>0</v>
      </c>
      <c r="O720" cm="1">
        <f t="array" ref="O720">VLOOKUP($A720,Table_ship_components[],COLUMN(O:O),0)</f>
        <v>0</v>
      </c>
      <c r="P720" cm="1">
        <f t="array" ref="P720">VLOOKUP($A720,Table_ship_components[],COLUMN(P:P),0)</f>
        <v>0</v>
      </c>
      <c r="Q720" cm="1">
        <f t="array" ref="Q720">VLOOKUP($A720,Table_ship_components[],COLUMN(Q:Q),0)</f>
        <v>0</v>
      </c>
      <c r="R720" cm="1">
        <f t="array" ref="R720">VLOOKUP($A720,Table_ship_components[],COLUMN(R:R),0)</f>
        <v>0</v>
      </c>
      <c r="S720" cm="1">
        <f t="array" ref="S720">VLOOKUP($A720,Table_ship_components[],COLUMN(S:S),0)</f>
        <v>0</v>
      </c>
      <c r="T720" cm="1">
        <f t="array" ref="T720">VLOOKUP($A720,Table_ship_components[],COLUMN(T:T),0)</f>
        <v>0</v>
      </c>
      <c r="U720" cm="1">
        <f t="array" ref="U720">VLOOKUP($A720,Table_ship_components[],COLUMN(U:U),0)</f>
        <v>0</v>
      </c>
      <c r="V720" cm="1">
        <f t="array" ref="V720">VLOOKUP($A720,Table_ship_components[],COLUMN(V:V),0)</f>
        <v>0</v>
      </c>
      <c r="W720" s="15" cm="1">
        <f t="array" ref="W720">VLOOKUP($A720,Table_ship_components[],COLUMN(W:W),0)</f>
        <v>0</v>
      </c>
      <c r="X720" cm="1">
        <f t="array" ref="X720">VLOOKUP($A720,Table_ship_components[],COLUMN(X:X),0)</f>
        <v>0</v>
      </c>
      <c r="Y720" cm="1">
        <f t="array" ref="Y720">VLOOKUP($A720,Table_ship_components[],COLUMN(Y:Y),0)</f>
        <v>0</v>
      </c>
      <c r="Z720" cm="1">
        <f t="array" ref="Z720">VLOOKUP($A720,Table_ship_components[],COLUMN(Z:Z),0)</f>
        <v>0</v>
      </c>
      <c r="AA720" cm="1">
        <f t="array" ref="AA720">VLOOKUP($A720,Table_ship_components[],COLUMN(AA:AA),0)*C720</f>
        <v>0</v>
      </c>
      <c r="AB720">
        <f t="shared" si="77"/>
        <v>0</v>
      </c>
      <c r="AC720" cm="1">
        <f t="array" ref="AC720">VLOOKUP($A720,Table_ship_components[],COLUMN(AC:AC),0)*C720</f>
        <v>0</v>
      </c>
      <c r="AD720" cm="1">
        <f t="array" ref="AD720">VLOOKUP($A720,Table_ship_components[],COLUMN(AD:AD),0)</f>
        <v>0</v>
      </c>
      <c r="AE720" cm="1">
        <f t="array" ref="AE720">VLOOKUP($A720,Table_ship_components[],COLUMN(AE:AE),0)</f>
        <v>0</v>
      </c>
      <c r="AF720" cm="1">
        <f t="array" ref="AF720">VLOOKUP($A720,Table_ship_components[],COLUMN(AF:AF),0)</f>
        <v>0</v>
      </c>
      <c r="AG720" cm="1">
        <f t="array" ref="AG720">VLOOKUP($A720,Table_ship_components[],COLUMN(AG:AG),0)</f>
        <v>0</v>
      </c>
      <c r="AH720" cm="1">
        <f t="array" ref="AH720">VLOOKUP($A720,Table_ship_components[],COLUMN(AH:AH),0)</f>
        <v>0</v>
      </c>
      <c r="AI720" cm="1">
        <f t="array" ref="AI720">VLOOKUP($A720,Table_ship_components[],COLUMN(AI:AI),0)</f>
        <v>0</v>
      </c>
      <c r="AJ720" cm="1">
        <f t="array" ref="AJ720">VLOOKUP($A720,Table_ship_components[],COLUMN(AJ:AJ),0)</f>
        <v>0</v>
      </c>
      <c r="AK720" cm="1">
        <f t="array" ref="AK720">VLOOKUP($A720,Table_ship_components[],COLUMN(AK:AK),0)</f>
        <v>0</v>
      </c>
      <c r="AL720" cm="1">
        <f t="array" ref="AL720">VLOOKUP($A720,Table_ship_components[],COLUMN(AL:AL),0)</f>
        <v>1</v>
      </c>
      <c r="AM720" cm="1">
        <f t="array" ref="AM720">VLOOKUP($A720,Table_ship_components[],COLUMN(AM:AM),0)</f>
        <v>0</v>
      </c>
      <c r="AN720" cm="1">
        <f t="array" ref="AN720">VLOOKUP($A720,Table_ship_components[],COLUMN(AN:AN),0)</f>
        <v>0</v>
      </c>
      <c r="AO720" cm="1">
        <f t="array" ref="AO720">VLOOKUP($A720,Table_ship_components[],COLUMN(AO:AO),0)</f>
        <v>0</v>
      </c>
      <c r="AP720" cm="1">
        <f t="array" ref="AP720">VLOOKUP($A720,Table_ship_components[],COLUMN(AP:AP),0)</f>
        <v>0</v>
      </c>
      <c r="AQ720" cm="1">
        <f t="array" ref="AQ720">VLOOKUP($A720,Table_ship_components[],COLUMN(AQ:AQ),0)</f>
        <v>0</v>
      </c>
      <c r="AR720" cm="1">
        <f t="array" ref="AR720">VLOOKUP($A720,Table_ship_components[],COLUMN(AR:AR),0)</f>
        <v>2</v>
      </c>
      <c r="AS720" cm="1">
        <f t="array" ref="AS720">VLOOKUP($A720,Table_ship_components[],COLUMN(AS:AS),0)</f>
        <v>0</v>
      </c>
      <c r="AT720" cm="1">
        <f t="array" ref="AT720">VLOOKUP($A720,Table_ship_components[],COLUMN(AT:AT),0)</f>
        <v>0</v>
      </c>
      <c r="AU720" s="2" cm="1">
        <f t="array" ref="AU720">VLOOKUP($A720,Table_ship_components[],COLUMN(AU:AU),0)</f>
        <v>0</v>
      </c>
      <c r="AV720" s="2" cm="1">
        <f t="array" ref="AV720">VLOOKUP($A720,Table_ship_components[],COLUMN(AV:AV),0)</f>
        <v>0</v>
      </c>
      <c r="AW720" s="2" cm="1">
        <f t="array" ref="AW720">VLOOKUP($A720,Table_ship_components[],COLUMN(AW:AW),0)</f>
        <v>0</v>
      </c>
      <c r="AX720" s="2" cm="1">
        <f t="array" ref="AX720">VLOOKUP($A720,Table_ship_components[],COLUMN(AX:AX),0)</f>
        <v>0</v>
      </c>
      <c r="AY720" s="2" cm="1">
        <f t="array" ref="AY720">VLOOKUP($A720,Table_ship_components[],COLUMN(AY:AY),0)</f>
        <v>0</v>
      </c>
      <c r="AZ720" s="2" t="str" cm="1">
        <f t="array" ref="AZ720">VLOOKUP($A720,Table_ship_components[],COLUMN(AZ:AZ),0)</f>
        <v>C</v>
      </c>
      <c r="BA720" s="14" cm="1">
        <f t="array" ref="BA720">VLOOKUP($A720,Table_ship_components[],COLUMN(BA:BA),0)</f>
        <v>150000</v>
      </c>
      <c r="BB720" s="14" cm="1">
        <f t="array" ref="BB720">(VLOOKUP($A720,Table_ship_components[],COLUMN(BA:BA),0)+(W720*C720))</f>
        <v>150000</v>
      </c>
      <c r="BC720" s="2" cm="1">
        <f t="array" ref="BC720">VLOOKUP($A720,Table_ship_components[],COLUMN(BC:BC),0)</f>
        <v>0</v>
      </c>
      <c r="BD720" s="2" cm="1">
        <f t="array" ref="BD720">VLOOKUP($A720,Table_ship_components[],COLUMN(BD:BD),0)</f>
        <v>0</v>
      </c>
    </row>
    <row r="721" spans="1:56" outlineLevel="1" x14ac:dyDescent="0.35">
      <c r="A721" t="s">
        <v>315</v>
      </c>
      <c r="B721" t="str" cm="1">
        <f t="array" ref="B721">VLOOKUP($A721,Table_ship_components[],COLUMN(B:B),0)</f>
        <v>cargo space (1 HUGE item per unit)</v>
      </c>
      <c r="C721" s="2">
        <v>2</v>
      </c>
      <c r="D721" cm="1">
        <f t="array" ref="D721">VLOOKUP($A721,Table_ship_components[],COLUMN(D:D),0)</f>
        <v>0</v>
      </c>
      <c r="E721" cm="1">
        <f t="array" ref="E721">ROUND(VLOOKUP($A721,Table_ship_components[],COLUMN(D:D),0)+(V721*C721),0)</f>
        <v>2</v>
      </c>
      <c r="F721" cm="1">
        <f t="array" ref="F721">VLOOKUP($A721,Table_ship_components[],COLUMN(F:F),0)</f>
        <v>0</v>
      </c>
      <c r="G721" cm="1">
        <f t="array" ref="G721">ROUND(VLOOKUP($A721,Table_ship_components[],COLUMN(G:G),0)+(X721*C721),0)</f>
        <v>0</v>
      </c>
      <c r="H721" cm="1">
        <f t="array" ref="H721">VLOOKUP($A721,Table_ship_components[],COLUMN(H:H),0)</f>
        <v>0</v>
      </c>
      <c r="I721" cm="1">
        <f t="array" ref="I721">VLOOKUP($A721,Table_ship_components[],COLUMN(I:I),0)</f>
        <v>0</v>
      </c>
      <c r="J721" cm="1">
        <f t="array" ref="J721">VLOOKUP($A721,Table_ship_components[],COLUMN(J:J),0)</f>
        <v>0</v>
      </c>
      <c r="K721" cm="1">
        <f t="array" ref="K721">VLOOKUP($A721,Table_ship_components[],COLUMN(K:K),0)</f>
        <v>0</v>
      </c>
      <c r="L721" cm="1">
        <f t="array" ref="L721">VLOOKUP($A721,Table_ship_components[],COLUMN(L:L),0)</f>
        <v>0</v>
      </c>
      <c r="M721" cm="1">
        <f t="array" ref="M721">VLOOKUP($A721,Table_ship_components[],COLUMN(M:M),0)</f>
        <v>0</v>
      </c>
      <c r="N721" cm="1">
        <f t="array" ref="N721">VLOOKUP($A721,Table_ship_components[],COLUMN(N:N),0)</f>
        <v>1</v>
      </c>
      <c r="O721" cm="1">
        <f t="array" ref="O721">VLOOKUP($A721,Table_ship_components[],COLUMN(O:O),0)</f>
        <v>1</v>
      </c>
      <c r="P721" cm="1">
        <f t="array" ref="P721">VLOOKUP($A721,Table_ship_components[],COLUMN(P:P),0)</f>
        <v>1</v>
      </c>
      <c r="Q721" cm="1">
        <f t="array" ref="Q721">VLOOKUP($A721,Table_ship_components[],COLUMN(Q:Q),0)</f>
        <v>1</v>
      </c>
      <c r="R721" cm="1">
        <f t="array" ref="R721">VLOOKUP($A721,Table_ship_components[],COLUMN(R:R),0)</f>
        <v>1</v>
      </c>
      <c r="S721" cm="1">
        <f t="array" ref="S721">VLOOKUP($A721,Table_ship_components[],COLUMN(S:S),0)</f>
        <v>1</v>
      </c>
      <c r="T721" cm="1">
        <f t="array" ref="T721">VLOOKUP($A721,Table_ship_components[],COLUMN(T:T),0)</f>
        <v>1</v>
      </c>
      <c r="U721" cm="1">
        <f t="array" ref="U721">VLOOKUP($A721,Table_ship_components[],COLUMN(U:U),0)</f>
        <v>1</v>
      </c>
      <c r="V721" cm="1">
        <f t="array" ref="V721">VLOOKUP($A721,Table_ship_components[],COLUMN(V:V),0)</f>
        <v>1</v>
      </c>
      <c r="W721" s="15" cm="1">
        <f t="array" ref="W721">VLOOKUP($A721,Table_ship_components[],COLUMN(W:W),0)</f>
        <v>5000</v>
      </c>
      <c r="X721" cm="1">
        <f t="array" ref="X721">VLOOKUP($A721,Table_ship_components[],COLUMN(X:X),0)</f>
        <v>0</v>
      </c>
      <c r="Y721" cm="1">
        <f t="array" ref="Y721">VLOOKUP($A721,Table_ship_components[],COLUMN(Y:Y),0)</f>
        <v>0</v>
      </c>
      <c r="Z721" cm="1">
        <f t="array" ref="Z721">VLOOKUP($A721,Table_ship_components[],COLUMN(Z:Z),0)</f>
        <v>0</v>
      </c>
      <c r="AA721" cm="1">
        <f t="array" ref="AA721">VLOOKUP($A721,Table_ship_components[],COLUMN(AA:AA),0)*C721</f>
        <v>0</v>
      </c>
      <c r="AB721">
        <f t="shared" si="77"/>
        <v>2</v>
      </c>
      <c r="AC721" cm="1">
        <f t="array" ref="AC721">VLOOKUP($A721,Table_ship_components[],COLUMN(AC:AC),0)*C721</f>
        <v>0</v>
      </c>
      <c r="AD721" cm="1">
        <f t="array" ref="AD721">VLOOKUP($A721,Table_ship_components[],COLUMN(AD:AD),0)</f>
        <v>0</v>
      </c>
      <c r="AE721" cm="1">
        <f t="array" ref="AE721">VLOOKUP($A721,Table_ship_components[],COLUMN(AE:AE),0)</f>
        <v>0</v>
      </c>
      <c r="AF721" cm="1">
        <f t="array" ref="AF721">VLOOKUP($A721,Table_ship_components[],COLUMN(AF:AF),0)</f>
        <v>0</v>
      </c>
      <c r="AG721" cm="1">
        <f t="array" ref="AG721">VLOOKUP($A721,Table_ship_components[],COLUMN(AG:AG),0)</f>
        <v>0</v>
      </c>
      <c r="AH721" cm="1">
        <f t="array" ref="AH721">VLOOKUP($A721,Table_ship_components[],COLUMN(AH:AH),0)</f>
        <v>0</v>
      </c>
      <c r="AI721" cm="1">
        <f t="array" ref="AI721">VLOOKUP($A721,Table_ship_components[],COLUMN(AI:AI),0)</f>
        <v>0</v>
      </c>
      <c r="AJ721" cm="1">
        <f t="array" ref="AJ721">VLOOKUP($A721,Table_ship_components[],COLUMN(AJ:AJ),0)</f>
        <v>0</v>
      </c>
      <c r="AK721" cm="1">
        <f t="array" ref="AK721">VLOOKUP($A721,Table_ship_components[],COLUMN(AK:AK),0)</f>
        <v>0</v>
      </c>
      <c r="AL721" cm="1">
        <f t="array" ref="AL721">VLOOKUP($A721,Table_ship_components[],COLUMN(AL:AL),0)</f>
        <v>0</v>
      </c>
      <c r="AM721" cm="1">
        <f t="array" ref="AM721">VLOOKUP($A721,Table_ship_components[],COLUMN(AM:AM),0)</f>
        <v>0</v>
      </c>
      <c r="AN721" cm="1">
        <f t="array" ref="AN721">VLOOKUP($A721,Table_ship_components[],COLUMN(AN:AN),0)</f>
        <v>0</v>
      </c>
      <c r="AO721" cm="1">
        <f t="array" ref="AO721">VLOOKUP($A721,Table_ship_components[],COLUMN(AO:AO),0)</f>
        <v>0</v>
      </c>
      <c r="AP721" cm="1">
        <f t="array" ref="AP721">VLOOKUP($A721,Table_ship_components[],COLUMN(AP:AP),0)</f>
        <v>0</v>
      </c>
      <c r="AQ721" cm="1">
        <f t="array" ref="AQ721">VLOOKUP($A721,Table_ship_components[],COLUMN(AQ:AQ),0)</f>
        <v>0</v>
      </c>
      <c r="AR721" cm="1">
        <f t="array" ref="AR721">VLOOKUP($A721,Table_ship_components[],COLUMN(AR:AR),0)</f>
        <v>0</v>
      </c>
      <c r="AS721" cm="1">
        <f t="array" ref="AS721">VLOOKUP($A721,Table_ship_components[],COLUMN(AS:AS),0)</f>
        <v>0</v>
      </c>
      <c r="AT721" cm="1">
        <f t="array" ref="AT721">VLOOKUP($A721,Table_ship_components[],COLUMN(AT:AT),0)</f>
        <v>0</v>
      </c>
      <c r="AU721" s="2" cm="1">
        <f t="array" ref="AU721">VLOOKUP($A721,Table_ship_components[],COLUMN(AU:AU),0)</f>
        <v>0</v>
      </c>
      <c r="AV721" s="2" cm="1">
        <f t="array" ref="AV721">VLOOKUP($A721,Table_ship_components[],COLUMN(AV:AV),0)</f>
        <v>0</v>
      </c>
      <c r="AW721" s="2" cm="1">
        <f t="array" ref="AW721">VLOOKUP($A721,Table_ship_components[],COLUMN(AW:AW),0)</f>
        <v>0</v>
      </c>
      <c r="AX721" s="2" cm="1">
        <f t="array" ref="AX721">VLOOKUP($A721,Table_ship_components[],COLUMN(AX:AX),0)</f>
        <v>0</v>
      </c>
      <c r="AY721" s="2" cm="1">
        <f t="array" ref="AY721">VLOOKUP($A721,Table_ship_components[],COLUMN(AY:AY),0)</f>
        <v>0</v>
      </c>
      <c r="AZ721" s="2" t="str" cm="1">
        <f t="array" ref="AZ721">VLOOKUP($A721,Table_ship_components[],COLUMN(AZ:AZ),0)</f>
        <v>C</v>
      </c>
      <c r="BA721" s="14" cm="1">
        <f t="array" ref="BA721">VLOOKUP($A721,Table_ship_components[],COLUMN(BA:BA),0)</f>
        <v>5000</v>
      </c>
      <c r="BB721" s="14" cm="1">
        <f t="array" ref="BB721">(VLOOKUP($A721,Table_ship_components[],COLUMN(BA:BA),0)+(W721*C721))</f>
        <v>15000</v>
      </c>
      <c r="BC721" s="2" cm="1">
        <f t="array" ref="BC721">VLOOKUP($A721,Table_ship_components[],COLUMN(BC:BC),0)</f>
        <v>0</v>
      </c>
      <c r="BD721" s="2" cm="1">
        <f t="array" ref="BD721">VLOOKUP($A721,Table_ship_components[],COLUMN(BD:BD),0)</f>
        <v>0</v>
      </c>
    </row>
    <row r="722" spans="1:56" outlineLevel="1" x14ac:dyDescent="0.35">
      <c r="A722" t="s">
        <v>288</v>
      </c>
      <c r="B722" t="str" cm="1">
        <f t="array" ref="B722">VLOOKUP($A722,Table_ship_components[],COLUMN(B:B),0)</f>
        <v>PICK A COMPONENT</v>
      </c>
      <c r="D722" cm="1">
        <f t="array" ref="D722">VLOOKUP($A722,Table_ship_components[],COLUMN(D:D),0)</f>
        <v>0</v>
      </c>
      <c r="E722" cm="1">
        <f t="array" ref="E722">ROUND(VLOOKUP($A722,Table_ship_components[],COLUMN(D:D),0)+(V722*C722),0)</f>
        <v>0</v>
      </c>
      <c r="F722" cm="1">
        <f t="array" ref="F722">VLOOKUP($A722,Table_ship_components[],COLUMN(F:F),0)</f>
        <v>0</v>
      </c>
      <c r="G722" cm="1">
        <f t="array" ref="G722">ROUND(VLOOKUP($A722,Table_ship_components[],COLUMN(G:G),0)+(X722*C722),0)</f>
        <v>0</v>
      </c>
      <c r="H722" cm="1">
        <f t="array" ref="H722">VLOOKUP($A722,Table_ship_components[],COLUMN(H:H),0)</f>
        <v>0</v>
      </c>
      <c r="I722" cm="1">
        <f t="array" ref="I722">VLOOKUP($A722,Table_ship_components[],COLUMN(I:I),0)</f>
        <v>0</v>
      </c>
      <c r="J722" cm="1">
        <f t="array" ref="J722">VLOOKUP($A722,Table_ship_components[],COLUMN(J:J),0)</f>
        <v>0</v>
      </c>
      <c r="K722" cm="1">
        <f t="array" ref="K722">VLOOKUP($A722,Table_ship_components[],COLUMN(K:K),0)</f>
        <v>0</v>
      </c>
      <c r="L722" cm="1">
        <f t="array" ref="L722">VLOOKUP($A722,Table_ship_components[],COLUMN(L:L),0)</f>
        <v>0</v>
      </c>
      <c r="M722" cm="1">
        <f t="array" ref="M722">VLOOKUP($A722,Table_ship_components[],COLUMN(M:M),0)</f>
        <v>0</v>
      </c>
      <c r="N722" cm="1">
        <f t="array" ref="N722">VLOOKUP($A722,Table_ship_components[],COLUMN(N:N),0)</f>
        <v>0</v>
      </c>
      <c r="O722" cm="1">
        <f t="array" ref="O722">VLOOKUP($A722,Table_ship_components[],COLUMN(O:O),0)</f>
        <v>0</v>
      </c>
      <c r="P722" cm="1">
        <f t="array" ref="P722">VLOOKUP($A722,Table_ship_components[],COLUMN(P:P),0)</f>
        <v>0</v>
      </c>
      <c r="Q722" cm="1">
        <f t="array" ref="Q722">VLOOKUP($A722,Table_ship_components[],COLUMN(Q:Q),0)</f>
        <v>0</v>
      </c>
      <c r="R722" cm="1">
        <f t="array" ref="R722">VLOOKUP($A722,Table_ship_components[],COLUMN(R:R),0)</f>
        <v>0</v>
      </c>
      <c r="S722" cm="1">
        <f t="array" ref="S722">VLOOKUP($A722,Table_ship_components[],COLUMN(S:S),0)</f>
        <v>0</v>
      </c>
      <c r="T722" cm="1">
        <f t="array" ref="T722">VLOOKUP($A722,Table_ship_components[],COLUMN(T:T),0)</f>
        <v>0</v>
      </c>
      <c r="U722" cm="1">
        <f t="array" ref="U722">VLOOKUP($A722,Table_ship_components[],COLUMN(U:U),0)</f>
        <v>0</v>
      </c>
      <c r="V722" cm="1">
        <f t="array" ref="V722">VLOOKUP($A722,Table_ship_components[],COLUMN(V:V),0)</f>
        <v>0</v>
      </c>
      <c r="W722" s="15" cm="1">
        <f t="array" ref="W722">VLOOKUP($A722,Table_ship_components[],COLUMN(W:W),0)</f>
        <v>0</v>
      </c>
      <c r="X722" cm="1">
        <f t="array" ref="X722">VLOOKUP($A722,Table_ship_components[],COLUMN(X:X),0)</f>
        <v>0</v>
      </c>
      <c r="Y722" cm="1">
        <f t="array" ref="Y722">VLOOKUP($A722,Table_ship_components[],COLUMN(Y:Y),0)</f>
        <v>0</v>
      </c>
      <c r="Z722" cm="1">
        <f t="array" ref="Z722">VLOOKUP($A722,Table_ship_components[],COLUMN(Z:Z),0)</f>
        <v>0</v>
      </c>
      <c r="AA722" cm="1">
        <f t="array" ref="AA722">VLOOKUP($A722,Table_ship_components[],COLUMN(AA:AA),0)*C722</f>
        <v>0</v>
      </c>
      <c r="AB722">
        <f t="shared" si="77"/>
        <v>0</v>
      </c>
      <c r="AC722" cm="1">
        <f t="array" ref="AC722">VLOOKUP($A722,Table_ship_components[],COLUMN(AC:AC),0)*C722</f>
        <v>0</v>
      </c>
      <c r="AD722" cm="1">
        <f t="array" ref="AD722">VLOOKUP($A722,Table_ship_components[],COLUMN(AD:AD),0)</f>
        <v>0</v>
      </c>
      <c r="AE722" cm="1">
        <f t="array" ref="AE722">VLOOKUP($A722,Table_ship_components[],COLUMN(AE:AE),0)</f>
        <v>0</v>
      </c>
      <c r="AF722" cm="1">
        <f t="array" ref="AF722">VLOOKUP($A722,Table_ship_components[],COLUMN(AF:AF),0)</f>
        <v>0</v>
      </c>
      <c r="AG722" cm="1">
        <f t="array" ref="AG722">VLOOKUP($A722,Table_ship_components[],COLUMN(AG:AG),0)</f>
        <v>0</v>
      </c>
      <c r="AH722" cm="1">
        <f t="array" ref="AH722">VLOOKUP($A722,Table_ship_components[],COLUMN(AH:AH),0)</f>
        <v>0</v>
      </c>
      <c r="AI722" cm="1">
        <f t="array" ref="AI722">VLOOKUP($A722,Table_ship_components[],COLUMN(AI:AI),0)</f>
        <v>0</v>
      </c>
      <c r="AJ722" cm="1">
        <f t="array" ref="AJ722">VLOOKUP($A722,Table_ship_components[],COLUMN(AJ:AJ),0)</f>
        <v>0</v>
      </c>
      <c r="AK722" cm="1">
        <f t="array" ref="AK722">VLOOKUP($A722,Table_ship_components[],COLUMN(AK:AK),0)</f>
        <v>0</v>
      </c>
      <c r="AL722" cm="1">
        <f t="array" ref="AL722">VLOOKUP($A722,Table_ship_components[],COLUMN(AL:AL),0)</f>
        <v>0</v>
      </c>
      <c r="AM722" cm="1">
        <f t="array" ref="AM722">VLOOKUP($A722,Table_ship_components[],COLUMN(AM:AM),0)</f>
        <v>0</v>
      </c>
      <c r="AN722" cm="1">
        <f t="array" ref="AN722">VLOOKUP($A722,Table_ship_components[],COLUMN(AN:AN),0)</f>
        <v>0</v>
      </c>
      <c r="AO722" cm="1">
        <f t="array" ref="AO722">VLOOKUP($A722,Table_ship_components[],COLUMN(AO:AO),0)</f>
        <v>0</v>
      </c>
      <c r="AP722" cm="1">
        <f t="array" ref="AP722">VLOOKUP($A722,Table_ship_components[],COLUMN(AP:AP),0)</f>
        <v>0</v>
      </c>
      <c r="AQ722" cm="1">
        <f t="array" ref="AQ722">VLOOKUP($A722,Table_ship_components[],COLUMN(AQ:AQ),0)</f>
        <v>0</v>
      </c>
      <c r="AR722" cm="1">
        <f t="array" ref="AR722">VLOOKUP($A722,Table_ship_components[],COLUMN(AR:AR),0)</f>
        <v>0</v>
      </c>
      <c r="AS722" cm="1">
        <f t="array" ref="AS722">VLOOKUP($A722,Table_ship_components[],COLUMN(AS:AS),0)</f>
        <v>0</v>
      </c>
      <c r="AT722" cm="1">
        <f t="array" ref="AT722">VLOOKUP($A722,Table_ship_components[],COLUMN(AT:AT),0)</f>
        <v>0</v>
      </c>
      <c r="AU722" s="2" cm="1">
        <f t="array" ref="AU722">VLOOKUP($A722,Table_ship_components[],COLUMN(AU:AU),0)</f>
        <v>0</v>
      </c>
      <c r="AV722" s="2" cm="1">
        <f t="array" ref="AV722">VLOOKUP($A722,Table_ship_components[],COLUMN(AV:AV),0)</f>
        <v>0</v>
      </c>
      <c r="AW722" s="2" cm="1">
        <f t="array" ref="AW722">VLOOKUP($A722,Table_ship_components[],COLUMN(AW:AW),0)</f>
        <v>0</v>
      </c>
      <c r="AX722" s="2" cm="1">
        <f t="array" ref="AX722">VLOOKUP($A722,Table_ship_components[],COLUMN(AX:AX),0)</f>
        <v>0</v>
      </c>
      <c r="AY722" s="2" cm="1">
        <f t="array" ref="AY722">VLOOKUP($A722,Table_ship_components[],COLUMN(AY:AY),0)</f>
        <v>0</v>
      </c>
      <c r="AZ722" s="2" t="str" cm="1">
        <f t="array" ref="AZ722">VLOOKUP($A722,Table_ship_components[],COLUMN(AZ:AZ),0)</f>
        <v>C</v>
      </c>
      <c r="BA722" s="14" cm="1">
        <f t="array" ref="BA722">VLOOKUP($A722,Table_ship_components[],COLUMN(BA:BA),0)</f>
        <v>0</v>
      </c>
      <c r="BB722" s="14" cm="1">
        <f t="array" ref="BB722">(VLOOKUP($A722,Table_ship_components[],COLUMN(BA:BA),0)+(W722*C722))</f>
        <v>0</v>
      </c>
      <c r="BC722" s="2" cm="1">
        <f t="array" ref="BC722">VLOOKUP($A722,Table_ship_components[],COLUMN(BC:BC),0)</f>
        <v>0</v>
      </c>
      <c r="BD722" s="2" cm="1">
        <f t="array" ref="BD722">VLOOKUP($A722,Table_ship_components[],COLUMN(BD:BD),0)</f>
        <v>0</v>
      </c>
    </row>
    <row r="723" spans="1:56" outlineLevel="1" x14ac:dyDescent="0.35">
      <c r="A723" t="s">
        <v>288</v>
      </c>
      <c r="B723" t="str" cm="1">
        <f t="array" ref="B723">VLOOKUP($A723,Table_ship_components[],COLUMN(B:B),0)</f>
        <v>PICK A COMPONENT</v>
      </c>
      <c r="D723" cm="1">
        <f t="array" ref="D723">VLOOKUP($A723,Table_ship_components[],COLUMN(D:D),0)</f>
        <v>0</v>
      </c>
      <c r="E723" cm="1">
        <f t="array" ref="E723">ROUND(VLOOKUP($A723,Table_ship_components[],COLUMN(D:D),0)+(V723*C723),0)</f>
        <v>0</v>
      </c>
      <c r="F723" cm="1">
        <f t="array" ref="F723">VLOOKUP($A723,Table_ship_components[],COLUMN(F:F),0)</f>
        <v>0</v>
      </c>
      <c r="G723" cm="1">
        <f t="array" ref="G723">ROUND(VLOOKUP($A723,Table_ship_components[],COLUMN(G:G),0)+(X723*C723),0)</f>
        <v>0</v>
      </c>
      <c r="H723" cm="1">
        <f t="array" ref="H723">VLOOKUP($A723,Table_ship_components[],COLUMN(H:H),0)</f>
        <v>0</v>
      </c>
      <c r="I723" cm="1">
        <f t="array" ref="I723">VLOOKUP($A723,Table_ship_components[],COLUMN(I:I),0)</f>
        <v>0</v>
      </c>
      <c r="J723" cm="1">
        <f t="array" ref="J723">VLOOKUP($A723,Table_ship_components[],COLUMN(J:J),0)</f>
        <v>0</v>
      </c>
      <c r="K723" cm="1">
        <f t="array" ref="K723">VLOOKUP($A723,Table_ship_components[],COLUMN(K:K),0)</f>
        <v>0</v>
      </c>
      <c r="L723" cm="1">
        <f t="array" ref="L723">VLOOKUP($A723,Table_ship_components[],COLUMN(L:L),0)</f>
        <v>0</v>
      </c>
      <c r="M723" cm="1">
        <f t="array" ref="M723">VLOOKUP($A723,Table_ship_components[],COLUMN(M:M),0)</f>
        <v>0</v>
      </c>
      <c r="N723" cm="1">
        <f t="array" ref="N723">VLOOKUP($A723,Table_ship_components[],COLUMN(N:N),0)</f>
        <v>0</v>
      </c>
      <c r="O723" cm="1">
        <f t="array" ref="O723">VLOOKUP($A723,Table_ship_components[],COLUMN(O:O),0)</f>
        <v>0</v>
      </c>
      <c r="P723" cm="1">
        <f t="array" ref="P723">VLOOKUP($A723,Table_ship_components[],COLUMN(P:P),0)</f>
        <v>0</v>
      </c>
      <c r="Q723" cm="1">
        <f t="array" ref="Q723">VLOOKUP($A723,Table_ship_components[],COLUMN(Q:Q),0)</f>
        <v>0</v>
      </c>
      <c r="R723" cm="1">
        <f t="array" ref="R723">VLOOKUP($A723,Table_ship_components[],COLUMN(R:R),0)</f>
        <v>0</v>
      </c>
      <c r="S723" cm="1">
        <f t="array" ref="S723">VLOOKUP($A723,Table_ship_components[],COLUMN(S:S),0)</f>
        <v>0</v>
      </c>
      <c r="T723" cm="1">
        <f t="array" ref="T723">VLOOKUP($A723,Table_ship_components[],COLUMN(T:T),0)</f>
        <v>0</v>
      </c>
      <c r="U723" cm="1">
        <f t="array" ref="U723">VLOOKUP($A723,Table_ship_components[],COLUMN(U:U),0)</f>
        <v>0</v>
      </c>
      <c r="V723" cm="1">
        <f t="array" ref="V723">VLOOKUP($A723,Table_ship_components[],COLUMN(V:V),0)</f>
        <v>0</v>
      </c>
      <c r="W723" s="15" cm="1">
        <f t="array" ref="W723">VLOOKUP($A723,Table_ship_components[],COLUMN(W:W),0)</f>
        <v>0</v>
      </c>
      <c r="X723" cm="1">
        <f t="array" ref="X723">VLOOKUP($A723,Table_ship_components[],COLUMN(X:X),0)</f>
        <v>0</v>
      </c>
      <c r="Y723" cm="1">
        <f t="array" ref="Y723">VLOOKUP($A723,Table_ship_components[],COLUMN(Y:Y),0)</f>
        <v>0</v>
      </c>
      <c r="Z723" cm="1">
        <f t="array" ref="Z723">VLOOKUP($A723,Table_ship_components[],COLUMN(Z:Z),0)</f>
        <v>0</v>
      </c>
      <c r="AA723" cm="1">
        <f t="array" ref="AA723">VLOOKUP($A723,Table_ship_components[],COLUMN(AA:AA),0)*C723</f>
        <v>0</v>
      </c>
      <c r="AB723">
        <f t="shared" si="77"/>
        <v>0</v>
      </c>
      <c r="AC723" cm="1">
        <f t="array" ref="AC723">VLOOKUP($A723,Table_ship_components[],COLUMN(AC:AC),0)*C723</f>
        <v>0</v>
      </c>
      <c r="AD723" cm="1">
        <f t="array" ref="AD723">VLOOKUP($A723,Table_ship_components[],COLUMN(AD:AD),0)</f>
        <v>0</v>
      </c>
      <c r="AE723" cm="1">
        <f t="array" ref="AE723">VLOOKUP($A723,Table_ship_components[],COLUMN(AE:AE),0)</f>
        <v>0</v>
      </c>
      <c r="AF723" cm="1">
        <f t="array" ref="AF723">VLOOKUP($A723,Table_ship_components[],COLUMN(AF:AF),0)</f>
        <v>0</v>
      </c>
      <c r="AG723" cm="1">
        <f t="array" ref="AG723">VLOOKUP($A723,Table_ship_components[],COLUMN(AG:AG),0)</f>
        <v>0</v>
      </c>
      <c r="AH723" cm="1">
        <f t="array" ref="AH723">VLOOKUP($A723,Table_ship_components[],COLUMN(AH:AH),0)</f>
        <v>0</v>
      </c>
      <c r="AI723" cm="1">
        <f t="array" ref="AI723">VLOOKUP($A723,Table_ship_components[],COLUMN(AI:AI),0)</f>
        <v>0</v>
      </c>
      <c r="AJ723" cm="1">
        <f t="array" ref="AJ723">VLOOKUP($A723,Table_ship_components[],COLUMN(AJ:AJ),0)</f>
        <v>0</v>
      </c>
      <c r="AK723" cm="1">
        <f t="array" ref="AK723">VLOOKUP($A723,Table_ship_components[],COLUMN(AK:AK),0)</f>
        <v>0</v>
      </c>
      <c r="AL723" cm="1">
        <f t="array" ref="AL723">VLOOKUP($A723,Table_ship_components[],COLUMN(AL:AL),0)</f>
        <v>0</v>
      </c>
      <c r="AM723" cm="1">
        <f t="array" ref="AM723">VLOOKUP($A723,Table_ship_components[],COLUMN(AM:AM),0)</f>
        <v>0</v>
      </c>
      <c r="AN723" cm="1">
        <f t="array" ref="AN723">VLOOKUP($A723,Table_ship_components[],COLUMN(AN:AN),0)</f>
        <v>0</v>
      </c>
      <c r="AO723" cm="1">
        <f t="array" ref="AO723">VLOOKUP($A723,Table_ship_components[],COLUMN(AO:AO),0)</f>
        <v>0</v>
      </c>
      <c r="AP723" cm="1">
        <f t="array" ref="AP723">VLOOKUP($A723,Table_ship_components[],COLUMN(AP:AP),0)</f>
        <v>0</v>
      </c>
      <c r="AQ723" cm="1">
        <f t="array" ref="AQ723">VLOOKUP($A723,Table_ship_components[],COLUMN(AQ:AQ),0)</f>
        <v>0</v>
      </c>
      <c r="AR723" cm="1">
        <f t="array" ref="AR723">VLOOKUP($A723,Table_ship_components[],COLUMN(AR:AR),0)</f>
        <v>0</v>
      </c>
      <c r="AS723" cm="1">
        <f t="array" ref="AS723">VLOOKUP($A723,Table_ship_components[],COLUMN(AS:AS),0)</f>
        <v>0</v>
      </c>
      <c r="AT723" cm="1">
        <f t="array" ref="AT723">VLOOKUP($A723,Table_ship_components[],COLUMN(AT:AT),0)</f>
        <v>0</v>
      </c>
      <c r="AU723" s="2" cm="1">
        <f t="array" ref="AU723">VLOOKUP($A723,Table_ship_components[],COLUMN(AU:AU),0)</f>
        <v>0</v>
      </c>
      <c r="AV723" s="2" cm="1">
        <f t="array" ref="AV723">VLOOKUP($A723,Table_ship_components[],COLUMN(AV:AV),0)</f>
        <v>0</v>
      </c>
      <c r="AW723" s="2" cm="1">
        <f t="array" ref="AW723">VLOOKUP($A723,Table_ship_components[],COLUMN(AW:AW),0)</f>
        <v>0</v>
      </c>
      <c r="AX723" s="2" cm="1">
        <f t="array" ref="AX723">VLOOKUP($A723,Table_ship_components[],COLUMN(AX:AX),0)</f>
        <v>0</v>
      </c>
      <c r="AY723" s="2" cm="1">
        <f t="array" ref="AY723">VLOOKUP($A723,Table_ship_components[],COLUMN(AY:AY),0)</f>
        <v>0</v>
      </c>
      <c r="AZ723" s="2" t="str" cm="1">
        <f t="array" ref="AZ723">VLOOKUP($A723,Table_ship_components[],COLUMN(AZ:AZ),0)</f>
        <v>C</v>
      </c>
      <c r="BA723" s="14" cm="1">
        <f t="array" ref="BA723">VLOOKUP($A723,Table_ship_components[],COLUMN(BA:BA),0)</f>
        <v>0</v>
      </c>
      <c r="BB723" s="14" cm="1">
        <f t="array" ref="BB723">(VLOOKUP($A723,Table_ship_components[],COLUMN(BA:BA),0)+(W723*C723))</f>
        <v>0</v>
      </c>
      <c r="BC723" s="2" cm="1">
        <f t="array" ref="BC723">VLOOKUP($A723,Table_ship_components[],COLUMN(BC:BC),0)</f>
        <v>0</v>
      </c>
      <c r="BD723" s="2" cm="1">
        <f t="array" ref="BD723">VLOOKUP($A723,Table_ship_components[],COLUMN(BD:BD),0)</f>
        <v>0</v>
      </c>
    </row>
    <row r="724" spans="1:56" outlineLevel="1" x14ac:dyDescent="0.35">
      <c r="A724" t="s">
        <v>288</v>
      </c>
      <c r="B724" t="str" cm="1">
        <f t="array" ref="B724">VLOOKUP($A724,Table_ship_components[],COLUMN(B:B),0)</f>
        <v>PICK A COMPONENT</v>
      </c>
      <c r="D724" cm="1">
        <f t="array" ref="D724">VLOOKUP($A724,Table_ship_components[],COLUMN(D:D),0)</f>
        <v>0</v>
      </c>
      <c r="E724" cm="1">
        <f t="array" ref="E724">ROUND(VLOOKUP($A724,Table_ship_components[],COLUMN(D:D),0)+(V724*C724),0)</f>
        <v>0</v>
      </c>
      <c r="F724" cm="1">
        <f t="array" ref="F724">VLOOKUP($A724,Table_ship_components[],COLUMN(F:F),0)</f>
        <v>0</v>
      </c>
      <c r="G724" cm="1">
        <f t="array" ref="G724">ROUND(VLOOKUP($A724,Table_ship_components[],COLUMN(G:G),0)+(X724*C724),0)</f>
        <v>0</v>
      </c>
      <c r="H724" cm="1">
        <f t="array" ref="H724">VLOOKUP($A724,Table_ship_components[],COLUMN(H:H),0)</f>
        <v>0</v>
      </c>
      <c r="I724" cm="1">
        <f t="array" ref="I724">VLOOKUP($A724,Table_ship_components[],COLUMN(I:I),0)</f>
        <v>0</v>
      </c>
      <c r="J724" cm="1">
        <f t="array" ref="J724">VLOOKUP($A724,Table_ship_components[],COLUMN(J:J),0)</f>
        <v>0</v>
      </c>
      <c r="K724" cm="1">
        <f t="array" ref="K724">VLOOKUP($A724,Table_ship_components[],COLUMN(K:K),0)</f>
        <v>0</v>
      </c>
      <c r="L724" cm="1">
        <f t="array" ref="L724">VLOOKUP($A724,Table_ship_components[],COLUMN(L:L),0)</f>
        <v>0</v>
      </c>
      <c r="M724" cm="1">
        <f t="array" ref="M724">VLOOKUP($A724,Table_ship_components[],COLUMN(M:M),0)</f>
        <v>0</v>
      </c>
      <c r="N724" cm="1">
        <f t="array" ref="N724">VLOOKUP($A724,Table_ship_components[],COLUMN(N:N),0)</f>
        <v>0</v>
      </c>
      <c r="O724" cm="1">
        <f t="array" ref="O724">VLOOKUP($A724,Table_ship_components[],COLUMN(O:O),0)</f>
        <v>0</v>
      </c>
      <c r="P724" cm="1">
        <f t="array" ref="P724">VLOOKUP($A724,Table_ship_components[],COLUMN(P:P),0)</f>
        <v>0</v>
      </c>
      <c r="Q724" cm="1">
        <f t="array" ref="Q724">VLOOKUP($A724,Table_ship_components[],COLUMN(Q:Q),0)</f>
        <v>0</v>
      </c>
      <c r="R724" cm="1">
        <f t="array" ref="R724">VLOOKUP($A724,Table_ship_components[],COLUMN(R:R),0)</f>
        <v>0</v>
      </c>
      <c r="S724" cm="1">
        <f t="array" ref="S724">VLOOKUP($A724,Table_ship_components[],COLUMN(S:S),0)</f>
        <v>0</v>
      </c>
      <c r="T724" cm="1">
        <f t="array" ref="T724">VLOOKUP($A724,Table_ship_components[],COLUMN(T:T),0)</f>
        <v>0</v>
      </c>
      <c r="U724" cm="1">
        <f t="array" ref="U724">VLOOKUP($A724,Table_ship_components[],COLUMN(U:U),0)</f>
        <v>0</v>
      </c>
      <c r="V724" cm="1">
        <f t="array" ref="V724">VLOOKUP($A724,Table_ship_components[],COLUMN(V:V),0)</f>
        <v>0</v>
      </c>
      <c r="W724" s="15" cm="1">
        <f t="array" ref="W724">VLOOKUP($A724,Table_ship_components[],COLUMN(W:W),0)</f>
        <v>0</v>
      </c>
      <c r="X724" cm="1">
        <f t="array" ref="X724">VLOOKUP($A724,Table_ship_components[],COLUMN(X:X),0)</f>
        <v>0</v>
      </c>
      <c r="Y724" cm="1">
        <f t="array" ref="Y724">VLOOKUP($A724,Table_ship_components[],COLUMN(Y:Y),0)</f>
        <v>0</v>
      </c>
      <c r="Z724" cm="1">
        <f t="array" ref="Z724">VLOOKUP($A724,Table_ship_components[],COLUMN(Z:Z),0)</f>
        <v>0</v>
      </c>
      <c r="AA724" cm="1">
        <f t="array" ref="AA724">VLOOKUP($A724,Table_ship_components[],COLUMN(AA:AA),0)*C724</f>
        <v>0</v>
      </c>
      <c r="AB724">
        <f t="shared" si="77"/>
        <v>0</v>
      </c>
      <c r="AC724" cm="1">
        <f t="array" ref="AC724">VLOOKUP($A724,Table_ship_components[],COLUMN(AC:AC),0)*C724</f>
        <v>0</v>
      </c>
      <c r="AD724" cm="1">
        <f t="array" ref="AD724">VLOOKUP($A724,Table_ship_components[],COLUMN(AD:AD),0)</f>
        <v>0</v>
      </c>
      <c r="AE724" cm="1">
        <f t="array" ref="AE724">VLOOKUP($A724,Table_ship_components[],COLUMN(AE:AE),0)</f>
        <v>0</v>
      </c>
      <c r="AF724" cm="1">
        <f t="array" ref="AF724">VLOOKUP($A724,Table_ship_components[],COLUMN(AF:AF),0)</f>
        <v>0</v>
      </c>
      <c r="AG724" cm="1">
        <f t="array" ref="AG724">VLOOKUP($A724,Table_ship_components[],COLUMN(AG:AG),0)</f>
        <v>0</v>
      </c>
      <c r="AH724" cm="1">
        <f t="array" ref="AH724">VLOOKUP($A724,Table_ship_components[],COLUMN(AH:AH),0)</f>
        <v>0</v>
      </c>
      <c r="AI724" cm="1">
        <f t="array" ref="AI724">VLOOKUP($A724,Table_ship_components[],COLUMN(AI:AI),0)</f>
        <v>0</v>
      </c>
      <c r="AJ724" cm="1">
        <f t="array" ref="AJ724">VLOOKUP($A724,Table_ship_components[],COLUMN(AJ:AJ),0)</f>
        <v>0</v>
      </c>
      <c r="AK724" cm="1">
        <f t="array" ref="AK724">VLOOKUP($A724,Table_ship_components[],COLUMN(AK:AK),0)</f>
        <v>0</v>
      </c>
      <c r="AL724" cm="1">
        <f t="array" ref="AL724">VLOOKUP($A724,Table_ship_components[],COLUMN(AL:AL),0)</f>
        <v>0</v>
      </c>
      <c r="AM724" cm="1">
        <f t="array" ref="AM724">VLOOKUP($A724,Table_ship_components[],COLUMN(AM:AM),0)</f>
        <v>0</v>
      </c>
      <c r="AN724" cm="1">
        <f t="array" ref="AN724">VLOOKUP($A724,Table_ship_components[],COLUMN(AN:AN),0)</f>
        <v>0</v>
      </c>
      <c r="AO724" cm="1">
        <f t="array" ref="AO724">VLOOKUP($A724,Table_ship_components[],COLUMN(AO:AO),0)</f>
        <v>0</v>
      </c>
      <c r="AP724" cm="1">
        <f t="array" ref="AP724">VLOOKUP($A724,Table_ship_components[],COLUMN(AP:AP),0)</f>
        <v>0</v>
      </c>
      <c r="AQ724" cm="1">
        <f t="array" ref="AQ724">VLOOKUP($A724,Table_ship_components[],COLUMN(AQ:AQ),0)</f>
        <v>0</v>
      </c>
      <c r="AR724" cm="1">
        <f t="array" ref="AR724">VLOOKUP($A724,Table_ship_components[],COLUMN(AR:AR),0)</f>
        <v>0</v>
      </c>
      <c r="AS724" cm="1">
        <f t="array" ref="AS724">VLOOKUP($A724,Table_ship_components[],COLUMN(AS:AS),0)</f>
        <v>0</v>
      </c>
      <c r="AT724" cm="1">
        <f t="array" ref="AT724">VLOOKUP($A724,Table_ship_components[],COLUMN(AT:AT),0)</f>
        <v>0</v>
      </c>
      <c r="AU724" s="2" cm="1">
        <f t="array" ref="AU724">VLOOKUP($A724,Table_ship_components[],COLUMN(AU:AU),0)</f>
        <v>0</v>
      </c>
      <c r="AV724" s="2" cm="1">
        <f t="array" ref="AV724">VLOOKUP($A724,Table_ship_components[],COLUMN(AV:AV),0)</f>
        <v>0</v>
      </c>
      <c r="AW724" s="2" cm="1">
        <f t="array" ref="AW724">VLOOKUP($A724,Table_ship_components[],COLUMN(AW:AW),0)</f>
        <v>0</v>
      </c>
      <c r="AX724" s="2" cm="1">
        <f t="array" ref="AX724">VLOOKUP($A724,Table_ship_components[],COLUMN(AX:AX),0)</f>
        <v>0</v>
      </c>
      <c r="AY724" s="2" cm="1">
        <f t="array" ref="AY724">VLOOKUP($A724,Table_ship_components[],COLUMN(AY:AY),0)</f>
        <v>0</v>
      </c>
      <c r="AZ724" s="2" t="str" cm="1">
        <f t="array" ref="AZ724">VLOOKUP($A724,Table_ship_components[],COLUMN(AZ:AZ),0)</f>
        <v>C</v>
      </c>
      <c r="BA724" s="14" cm="1">
        <f t="array" ref="BA724">VLOOKUP($A724,Table_ship_components[],COLUMN(BA:BA),0)</f>
        <v>0</v>
      </c>
      <c r="BB724" s="14" cm="1">
        <f t="array" ref="BB724">(VLOOKUP($A724,Table_ship_components[],COLUMN(BA:BA),0)+(W724*C724))</f>
        <v>0</v>
      </c>
      <c r="BC724" s="2" cm="1">
        <f t="array" ref="BC724">VLOOKUP($A724,Table_ship_components[],COLUMN(BC:BC),0)</f>
        <v>0</v>
      </c>
      <c r="BD724" s="2" cm="1">
        <f t="array" ref="BD724">VLOOKUP($A724,Table_ship_components[],COLUMN(BD:BD),0)</f>
        <v>0</v>
      </c>
    </row>
    <row r="725" spans="1:56" outlineLevel="1" x14ac:dyDescent="0.35">
      <c r="A725" t="s">
        <v>288</v>
      </c>
      <c r="B725" t="str" cm="1">
        <f t="array" ref="B725">VLOOKUP($A725,Table_ship_components[],COLUMN(B:B),0)</f>
        <v>PICK A COMPONENT</v>
      </c>
      <c r="D725" cm="1">
        <f t="array" ref="D725">VLOOKUP($A725,Table_ship_components[],COLUMN(D:D),0)</f>
        <v>0</v>
      </c>
      <c r="E725" cm="1">
        <f t="array" ref="E725">ROUND(VLOOKUP($A725,Table_ship_components[],COLUMN(D:D),0)+(V725*C725),0)</f>
        <v>0</v>
      </c>
      <c r="F725" cm="1">
        <f t="array" ref="F725">VLOOKUP($A725,Table_ship_components[],COLUMN(F:F),0)</f>
        <v>0</v>
      </c>
      <c r="G725" cm="1">
        <f t="array" ref="G725">ROUND(VLOOKUP($A725,Table_ship_components[],COLUMN(G:G),0)+(X725*C725),0)</f>
        <v>0</v>
      </c>
      <c r="H725" cm="1">
        <f t="array" ref="H725">VLOOKUP($A725,Table_ship_components[],COLUMN(H:H),0)</f>
        <v>0</v>
      </c>
      <c r="I725" cm="1">
        <f t="array" ref="I725">VLOOKUP($A725,Table_ship_components[],COLUMN(I:I),0)</f>
        <v>0</v>
      </c>
      <c r="J725" cm="1">
        <f t="array" ref="J725">VLOOKUP($A725,Table_ship_components[],COLUMN(J:J),0)</f>
        <v>0</v>
      </c>
      <c r="K725" cm="1">
        <f t="array" ref="K725">VLOOKUP($A725,Table_ship_components[],COLUMN(K:K),0)</f>
        <v>0</v>
      </c>
      <c r="L725" cm="1">
        <f t="array" ref="L725">VLOOKUP($A725,Table_ship_components[],COLUMN(L:L),0)</f>
        <v>0</v>
      </c>
      <c r="M725" cm="1">
        <f t="array" ref="M725">VLOOKUP($A725,Table_ship_components[],COLUMN(M:M),0)</f>
        <v>0</v>
      </c>
      <c r="N725" cm="1">
        <f t="array" ref="N725">VLOOKUP($A725,Table_ship_components[],COLUMN(N:N),0)</f>
        <v>0</v>
      </c>
      <c r="O725" cm="1">
        <f t="array" ref="O725">VLOOKUP($A725,Table_ship_components[],COLUMN(O:O),0)</f>
        <v>0</v>
      </c>
      <c r="P725" cm="1">
        <f t="array" ref="P725">VLOOKUP($A725,Table_ship_components[],COLUMN(P:P),0)</f>
        <v>0</v>
      </c>
      <c r="Q725" cm="1">
        <f t="array" ref="Q725">VLOOKUP($A725,Table_ship_components[],COLUMN(Q:Q),0)</f>
        <v>0</v>
      </c>
      <c r="R725" cm="1">
        <f t="array" ref="R725">VLOOKUP($A725,Table_ship_components[],COLUMN(R:R),0)</f>
        <v>0</v>
      </c>
      <c r="S725" cm="1">
        <f t="array" ref="S725">VLOOKUP($A725,Table_ship_components[],COLUMN(S:S),0)</f>
        <v>0</v>
      </c>
      <c r="T725" cm="1">
        <f t="array" ref="T725">VLOOKUP($A725,Table_ship_components[],COLUMN(T:T),0)</f>
        <v>0</v>
      </c>
      <c r="U725" cm="1">
        <f t="array" ref="U725">VLOOKUP($A725,Table_ship_components[],COLUMN(U:U),0)</f>
        <v>0</v>
      </c>
      <c r="V725" cm="1">
        <f t="array" ref="V725">VLOOKUP($A725,Table_ship_components[],COLUMN(V:V),0)</f>
        <v>0</v>
      </c>
      <c r="W725" s="15" cm="1">
        <f t="array" ref="W725">VLOOKUP($A725,Table_ship_components[],COLUMN(W:W),0)</f>
        <v>0</v>
      </c>
      <c r="X725" cm="1">
        <f t="array" ref="X725">VLOOKUP($A725,Table_ship_components[],COLUMN(X:X),0)</f>
        <v>0</v>
      </c>
      <c r="Y725" cm="1">
        <f t="array" ref="Y725">VLOOKUP($A725,Table_ship_components[],COLUMN(Y:Y),0)</f>
        <v>0</v>
      </c>
      <c r="Z725" cm="1">
        <f t="array" ref="Z725">VLOOKUP($A725,Table_ship_components[],COLUMN(Z:Z),0)</f>
        <v>0</v>
      </c>
      <c r="AA725" cm="1">
        <f t="array" ref="AA725">VLOOKUP($A725,Table_ship_components[],COLUMN(AA:AA),0)*C725</f>
        <v>0</v>
      </c>
      <c r="AB725">
        <f t="shared" si="77"/>
        <v>0</v>
      </c>
      <c r="AC725" cm="1">
        <f t="array" ref="AC725">VLOOKUP($A725,Table_ship_components[],COLUMN(AC:AC),0)*C725</f>
        <v>0</v>
      </c>
      <c r="AD725" cm="1">
        <f t="array" ref="AD725">VLOOKUP($A725,Table_ship_components[],COLUMN(AD:AD),0)</f>
        <v>0</v>
      </c>
      <c r="AE725" cm="1">
        <f t="array" ref="AE725">VLOOKUP($A725,Table_ship_components[],COLUMN(AE:AE),0)</f>
        <v>0</v>
      </c>
      <c r="AF725" cm="1">
        <f t="array" ref="AF725">VLOOKUP($A725,Table_ship_components[],COLUMN(AF:AF),0)</f>
        <v>0</v>
      </c>
      <c r="AG725" cm="1">
        <f t="array" ref="AG725">VLOOKUP($A725,Table_ship_components[],COLUMN(AG:AG),0)</f>
        <v>0</v>
      </c>
      <c r="AH725" cm="1">
        <f t="array" ref="AH725">VLOOKUP($A725,Table_ship_components[],COLUMN(AH:AH),0)</f>
        <v>0</v>
      </c>
      <c r="AI725" cm="1">
        <f t="array" ref="AI725">VLOOKUP($A725,Table_ship_components[],COLUMN(AI:AI),0)</f>
        <v>0</v>
      </c>
      <c r="AJ725" cm="1">
        <f t="array" ref="AJ725">VLOOKUP($A725,Table_ship_components[],COLUMN(AJ:AJ),0)</f>
        <v>0</v>
      </c>
      <c r="AK725" cm="1">
        <f t="array" ref="AK725">VLOOKUP($A725,Table_ship_components[],COLUMN(AK:AK),0)</f>
        <v>0</v>
      </c>
      <c r="AL725" cm="1">
        <f t="array" ref="AL725">VLOOKUP($A725,Table_ship_components[],COLUMN(AL:AL),0)</f>
        <v>0</v>
      </c>
      <c r="AM725" cm="1">
        <f t="array" ref="AM725">VLOOKUP($A725,Table_ship_components[],COLUMN(AM:AM),0)</f>
        <v>0</v>
      </c>
      <c r="AN725" cm="1">
        <f t="array" ref="AN725">VLOOKUP($A725,Table_ship_components[],COLUMN(AN:AN),0)</f>
        <v>0</v>
      </c>
      <c r="AO725" cm="1">
        <f t="array" ref="AO725">VLOOKUP($A725,Table_ship_components[],COLUMN(AO:AO),0)</f>
        <v>0</v>
      </c>
      <c r="AP725" cm="1">
        <f t="array" ref="AP725">VLOOKUP($A725,Table_ship_components[],COLUMN(AP:AP),0)</f>
        <v>0</v>
      </c>
      <c r="AQ725" cm="1">
        <f t="array" ref="AQ725">VLOOKUP($A725,Table_ship_components[],COLUMN(AQ:AQ),0)</f>
        <v>0</v>
      </c>
      <c r="AR725" cm="1">
        <f t="array" ref="AR725">VLOOKUP($A725,Table_ship_components[],COLUMN(AR:AR),0)</f>
        <v>0</v>
      </c>
      <c r="AS725" cm="1">
        <f t="array" ref="AS725">VLOOKUP($A725,Table_ship_components[],COLUMN(AS:AS),0)</f>
        <v>0</v>
      </c>
      <c r="AT725" cm="1">
        <f t="array" ref="AT725">VLOOKUP($A725,Table_ship_components[],COLUMN(AT:AT),0)</f>
        <v>0</v>
      </c>
      <c r="AU725" s="2" cm="1">
        <f t="array" ref="AU725">VLOOKUP($A725,Table_ship_components[],COLUMN(AU:AU),0)</f>
        <v>0</v>
      </c>
      <c r="AV725" s="2" cm="1">
        <f t="array" ref="AV725">VLOOKUP($A725,Table_ship_components[],COLUMN(AV:AV),0)</f>
        <v>0</v>
      </c>
      <c r="AW725" s="2" cm="1">
        <f t="array" ref="AW725">VLOOKUP($A725,Table_ship_components[],COLUMN(AW:AW),0)</f>
        <v>0</v>
      </c>
      <c r="AX725" s="2" cm="1">
        <f t="array" ref="AX725">VLOOKUP($A725,Table_ship_components[],COLUMN(AX:AX),0)</f>
        <v>0</v>
      </c>
      <c r="AY725" s="2" cm="1">
        <f t="array" ref="AY725">VLOOKUP($A725,Table_ship_components[],COLUMN(AY:AY),0)</f>
        <v>0</v>
      </c>
      <c r="AZ725" s="2" t="str" cm="1">
        <f t="array" ref="AZ725">VLOOKUP($A725,Table_ship_components[],COLUMN(AZ:AZ),0)</f>
        <v>C</v>
      </c>
      <c r="BA725" s="14" cm="1">
        <f t="array" ref="BA725">VLOOKUP($A725,Table_ship_components[],COLUMN(BA:BA),0)</f>
        <v>0</v>
      </c>
      <c r="BB725" s="14" cm="1">
        <f t="array" ref="BB725">(VLOOKUP($A725,Table_ship_components[],COLUMN(BA:BA),0)+(W725*C725))</f>
        <v>0</v>
      </c>
      <c r="BC725" s="2" cm="1">
        <f t="array" ref="BC725">VLOOKUP($A725,Table_ship_components[],COLUMN(BC:BC),0)</f>
        <v>0</v>
      </c>
      <c r="BD725" s="2" cm="1">
        <f t="array" ref="BD725">VLOOKUP($A725,Table_ship_components[],COLUMN(BD:BD),0)</f>
        <v>0</v>
      </c>
    </row>
    <row r="726" spans="1:56" ht="15" outlineLevel="1" thickBot="1" x14ac:dyDescent="0.4">
      <c r="D726" s="32"/>
      <c r="E726" s="32">
        <f>SUM(E695:E725)</f>
        <v>25</v>
      </c>
      <c r="F726" s="32"/>
      <c r="G726" s="32">
        <f t="shared" ref="G726:L726" si="78">SUM(G695:G725)</f>
        <v>13</v>
      </c>
      <c r="H726" s="32">
        <f t="shared" si="78"/>
        <v>0</v>
      </c>
      <c r="I726" s="32">
        <f t="shared" si="78"/>
        <v>25</v>
      </c>
      <c r="J726" s="32">
        <f t="shared" si="78"/>
        <v>0</v>
      </c>
      <c r="K726" s="32">
        <f t="shared" si="78"/>
        <v>15</v>
      </c>
      <c r="L726" s="32">
        <f t="shared" si="78"/>
        <v>2</v>
      </c>
      <c r="M726" s="32"/>
      <c r="N726" s="32"/>
      <c r="O726" s="32"/>
      <c r="P726" s="32"/>
      <c r="Q726" s="32"/>
      <c r="R726" s="32"/>
      <c r="S726" s="32"/>
      <c r="T726" s="32"/>
      <c r="U726" s="32"/>
      <c r="V726" s="32"/>
      <c r="W726" s="32"/>
      <c r="X726" s="32"/>
      <c r="Y726" s="32">
        <f t="shared" ref="Y726:AY726" si="79">SUM(Y695:Y725)</f>
        <v>0</v>
      </c>
      <c r="Z726" s="32">
        <f t="shared" si="79"/>
        <v>0</v>
      </c>
      <c r="AA726" s="32">
        <f t="shared" si="79"/>
        <v>0</v>
      </c>
      <c r="AB726" s="32">
        <f t="shared" si="79"/>
        <v>2</v>
      </c>
      <c r="AC726" s="32">
        <f t="shared" si="79"/>
        <v>0</v>
      </c>
      <c r="AD726" s="32">
        <f t="shared" si="79"/>
        <v>0</v>
      </c>
      <c r="AE726" s="32">
        <f t="shared" si="79"/>
        <v>0</v>
      </c>
      <c r="AF726" s="32">
        <f t="shared" si="79"/>
        <v>0</v>
      </c>
      <c r="AG726" s="32">
        <f t="shared" si="79"/>
        <v>0</v>
      </c>
      <c r="AH726" s="32">
        <f t="shared" si="79"/>
        <v>100</v>
      </c>
      <c r="AI726" s="32">
        <f t="shared" si="79"/>
        <v>0</v>
      </c>
      <c r="AJ726" s="32">
        <f t="shared" si="79"/>
        <v>0</v>
      </c>
      <c r="AK726" s="32">
        <f t="shared" si="79"/>
        <v>0</v>
      </c>
      <c r="AL726" s="32">
        <f t="shared" si="79"/>
        <v>1</v>
      </c>
      <c r="AM726" s="32">
        <f t="shared" si="79"/>
        <v>1</v>
      </c>
      <c r="AN726" s="32">
        <f t="shared" si="79"/>
        <v>5</v>
      </c>
      <c r="AO726" s="32">
        <f t="shared" si="79"/>
        <v>3</v>
      </c>
      <c r="AP726" s="32">
        <f t="shared" si="79"/>
        <v>5</v>
      </c>
      <c r="AQ726" s="32">
        <f t="shared" si="79"/>
        <v>0</v>
      </c>
      <c r="AR726" s="32">
        <f t="shared" si="79"/>
        <v>4</v>
      </c>
      <c r="AS726" s="32">
        <f t="shared" si="79"/>
        <v>1</v>
      </c>
      <c r="AT726" s="32">
        <f t="shared" si="79"/>
        <v>5</v>
      </c>
      <c r="AU726" s="32">
        <f t="shared" si="79"/>
        <v>3</v>
      </c>
      <c r="AV726" s="32">
        <f t="shared" si="79"/>
        <v>25</v>
      </c>
      <c r="AW726" s="32">
        <f t="shared" si="79"/>
        <v>10</v>
      </c>
      <c r="AX726" s="32">
        <f t="shared" si="79"/>
        <v>0</v>
      </c>
      <c r="AY726" s="32">
        <f t="shared" si="79"/>
        <v>15</v>
      </c>
      <c r="AZ726" s="32"/>
      <c r="BA726" s="33">
        <f>SUM(BA695:BA725)</f>
        <v>1232500</v>
      </c>
      <c r="BB726" s="33">
        <f>SUM(BB695:BB725)</f>
        <v>1242500</v>
      </c>
      <c r="BC726" s="32"/>
      <c r="BD726" s="32"/>
    </row>
    <row r="727" spans="1:56" ht="19" outlineLevel="1" thickTop="1" x14ac:dyDescent="0.45">
      <c r="A727" s="35" t="s">
        <v>691</v>
      </c>
      <c r="B727" s="34">
        <f>BB726</f>
        <v>1242500</v>
      </c>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c r="AX727" s="36"/>
      <c r="AY727" s="36"/>
      <c r="AZ727" s="36"/>
      <c r="BA727" s="37"/>
      <c r="BB727" s="37"/>
      <c r="BC727" s="36"/>
      <c r="BD727" s="36"/>
    </row>
  </sheetData>
  <phoneticPr fontId="1" type="noConversion"/>
  <dataValidations count="1">
    <dataValidation type="list" allowBlank="1" showInputMessage="1" showErrorMessage="1" sqref="A230:A236 A718:A725 A378:A385 A706:A716 A695 A665:A670 A672:A682 A684:A691 A661 A631:A636 A638:A648 A650:A657 A627 A548:A555 A593 A604:A614 A616:A623 A570:A580 A559 A582:A589 A563:A568 A597:A602 A525 A529:A534 A536:A546 A393:A398 A502:A512 A491 A495:A500 A461:A466 A480:A487 A457 A248:A255 A427:A432 A434:A444 A423 A446:A453 A514:A521 A412:A419 A389 A366:A376 A400:A410 A238:A246 A226 A279:A286 A259 A267:A277 A263:A265 A294:A298 A290 A312:A319 A300:A310 A345:A352 A323 A327:A331 A333:A343 A360:A364 A356 A468:A478 A699:A704" xr:uid="{110D7B34-20AA-4E50-BF1E-AC4F9C8A0FDA}">
      <formula1>$A$3:$A$221</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D4846-F3B9-4D23-A7A6-8DD4630C692D}">
  <dimension ref="A3:J80"/>
  <sheetViews>
    <sheetView topLeftCell="A18" workbookViewId="0">
      <selection activeCell="L22" sqref="L22"/>
    </sheetView>
  </sheetViews>
  <sheetFormatPr defaultRowHeight="14.5" x14ac:dyDescent="0.35"/>
  <cols>
    <col min="1" max="1" width="27.1796875" bestFit="1" customWidth="1"/>
    <col min="2" max="2" width="29.1796875" bestFit="1" customWidth="1"/>
    <col min="3" max="5" width="3.7265625" style="2" bestFit="1" customWidth="1"/>
    <col min="6" max="6" width="3" style="2" bestFit="1" customWidth="1"/>
  </cols>
  <sheetData>
    <row r="3" spans="1:10" ht="46.5" customHeight="1" x14ac:dyDescent="0.35">
      <c r="A3" s="57" t="s">
        <v>512</v>
      </c>
      <c r="B3" s="57"/>
      <c r="C3" s="57"/>
      <c r="D3" s="57"/>
      <c r="E3" s="57"/>
      <c r="F3" s="57"/>
      <c r="G3" s="57"/>
      <c r="H3" s="57"/>
      <c r="I3" s="57"/>
      <c r="J3" s="57"/>
    </row>
    <row r="4" spans="1:10" ht="46.5" customHeight="1" x14ac:dyDescent="0.35">
      <c r="A4" s="57"/>
      <c r="B4" s="57"/>
      <c r="C4" s="57"/>
      <c r="D4" s="57"/>
      <c r="E4" s="57"/>
      <c r="F4" s="57"/>
      <c r="G4" s="57"/>
      <c r="H4" s="57"/>
      <c r="I4" s="57"/>
      <c r="J4" s="57"/>
    </row>
    <row r="7" spans="1:10" ht="95" x14ac:dyDescent="0.35">
      <c r="C7" s="5" t="s">
        <v>219</v>
      </c>
      <c r="D7" s="5" t="s">
        <v>218</v>
      </c>
      <c r="E7" s="5" t="s">
        <v>223</v>
      </c>
      <c r="F7" s="5" t="s">
        <v>220</v>
      </c>
    </row>
    <row r="8" spans="1:10" x14ac:dyDescent="0.35">
      <c r="A8" s="3" t="s">
        <v>217</v>
      </c>
      <c r="C8" s="5"/>
      <c r="D8" s="5"/>
      <c r="E8" s="5"/>
      <c r="F8" s="5"/>
    </row>
    <row r="9" spans="1:10" x14ac:dyDescent="0.35">
      <c r="A9" t="s">
        <v>216</v>
      </c>
      <c r="B9" s="4" t="s">
        <v>215</v>
      </c>
      <c r="C9" s="2">
        <f>B10+B13+B21</f>
        <v>50</v>
      </c>
      <c r="F9" s="2">
        <f>E11-SUM(D11:D23)</f>
        <v>2</v>
      </c>
    </row>
    <row r="10" spans="1:10" x14ac:dyDescent="0.35">
      <c r="A10" s="3" t="s">
        <v>188</v>
      </c>
      <c r="B10">
        <f>SUM(C11:C12)</f>
        <v>10</v>
      </c>
    </row>
    <row r="11" spans="1:10" x14ac:dyDescent="0.35">
      <c r="A11" t="s">
        <v>196</v>
      </c>
      <c r="B11" t="s">
        <v>167</v>
      </c>
      <c r="C11" s="2">
        <v>8</v>
      </c>
      <c r="D11" s="2">
        <v>0</v>
      </c>
      <c r="E11" s="2">
        <v>25</v>
      </c>
    </row>
    <row r="12" spans="1:10" x14ac:dyDescent="0.35">
      <c r="A12" t="s">
        <v>265</v>
      </c>
      <c r="B12" t="s">
        <v>202</v>
      </c>
      <c r="C12" s="2">
        <v>2</v>
      </c>
      <c r="D12" s="2">
        <v>2</v>
      </c>
    </row>
    <row r="13" spans="1:10" x14ac:dyDescent="0.35">
      <c r="A13" s="3" t="s">
        <v>189</v>
      </c>
      <c r="B13">
        <f>SUM(C14:C20)</f>
        <v>30</v>
      </c>
    </row>
    <row r="14" spans="1:10" x14ac:dyDescent="0.35">
      <c r="A14" t="s">
        <v>213</v>
      </c>
      <c r="B14" t="s">
        <v>181</v>
      </c>
      <c r="C14" s="2">
        <v>10</v>
      </c>
      <c r="D14" s="6">
        <v>5</v>
      </c>
    </row>
    <row r="15" spans="1:10" x14ac:dyDescent="0.35">
      <c r="A15" t="s">
        <v>198</v>
      </c>
      <c r="B15" t="s">
        <v>170</v>
      </c>
      <c r="C15" s="2">
        <v>7</v>
      </c>
      <c r="D15" s="2">
        <v>5</v>
      </c>
    </row>
    <row r="16" spans="1:10" x14ac:dyDescent="0.35">
      <c r="A16" t="s">
        <v>228</v>
      </c>
      <c r="B16" t="s">
        <v>172</v>
      </c>
      <c r="C16" s="2">
        <v>5</v>
      </c>
      <c r="D16" s="2">
        <v>5</v>
      </c>
    </row>
    <row r="17" spans="1:6" x14ac:dyDescent="0.35">
      <c r="A17" t="s">
        <v>200</v>
      </c>
      <c r="B17" t="s">
        <v>175</v>
      </c>
      <c r="C17" s="2">
        <v>3</v>
      </c>
      <c r="D17" s="2">
        <v>3</v>
      </c>
    </row>
    <row r="18" spans="1:6" x14ac:dyDescent="0.35">
      <c r="A18" t="s">
        <v>214</v>
      </c>
      <c r="B18" t="s">
        <v>184</v>
      </c>
      <c r="C18" s="2">
        <v>1</v>
      </c>
      <c r="D18" s="2">
        <v>0</v>
      </c>
    </row>
    <row r="19" spans="1:6" x14ac:dyDescent="0.35">
      <c r="A19" t="s">
        <v>214</v>
      </c>
      <c r="B19" t="s">
        <v>184</v>
      </c>
      <c r="C19" s="2">
        <v>1</v>
      </c>
      <c r="D19" s="2">
        <v>0</v>
      </c>
    </row>
    <row r="20" spans="1:6" x14ac:dyDescent="0.35">
      <c r="A20" t="s">
        <v>211</v>
      </c>
      <c r="B20" t="s">
        <v>194</v>
      </c>
      <c r="C20" s="2">
        <v>3</v>
      </c>
      <c r="D20" s="2">
        <v>3</v>
      </c>
    </row>
    <row r="21" spans="1:6" x14ac:dyDescent="0.35">
      <c r="A21" s="3" t="s">
        <v>190</v>
      </c>
      <c r="B21">
        <f>SUM(C22:C23)</f>
        <v>10</v>
      </c>
    </row>
    <row r="22" spans="1:6" x14ac:dyDescent="0.35">
      <c r="A22" t="s">
        <v>269</v>
      </c>
      <c r="B22" t="s">
        <v>273</v>
      </c>
      <c r="C22" s="2">
        <v>5</v>
      </c>
      <c r="D22" s="2">
        <v>0</v>
      </c>
    </row>
    <row r="23" spans="1:6" x14ac:dyDescent="0.35">
      <c r="A23" t="s">
        <v>269</v>
      </c>
      <c r="B23" t="s">
        <v>273</v>
      </c>
      <c r="C23" s="2">
        <v>5</v>
      </c>
      <c r="D23" s="2">
        <v>0</v>
      </c>
    </row>
    <row r="26" spans="1:6" x14ac:dyDescent="0.35">
      <c r="A26" s="3" t="s">
        <v>222</v>
      </c>
    </row>
    <row r="27" spans="1:6" x14ac:dyDescent="0.35">
      <c r="A27" t="s">
        <v>221</v>
      </c>
      <c r="B27" s="4" t="s">
        <v>215</v>
      </c>
      <c r="C27" s="2">
        <f>C28+C34+C37</f>
        <v>49</v>
      </c>
      <c r="F27" s="2">
        <f>E29-SUM(D29:D41)</f>
        <v>3</v>
      </c>
    </row>
    <row r="28" spans="1:6" x14ac:dyDescent="0.35">
      <c r="A28" s="3" t="s">
        <v>188</v>
      </c>
      <c r="C28" s="2">
        <f>SUM(C29:C33)</f>
        <v>14</v>
      </c>
    </row>
    <row r="29" spans="1:6" x14ac:dyDescent="0.35">
      <c r="A29" t="s">
        <v>195</v>
      </c>
      <c r="B29" t="s">
        <v>183</v>
      </c>
      <c r="C29" s="2">
        <v>6</v>
      </c>
      <c r="D29" s="2">
        <v>0</v>
      </c>
      <c r="E29" s="2">
        <v>20</v>
      </c>
    </row>
    <row r="30" spans="1:6" x14ac:dyDescent="0.35">
      <c r="A30" t="s">
        <v>207</v>
      </c>
      <c r="B30" t="s">
        <v>171</v>
      </c>
      <c r="C30" s="2">
        <v>3</v>
      </c>
      <c r="D30" s="2">
        <v>2</v>
      </c>
    </row>
    <row r="31" spans="1:6" x14ac:dyDescent="0.35">
      <c r="A31" t="s">
        <v>264</v>
      </c>
      <c r="B31" t="s">
        <v>204</v>
      </c>
      <c r="C31" s="2">
        <v>1</v>
      </c>
      <c r="D31" s="2">
        <v>1</v>
      </c>
    </row>
    <row r="32" spans="1:6" x14ac:dyDescent="0.35">
      <c r="A32" t="s">
        <v>214</v>
      </c>
      <c r="B32" t="s">
        <v>184</v>
      </c>
      <c r="C32" s="2">
        <v>1</v>
      </c>
      <c r="D32" s="2">
        <v>0</v>
      </c>
    </row>
    <row r="33" spans="1:6" x14ac:dyDescent="0.35">
      <c r="A33" t="s">
        <v>200</v>
      </c>
      <c r="B33" t="s">
        <v>175</v>
      </c>
      <c r="C33" s="2">
        <v>3</v>
      </c>
      <c r="D33" s="2">
        <v>3</v>
      </c>
    </row>
    <row r="34" spans="1:6" x14ac:dyDescent="0.35">
      <c r="A34" s="3" t="s">
        <v>189</v>
      </c>
      <c r="C34" s="2">
        <f>SUM(C35:C36)</f>
        <v>15</v>
      </c>
    </row>
    <row r="35" spans="1:6" x14ac:dyDescent="0.35">
      <c r="A35" t="s">
        <v>197</v>
      </c>
      <c r="B35" t="s">
        <v>169</v>
      </c>
      <c r="C35" s="2">
        <v>10</v>
      </c>
      <c r="D35" s="2">
        <v>7</v>
      </c>
    </row>
    <row r="36" spans="1:6" x14ac:dyDescent="0.35">
      <c r="A36" t="s">
        <v>212</v>
      </c>
      <c r="B36" t="s">
        <v>185</v>
      </c>
      <c r="C36" s="2">
        <v>5</v>
      </c>
      <c r="D36" s="2">
        <v>0</v>
      </c>
    </row>
    <row r="37" spans="1:6" x14ac:dyDescent="0.35">
      <c r="A37" s="3" t="s">
        <v>190</v>
      </c>
      <c r="C37" s="2">
        <f>SUM(C38:C41)</f>
        <v>20</v>
      </c>
    </row>
    <row r="38" spans="1:6" x14ac:dyDescent="0.35">
      <c r="A38" t="s">
        <v>269</v>
      </c>
      <c r="B38" t="s">
        <v>273</v>
      </c>
      <c r="C38" s="2">
        <v>5</v>
      </c>
      <c r="D38" s="2">
        <v>0</v>
      </c>
    </row>
    <row r="39" spans="1:6" x14ac:dyDescent="0.35">
      <c r="A39" t="s">
        <v>269</v>
      </c>
      <c r="B39" t="s">
        <v>273</v>
      </c>
      <c r="C39" s="2">
        <v>5</v>
      </c>
      <c r="D39" s="2">
        <v>0</v>
      </c>
    </row>
    <row r="40" spans="1:6" x14ac:dyDescent="0.35">
      <c r="A40" t="s">
        <v>209</v>
      </c>
      <c r="B40" t="s">
        <v>191</v>
      </c>
      <c r="C40" s="2">
        <v>5</v>
      </c>
      <c r="D40" s="2">
        <v>4</v>
      </c>
    </row>
    <row r="41" spans="1:6" x14ac:dyDescent="0.35">
      <c r="A41" t="s">
        <v>271</v>
      </c>
      <c r="B41" t="s">
        <v>277</v>
      </c>
      <c r="C41" s="2">
        <v>5</v>
      </c>
      <c r="D41" s="2">
        <v>0</v>
      </c>
    </row>
    <row r="44" spans="1:6" x14ac:dyDescent="0.35">
      <c r="A44" s="3" t="s">
        <v>225</v>
      </c>
    </row>
    <row r="45" spans="1:6" x14ac:dyDescent="0.35">
      <c r="A45" t="s">
        <v>224</v>
      </c>
    </row>
    <row r="46" spans="1:6" x14ac:dyDescent="0.35">
      <c r="A46" t="s">
        <v>16</v>
      </c>
      <c r="B46" s="4" t="s">
        <v>215</v>
      </c>
      <c r="C46" s="2">
        <f>C47+C53+C58</f>
        <v>49</v>
      </c>
      <c r="F46" s="2">
        <f>E48-SUM(D48:D60)</f>
        <v>4</v>
      </c>
    </row>
    <row r="47" spans="1:6" x14ac:dyDescent="0.35">
      <c r="A47" s="3" t="s">
        <v>188</v>
      </c>
      <c r="C47" s="2">
        <f>SUM(C48:C52)</f>
        <v>20</v>
      </c>
    </row>
    <row r="48" spans="1:6" x14ac:dyDescent="0.35">
      <c r="A48" t="s">
        <v>195</v>
      </c>
      <c r="B48" t="s">
        <v>183</v>
      </c>
      <c r="C48" s="2">
        <v>6</v>
      </c>
      <c r="D48" s="2">
        <v>0</v>
      </c>
      <c r="E48" s="2">
        <v>20</v>
      </c>
    </row>
    <row r="49" spans="1:4" x14ac:dyDescent="0.35">
      <c r="A49" t="s">
        <v>207</v>
      </c>
      <c r="B49" t="s">
        <v>171</v>
      </c>
      <c r="C49" s="2">
        <v>3</v>
      </c>
      <c r="D49" s="2">
        <v>2</v>
      </c>
    </row>
    <row r="50" spans="1:4" x14ac:dyDescent="0.35">
      <c r="A50" t="s">
        <v>266</v>
      </c>
      <c r="B50" t="s">
        <v>203</v>
      </c>
      <c r="C50" s="2">
        <v>3</v>
      </c>
      <c r="D50" s="2">
        <v>3</v>
      </c>
    </row>
    <row r="51" spans="1:4" x14ac:dyDescent="0.35">
      <c r="A51" t="s">
        <v>198</v>
      </c>
      <c r="B51" t="s">
        <v>170</v>
      </c>
      <c r="C51" s="2">
        <v>7</v>
      </c>
      <c r="D51" s="2">
        <v>5</v>
      </c>
    </row>
    <row r="52" spans="1:4" x14ac:dyDescent="0.35">
      <c r="A52" t="s">
        <v>214</v>
      </c>
      <c r="B52" t="s">
        <v>184</v>
      </c>
      <c r="C52" s="2">
        <v>1</v>
      </c>
      <c r="D52" s="2">
        <v>0</v>
      </c>
    </row>
    <row r="53" spans="1:4" x14ac:dyDescent="0.35">
      <c r="A53" s="3" t="s">
        <v>189</v>
      </c>
      <c r="C53" s="2">
        <f>SUM(C54:C57)</f>
        <v>20</v>
      </c>
    </row>
    <row r="54" spans="1:4" x14ac:dyDescent="0.35">
      <c r="A54" t="s">
        <v>271</v>
      </c>
      <c r="B54" t="s">
        <v>277</v>
      </c>
      <c r="C54" s="2">
        <v>5</v>
      </c>
      <c r="D54" s="2">
        <v>0</v>
      </c>
    </row>
    <row r="55" spans="1:4" x14ac:dyDescent="0.35">
      <c r="A55" t="s">
        <v>269</v>
      </c>
      <c r="B55" t="s">
        <v>273</v>
      </c>
      <c r="C55" s="2">
        <v>5</v>
      </c>
      <c r="D55" s="2">
        <v>0</v>
      </c>
    </row>
    <row r="56" spans="1:4" x14ac:dyDescent="0.35">
      <c r="A56" t="s">
        <v>269</v>
      </c>
      <c r="B56" t="s">
        <v>273</v>
      </c>
      <c r="C56" s="2">
        <v>5</v>
      </c>
      <c r="D56" s="2">
        <v>0</v>
      </c>
    </row>
    <row r="57" spans="1:4" x14ac:dyDescent="0.35">
      <c r="A57" t="s">
        <v>201</v>
      </c>
      <c r="B57" t="s">
        <v>176</v>
      </c>
      <c r="C57" s="2">
        <v>5</v>
      </c>
      <c r="D57" s="2">
        <v>5</v>
      </c>
    </row>
    <row r="58" spans="1:4" x14ac:dyDescent="0.35">
      <c r="A58" s="3" t="s">
        <v>190</v>
      </c>
      <c r="C58" s="2">
        <f>SUM(C59:C63)</f>
        <v>9</v>
      </c>
    </row>
    <row r="59" spans="1:4" x14ac:dyDescent="0.35">
      <c r="A59" t="s">
        <v>210</v>
      </c>
      <c r="B59" t="s">
        <v>193</v>
      </c>
      <c r="C59" s="2">
        <v>1</v>
      </c>
      <c r="D59" s="2">
        <v>1</v>
      </c>
    </row>
    <row r="60" spans="1:4" x14ac:dyDescent="0.35">
      <c r="A60" t="s">
        <v>205</v>
      </c>
      <c r="B60" t="s">
        <v>179</v>
      </c>
      <c r="C60" s="2">
        <v>8</v>
      </c>
      <c r="D60" s="2">
        <v>0</v>
      </c>
    </row>
    <row r="63" spans="1:4" x14ac:dyDescent="0.35">
      <c r="A63" s="3" t="s">
        <v>226</v>
      </c>
    </row>
    <row r="64" spans="1:4" x14ac:dyDescent="0.35">
      <c r="A64" t="s">
        <v>187</v>
      </c>
    </row>
    <row r="65" spans="1:6" x14ac:dyDescent="0.35">
      <c r="A65" t="s">
        <v>68</v>
      </c>
      <c r="B65" s="4" t="s">
        <v>215</v>
      </c>
      <c r="C65" s="2">
        <f>C66+C70+C78</f>
        <v>49</v>
      </c>
      <c r="F65" s="2">
        <f>F67-SUM(D67:D81)</f>
        <v>8</v>
      </c>
    </row>
    <row r="66" spans="1:6" x14ac:dyDescent="0.35">
      <c r="A66" s="3" t="s">
        <v>188</v>
      </c>
      <c r="C66" s="2">
        <f>SUM(C67:C69)</f>
        <v>10</v>
      </c>
    </row>
    <row r="67" spans="1:6" x14ac:dyDescent="0.35">
      <c r="A67" t="s">
        <v>195</v>
      </c>
      <c r="B67" t="s">
        <v>183</v>
      </c>
      <c r="C67" s="2">
        <v>6</v>
      </c>
      <c r="D67" s="2">
        <v>0</v>
      </c>
      <c r="F67" s="2">
        <v>20</v>
      </c>
    </row>
    <row r="68" spans="1:6" x14ac:dyDescent="0.35">
      <c r="A68" t="s">
        <v>207</v>
      </c>
      <c r="B68" t="s">
        <v>171</v>
      </c>
      <c r="C68" s="2">
        <v>3</v>
      </c>
      <c r="D68" s="2">
        <v>2</v>
      </c>
    </row>
    <row r="69" spans="1:6" x14ac:dyDescent="0.35">
      <c r="A69" t="s">
        <v>214</v>
      </c>
      <c r="B69" t="s">
        <v>184</v>
      </c>
      <c r="C69" s="2">
        <v>1</v>
      </c>
      <c r="D69" s="2">
        <v>0</v>
      </c>
    </row>
    <row r="70" spans="1:6" x14ac:dyDescent="0.35">
      <c r="A70" s="3" t="s">
        <v>189</v>
      </c>
      <c r="C70" s="2">
        <f>SUM(C71:C77)</f>
        <v>29</v>
      </c>
    </row>
    <row r="71" spans="1:6" x14ac:dyDescent="0.35">
      <c r="A71" t="s">
        <v>271</v>
      </c>
      <c r="B71" t="s">
        <v>277</v>
      </c>
      <c r="C71" s="2">
        <v>5</v>
      </c>
      <c r="D71" s="2">
        <v>0</v>
      </c>
    </row>
    <row r="72" spans="1:6" x14ac:dyDescent="0.35">
      <c r="A72" t="s">
        <v>199</v>
      </c>
      <c r="B72" t="s">
        <v>168</v>
      </c>
      <c r="C72" s="2">
        <v>5</v>
      </c>
      <c r="D72" s="2">
        <v>3</v>
      </c>
    </row>
    <row r="73" spans="1:6" x14ac:dyDescent="0.35">
      <c r="A73" t="s">
        <v>270</v>
      </c>
      <c r="B73" t="s">
        <v>276</v>
      </c>
      <c r="C73" s="2">
        <v>3</v>
      </c>
      <c r="D73" s="2">
        <v>0</v>
      </c>
    </row>
    <row r="74" spans="1:6" x14ac:dyDescent="0.35">
      <c r="A74" t="s">
        <v>268</v>
      </c>
      <c r="B74" t="s">
        <v>272</v>
      </c>
      <c r="C74" s="2">
        <v>3</v>
      </c>
      <c r="D74" s="2">
        <v>0</v>
      </c>
    </row>
    <row r="75" spans="1:6" x14ac:dyDescent="0.35">
      <c r="A75" t="s">
        <v>200</v>
      </c>
      <c r="B75" t="s">
        <v>175</v>
      </c>
      <c r="C75" s="2">
        <v>3</v>
      </c>
      <c r="D75" s="2">
        <v>3</v>
      </c>
    </row>
    <row r="76" spans="1:6" x14ac:dyDescent="0.35">
      <c r="A76" t="s">
        <v>208</v>
      </c>
      <c r="B76" t="s">
        <v>192</v>
      </c>
      <c r="C76" s="2">
        <v>2</v>
      </c>
      <c r="D76" s="2">
        <v>2</v>
      </c>
    </row>
    <row r="77" spans="1:6" x14ac:dyDescent="0.35">
      <c r="A77" t="s">
        <v>206</v>
      </c>
      <c r="B77" t="s">
        <v>180</v>
      </c>
      <c r="C77" s="2">
        <v>8</v>
      </c>
      <c r="D77" s="2">
        <v>0</v>
      </c>
    </row>
    <row r="78" spans="1:6" x14ac:dyDescent="0.35">
      <c r="A78" s="3" t="s">
        <v>190</v>
      </c>
      <c r="C78" s="2">
        <f>SUM(C79:C81)</f>
        <v>10</v>
      </c>
    </row>
    <row r="79" spans="1:6" x14ac:dyDescent="0.35">
      <c r="A79" t="s">
        <v>205</v>
      </c>
      <c r="B79" t="s">
        <v>179</v>
      </c>
      <c r="C79" s="2">
        <v>8</v>
      </c>
      <c r="D79" s="2">
        <v>0</v>
      </c>
    </row>
    <row r="80" spans="1:6" x14ac:dyDescent="0.35">
      <c r="A80" t="s">
        <v>265</v>
      </c>
      <c r="B80" t="s">
        <v>202</v>
      </c>
      <c r="C80" s="2">
        <v>2</v>
      </c>
      <c r="D80" s="2">
        <v>2</v>
      </c>
    </row>
  </sheetData>
  <mergeCells count="1">
    <mergeCell ref="A3: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RULES</vt:lpstr>
      <vt:lpstr>SHIPS</vt:lpstr>
      <vt:lpstr>COMPONENTS</vt:lpstr>
      <vt:lpstr>COMPLETE_SHIPS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2022-01-16T22:00:46Z</dcterms:created>
  <dcterms:modified xsi:type="dcterms:W3CDTF">2026-02-27T03:11:36Z</dcterms:modified>
</cp:coreProperties>
</file>